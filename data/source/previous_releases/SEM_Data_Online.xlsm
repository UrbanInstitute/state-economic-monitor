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930" yWindow="1305" windowWidth="20700" windowHeight="7590" tabRatio="599" firstSheet="3" activeTab="7"/>
  </bookViews>
  <sheets>
    <sheet name="Notes" sheetId="114" r:id="rId1"/>
    <sheet name="MapData" sheetId="233" r:id="rId2"/>
    <sheet name="econmon" sheetId="112" r:id="rId3"/>
    <sheet name="Table 1" sheetId="115" r:id="rId4"/>
    <sheet name="Table 2" sheetId="116" r:id="rId5"/>
    <sheet name="Table 3" sheetId="168" r:id="rId6"/>
    <sheet name="housing permits data" sheetId="172" r:id="rId7"/>
    <sheet name="Tax" sheetId="247" r:id="rId8"/>
    <sheet name="FHFA House Price Appreciation" sheetId="249" r:id="rId9"/>
    <sheet name="AWE" sheetId="231" r:id="rId10"/>
    <sheet name="BLS Data Series" sheetId="232" r:id="rId11"/>
    <sheet name="US" sheetId="25" r:id="rId12"/>
    <sheet name="AK" sheetId="27" r:id="rId13"/>
    <sheet name="AL" sheetId="26" r:id="rId14"/>
    <sheet name="AR" sheetId="28" r:id="rId15"/>
    <sheet name="AZ" sheetId="29" r:id="rId16"/>
    <sheet name="CA" sheetId="30" r:id="rId17"/>
    <sheet name="CO" sheetId="31" r:id="rId18"/>
    <sheet name="CT" sheetId="32" r:id="rId19"/>
    <sheet name="DE" sheetId="33" r:id="rId20"/>
    <sheet name="DC" sheetId="34" r:id="rId21"/>
    <sheet name="FL" sheetId="35" r:id="rId22"/>
    <sheet name="GA" sheetId="36" r:id="rId23"/>
    <sheet name="HI" sheetId="37" r:id="rId24"/>
    <sheet name="IA" sheetId="38" r:id="rId25"/>
    <sheet name="ID" sheetId="39" r:id="rId26"/>
    <sheet name="IL" sheetId="40" r:id="rId27"/>
    <sheet name="IN" sheetId="41" r:id="rId28"/>
    <sheet name="KS" sheetId="42" r:id="rId29"/>
    <sheet name="KY" sheetId="43" r:id="rId30"/>
    <sheet name="LA" sheetId="44" r:id="rId31"/>
    <sheet name="MA" sheetId="45" r:id="rId32"/>
    <sheet name="MD" sheetId="46" r:id="rId33"/>
    <sheet name="ME" sheetId="47" r:id="rId34"/>
    <sheet name="MN" sheetId="48" r:id="rId35"/>
    <sheet name="MO" sheetId="13" r:id="rId36"/>
    <sheet name="MI" sheetId="14" r:id="rId37"/>
    <sheet name="MS" sheetId="15" r:id="rId38"/>
    <sheet name="MT" sheetId="16" r:id="rId39"/>
    <sheet name="NC" sheetId="17" r:id="rId40"/>
    <sheet name="ND" sheetId="18" r:id="rId41"/>
    <sheet name="NE" sheetId="19" r:id="rId42"/>
    <sheet name="NH" sheetId="20" r:id="rId43"/>
    <sheet name="NJ" sheetId="21" r:id="rId44"/>
    <sheet name="NM" sheetId="22" r:id="rId45"/>
    <sheet name="NV" sheetId="107" r:id="rId46"/>
    <sheet name="NY" sheetId="23" r:id="rId47"/>
    <sheet name="OH" sheetId="24" r:id="rId48"/>
    <sheet name="OK" sheetId="7" r:id="rId49"/>
    <sheet name="OR" sheetId="8" r:id="rId50"/>
    <sheet name="PA" sheetId="9" r:id="rId51"/>
    <sheet name="RI" sheetId="10" r:id="rId52"/>
    <sheet name="SC" sheetId="11" r:id="rId53"/>
    <sheet name="SD" sheetId="12" r:id="rId54"/>
    <sheet name="TX" sheetId="4" r:id="rId55"/>
    <sheet name="TN" sheetId="5" r:id="rId56"/>
    <sheet name="UT" sheetId="6" r:id="rId57"/>
    <sheet name="VA" sheetId="1" r:id="rId58"/>
    <sheet name="VT" sheetId="2" r:id="rId59"/>
    <sheet name="WA" sheetId="3" r:id="rId60"/>
    <sheet name="WI" sheetId="57" r:id="rId61"/>
    <sheet name="WV" sheetId="58" r:id="rId62"/>
    <sheet name="WY" sheetId="59" r:id="rId63"/>
  </sheets>
  <externalReferences>
    <externalReference r:id="rId64"/>
  </externalReferences>
  <definedNames>
    <definedName name="_1__123Graph_ACHART_1" hidden="1">[1]COVERPG!$B$5:$D$5</definedName>
    <definedName name="_2__123Graph_ACHART_2" hidden="1">[1]COVERPG!$B$15:$E$15</definedName>
    <definedName name="_3__123Graph_ACHART_3" hidden="1">[1]COVERPG!$B$15:$E$15</definedName>
    <definedName name="_4__123Graph_BCHART_1" hidden="1">[1]COVERPG!$B$6:$D$6</definedName>
    <definedName name="_5__123Graph_CCHART_1" hidden="1">[1]COVERPG!$B$7:$D$7</definedName>
    <definedName name="_6__123Graph_DCHART_1" hidden="1">[1]COVERPG!$B$8:$D$8</definedName>
    <definedName name="_7__123Graph_XCHART_2" hidden="1">[1]COVERPG!$B$14:$E$14</definedName>
    <definedName name="_8__123Graph_XCHART_3" hidden="1">[1]COVERPG!$B$14:$E$14</definedName>
    <definedName name="CIT">Tax!$W$101:$Y$147</definedName>
    <definedName name="econrng">econmon!$A$4:$K$54</definedName>
    <definedName name="PIT">Tax!$W$55:$Y$98</definedName>
    <definedName name="_xlnm.Print_Area" localSheetId="3">'Table 1'!$A$1:$G$60</definedName>
    <definedName name="_xlnm.Print_Area" localSheetId="4">'Table 2'!$A$1:$E$54</definedName>
    <definedName name="_xlnm.Print_Area" localSheetId="5">'Table 3'!$A$1:$D$54</definedName>
    <definedName name="salestax">Tax!$W$7:$Y$52</definedName>
    <definedName name="TotTax">Tax!$W$150:$Y$200</definedName>
  </definedNames>
  <calcPr calcId="145621"/>
</workbook>
</file>

<file path=xl/calcChain.xml><?xml version="1.0" encoding="utf-8"?>
<calcChain xmlns="http://schemas.openxmlformats.org/spreadsheetml/2006/main">
  <c r="P15" i="25" l="1"/>
  <c r="U135" i="247" l="1"/>
  <c r="V135" i="247"/>
  <c r="B54" i="116"/>
  <c r="C54" i="116"/>
  <c r="D54" i="116"/>
  <c r="E54" i="116"/>
  <c r="B53" i="116"/>
  <c r="B52" i="116"/>
  <c r="B51" i="116"/>
  <c r="B50" i="116"/>
  <c r="B49" i="116"/>
  <c r="B48" i="116"/>
  <c r="B47" i="116"/>
  <c r="B46" i="116"/>
  <c r="B45" i="116"/>
  <c r="B44" i="116"/>
  <c r="B43" i="116"/>
  <c r="B42" i="116"/>
  <c r="B41" i="116"/>
  <c r="B40" i="116"/>
  <c r="B39" i="116"/>
  <c r="B38" i="116"/>
  <c r="B37" i="116"/>
  <c r="B36" i="116"/>
  <c r="B35" i="116"/>
  <c r="B34" i="116"/>
  <c r="B33" i="116"/>
  <c r="B32" i="116"/>
  <c r="B31" i="116"/>
  <c r="B30" i="116"/>
  <c r="B29" i="116"/>
  <c r="B28" i="116"/>
  <c r="B27" i="116"/>
  <c r="B26" i="116"/>
  <c r="B25" i="116"/>
  <c r="B24" i="116"/>
  <c r="B23" i="116"/>
  <c r="B22" i="116"/>
  <c r="B21" i="116"/>
  <c r="B20" i="116"/>
  <c r="B19" i="116"/>
  <c r="B18" i="116"/>
  <c r="B17" i="116"/>
  <c r="B16" i="116"/>
  <c r="B15" i="116"/>
  <c r="B14" i="116"/>
  <c r="B13" i="116"/>
  <c r="B12" i="116"/>
  <c r="B11" i="116"/>
  <c r="B10" i="116"/>
  <c r="B9" i="116"/>
  <c r="B8" i="116"/>
  <c r="B7" i="116"/>
  <c r="B6" i="116"/>
  <c r="B5" i="116"/>
  <c r="B4" i="116"/>
  <c r="B3" i="116"/>
  <c r="D53" i="116"/>
  <c r="D52" i="116"/>
  <c r="D51" i="116"/>
  <c r="D50" i="116"/>
  <c r="D49" i="116"/>
  <c r="D48" i="116"/>
  <c r="D47" i="116"/>
  <c r="D46" i="116"/>
  <c r="D45" i="116"/>
  <c r="D44" i="116"/>
  <c r="D43" i="116"/>
  <c r="D42" i="116"/>
  <c r="D41" i="116"/>
  <c r="D40" i="116"/>
  <c r="D39" i="116"/>
  <c r="D38" i="116"/>
  <c r="D37" i="116"/>
  <c r="D36" i="116"/>
  <c r="D35" i="116"/>
  <c r="D34" i="116"/>
  <c r="D33" i="116"/>
  <c r="D32" i="116"/>
  <c r="D31" i="116"/>
  <c r="D30" i="116"/>
  <c r="D29" i="116"/>
  <c r="D28" i="116"/>
  <c r="D27" i="116"/>
  <c r="D26" i="116"/>
  <c r="D25" i="116"/>
  <c r="D24" i="116"/>
  <c r="D23" i="116"/>
  <c r="D22" i="116"/>
  <c r="D21" i="116"/>
  <c r="D20" i="116"/>
  <c r="D19" i="116"/>
  <c r="D18" i="116"/>
  <c r="D17" i="116"/>
  <c r="D16" i="116"/>
  <c r="D15" i="116"/>
  <c r="D14" i="116"/>
  <c r="D13" i="116"/>
  <c r="D12" i="116"/>
  <c r="D11" i="116"/>
  <c r="D10" i="116"/>
  <c r="D9" i="116"/>
  <c r="D8" i="116"/>
  <c r="D7" i="116"/>
  <c r="D6" i="116"/>
  <c r="D5" i="116"/>
  <c r="D4" i="116"/>
  <c r="D3" i="116"/>
  <c r="E53" i="116"/>
  <c r="E52" i="116"/>
  <c r="E51" i="116"/>
  <c r="E50" i="116"/>
  <c r="E49" i="116"/>
  <c r="E48" i="116"/>
  <c r="E47" i="116"/>
  <c r="E46" i="116"/>
  <c r="E45" i="116"/>
  <c r="E44" i="116"/>
  <c r="E43" i="116"/>
  <c r="E42" i="116"/>
  <c r="E41" i="116"/>
  <c r="E40" i="116"/>
  <c r="E39" i="116"/>
  <c r="E38" i="116"/>
  <c r="E37" i="116"/>
  <c r="E36" i="116"/>
  <c r="E35" i="116"/>
  <c r="E34" i="116"/>
  <c r="E33" i="116"/>
  <c r="E32" i="116"/>
  <c r="E31" i="116"/>
  <c r="E30" i="116"/>
  <c r="E29" i="116"/>
  <c r="E28" i="116"/>
  <c r="E27" i="116"/>
  <c r="E26" i="116"/>
  <c r="E25" i="116"/>
  <c r="E24" i="116"/>
  <c r="E23" i="116"/>
  <c r="E22" i="116"/>
  <c r="E21" i="116"/>
  <c r="E20" i="116"/>
  <c r="E19" i="116"/>
  <c r="E18" i="116"/>
  <c r="E17" i="116"/>
  <c r="E16" i="116"/>
  <c r="E15" i="116"/>
  <c r="E14" i="116"/>
  <c r="E13" i="116"/>
  <c r="E12" i="116"/>
  <c r="E11" i="116"/>
  <c r="E10" i="116"/>
  <c r="E9" i="116"/>
  <c r="E8" i="116"/>
  <c r="E7" i="116"/>
  <c r="E6" i="116"/>
  <c r="E5" i="116"/>
  <c r="E4" i="116"/>
  <c r="E3" i="116"/>
  <c r="Q1" i="1"/>
  <c r="Y15" i="247" l="1"/>
  <c r="X35" i="247" l="1"/>
  <c r="X150" i="247"/>
  <c r="X201" i="247"/>
  <c r="X200" i="247"/>
  <c r="X199" i="247"/>
  <c r="X198" i="247"/>
  <c r="X197" i="247"/>
  <c r="X196" i="247"/>
  <c r="X195" i="247"/>
  <c r="X194" i="247"/>
  <c r="X193" i="247"/>
  <c r="X192" i="247"/>
  <c r="X191" i="247"/>
  <c r="X190" i="247"/>
  <c r="X189" i="247"/>
  <c r="X188" i="247"/>
  <c r="X187" i="247"/>
  <c r="X186" i="247"/>
  <c r="X185" i="247"/>
  <c r="X184" i="247"/>
  <c r="X183" i="247"/>
  <c r="X182" i="247"/>
  <c r="X181" i="247"/>
  <c r="X180" i="247"/>
  <c r="X179" i="247"/>
  <c r="X178" i="247"/>
  <c r="X177" i="247"/>
  <c r="X176" i="247"/>
  <c r="X175" i="247"/>
  <c r="X174" i="247"/>
  <c r="X173" i="247"/>
  <c r="X172" i="247"/>
  <c r="X171" i="247"/>
  <c r="X170" i="247"/>
  <c r="X169" i="247"/>
  <c r="X168" i="247"/>
  <c r="X167" i="247"/>
  <c r="X166" i="247"/>
  <c r="X165" i="247"/>
  <c r="X164" i="247"/>
  <c r="X163" i="247"/>
  <c r="X162" i="247"/>
  <c r="X161" i="247"/>
  <c r="X160" i="247"/>
  <c r="X159" i="247"/>
  <c r="X158" i="247"/>
  <c r="X157" i="247"/>
  <c r="X156" i="247"/>
  <c r="X155" i="247"/>
  <c r="X154" i="247"/>
  <c r="X153" i="247"/>
  <c r="X152" i="247"/>
  <c r="X151" i="247"/>
  <c r="X99" i="247"/>
  <c r="X98" i="247"/>
  <c r="X97" i="247"/>
  <c r="X96" i="247"/>
  <c r="X95" i="247"/>
  <c r="X94" i="247"/>
  <c r="X93" i="247"/>
  <c r="X92" i="247"/>
  <c r="X91" i="247"/>
  <c r="X90" i="247"/>
  <c r="X89" i="247"/>
  <c r="X88" i="247"/>
  <c r="X87" i="247"/>
  <c r="X86" i="247"/>
  <c r="X85" i="247"/>
  <c r="X84" i="247"/>
  <c r="X83" i="247"/>
  <c r="X82" i="247"/>
  <c r="X81" i="247"/>
  <c r="X80" i="247"/>
  <c r="X79" i="247"/>
  <c r="X78" i="247"/>
  <c r="X77" i="247"/>
  <c r="X76" i="247"/>
  <c r="X75" i="247"/>
  <c r="X74" i="247"/>
  <c r="X73" i="247"/>
  <c r="X72" i="247"/>
  <c r="X71" i="247"/>
  <c r="X70" i="247"/>
  <c r="X69" i="247"/>
  <c r="X68" i="247"/>
  <c r="X67" i="247"/>
  <c r="X66" i="247"/>
  <c r="X65" i="247"/>
  <c r="X64" i="247"/>
  <c r="X63" i="247"/>
  <c r="X62" i="247"/>
  <c r="X61" i="247"/>
  <c r="X60" i="247"/>
  <c r="X59" i="247"/>
  <c r="X58" i="247"/>
  <c r="X57" i="247"/>
  <c r="X56" i="247"/>
  <c r="X55" i="247"/>
  <c r="X53" i="247"/>
  <c r="X52" i="247"/>
  <c r="X51" i="247"/>
  <c r="X50" i="247"/>
  <c r="X49" i="247"/>
  <c r="X48" i="247"/>
  <c r="X47" i="247"/>
  <c r="X46" i="247"/>
  <c r="X45" i="247"/>
  <c r="X44" i="247"/>
  <c r="X43" i="247"/>
  <c r="X42" i="247"/>
  <c r="X41" i="247"/>
  <c r="X40" i="247"/>
  <c r="X39" i="247"/>
  <c r="X38" i="247"/>
  <c r="X37" i="247"/>
  <c r="X36" i="247"/>
  <c r="X34" i="247"/>
  <c r="X33" i="247"/>
  <c r="X32" i="247"/>
  <c r="X31" i="247"/>
  <c r="X30" i="247"/>
  <c r="X29" i="247"/>
  <c r="X28" i="247"/>
  <c r="X27" i="247"/>
  <c r="X26" i="247"/>
  <c r="X25" i="247"/>
  <c r="X24" i="247"/>
  <c r="X23" i="247"/>
  <c r="X22" i="247"/>
  <c r="X21" i="247"/>
  <c r="X20" i="247"/>
  <c r="X19" i="247"/>
  <c r="X18" i="247"/>
  <c r="X17" i="247"/>
  <c r="X16" i="247"/>
  <c r="X15" i="247"/>
  <c r="X14" i="247"/>
  <c r="X13" i="247"/>
  <c r="X12" i="247"/>
  <c r="X11" i="247"/>
  <c r="X10" i="247"/>
  <c r="X9" i="247"/>
  <c r="X8" i="247"/>
  <c r="X7" i="247"/>
  <c r="V201" i="247"/>
  <c r="V200" i="247"/>
  <c r="V199" i="247"/>
  <c r="V198" i="247"/>
  <c r="V197" i="247"/>
  <c r="V196" i="247"/>
  <c r="V195" i="247"/>
  <c r="V194" i="247"/>
  <c r="V193" i="247"/>
  <c r="V192" i="247"/>
  <c r="V191" i="247"/>
  <c r="V190" i="247"/>
  <c r="V189" i="247"/>
  <c r="V188" i="247"/>
  <c r="V187" i="247"/>
  <c r="V186" i="247"/>
  <c r="V185" i="247"/>
  <c r="V184" i="247"/>
  <c r="V183" i="247"/>
  <c r="V182" i="247"/>
  <c r="V181" i="247"/>
  <c r="V180" i="247"/>
  <c r="V179" i="247"/>
  <c r="V178" i="247"/>
  <c r="V177" i="247"/>
  <c r="V176" i="247"/>
  <c r="V175" i="247"/>
  <c r="V174" i="247"/>
  <c r="V173" i="247"/>
  <c r="V172" i="247"/>
  <c r="V171" i="247"/>
  <c r="V170" i="247"/>
  <c r="V169" i="247"/>
  <c r="V168" i="247"/>
  <c r="V167" i="247"/>
  <c r="V166" i="247"/>
  <c r="V165" i="247"/>
  <c r="V164" i="247"/>
  <c r="V163" i="247"/>
  <c r="V162" i="247"/>
  <c r="V161" i="247"/>
  <c r="V160" i="247"/>
  <c r="V159" i="247"/>
  <c r="V158" i="247"/>
  <c r="V157" i="247"/>
  <c r="V156" i="247"/>
  <c r="V155" i="247"/>
  <c r="V154" i="247"/>
  <c r="V153" i="247"/>
  <c r="V152" i="247"/>
  <c r="V151" i="247"/>
  <c r="V150" i="247"/>
  <c r="V148" i="247"/>
  <c r="V147" i="247"/>
  <c r="V146" i="247"/>
  <c r="V145" i="247"/>
  <c r="V144" i="247"/>
  <c r="V143" i="247"/>
  <c r="V142" i="247"/>
  <c r="V141" i="247"/>
  <c r="V140" i="247"/>
  <c r="V139" i="247"/>
  <c r="V138" i="247"/>
  <c r="V137" i="247"/>
  <c r="V136" i="247"/>
  <c r="V134" i="247"/>
  <c r="V133" i="247"/>
  <c r="V132" i="247"/>
  <c r="V131" i="247"/>
  <c r="V130" i="247"/>
  <c r="V129" i="247"/>
  <c r="V128" i="247"/>
  <c r="V127" i="247"/>
  <c r="V126" i="247"/>
  <c r="V125" i="247"/>
  <c r="V124" i="247"/>
  <c r="V123" i="247"/>
  <c r="V122" i="247"/>
  <c r="V121" i="247"/>
  <c r="V120" i="247"/>
  <c r="V119" i="247"/>
  <c r="V118" i="247"/>
  <c r="V117" i="247"/>
  <c r="V116" i="247"/>
  <c r="V115" i="247"/>
  <c r="V114" i="247"/>
  <c r="V113" i="247"/>
  <c r="V112" i="247"/>
  <c r="V111" i="247"/>
  <c r="V110" i="247"/>
  <c r="V109" i="247"/>
  <c r="V108" i="247"/>
  <c r="V107" i="247"/>
  <c r="V106" i="247"/>
  <c r="V105" i="247"/>
  <c r="V104" i="247"/>
  <c r="V103" i="247"/>
  <c r="V102" i="247"/>
  <c r="V101" i="247"/>
  <c r="V99" i="247"/>
  <c r="V98" i="247"/>
  <c r="V97" i="247"/>
  <c r="V96" i="247"/>
  <c r="V95" i="247"/>
  <c r="V94" i="247"/>
  <c r="V93" i="247"/>
  <c r="V92" i="247"/>
  <c r="V91" i="247"/>
  <c r="V90" i="247"/>
  <c r="V89" i="247"/>
  <c r="V88" i="247"/>
  <c r="V87" i="247"/>
  <c r="V86" i="247"/>
  <c r="V85" i="247"/>
  <c r="V84" i="247"/>
  <c r="V83" i="247"/>
  <c r="V82" i="247"/>
  <c r="V81" i="247"/>
  <c r="V80" i="247"/>
  <c r="V79" i="247"/>
  <c r="V78" i="247"/>
  <c r="V77" i="247"/>
  <c r="V76" i="247"/>
  <c r="V75" i="247"/>
  <c r="V74" i="247"/>
  <c r="V73" i="247"/>
  <c r="V72" i="247"/>
  <c r="V71" i="247"/>
  <c r="V70" i="247"/>
  <c r="V69" i="247"/>
  <c r="V68" i="247"/>
  <c r="V67" i="247"/>
  <c r="V66" i="247"/>
  <c r="V65" i="247"/>
  <c r="V64" i="247"/>
  <c r="V63" i="247"/>
  <c r="V62" i="247"/>
  <c r="V61" i="247"/>
  <c r="V60" i="247"/>
  <c r="V59" i="247"/>
  <c r="V58" i="247"/>
  <c r="V57" i="247"/>
  <c r="V56" i="247"/>
  <c r="V55" i="247"/>
  <c r="V53" i="247"/>
  <c r="V52" i="247"/>
  <c r="V51" i="247"/>
  <c r="V50" i="247"/>
  <c r="V49" i="247"/>
  <c r="V48" i="247"/>
  <c r="V47" i="247"/>
  <c r="V46" i="247"/>
  <c r="V45" i="247"/>
  <c r="V44" i="247"/>
  <c r="V43" i="247"/>
  <c r="V42" i="247"/>
  <c r="V41" i="247"/>
  <c r="V40" i="247"/>
  <c r="V39" i="247"/>
  <c r="V38" i="247"/>
  <c r="V37" i="247"/>
  <c r="V36" i="247"/>
  <c r="V35" i="247"/>
  <c r="V34" i="247"/>
  <c r="V33" i="247"/>
  <c r="V32" i="247"/>
  <c r="V31" i="247"/>
  <c r="V30" i="247"/>
  <c r="V29" i="247"/>
  <c r="V28" i="247"/>
  <c r="V27" i="247"/>
  <c r="V26" i="247"/>
  <c r="V25" i="247"/>
  <c r="V24" i="247"/>
  <c r="V23" i="247"/>
  <c r="V22" i="247"/>
  <c r="V21" i="247"/>
  <c r="V20" i="247"/>
  <c r="V19" i="247"/>
  <c r="V18" i="247"/>
  <c r="V17" i="247"/>
  <c r="V16" i="247"/>
  <c r="V15" i="247"/>
  <c r="V14" i="247"/>
  <c r="V13" i="247"/>
  <c r="V12" i="247"/>
  <c r="V11" i="247"/>
  <c r="V10" i="247"/>
  <c r="V9" i="247"/>
  <c r="V8" i="247"/>
  <c r="V7" i="247"/>
  <c r="U201" i="247"/>
  <c r="U200" i="247"/>
  <c r="U199" i="247"/>
  <c r="U198" i="247"/>
  <c r="U197" i="247"/>
  <c r="U196" i="247"/>
  <c r="U195" i="247"/>
  <c r="U194" i="247"/>
  <c r="U193" i="247"/>
  <c r="U192" i="247"/>
  <c r="U191" i="247"/>
  <c r="U190" i="247"/>
  <c r="U189" i="247"/>
  <c r="U188" i="247"/>
  <c r="U187" i="247"/>
  <c r="U186" i="247"/>
  <c r="U185" i="247"/>
  <c r="U184" i="247"/>
  <c r="U183" i="247"/>
  <c r="U182" i="247"/>
  <c r="U181" i="247"/>
  <c r="U180" i="247"/>
  <c r="U179" i="247"/>
  <c r="U178" i="247"/>
  <c r="U177" i="247"/>
  <c r="U176" i="247"/>
  <c r="U175" i="247"/>
  <c r="U174" i="247"/>
  <c r="U173" i="247"/>
  <c r="U172" i="247"/>
  <c r="U171" i="247"/>
  <c r="U170" i="247"/>
  <c r="U169" i="247"/>
  <c r="U168" i="247"/>
  <c r="U167" i="247"/>
  <c r="U166" i="247"/>
  <c r="U165" i="247"/>
  <c r="U164" i="247"/>
  <c r="U163" i="247"/>
  <c r="U162" i="247"/>
  <c r="U161" i="247"/>
  <c r="U160" i="247"/>
  <c r="U159" i="247"/>
  <c r="U158" i="247"/>
  <c r="U157" i="247"/>
  <c r="U156" i="247"/>
  <c r="U155" i="247"/>
  <c r="U154" i="247"/>
  <c r="U153" i="247"/>
  <c r="U152" i="247"/>
  <c r="U151" i="247"/>
  <c r="U150" i="247"/>
  <c r="U148" i="247"/>
  <c r="U147" i="247"/>
  <c r="U146" i="247"/>
  <c r="U145" i="247"/>
  <c r="U144" i="247"/>
  <c r="U143" i="247"/>
  <c r="U142" i="247"/>
  <c r="U141" i="247"/>
  <c r="U140" i="247"/>
  <c r="U139" i="247"/>
  <c r="U138" i="247"/>
  <c r="U137" i="247"/>
  <c r="U136" i="247"/>
  <c r="U134" i="247"/>
  <c r="U133" i="247"/>
  <c r="U132" i="247"/>
  <c r="U131" i="247"/>
  <c r="U130" i="247"/>
  <c r="U129" i="247"/>
  <c r="U128" i="247"/>
  <c r="U127" i="247"/>
  <c r="U126" i="247"/>
  <c r="U125" i="247"/>
  <c r="U124" i="247"/>
  <c r="U123" i="247"/>
  <c r="U122" i="247"/>
  <c r="U121" i="247"/>
  <c r="U120" i="247"/>
  <c r="U119" i="247"/>
  <c r="U118" i="247"/>
  <c r="U117" i="247"/>
  <c r="U116" i="247"/>
  <c r="U115" i="247"/>
  <c r="U114" i="247"/>
  <c r="U113" i="247"/>
  <c r="U112" i="247"/>
  <c r="U111" i="247"/>
  <c r="U110" i="247"/>
  <c r="U109" i="247"/>
  <c r="U108" i="247"/>
  <c r="U107" i="247"/>
  <c r="U106" i="247"/>
  <c r="U105" i="247"/>
  <c r="U104" i="247"/>
  <c r="U103" i="247"/>
  <c r="U102" i="247"/>
  <c r="U101" i="247"/>
  <c r="U99" i="247"/>
  <c r="U98" i="247"/>
  <c r="U97" i="247"/>
  <c r="U96" i="247"/>
  <c r="U95" i="247"/>
  <c r="U94" i="247"/>
  <c r="U93" i="247"/>
  <c r="U92" i="247"/>
  <c r="U91" i="247"/>
  <c r="U90" i="247"/>
  <c r="U89" i="247"/>
  <c r="U88" i="247"/>
  <c r="U87" i="247"/>
  <c r="U86" i="247"/>
  <c r="U85" i="247"/>
  <c r="U84" i="247"/>
  <c r="U83" i="247"/>
  <c r="U82" i="247"/>
  <c r="U81" i="247"/>
  <c r="U80" i="247"/>
  <c r="U79" i="247"/>
  <c r="U78" i="247"/>
  <c r="U77" i="247"/>
  <c r="U76" i="247"/>
  <c r="U75" i="247"/>
  <c r="U74" i="247"/>
  <c r="U73" i="247"/>
  <c r="U72" i="247"/>
  <c r="U71" i="247"/>
  <c r="U70" i="247"/>
  <c r="U69" i="247"/>
  <c r="U68" i="247"/>
  <c r="U67" i="247"/>
  <c r="U66" i="247"/>
  <c r="U65" i="247"/>
  <c r="U64" i="247"/>
  <c r="U63" i="247"/>
  <c r="U62" i="247"/>
  <c r="U61" i="247"/>
  <c r="U60" i="247"/>
  <c r="U59" i="247"/>
  <c r="U58" i="247"/>
  <c r="U57" i="247"/>
  <c r="U56" i="247"/>
  <c r="U55" i="247"/>
  <c r="U53" i="247"/>
  <c r="U52" i="247"/>
  <c r="U51" i="247"/>
  <c r="U50" i="247"/>
  <c r="U49" i="247"/>
  <c r="U48" i="247"/>
  <c r="U47" i="247"/>
  <c r="U46" i="247"/>
  <c r="U45" i="247"/>
  <c r="U44" i="247"/>
  <c r="U43" i="247"/>
  <c r="U42" i="247"/>
  <c r="U41" i="247"/>
  <c r="U40" i="247"/>
  <c r="U39" i="247"/>
  <c r="U38" i="247"/>
  <c r="U37" i="247"/>
  <c r="U36" i="247"/>
  <c r="U35" i="247"/>
  <c r="U34" i="247"/>
  <c r="U33" i="247"/>
  <c r="U32" i="247"/>
  <c r="U31" i="247"/>
  <c r="U30" i="247"/>
  <c r="U29" i="247"/>
  <c r="U28" i="247"/>
  <c r="U27" i="247"/>
  <c r="U26" i="247"/>
  <c r="U25" i="247"/>
  <c r="U24" i="247"/>
  <c r="U23" i="247"/>
  <c r="U22" i="247"/>
  <c r="U21" i="247"/>
  <c r="U20" i="247"/>
  <c r="U19" i="247"/>
  <c r="U18" i="247"/>
  <c r="U17" i="247"/>
  <c r="U16" i="247"/>
  <c r="U15" i="247"/>
  <c r="U14" i="247"/>
  <c r="U13" i="247"/>
  <c r="U12" i="247"/>
  <c r="U11" i="247"/>
  <c r="U10" i="247"/>
  <c r="U9" i="247"/>
  <c r="U8" i="247"/>
  <c r="U7" i="247"/>
  <c r="T201" i="247"/>
  <c r="T200" i="247"/>
  <c r="T199" i="247"/>
  <c r="T198" i="247"/>
  <c r="T197" i="247"/>
  <c r="T196" i="247"/>
  <c r="T195" i="247"/>
  <c r="T194" i="247"/>
  <c r="T193" i="247"/>
  <c r="T192" i="247"/>
  <c r="T191" i="247"/>
  <c r="T190" i="247"/>
  <c r="T189" i="247"/>
  <c r="T188" i="247"/>
  <c r="T187" i="247"/>
  <c r="T186" i="247"/>
  <c r="T185" i="247"/>
  <c r="T184" i="247"/>
  <c r="T183" i="247"/>
  <c r="T182" i="247"/>
  <c r="T181" i="247"/>
  <c r="T180" i="247"/>
  <c r="T179" i="247"/>
  <c r="T178" i="247"/>
  <c r="T177" i="247"/>
  <c r="T176" i="247"/>
  <c r="T175" i="247"/>
  <c r="T174" i="247"/>
  <c r="T173" i="247"/>
  <c r="T172" i="247"/>
  <c r="T171" i="247"/>
  <c r="T170" i="247"/>
  <c r="T169" i="247"/>
  <c r="T168" i="247"/>
  <c r="T167" i="247"/>
  <c r="T166" i="247"/>
  <c r="T165" i="247"/>
  <c r="T164" i="247"/>
  <c r="T163" i="247"/>
  <c r="T162" i="247"/>
  <c r="T161" i="247"/>
  <c r="T160" i="247"/>
  <c r="T159" i="247"/>
  <c r="T158" i="247"/>
  <c r="T157" i="247"/>
  <c r="T156" i="247"/>
  <c r="T155" i="247"/>
  <c r="T154" i="247"/>
  <c r="T153" i="247"/>
  <c r="T152" i="247"/>
  <c r="T151" i="247"/>
  <c r="T150" i="247"/>
  <c r="T148" i="247"/>
  <c r="T147" i="247"/>
  <c r="T146" i="247"/>
  <c r="T145" i="247"/>
  <c r="T144" i="247"/>
  <c r="T143" i="247"/>
  <c r="T142" i="247"/>
  <c r="T141" i="247"/>
  <c r="T140" i="247"/>
  <c r="T139" i="247"/>
  <c r="T138" i="247"/>
  <c r="T137" i="247"/>
  <c r="T136" i="247"/>
  <c r="T135" i="247"/>
  <c r="T134" i="247"/>
  <c r="T133" i="247"/>
  <c r="T132" i="247"/>
  <c r="T131" i="247"/>
  <c r="T130" i="247"/>
  <c r="T129" i="247"/>
  <c r="T128" i="247"/>
  <c r="T127" i="247"/>
  <c r="T126" i="247"/>
  <c r="T125" i="247"/>
  <c r="T124" i="247"/>
  <c r="T123" i="247"/>
  <c r="T122" i="247"/>
  <c r="T121" i="247"/>
  <c r="T120" i="247"/>
  <c r="T119" i="247"/>
  <c r="T118" i="247"/>
  <c r="T117" i="247"/>
  <c r="T116" i="247"/>
  <c r="T115" i="247"/>
  <c r="T114" i="247"/>
  <c r="T113" i="247"/>
  <c r="T112" i="247"/>
  <c r="T111" i="247"/>
  <c r="T110" i="247"/>
  <c r="T109" i="247"/>
  <c r="T108" i="247"/>
  <c r="T107" i="247"/>
  <c r="T106" i="247"/>
  <c r="T105" i="247"/>
  <c r="T104" i="247"/>
  <c r="T103" i="247"/>
  <c r="T102" i="247"/>
  <c r="T101" i="247"/>
  <c r="T99" i="247"/>
  <c r="T98" i="247"/>
  <c r="T97" i="247"/>
  <c r="T96" i="247"/>
  <c r="T95" i="247"/>
  <c r="T94" i="247"/>
  <c r="T93" i="247"/>
  <c r="T92" i="247"/>
  <c r="T91" i="247"/>
  <c r="T90" i="247"/>
  <c r="T89" i="247"/>
  <c r="T88" i="247"/>
  <c r="T87" i="247"/>
  <c r="T86" i="247"/>
  <c r="T85" i="247"/>
  <c r="T84" i="247"/>
  <c r="T83" i="247"/>
  <c r="T82" i="247"/>
  <c r="T81" i="247"/>
  <c r="T80" i="247"/>
  <c r="T79" i="247"/>
  <c r="T78" i="247"/>
  <c r="T77" i="247"/>
  <c r="T76" i="247"/>
  <c r="T75" i="247"/>
  <c r="T74" i="247"/>
  <c r="T73" i="247"/>
  <c r="T72" i="247"/>
  <c r="T71" i="247"/>
  <c r="T70" i="247"/>
  <c r="T69" i="247"/>
  <c r="T68" i="247"/>
  <c r="T67" i="247"/>
  <c r="T66" i="247"/>
  <c r="T65" i="247"/>
  <c r="T64" i="247"/>
  <c r="T63" i="247"/>
  <c r="T62" i="247"/>
  <c r="T61" i="247"/>
  <c r="T60" i="247"/>
  <c r="T59" i="247"/>
  <c r="T58" i="247"/>
  <c r="T57" i="247"/>
  <c r="T56" i="247"/>
  <c r="T55" i="247"/>
  <c r="T53" i="247"/>
  <c r="T52" i="247"/>
  <c r="T51" i="247"/>
  <c r="T50" i="247"/>
  <c r="T49" i="247"/>
  <c r="T48" i="247"/>
  <c r="T47" i="247"/>
  <c r="T46" i="247"/>
  <c r="T45" i="247"/>
  <c r="T44" i="247"/>
  <c r="T43" i="247"/>
  <c r="T42" i="247"/>
  <c r="T41" i="247"/>
  <c r="T40" i="247"/>
  <c r="T39" i="247"/>
  <c r="T38" i="247"/>
  <c r="T37" i="247"/>
  <c r="T36" i="247"/>
  <c r="T35" i="247"/>
  <c r="T34" i="247"/>
  <c r="T33" i="247"/>
  <c r="T32" i="247"/>
  <c r="T31" i="247"/>
  <c r="T30" i="247"/>
  <c r="T29" i="247"/>
  <c r="T28" i="247"/>
  <c r="T27" i="247"/>
  <c r="T26" i="247"/>
  <c r="T25" i="247"/>
  <c r="T24" i="247"/>
  <c r="T23" i="247"/>
  <c r="T22" i="247"/>
  <c r="T21" i="247"/>
  <c r="T20" i="247"/>
  <c r="T19" i="247"/>
  <c r="T18" i="247"/>
  <c r="T17" i="247"/>
  <c r="T16" i="247"/>
  <c r="T15" i="247"/>
  <c r="T14" i="247"/>
  <c r="T13" i="247"/>
  <c r="T12" i="247"/>
  <c r="T11" i="247"/>
  <c r="T10" i="247"/>
  <c r="T9" i="247"/>
  <c r="T8" i="247"/>
  <c r="T7" i="247"/>
  <c r="M156" i="247" l="1"/>
  <c r="M107" i="247"/>
  <c r="M60" i="247"/>
  <c r="M12" i="247"/>
  <c r="X101" i="247" l="1"/>
  <c r="X148" i="247"/>
  <c r="X147" i="247"/>
  <c r="X146" i="247"/>
  <c r="X145" i="247"/>
  <c r="X144" i="247"/>
  <c r="X143" i="247"/>
  <c r="X142" i="247"/>
  <c r="X141" i="247"/>
  <c r="X140" i="247"/>
  <c r="X139" i="247"/>
  <c r="X138" i="247"/>
  <c r="X137" i="247"/>
  <c r="X136" i="247"/>
  <c r="X135" i="247"/>
  <c r="X134" i="247"/>
  <c r="X133" i="247"/>
  <c r="X132" i="247"/>
  <c r="X131" i="247"/>
  <c r="X130" i="247"/>
  <c r="X129" i="247"/>
  <c r="X128" i="247"/>
  <c r="X127" i="247"/>
  <c r="X126" i="247"/>
  <c r="X125" i="247"/>
  <c r="X124" i="247"/>
  <c r="X123" i="247"/>
  <c r="X122" i="247"/>
  <c r="X121" i="247"/>
  <c r="X120" i="247"/>
  <c r="X119" i="247"/>
  <c r="X118" i="247"/>
  <c r="X117" i="247"/>
  <c r="X116" i="247"/>
  <c r="X115" i="247"/>
  <c r="X114" i="247"/>
  <c r="X113" i="247"/>
  <c r="X112" i="247"/>
  <c r="X111" i="247"/>
  <c r="X110" i="247"/>
  <c r="X109" i="247"/>
  <c r="X108" i="247"/>
  <c r="X107" i="247"/>
  <c r="X106" i="247"/>
  <c r="X105" i="247"/>
  <c r="X104" i="247"/>
  <c r="X103" i="247"/>
  <c r="X102" i="247"/>
  <c r="Z7" i="247"/>
  <c r="Y150" i="247" l="1"/>
  <c r="I2" i="112"/>
  <c r="P16" i="43" l="1"/>
  <c r="AA201" i="247" l="1"/>
  <c r="AA200" i="247"/>
  <c r="AA199" i="247"/>
  <c r="AA198" i="247"/>
  <c r="AA197" i="247"/>
  <c r="AA196" i="247"/>
  <c r="AA195" i="247"/>
  <c r="AA194" i="247"/>
  <c r="AA193" i="247"/>
  <c r="AA192" i="247"/>
  <c r="AA191" i="247"/>
  <c r="AA190" i="247"/>
  <c r="AA189" i="247"/>
  <c r="AA188" i="247"/>
  <c r="AA187" i="247"/>
  <c r="AA186" i="247"/>
  <c r="AA185" i="247"/>
  <c r="AA184" i="247"/>
  <c r="AA183" i="247"/>
  <c r="AA182" i="247"/>
  <c r="AA181" i="247"/>
  <c r="AA180" i="247"/>
  <c r="AA179" i="247"/>
  <c r="AA178" i="247"/>
  <c r="AA177" i="247"/>
  <c r="AA176" i="247"/>
  <c r="AA175" i="247"/>
  <c r="AA174" i="247"/>
  <c r="AA173" i="247"/>
  <c r="AA172" i="247"/>
  <c r="AA171" i="247"/>
  <c r="AA170" i="247"/>
  <c r="AA169" i="247"/>
  <c r="AA168" i="247"/>
  <c r="AA167" i="247"/>
  <c r="AA166" i="247"/>
  <c r="AA165" i="247"/>
  <c r="AA164" i="247"/>
  <c r="AA163" i="247"/>
  <c r="AA162" i="247"/>
  <c r="AA161" i="247"/>
  <c r="AA160" i="247"/>
  <c r="AA159" i="247"/>
  <c r="AA158" i="247"/>
  <c r="AA157" i="247"/>
  <c r="AA156" i="247"/>
  <c r="AA155" i="247"/>
  <c r="AA154" i="247"/>
  <c r="AA153" i="247"/>
  <c r="AA152" i="247"/>
  <c r="AA151" i="247"/>
  <c r="AA150" i="247"/>
  <c r="Z200" i="247" l="1"/>
  <c r="Z199" i="247"/>
  <c r="Z198" i="247"/>
  <c r="Z197" i="247"/>
  <c r="Z196" i="247"/>
  <c r="Z195" i="247"/>
  <c r="Z194" i="247"/>
  <c r="Z193" i="247"/>
  <c r="Z192" i="247"/>
  <c r="Z191" i="247"/>
  <c r="Z190" i="247"/>
  <c r="Z189" i="247"/>
  <c r="Z188" i="247"/>
  <c r="Z187" i="247"/>
  <c r="Z186" i="247"/>
  <c r="Z185" i="247"/>
  <c r="Z184" i="247"/>
  <c r="Z183" i="247"/>
  <c r="Z182" i="247"/>
  <c r="Z181" i="247"/>
  <c r="Z180" i="247"/>
  <c r="Z179" i="247"/>
  <c r="Z178" i="247"/>
  <c r="Z177" i="247"/>
  <c r="Z176" i="247"/>
  <c r="Z175" i="247"/>
  <c r="Z174" i="247"/>
  <c r="Z173" i="247"/>
  <c r="Z172" i="247"/>
  <c r="Z171" i="247"/>
  <c r="Z170" i="247"/>
  <c r="Z169" i="247"/>
  <c r="Z168" i="247"/>
  <c r="Z167" i="247"/>
  <c r="Z166" i="247"/>
  <c r="Z165" i="247"/>
  <c r="Z164" i="247"/>
  <c r="Z163" i="247"/>
  <c r="Z162" i="247"/>
  <c r="Z161" i="247"/>
  <c r="Z160" i="247"/>
  <c r="Z159" i="247"/>
  <c r="Z158" i="247"/>
  <c r="Z157" i="247"/>
  <c r="Z156" i="247"/>
  <c r="Z155" i="247"/>
  <c r="Z154" i="247"/>
  <c r="Z153" i="247"/>
  <c r="Z152" i="247"/>
  <c r="Z151" i="247"/>
  <c r="Z150" i="247"/>
  <c r="Z148" i="247"/>
  <c r="Z147" i="247"/>
  <c r="Z146" i="247"/>
  <c r="Z145" i="247"/>
  <c r="Z144" i="247"/>
  <c r="Z143" i="247"/>
  <c r="Z142" i="247"/>
  <c r="Z141" i="247"/>
  <c r="Z140" i="247"/>
  <c r="Z139" i="247"/>
  <c r="Z138" i="247"/>
  <c r="Z137" i="247"/>
  <c r="Z136" i="247"/>
  <c r="Z135" i="247"/>
  <c r="Z134" i="247"/>
  <c r="Z133" i="247"/>
  <c r="Z132" i="247"/>
  <c r="Z131" i="247"/>
  <c r="Z130" i="247"/>
  <c r="Z129" i="247"/>
  <c r="Z128" i="247"/>
  <c r="Z127" i="247"/>
  <c r="Z126" i="247"/>
  <c r="Z125" i="247"/>
  <c r="Z124" i="247"/>
  <c r="Z123" i="247"/>
  <c r="Z122" i="247"/>
  <c r="Z121" i="247"/>
  <c r="Z120" i="247"/>
  <c r="Z119" i="247"/>
  <c r="Z118" i="247"/>
  <c r="Z117" i="247"/>
  <c r="Z116" i="247"/>
  <c r="Z115" i="247"/>
  <c r="Z114" i="247"/>
  <c r="Z113" i="247"/>
  <c r="Z112" i="247"/>
  <c r="Z111" i="247"/>
  <c r="Z110" i="247"/>
  <c r="Z109" i="247"/>
  <c r="Z108" i="247"/>
  <c r="Z107" i="247"/>
  <c r="Z106" i="247"/>
  <c r="Z105" i="247"/>
  <c r="Z104" i="247"/>
  <c r="Z103" i="247"/>
  <c r="Z102" i="247"/>
  <c r="Z101" i="247"/>
  <c r="Z99" i="247"/>
  <c r="Z98" i="247"/>
  <c r="Z97" i="247"/>
  <c r="Z96" i="247"/>
  <c r="Z95" i="247"/>
  <c r="Z94" i="247"/>
  <c r="Z93" i="247"/>
  <c r="Z92" i="247"/>
  <c r="Z91" i="247"/>
  <c r="Z90" i="247"/>
  <c r="Z89" i="247"/>
  <c r="Z88" i="247"/>
  <c r="Z87" i="247"/>
  <c r="Z86" i="247"/>
  <c r="Z85" i="247"/>
  <c r="Z84" i="247"/>
  <c r="Z83" i="247"/>
  <c r="Z82" i="247"/>
  <c r="Z81" i="247"/>
  <c r="Z80" i="247"/>
  <c r="Z79" i="247"/>
  <c r="Z78" i="247"/>
  <c r="Z77" i="247"/>
  <c r="Z76" i="247"/>
  <c r="Z75" i="247"/>
  <c r="Z74" i="247"/>
  <c r="Z73" i="247"/>
  <c r="Z72" i="247"/>
  <c r="Z71" i="247"/>
  <c r="Z70" i="247"/>
  <c r="Z69" i="247"/>
  <c r="Z68" i="247"/>
  <c r="Z67" i="247"/>
  <c r="Z66" i="247"/>
  <c r="Z65" i="247"/>
  <c r="Z64" i="247"/>
  <c r="Z63" i="247"/>
  <c r="Z62" i="247"/>
  <c r="Z61" i="247"/>
  <c r="Z60" i="247"/>
  <c r="Z59" i="247"/>
  <c r="Z58" i="247"/>
  <c r="Z57" i="247"/>
  <c r="Z56" i="247"/>
  <c r="Z55" i="247"/>
  <c r="Z53" i="247"/>
  <c r="Z52" i="247"/>
  <c r="Z51" i="247"/>
  <c r="Z50" i="247"/>
  <c r="Z49" i="247"/>
  <c r="Z48" i="247"/>
  <c r="Z47" i="247"/>
  <c r="Z46" i="247"/>
  <c r="Z45" i="247"/>
  <c r="Z44" i="247"/>
  <c r="Z43" i="247"/>
  <c r="Z42" i="247"/>
  <c r="Z41" i="247"/>
  <c r="Z40" i="247"/>
  <c r="Z39" i="247"/>
  <c r="Z38" i="247"/>
  <c r="Z37" i="247"/>
  <c r="Z36" i="247"/>
  <c r="Z35" i="247"/>
  <c r="Z34" i="247"/>
  <c r="Z33" i="247"/>
  <c r="Z32" i="247"/>
  <c r="Z31" i="247"/>
  <c r="Z30" i="247"/>
  <c r="Z29" i="247"/>
  <c r="Z28" i="247"/>
  <c r="Z27" i="247"/>
  <c r="Z26" i="247"/>
  <c r="Z25" i="247"/>
  <c r="Z24" i="247"/>
  <c r="Z23" i="247"/>
  <c r="Z22" i="247"/>
  <c r="Z21" i="247"/>
  <c r="Z20" i="247"/>
  <c r="Z19" i="247"/>
  <c r="Z18" i="247"/>
  <c r="Z17" i="247"/>
  <c r="Z16" i="247"/>
  <c r="Z15" i="247"/>
  <c r="Z14" i="247"/>
  <c r="Z13" i="247"/>
  <c r="Z12" i="247"/>
  <c r="Z11" i="247"/>
  <c r="Z10" i="247"/>
  <c r="Z9" i="247"/>
  <c r="Z8" i="247"/>
  <c r="W55" i="112"/>
  <c r="V55" i="112"/>
  <c r="U55" i="112"/>
  <c r="X54" i="112"/>
  <c r="W54" i="112"/>
  <c r="V54" i="112"/>
  <c r="U54" i="112"/>
  <c r="S54" i="112"/>
  <c r="C53" i="116" s="1"/>
  <c r="R54" i="112"/>
  <c r="X53" i="112"/>
  <c r="W53" i="112"/>
  <c r="V53" i="112"/>
  <c r="U53" i="112"/>
  <c r="X52" i="112"/>
  <c r="W52" i="112"/>
  <c r="V52" i="112"/>
  <c r="U52" i="112"/>
  <c r="X51" i="112"/>
  <c r="W51" i="112"/>
  <c r="V51" i="112"/>
  <c r="U51" i="112"/>
  <c r="S51" i="112"/>
  <c r="C50" i="116" s="1"/>
  <c r="R51" i="112"/>
  <c r="X50" i="112"/>
  <c r="W50" i="112"/>
  <c r="V50" i="112"/>
  <c r="U50" i="112"/>
  <c r="X49" i="112"/>
  <c r="W49" i="112"/>
  <c r="V49" i="112"/>
  <c r="U49" i="112"/>
  <c r="X48" i="112"/>
  <c r="W48" i="112"/>
  <c r="V48" i="112"/>
  <c r="U48" i="112"/>
  <c r="X47" i="112"/>
  <c r="W47" i="112"/>
  <c r="V47" i="112"/>
  <c r="U47" i="112"/>
  <c r="S47" i="112"/>
  <c r="C46" i="116" s="1"/>
  <c r="R47" i="112"/>
  <c r="X46" i="112"/>
  <c r="W46" i="112"/>
  <c r="V46" i="112"/>
  <c r="U46" i="112"/>
  <c r="X45" i="112"/>
  <c r="W45" i="112"/>
  <c r="V45" i="112"/>
  <c r="U45" i="112"/>
  <c r="R45" i="112"/>
  <c r="X44" i="112"/>
  <c r="W44" i="112"/>
  <c r="V44" i="112"/>
  <c r="U44" i="112"/>
  <c r="X43" i="112"/>
  <c r="W43" i="112"/>
  <c r="V43" i="112"/>
  <c r="U43" i="112"/>
  <c r="X42" i="112"/>
  <c r="W42" i="112"/>
  <c r="V42" i="112"/>
  <c r="U42" i="112"/>
  <c r="X41" i="112"/>
  <c r="W41" i="112"/>
  <c r="V41" i="112"/>
  <c r="U41" i="112"/>
  <c r="Q41" i="112"/>
  <c r="X40" i="112"/>
  <c r="W40" i="112"/>
  <c r="V40" i="112"/>
  <c r="U40" i="112"/>
  <c r="X39" i="112"/>
  <c r="W39" i="112"/>
  <c r="V39" i="112"/>
  <c r="U39" i="112"/>
  <c r="X38" i="112"/>
  <c r="W38" i="112"/>
  <c r="V38" i="112"/>
  <c r="U38" i="112"/>
  <c r="X37" i="112"/>
  <c r="W37" i="112"/>
  <c r="V37" i="112"/>
  <c r="U37" i="112"/>
  <c r="S37" i="112"/>
  <c r="C31" i="116" s="1"/>
  <c r="R37" i="112"/>
  <c r="X36" i="112"/>
  <c r="W36" i="112"/>
  <c r="V36" i="112"/>
  <c r="U36" i="112"/>
  <c r="X35" i="112"/>
  <c r="W35" i="112"/>
  <c r="V35" i="112"/>
  <c r="U35" i="112"/>
  <c r="X34" i="112"/>
  <c r="W34" i="112"/>
  <c r="V34" i="112"/>
  <c r="U34" i="112"/>
  <c r="Q34" i="112"/>
  <c r="X33" i="112"/>
  <c r="W33" i="112"/>
  <c r="V33" i="112"/>
  <c r="U33" i="112"/>
  <c r="X32" i="112"/>
  <c r="W32" i="112"/>
  <c r="V32" i="112"/>
  <c r="U32" i="112"/>
  <c r="X31" i="112"/>
  <c r="W31" i="112"/>
  <c r="V31" i="112"/>
  <c r="U31" i="112"/>
  <c r="X30" i="112"/>
  <c r="W30" i="112"/>
  <c r="V30" i="112"/>
  <c r="U30" i="112"/>
  <c r="Q30" i="112"/>
  <c r="X29" i="112"/>
  <c r="W29" i="112"/>
  <c r="V29" i="112"/>
  <c r="U29" i="112"/>
  <c r="X28" i="112"/>
  <c r="W28" i="112"/>
  <c r="V28" i="112"/>
  <c r="U28" i="112"/>
  <c r="X27" i="112"/>
  <c r="W27" i="112"/>
  <c r="V27" i="112"/>
  <c r="U27" i="112"/>
  <c r="X26" i="112"/>
  <c r="W26" i="112"/>
  <c r="V26" i="112"/>
  <c r="U26" i="112"/>
  <c r="X25" i="112"/>
  <c r="W25" i="112"/>
  <c r="V25" i="112"/>
  <c r="U25" i="112"/>
  <c r="X24" i="112"/>
  <c r="W24" i="112"/>
  <c r="V24" i="112"/>
  <c r="U24" i="112"/>
  <c r="X23" i="112"/>
  <c r="W23" i="112"/>
  <c r="V23" i="112"/>
  <c r="U23" i="112"/>
  <c r="X22" i="112"/>
  <c r="W22" i="112"/>
  <c r="V22" i="112"/>
  <c r="U22" i="112"/>
  <c r="X21" i="112"/>
  <c r="W21" i="112"/>
  <c r="V21" i="112"/>
  <c r="U21" i="112"/>
  <c r="X20" i="112"/>
  <c r="W20" i="112"/>
  <c r="V20" i="112"/>
  <c r="U20" i="112"/>
  <c r="X19" i="112"/>
  <c r="W19" i="112"/>
  <c r="V19" i="112"/>
  <c r="U19" i="112"/>
  <c r="X18" i="112"/>
  <c r="W18" i="112"/>
  <c r="V18" i="112"/>
  <c r="U18" i="112"/>
  <c r="X17" i="112"/>
  <c r="W17" i="112"/>
  <c r="V17" i="112"/>
  <c r="U17" i="112"/>
  <c r="X16" i="112"/>
  <c r="W16" i="112"/>
  <c r="V16" i="112"/>
  <c r="U16" i="112"/>
  <c r="X15" i="112"/>
  <c r="W15" i="112"/>
  <c r="V15" i="112"/>
  <c r="U15" i="112"/>
  <c r="X14" i="112"/>
  <c r="W14" i="112"/>
  <c r="V14" i="112"/>
  <c r="U14" i="112"/>
  <c r="X13" i="112"/>
  <c r="W13" i="112"/>
  <c r="V13" i="112"/>
  <c r="U13" i="112"/>
  <c r="R13" i="112"/>
  <c r="X12" i="112"/>
  <c r="W12" i="112"/>
  <c r="V12" i="112"/>
  <c r="U12" i="112"/>
  <c r="Q12" i="112"/>
  <c r="X11" i="112"/>
  <c r="W11" i="112"/>
  <c r="V11" i="112"/>
  <c r="U11" i="112"/>
  <c r="X10" i="112"/>
  <c r="W10" i="112"/>
  <c r="V10" i="112"/>
  <c r="U10" i="112"/>
  <c r="X9" i="112"/>
  <c r="W9" i="112"/>
  <c r="V9" i="112"/>
  <c r="U9" i="112"/>
  <c r="X8" i="112"/>
  <c r="W8" i="112"/>
  <c r="V8" i="112"/>
  <c r="U8" i="112"/>
  <c r="X7" i="112"/>
  <c r="W7" i="112"/>
  <c r="V7" i="112"/>
  <c r="U7" i="112"/>
  <c r="X6" i="112"/>
  <c r="W6" i="112"/>
  <c r="V6" i="112"/>
  <c r="U6" i="112"/>
  <c r="X5" i="112"/>
  <c r="W5" i="112"/>
  <c r="V5" i="112"/>
  <c r="U5" i="112"/>
  <c r="X4" i="112"/>
  <c r="W4" i="112"/>
  <c r="V4" i="112"/>
  <c r="U4" i="112"/>
  <c r="R4" i="112"/>
  <c r="Q4" i="112"/>
  <c r="Z201" i="247"/>
  <c r="X5" i="247"/>
  <c r="P4" i="112"/>
  <c r="S201" i="247" l="1"/>
  <c r="S200" i="247"/>
  <c r="S199" i="247"/>
  <c r="S198" i="247"/>
  <c r="S197" i="247"/>
  <c r="S196" i="247"/>
  <c r="S195" i="247"/>
  <c r="S194" i="247"/>
  <c r="S193" i="247"/>
  <c r="S192" i="247"/>
  <c r="S191" i="247"/>
  <c r="S190" i="247"/>
  <c r="S189" i="247"/>
  <c r="S188" i="247"/>
  <c r="S187" i="247"/>
  <c r="S186" i="247"/>
  <c r="S185" i="247"/>
  <c r="S184" i="247"/>
  <c r="S183" i="247"/>
  <c r="S182" i="247"/>
  <c r="S181" i="247"/>
  <c r="S180" i="247"/>
  <c r="S179" i="247"/>
  <c r="S178" i="247"/>
  <c r="S177" i="247"/>
  <c r="S176" i="247"/>
  <c r="S175" i="247"/>
  <c r="S174" i="247"/>
  <c r="S173" i="247"/>
  <c r="S172" i="247"/>
  <c r="S171" i="247"/>
  <c r="S170" i="247"/>
  <c r="S169" i="247"/>
  <c r="S168" i="247"/>
  <c r="S167" i="247"/>
  <c r="S166" i="247"/>
  <c r="S165" i="247"/>
  <c r="S164" i="247"/>
  <c r="S163" i="247"/>
  <c r="S162" i="247"/>
  <c r="S161" i="247"/>
  <c r="S160" i="247"/>
  <c r="S159" i="247"/>
  <c r="S158" i="247"/>
  <c r="S157" i="247"/>
  <c r="S156" i="247"/>
  <c r="S155" i="247"/>
  <c r="S154" i="247"/>
  <c r="S153" i="247"/>
  <c r="S152" i="247"/>
  <c r="S151" i="247"/>
  <c r="S150" i="247"/>
  <c r="S99" i="247"/>
  <c r="S98" i="247"/>
  <c r="S97" i="247"/>
  <c r="S96" i="247"/>
  <c r="S95" i="247"/>
  <c r="S94" i="247"/>
  <c r="S93" i="247"/>
  <c r="S92" i="247"/>
  <c r="S91" i="247"/>
  <c r="S90" i="247"/>
  <c r="S89" i="247"/>
  <c r="S88" i="247"/>
  <c r="S87" i="247"/>
  <c r="S86" i="247"/>
  <c r="S85" i="247"/>
  <c r="S84" i="247"/>
  <c r="S83" i="247"/>
  <c r="S82" i="247"/>
  <c r="S81" i="247"/>
  <c r="S80" i="247"/>
  <c r="S79" i="247"/>
  <c r="S78" i="247"/>
  <c r="S77" i="247"/>
  <c r="S76" i="247"/>
  <c r="S75" i="247"/>
  <c r="S74" i="247"/>
  <c r="S73" i="247"/>
  <c r="S72" i="247"/>
  <c r="S71" i="247"/>
  <c r="S70" i="247"/>
  <c r="S69" i="247"/>
  <c r="S68" i="247"/>
  <c r="S67" i="247"/>
  <c r="S148" i="247"/>
  <c r="S147" i="247"/>
  <c r="S146" i="247"/>
  <c r="S145" i="247"/>
  <c r="S144" i="247"/>
  <c r="S143" i="247"/>
  <c r="S142" i="247"/>
  <c r="S141" i="247"/>
  <c r="S140" i="247"/>
  <c r="S139" i="247"/>
  <c r="S138" i="247"/>
  <c r="S137" i="247"/>
  <c r="S136" i="247"/>
  <c r="S135" i="247"/>
  <c r="S134" i="247"/>
  <c r="S133" i="247"/>
  <c r="S132" i="247"/>
  <c r="S131" i="247"/>
  <c r="S130" i="247"/>
  <c r="S129" i="247"/>
  <c r="S128" i="247"/>
  <c r="S127" i="247"/>
  <c r="S126" i="247"/>
  <c r="S125" i="247"/>
  <c r="S124" i="247"/>
  <c r="S123" i="247"/>
  <c r="S122" i="247"/>
  <c r="S121" i="247"/>
  <c r="S120" i="247"/>
  <c r="S119" i="247"/>
  <c r="S118" i="247"/>
  <c r="S117" i="247"/>
  <c r="S116" i="247"/>
  <c r="S115" i="247"/>
  <c r="S114" i="247"/>
  <c r="S113" i="247"/>
  <c r="S112" i="247"/>
  <c r="S111" i="247"/>
  <c r="S110" i="247"/>
  <c r="S109" i="247"/>
  <c r="S108" i="247"/>
  <c r="S107" i="247"/>
  <c r="S106" i="247"/>
  <c r="S105" i="247"/>
  <c r="S104" i="247"/>
  <c r="S103" i="247"/>
  <c r="S102" i="247"/>
  <c r="S101" i="247"/>
  <c r="S66" i="247"/>
  <c r="S65" i="247"/>
  <c r="S64" i="247"/>
  <c r="S63" i="247"/>
  <c r="S62" i="247"/>
  <c r="S61" i="247"/>
  <c r="S60" i="247"/>
  <c r="S59" i="247"/>
  <c r="S58" i="247"/>
  <c r="S57" i="247"/>
  <c r="S56" i="247"/>
  <c r="S55" i="247"/>
  <c r="E55" i="116"/>
  <c r="S8" i="247"/>
  <c r="S10" i="247"/>
  <c r="S12" i="247"/>
  <c r="S14" i="247"/>
  <c r="S16" i="247"/>
  <c r="S18" i="247"/>
  <c r="S20" i="247"/>
  <c r="S22" i="247"/>
  <c r="S24" i="247"/>
  <c r="S26" i="247"/>
  <c r="S28" i="247"/>
  <c r="S32" i="247"/>
  <c r="S36" i="247"/>
  <c r="S40" i="247"/>
  <c r="S44" i="247"/>
  <c r="S48" i="247"/>
  <c r="S52" i="247"/>
  <c r="S53" i="247"/>
  <c r="S51" i="247"/>
  <c r="S49" i="247"/>
  <c r="S47" i="247"/>
  <c r="S45" i="247"/>
  <c r="S43" i="247"/>
  <c r="S41" i="247"/>
  <c r="S39" i="247"/>
  <c r="S37" i="247"/>
  <c r="S35" i="247"/>
  <c r="S33" i="247"/>
  <c r="S31" i="247"/>
  <c r="S29" i="247"/>
  <c r="S7" i="247"/>
  <c r="S9" i="247"/>
  <c r="S11" i="247"/>
  <c r="S13" i="247"/>
  <c r="S15" i="247"/>
  <c r="S17" i="247"/>
  <c r="S19" i="247"/>
  <c r="S21" i="247"/>
  <c r="S23" i="247"/>
  <c r="S25" i="247"/>
  <c r="S27" i="247"/>
  <c r="S30" i="247"/>
  <c r="S34" i="247"/>
  <c r="S38" i="247"/>
  <c r="S42" i="247"/>
  <c r="S46" i="247"/>
  <c r="S50" i="247"/>
  <c r="X55" i="112"/>
  <c r="E56" i="116" s="1"/>
  <c r="P55" i="112" l="1"/>
  <c r="O1" i="28"/>
  <c r="O1" i="29"/>
  <c r="O1" i="30"/>
  <c r="O1" i="31"/>
  <c r="O1" i="32"/>
  <c r="O1" i="33"/>
  <c r="O1" i="34"/>
  <c r="O1" i="35"/>
  <c r="O1" i="36"/>
  <c r="O1" i="37"/>
  <c r="O1" i="38"/>
  <c r="O1" i="39"/>
  <c r="O1" i="40"/>
  <c r="O1" i="41"/>
  <c r="O1" i="42"/>
  <c r="O1" i="43"/>
  <c r="O1" i="44"/>
  <c r="O1" i="45"/>
  <c r="O1" i="46"/>
  <c r="O1" i="47"/>
  <c r="O1" i="48"/>
  <c r="O1" i="13"/>
  <c r="O1" i="14"/>
  <c r="O1" i="15"/>
  <c r="O1" i="16"/>
  <c r="O1" i="17"/>
  <c r="O1" i="18"/>
  <c r="O1" i="19"/>
  <c r="O1" i="20"/>
  <c r="O1" i="21"/>
  <c r="O1" i="22"/>
  <c r="O1" i="107"/>
  <c r="O1" i="23"/>
  <c r="O1" i="24"/>
  <c r="O1" i="7"/>
  <c r="O1" i="8"/>
  <c r="O1" i="9"/>
  <c r="O1" i="10"/>
  <c r="O1" i="11"/>
  <c r="O1" i="12"/>
  <c r="O1" i="4"/>
  <c r="O1" i="5"/>
  <c r="O1" i="6"/>
  <c r="O1" i="1"/>
  <c r="O1" i="2"/>
  <c r="O1" i="3"/>
  <c r="O1" i="57"/>
  <c r="O1" i="58"/>
  <c r="O1" i="59"/>
  <c r="O1" i="26"/>
  <c r="O1" i="27"/>
  <c r="M1" i="27"/>
  <c r="P24" i="112"/>
  <c r="P50" i="112"/>
  <c r="P44" i="112"/>
  <c r="AB55" i="112"/>
  <c r="P47" i="112"/>
  <c r="P43" i="112"/>
  <c r="P42" i="112"/>
  <c r="P51" i="112"/>
  <c r="P10" i="112"/>
  <c r="P35" i="112"/>
  <c r="P54" i="112"/>
  <c r="P36" i="112"/>
  <c r="P34" i="112"/>
  <c r="P28" i="112"/>
  <c r="P5" i="112"/>
  <c r="P39" i="112"/>
  <c r="P37" i="112"/>
  <c r="P29" i="112"/>
  <c r="P23" i="112"/>
  <c r="P25" i="112"/>
  <c r="P13" i="112"/>
  <c r="P8" i="112"/>
  <c r="P53" i="112"/>
  <c r="P16" i="112"/>
  <c r="P49" i="112"/>
  <c r="P11" i="112"/>
  <c r="P6" i="112"/>
  <c r="P14" i="112"/>
  <c r="P22" i="112"/>
  <c r="P41" i="112"/>
  <c r="P31" i="112"/>
  <c r="P40" i="112"/>
  <c r="P26" i="112"/>
  <c r="P19" i="112"/>
  <c r="P15" i="112"/>
  <c r="P45" i="112"/>
  <c r="P27" i="112"/>
  <c r="P9" i="112"/>
  <c r="P38" i="112"/>
  <c r="P21" i="112"/>
  <c r="P33" i="112"/>
  <c r="P7" i="112"/>
  <c r="P32" i="112"/>
  <c r="P52" i="112"/>
  <c r="P18" i="112"/>
  <c r="P46" i="112"/>
  <c r="P30" i="112"/>
  <c r="P17" i="112"/>
  <c r="P12" i="112"/>
  <c r="P20" i="112"/>
  <c r="P48" i="112"/>
  <c r="N55" i="112" l="1"/>
  <c r="N54" i="112"/>
  <c r="D53" i="115" s="1"/>
  <c r="N53" i="112"/>
  <c r="D51" i="115" s="1"/>
  <c r="N52" i="112"/>
  <c r="D52" i="115" s="1"/>
  <c r="N51" i="112"/>
  <c r="D50" i="115" s="1"/>
  <c r="N50" i="112"/>
  <c r="D48" i="115" s="1"/>
  <c r="N49" i="112"/>
  <c r="D49" i="115" s="1"/>
  <c r="N48" i="112"/>
  <c r="D47" i="115" s="1"/>
  <c r="N47" i="112"/>
  <c r="D46" i="115" s="1"/>
  <c r="N46" i="112"/>
  <c r="D45" i="115" s="1"/>
  <c r="N45" i="112"/>
  <c r="D44" i="115" s="1"/>
  <c r="N44" i="112"/>
  <c r="D43" i="115" s="1"/>
  <c r="N43" i="112"/>
  <c r="D42" i="115" s="1"/>
  <c r="N42" i="112"/>
  <c r="D41" i="115" s="1"/>
  <c r="N41" i="112"/>
  <c r="D40" i="115" s="1"/>
  <c r="N40" i="112"/>
  <c r="D39" i="115" s="1"/>
  <c r="N39" i="112"/>
  <c r="D38" i="115" s="1"/>
  <c r="N38" i="112"/>
  <c r="D35" i="115" s="1"/>
  <c r="N37" i="112"/>
  <c r="D31" i="115" s="1"/>
  <c r="N36" i="112"/>
  <c r="D34" i="115" s="1"/>
  <c r="N35" i="112"/>
  <c r="D33" i="115" s="1"/>
  <c r="N34" i="112"/>
  <c r="D32" i="115" s="1"/>
  <c r="N33" i="112"/>
  <c r="D30" i="115" s="1"/>
  <c r="N32" i="112"/>
  <c r="D37" i="115" s="1"/>
  <c r="N31" i="112"/>
  <c r="D36" i="115" s="1"/>
  <c r="N30" i="112"/>
  <c r="D29" i="115" s="1"/>
  <c r="N29" i="112"/>
  <c r="D27" i="115" s="1"/>
  <c r="N28" i="112"/>
  <c r="D28" i="115" s="1"/>
  <c r="N27" i="112"/>
  <c r="D26" i="115" s="1"/>
  <c r="N26" i="112"/>
  <c r="D25" i="115" s="1"/>
  <c r="N25" i="112"/>
  <c r="D22" i="115" s="1"/>
  <c r="N24" i="112"/>
  <c r="D23" i="115" s="1"/>
  <c r="N23" i="112"/>
  <c r="D24" i="115" s="1"/>
  <c r="N22" i="112"/>
  <c r="D21" i="115" s="1"/>
  <c r="N21" i="112"/>
  <c r="D20" i="115" s="1"/>
  <c r="N20" i="112"/>
  <c r="D19" i="115" s="1"/>
  <c r="N19" i="112"/>
  <c r="D17" i="115" s="1"/>
  <c r="N18" i="112"/>
  <c r="D16" i="115" s="1"/>
  <c r="N17" i="112"/>
  <c r="D15" i="115" s="1"/>
  <c r="N16" i="112"/>
  <c r="D18" i="115" s="1"/>
  <c r="N15" i="112"/>
  <c r="D14" i="115" s="1"/>
  <c r="N14" i="112"/>
  <c r="D13" i="115" s="1"/>
  <c r="N13" i="112"/>
  <c r="D12" i="115" s="1"/>
  <c r="N12" i="112"/>
  <c r="D10" i="115" s="1"/>
  <c r="N11" i="112"/>
  <c r="D11" i="115" s="1"/>
  <c r="N10" i="112"/>
  <c r="D9" i="115" s="1"/>
  <c r="N9" i="112"/>
  <c r="D8" i="115" s="1"/>
  <c r="N8" i="112"/>
  <c r="D7" i="115" s="1"/>
  <c r="N7" i="112"/>
  <c r="D5" i="115" s="1"/>
  <c r="N6" i="112"/>
  <c r="D6" i="115" s="1"/>
  <c r="N5" i="112"/>
  <c r="N4" i="112"/>
  <c r="D4" i="115" s="1"/>
  <c r="I57" i="232"/>
  <c r="M56" i="168"/>
  <c r="L56" i="168"/>
  <c r="K56" i="168"/>
  <c r="M55" i="168"/>
  <c r="L55" i="168"/>
  <c r="K55" i="168"/>
  <c r="M54" i="168"/>
  <c r="L54" i="168"/>
  <c r="K54" i="168"/>
  <c r="M53" i="168"/>
  <c r="L53" i="168"/>
  <c r="K53" i="168"/>
  <c r="M52" i="168"/>
  <c r="L52" i="168"/>
  <c r="K52" i="168"/>
  <c r="M51" i="168"/>
  <c r="L51" i="168"/>
  <c r="K51" i="168"/>
  <c r="M50" i="168"/>
  <c r="L50" i="168"/>
  <c r="K50" i="168"/>
  <c r="M49" i="168"/>
  <c r="L49" i="168"/>
  <c r="K49" i="168"/>
  <c r="M48" i="168"/>
  <c r="L48" i="168"/>
  <c r="K48" i="168"/>
  <c r="M47" i="168"/>
  <c r="L47" i="168"/>
  <c r="K47" i="168"/>
  <c r="M46" i="168"/>
  <c r="L46" i="168"/>
  <c r="K46" i="168"/>
  <c r="M45" i="168"/>
  <c r="L45" i="168"/>
  <c r="K45" i="168"/>
  <c r="M44" i="168"/>
  <c r="L44" i="168"/>
  <c r="K44" i="168"/>
  <c r="M43" i="168"/>
  <c r="L43" i="168"/>
  <c r="K43" i="168"/>
  <c r="M42" i="168"/>
  <c r="L42" i="168"/>
  <c r="K42" i="168"/>
  <c r="M41" i="168"/>
  <c r="L41" i="168"/>
  <c r="K41" i="168"/>
  <c r="M40" i="168"/>
  <c r="L40" i="168"/>
  <c r="K40" i="168"/>
  <c r="M39" i="168"/>
  <c r="L39" i="168"/>
  <c r="K39" i="168"/>
  <c r="M38" i="168"/>
  <c r="L38" i="168"/>
  <c r="K38" i="168"/>
  <c r="M37" i="168"/>
  <c r="L37" i="168"/>
  <c r="K37" i="168"/>
  <c r="M36" i="168"/>
  <c r="L36" i="168"/>
  <c r="K36" i="168"/>
  <c r="M35" i="168"/>
  <c r="L35" i="168"/>
  <c r="K35" i="168"/>
  <c r="M34" i="168"/>
  <c r="L34" i="168"/>
  <c r="K34" i="168"/>
  <c r="M33" i="168"/>
  <c r="L33" i="168"/>
  <c r="K33" i="168"/>
  <c r="M32" i="168"/>
  <c r="L32" i="168"/>
  <c r="K32" i="168"/>
  <c r="M31" i="168"/>
  <c r="L31" i="168"/>
  <c r="K31" i="168"/>
  <c r="M30" i="168"/>
  <c r="L30" i="168"/>
  <c r="K30" i="168"/>
  <c r="M29" i="168"/>
  <c r="L29" i="168"/>
  <c r="K29" i="168"/>
  <c r="M28" i="168"/>
  <c r="L28" i="168"/>
  <c r="K28" i="168"/>
  <c r="M27" i="168"/>
  <c r="L27" i="168"/>
  <c r="K27" i="168"/>
  <c r="M26" i="168"/>
  <c r="L26" i="168"/>
  <c r="K26" i="168"/>
  <c r="M25" i="168"/>
  <c r="L25" i="168"/>
  <c r="K25" i="168"/>
  <c r="M24" i="168"/>
  <c r="L24" i="168"/>
  <c r="K24" i="168"/>
  <c r="M23" i="168"/>
  <c r="L23" i="168"/>
  <c r="K23" i="168"/>
  <c r="M22" i="168"/>
  <c r="L22" i="168"/>
  <c r="K22" i="168"/>
  <c r="M21" i="168"/>
  <c r="L21" i="168"/>
  <c r="K21" i="168"/>
  <c r="M20" i="168"/>
  <c r="L20" i="168"/>
  <c r="K20" i="168"/>
  <c r="M19" i="168"/>
  <c r="L19" i="168"/>
  <c r="K19" i="168"/>
  <c r="M18" i="168"/>
  <c r="L18" i="168"/>
  <c r="K18" i="168"/>
  <c r="M17" i="168"/>
  <c r="L17" i="168"/>
  <c r="K17" i="168"/>
  <c r="M16" i="168"/>
  <c r="L16" i="168"/>
  <c r="K16" i="168"/>
  <c r="M15" i="168"/>
  <c r="L15" i="168"/>
  <c r="K15" i="168"/>
  <c r="M14" i="168"/>
  <c r="L14" i="168"/>
  <c r="K14" i="168"/>
  <c r="M13" i="168"/>
  <c r="L13" i="168"/>
  <c r="K13" i="168"/>
  <c r="M12" i="168"/>
  <c r="L12" i="168"/>
  <c r="K12" i="168"/>
  <c r="M11" i="168"/>
  <c r="L11" i="168"/>
  <c r="K11" i="168"/>
  <c r="M10" i="168"/>
  <c r="L10" i="168"/>
  <c r="K10" i="168"/>
  <c r="M9" i="168"/>
  <c r="L9" i="168"/>
  <c r="K9" i="168"/>
  <c r="M8" i="168"/>
  <c r="L8" i="168"/>
  <c r="K8" i="168"/>
  <c r="M7" i="168"/>
  <c r="L7" i="168"/>
  <c r="K7" i="168"/>
  <c r="M6" i="168"/>
  <c r="L6" i="168"/>
  <c r="K6" i="168"/>
  <c r="M5" i="168"/>
  <c r="L5" i="168"/>
  <c r="K5" i="168"/>
  <c r="G55" i="232" l="1"/>
  <c r="I55" i="232" s="1"/>
  <c r="G53" i="232"/>
  <c r="I53" i="232" s="1"/>
  <c r="G51" i="232"/>
  <c r="I51" i="232" s="1"/>
  <c r="G49" i="232"/>
  <c r="I49" i="232" s="1"/>
  <c r="G47" i="232"/>
  <c r="I47" i="232" s="1"/>
  <c r="G45" i="232"/>
  <c r="I45" i="232" s="1"/>
  <c r="G43" i="232"/>
  <c r="I43" i="232" s="1"/>
  <c r="G41" i="232"/>
  <c r="I41" i="232" s="1"/>
  <c r="G39" i="232"/>
  <c r="I39" i="232" s="1"/>
  <c r="G37" i="232"/>
  <c r="I37" i="232" s="1"/>
  <c r="G35" i="232"/>
  <c r="I35" i="232" s="1"/>
  <c r="G33" i="232"/>
  <c r="I33" i="232" s="1"/>
  <c r="G31" i="232"/>
  <c r="I31" i="232" s="1"/>
  <c r="G29" i="232"/>
  <c r="I29" i="232" s="1"/>
  <c r="G27" i="232"/>
  <c r="I27" i="232" s="1"/>
  <c r="G25" i="232"/>
  <c r="I25" i="232" s="1"/>
  <c r="G23" i="232"/>
  <c r="I23" i="232" s="1"/>
  <c r="G21" i="232"/>
  <c r="I21" i="232" s="1"/>
  <c r="G19" i="232"/>
  <c r="I19" i="232" s="1"/>
  <c r="G17" i="232"/>
  <c r="I17" i="232" s="1"/>
  <c r="G15" i="232"/>
  <c r="I15" i="232" s="1"/>
  <c r="G13" i="232"/>
  <c r="I13" i="232" s="1"/>
  <c r="G11" i="232"/>
  <c r="I11" i="232" s="1"/>
  <c r="G9" i="232"/>
  <c r="I9" i="232" s="1"/>
  <c r="G7" i="232"/>
  <c r="I7" i="232" s="1"/>
  <c r="G5" i="232"/>
  <c r="I5" i="232" s="1"/>
  <c r="G56" i="232"/>
  <c r="I56" i="232" s="1"/>
  <c r="G54" i="232"/>
  <c r="I54" i="232" s="1"/>
  <c r="G52" i="232"/>
  <c r="I52" i="232" s="1"/>
  <c r="G50" i="232"/>
  <c r="I50" i="232" s="1"/>
  <c r="G48" i="232"/>
  <c r="I48" i="232" s="1"/>
  <c r="G46" i="232"/>
  <c r="I46" i="232" s="1"/>
  <c r="G44" i="232"/>
  <c r="I44" i="232" s="1"/>
  <c r="G42" i="232"/>
  <c r="I42" i="232" s="1"/>
  <c r="G40" i="232"/>
  <c r="I40" i="232" s="1"/>
  <c r="G38" i="232"/>
  <c r="I38" i="232" s="1"/>
  <c r="G36" i="232"/>
  <c r="I36" i="232" s="1"/>
  <c r="G34" i="232"/>
  <c r="I34" i="232" s="1"/>
  <c r="G32" i="232"/>
  <c r="I32" i="232" s="1"/>
  <c r="G30" i="232"/>
  <c r="I30" i="232" s="1"/>
  <c r="G28" i="232"/>
  <c r="I28" i="232" s="1"/>
  <c r="G26" i="232"/>
  <c r="I26" i="232" s="1"/>
  <c r="G24" i="232"/>
  <c r="I24" i="232" s="1"/>
  <c r="G22" i="232"/>
  <c r="I22" i="232" s="1"/>
  <c r="G20" i="232"/>
  <c r="I20" i="232" s="1"/>
  <c r="G18" i="232"/>
  <c r="I18" i="232" s="1"/>
  <c r="G16" i="232"/>
  <c r="I16" i="232" s="1"/>
  <c r="G14" i="232"/>
  <c r="I14" i="232" s="1"/>
  <c r="G12" i="232"/>
  <c r="I12" i="232" s="1"/>
  <c r="G10" i="232"/>
  <c r="I10" i="232" s="1"/>
  <c r="G8" i="232"/>
  <c r="I8" i="232" s="1"/>
  <c r="G6" i="232"/>
  <c r="I6" i="232" s="1"/>
  <c r="N60" i="168"/>
  <c r="O69" i="168"/>
  <c r="N69" i="168"/>
  <c r="O68" i="168"/>
  <c r="N68" i="168"/>
  <c r="O67" i="168"/>
  <c r="N67" i="168"/>
  <c r="O66" i="168"/>
  <c r="N66" i="168"/>
  <c r="O65" i="168"/>
  <c r="N65" i="168"/>
  <c r="O64" i="168"/>
  <c r="N64" i="168"/>
  <c r="O63" i="168"/>
  <c r="N63" i="168"/>
  <c r="O62" i="168"/>
  <c r="N62" i="168"/>
  <c r="O61" i="168"/>
  <c r="N61" i="168"/>
  <c r="O60" i="168"/>
  <c r="O56" i="168"/>
  <c r="D54" i="168" s="1"/>
  <c r="N56" i="168"/>
  <c r="C54" i="168" s="1"/>
  <c r="D313" i="233" s="1"/>
  <c r="N5" i="168"/>
  <c r="O5" i="168"/>
  <c r="N6" i="168"/>
  <c r="O6" i="168"/>
  <c r="N7" i="168"/>
  <c r="O7" i="168"/>
  <c r="N8" i="168"/>
  <c r="O8" i="168"/>
  <c r="N9" i="168"/>
  <c r="O9" i="168"/>
  <c r="N10" i="168"/>
  <c r="O10" i="168"/>
  <c r="N11" i="168"/>
  <c r="O11" i="168"/>
  <c r="N12" i="168"/>
  <c r="O12" i="168"/>
  <c r="N13" i="168"/>
  <c r="O13" i="168"/>
  <c r="N14" i="168"/>
  <c r="O14" i="168"/>
  <c r="N15" i="168"/>
  <c r="O15" i="168"/>
  <c r="N16" i="168"/>
  <c r="O16" i="168"/>
  <c r="N17" i="168"/>
  <c r="O17" i="168"/>
  <c r="N18" i="168"/>
  <c r="O18" i="168"/>
  <c r="N19" i="168"/>
  <c r="O19" i="168"/>
  <c r="N20" i="168"/>
  <c r="O20" i="168"/>
  <c r="N21" i="168"/>
  <c r="O21" i="168"/>
  <c r="N22" i="168"/>
  <c r="O22" i="168"/>
  <c r="N23" i="168"/>
  <c r="O23" i="168"/>
  <c r="N24" i="168"/>
  <c r="O24" i="168"/>
  <c r="N25" i="168"/>
  <c r="O25" i="168"/>
  <c r="N26" i="168"/>
  <c r="O26" i="168"/>
  <c r="N27" i="168"/>
  <c r="O27" i="168"/>
  <c r="N28" i="168"/>
  <c r="O28" i="168"/>
  <c r="N29" i="168"/>
  <c r="O29" i="168"/>
  <c r="N30" i="168"/>
  <c r="O30" i="168"/>
  <c r="N31" i="168"/>
  <c r="O31" i="168"/>
  <c r="N32" i="168"/>
  <c r="O32" i="168"/>
  <c r="N33" i="168"/>
  <c r="O33" i="168"/>
  <c r="N34" i="168"/>
  <c r="O34" i="168"/>
  <c r="N35" i="168"/>
  <c r="O35" i="168"/>
  <c r="N36" i="168"/>
  <c r="O36" i="168"/>
  <c r="N37" i="168"/>
  <c r="O37" i="168"/>
  <c r="N38" i="168"/>
  <c r="O38" i="168"/>
  <c r="N39" i="168"/>
  <c r="O39" i="168"/>
  <c r="N40" i="168"/>
  <c r="O40" i="168"/>
  <c r="N41" i="168"/>
  <c r="O41" i="168"/>
  <c r="N42" i="168"/>
  <c r="O42" i="168"/>
  <c r="N43" i="168"/>
  <c r="O43" i="168"/>
  <c r="N44" i="168"/>
  <c r="O44" i="168"/>
  <c r="N45" i="168"/>
  <c r="O45" i="168"/>
  <c r="N46" i="168"/>
  <c r="O46" i="168"/>
  <c r="N47" i="168"/>
  <c r="O47" i="168"/>
  <c r="N48" i="168"/>
  <c r="O48" i="168"/>
  <c r="N49" i="168"/>
  <c r="O49" i="168"/>
  <c r="N50" i="168"/>
  <c r="O50" i="168"/>
  <c r="N51" i="168"/>
  <c r="O51" i="168"/>
  <c r="N52" i="168"/>
  <c r="O52" i="168"/>
  <c r="N53" i="168"/>
  <c r="O53" i="168"/>
  <c r="N54" i="168"/>
  <c r="O54" i="168"/>
  <c r="N55" i="168"/>
  <c r="O55" i="168"/>
  <c r="O55" i="112" l="1"/>
  <c r="O4" i="112"/>
  <c r="E4" i="115" s="1"/>
  <c r="O13" i="112"/>
  <c r="E12" i="115" s="1"/>
  <c r="O18" i="112"/>
  <c r="E16" i="115" s="1"/>
  <c r="O21" i="112"/>
  <c r="E20" i="115" s="1"/>
  <c r="O23" i="112"/>
  <c r="E24" i="115" s="1"/>
  <c r="O28" i="112"/>
  <c r="E28" i="115" s="1"/>
  <c r="O34" i="112"/>
  <c r="E32" i="115" s="1"/>
  <c r="O31" i="112"/>
  <c r="E36" i="115" s="1"/>
  <c r="O41" i="112"/>
  <c r="E40" i="115" s="1"/>
  <c r="O45" i="112"/>
  <c r="E44" i="115" s="1"/>
  <c r="O50" i="112"/>
  <c r="E48" i="115" s="1"/>
  <c r="O52" i="112"/>
  <c r="E52" i="115" s="1"/>
  <c r="O8" i="112"/>
  <c r="E7" i="115" s="1"/>
  <c r="O11" i="112"/>
  <c r="E11" i="115" s="1"/>
  <c r="O17" i="112"/>
  <c r="E15" i="115" s="1"/>
  <c r="O20" i="112"/>
  <c r="E19" i="115" s="1"/>
  <c r="O24" i="112"/>
  <c r="E23" i="115" s="1"/>
  <c r="O29" i="112"/>
  <c r="E27" i="115" s="1"/>
  <c r="O37" i="112"/>
  <c r="E31" i="115" s="1"/>
  <c r="O38" i="112"/>
  <c r="E35" i="115" s="1"/>
  <c r="O40" i="112"/>
  <c r="E39" i="115" s="1"/>
  <c r="O44" i="112"/>
  <c r="E43" i="115" s="1"/>
  <c r="O48" i="112"/>
  <c r="E47" i="115" s="1"/>
  <c r="O53" i="112"/>
  <c r="E51" i="115" s="1"/>
  <c r="O9" i="112"/>
  <c r="E8" i="115" s="1"/>
  <c r="O6" i="112"/>
  <c r="E6" i="115" s="1"/>
  <c r="O12" i="112"/>
  <c r="E10" i="115" s="1"/>
  <c r="O15" i="112"/>
  <c r="E14" i="115" s="1"/>
  <c r="O16" i="112"/>
  <c r="E18" i="115" s="1"/>
  <c r="O25" i="112"/>
  <c r="E22" i="115" s="1"/>
  <c r="O27" i="112"/>
  <c r="E26" i="115" s="1"/>
  <c r="O33" i="112"/>
  <c r="E30" i="115" s="1"/>
  <c r="O36" i="112"/>
  <c r="E34" i="115" s="1"/>
  <c r="O39" i="112"/>
  <c r="E38" i="115" s="1"/>
  <c r="O43" i="112"/>
  <c r="E42" i="115" s="1"/>
  <c r="O47" i="112"/>
  <c r="E46" i="115" s="1"/>
  <c r="O51" i="112"/>
  <c r="E50" i="115" s="1"/>
  <c r="O7" i="112"/>
  <c r="E5" i="115" s="1"/>
  <c r="O10" i="112"/>
  <c r="E9" i="115" s="1"/>
  <c r="O14" i="112"/>
  <c r="E13" i="115" s="1"/>
  <c r="O19" i="112"/>
  <c r="E17" i="115" s="1"/>
  <c r="O22" i="112"/>
  <c r="E21" i="115" s="1"/>
  <c r="O26" i="112"/>
  <c r="E25" i="115" s="1"/>
  <c r="O30" i="112"/>
  <c r="E29" i="115" s="1"/>
  <c r="O35" i="112"/>
  <c r="E33" i="115" s="1"/>
  <c r="O32" i="112"/>
  <c r="E37" i="115" s="1"/>
  <c r="O42" i="112"/>
  <c r="E41" i="115" s="1"/>
  <c r="O46" i="112"/>
  <c r="E45" i="115" s="1"/>
  <c r="O49" i="112"/>
  <c r="E49" i="115" s="1"/>
  <c r="O54" i="112"/>
  <c r="E53" i="115" s="1"/>
  <c r="K5" i="232"/>
  <c r="J5" i="232"/>
  <c r="O5" i="112"/>
  <c r="D2" i="112"/>
  <c r="D60" i="232" l="1"/>
  <c r="D61" i="232" s="1"/>
  <c r="E60" i="232"/>
  <c r="E61" i="232" s="1"/>
  <c r="M2" i="112"/>
  <c r="L2" i="112"/>
  <c r="K2" i="112"/>
  <c r="J2" i="112"/>
  <c r="H2" i="112"/>
  <c r="G2" i="112"/>
  <c r="F2" i="112"/>
  <c r="E2" i="112"/>
  <c r="B2" i="112"/>
  <c r="C2" i="112" s="1"/>
  <c r="C201" i="247" l="1"/>
  <c r="B201" i="247"/>
  <c r="C148" i="247"/>
  <c r="B148" i="247"/>
  <c r="Y200" i="247"/>
  <c r="T54" i="112" s="1"/>
  <c r="Y199" i="247"/>
  <c r="T53" i="112" s="1"/>
  <c r="Y197" i="247"/>
  <c r="T51" i="112" s="1"/>
  <c r="Y195" i="247"/>
  <c r="T49" i="112" s="1"/>
  <c r="Y193" i="247"/>
  <c r="T47" i="112" s="1"/>
  <c r="Y191" i="247"/>
  <c r="T45" i="112" s="1"/>
  <c r="Y189" i="247"/>
  <c r="T43" i="112" s="1"/>
  <c r="Y187" i="247"/>
  <c r="T41" i="112" s="1"/>
  <c r="Y185" i="247"/>
  <c r="T39" i="112" s="1"/>
  <c r="Y183" i="247"/>
  <c r="T37" i="112" s="1"/>
  <c r="Y181" i="247"/>
  <c r="T35" i="112" s="1"/>
  <c r="Y179" i="247"/>
  <c r="T33" i="112" s="1"/>
  <c r="Y177" i="247"/>
  <c r="T31" i="112" s="1"/>
  <c r="Y175" i="247"/>
  <c r="T29" i="112" s="1"/>
  <c r="Y173" i="247"/>
  <c r="T27" i="112" s="1"/>
  <c r="Y171" i="247"/>
  <c r="T25" i="112" s="1"/>
  <c r="Y169" i="247"/>
  <c r="T23" i="112" s="1"/>
  <c r="Y168" i="247"/>
  <c r="T22" i="112" s="1"/>
  <c r="Y167" i="247"/>
  <c r="T21" i="112" s="1"/>
  <c r="Y165" i="247"/>
  <c r="T19" i="112" s="1"/>
  <c r="Y163" i="247"/>
  <c r="T17" i="112" s="1"/>
  <c r="Y161" i="247"/>
  <c r="T15" i="112" s="1"/>
  <c r="Y159" i="247"/>
  <c r="T13" i="112" s="1"/>
  <c r="Y157" i="247"/>
  <c r="T11" i="112" s="1"/>
  <c r="Y155" i="247"/>
  <c r="T9" i="112" s="1"/>
  <c r="Y153" i="247"/>
  <c r="T7" i="112" s="1"/>
  <c r="Y151" i="247"/>
  <c r="T5" i="112" s="1"/>
  <c r="Y147" i="247"/>
  <c r="S53" i="112" s="1"/>
  <c r="C51" i="116" s="1"/>
  <c r="Y146" i="247"/>
  <c r="S52" i="112" s="1"/>
  <c r="C52" i="116" s="1"/>
  <c r="Y143" i="247"/>
  <c r="S48" i="112" s="1"/>
  <c r="C47" i="116" s="1"/>
  <c r="Y141" i="247"/>
  <c r="S45" i="112" s="1"/>
  <c r="C44" i="116" s="1"/>
  <c r="Y139" i="247"/>
  <c r="S43" i="112" s="1"/>
  <c r="C42" i="116" s="1"/>
  <c r="Y137" i="247"/>
  <c r="S41" i="112" s="1"/>
  <c r="C40" i="116" s="1"/>
  <c r="Y135" i="247"/>
  <c r="S39" i="112" s="1"/>
  <c r="C38" i="116" s="1"/>
  <c r="Y133" i="247"/>
  <c r="S36" i="112" s="1"/>
  <c r="C34" i="116" s="1"/>
  <c r="Y131" i="247"/>
  <c r="S34" i="112" s="1"/>
  <c r="C32" i="116" s="1"/>
  <c r="Y129" i="247"/>
  <c r="S32" i="112" s="1"/>
  <c r="C37" i="116" s="1"/>
  <c r="Y127" i="247"/>
  <c r="S30" i="112" s="1"/>
  <c r="C29" i="116" s="1"/>
  <c r="Y125" i="247"/>
  <c r="S28" i="112" s="1"/>
  <c r="C28" i="116" s="1"/>
  <c r="Y123" i="247"/>
  <c r="S26" i="112" s="1"/>
  <c r="C25" i="116" s="1"/>
  <c r="Y121" i="247"/>
  <c r="S24" i="112" s="1"/>
  <c r="C23" i="116" s="1"/>
  <c r="Y119" i="247"/>
  <c r="S22" i="112" s="1"/>
  <c r="C21" i="116" s="1"/>
  <c r="Y117" i="247"/>
  <c r="S20" i="112" s="1"/>
  <c r="C19" i="116" s="1"/>
  <c r="Y115" i="247"/>
  <c r="S18" i="112" s="1"/>
  <c r="C16" i="116" s="1"/>
  <c r="Y113" i="247"/>
  <c r="S16" i="112" s="1"/>
  <c r="C18" i="116" s="1"/>
  <c r="Y111" i="247"/>
  <c r="S14" i="112" s="1"/>
  <c r="C13" i="116" s="1"/>
  <c r="Y109" i="247"/>
  <c r="S12" i="112" s="1"/>
  <c r="C10" i="116" s="1"/>
  <c r="Y107" i="247"/>
  <c r="S10" i="112" s="1"/>
  <c r="C9" i="116" s="1"/>
  <c r="Y105" i="247"/>
  <c r="S8" i="112" s="1"/>
  <c r="C7" i="116" s="1"/>
  <c r="Y103" i="247"/>
  <c r="S6" i="112" s="1"/>
  <c r="C6" i="116" s="1"/>
  <c r="Y101" i="247"/>
  <c r="S4" i="112" s="1"/>
  <c r="C4" i="116" s="1"/>
  <c r="Y99" i="247"/>
  <c r="R55" i="112" s="1"/>
  <c r="Y98" i="247"/>
  <c r="R53" i="112" s="1"/>
  <c r="Y97" i="247"/>
  <c r="R52" i="112" s="1"/>
  <c r="Y95" i="247"/>
  <c r="R49" i="112" s="1"/>
  <c r="Y94" i="247"/>
  <c r="R48" i="112" s="1"/>
  <c r="Y91" i="247"/>
  <c r="R43" i="112" s="1"/>
  <c r="Y89" i="247"/>
  <c r="R41" i="112" s="1"/>
  <c r="Y87" i="247"/>
  <c r="R39" i="112" s="1"/>
  <c r="Y85" i="247"/>
  <c r="R36" i="112" s="1"/>
  <c r="Y83" i="247"/>
  <c r="R34" i="112" s="1"/>
  <c r="Y81" i="247"/>
  <c r="R32" i="112" s="1"/>
  <c r="Y79" i="247"/>
  <c r="R30" i="112" s="1"/>
  <c r="Y77" i="247"/>
  <c r="R28" i="112" s="1"/>
  <c r="Y75" i="247"/>
  <c r="R26" i="112" s="1"/>
  <c r="Y74" i="247"/>
  <c r="R25" i="112" s="1"/>
  <c r="Y73" i="247"/>
  <c r="R24" i="112" s="1"/>
  <c r="Y72" i="247"/>
  <c r="R23" i="112" s="1"/>
  <c r="Y71" i="247"/>
  <c r="R22" i="112" s="1"/>
  <c r="Y69" i="247"/>
  <c r="R20" i="112" s="1"/>
  <c r="Y67" i="247"/>
  <c r="R18" i="112" s="1"/>
  <c r="Y65" i="247"/>
  <c r="R16" i="112" s="1"/>
  <c r="Y63" i="247"/>
  <c r="R14" i="112" s="1"/>
  <c r="Y61" i="247"/>
  <c r="R11" i="112" s="1"/>
  <c r="Y59" i="247"/>
  <c r="R9" i="112" s="1"/>
  <c r="Y57" i="247"/>
  <c r="R7" i="112" s="1"/>
  <c r="Y55" i="247"/>
  <c r="R5" i="112" s="1"/>
  <c r="Y53" i="247"/>
  <c r="Q55" i="112" s="1"/>
  <c r="Y52" i="247"/>
  <c r="Q54" i="112" s="1"/>
  <c r="Y51" i="247"/>
  <c r="Q53" i="112" s="1"/>
  <c r="Y47" i="247"/>
  <c r="Q49" i="112" s="1"/>
  <c r="Y45" i="247"/>
  <c r="Q47" i="112" s="1"/>
  <c r="Y43" i="247"/>
  <c r="Q45" i="112" s="1"/>
  <c r="Y41" i="247"/>
  <c r="Q43" i="112" s="1"/>
  <c r="Y39" i="247"/>
  <c r="Q40" i="112" s="1"/>
  <c r="Y37" i="247"/>
  <c r="Q38" i="112" s="1"/>
  <c r="Y35" i="247"/>
  <c r="Q36" i="112" s="1"/>
  <c r="Y33" i="247"/>
  <c r="Q33" i="112" s="1"/>
  <c r="Y31" i="247"/>
  <c r="Q31" i="112" s="1"/>
  <c r="Y29" i="247"/>
  <c r="Q28" i="112" s="1"/>
  <c r="Y27" i="247"/>
  <c r="Q26" i="112" s="1"/>
  <c r="Y25" i="247"/>
  <c r="Q24" i="112" s="1"/>
  <c r="Y23" i="247"/>
  <c r="Q22" i="112" s="1"/>
  <c r="Y21" i="247"/>
  <c r="Q20" i="112" s="1"/>
  <c r="Y19" i="247"/>
  <c r="Q18" i="112" s="1"/>
  <c r="Y17" i="247"/>
  <c r="Q16" i="112" s="1"/>
  <c r="Q14" i="112"/>
  <c r="Y13" i="247"/>
  <c r="Q11" i="112" s="1"/>
  <c r="Y11" i="247"/>
  <c r="Q9" i="112" s="1"/>
  <c r="Y9" i="247"/>
  <c r="Q7" i="112" s="1"/>
  <c r="Y7" i="247"/>
  <c r="Q5" i="112" s="1"/>
  <c r="T4" i="112" l="1"/>
  <c r="Y152" i="247"/>
  <c r="T6" i="112" s="1"/>
  <c r="Y154" i="247"/>
  <c r="T8" i="112" s="1"/>
  <c r="Y156" i="247"/>
  <c r="T10" i="112" s="1"/>
  <c r="Y158" i="247"/>
  <c r="T12" i="112" s="1"/>
  <c r="Y160" i="247"/>
  <c r="T14" i="112" s="1"/>
  <c r="Y162" i="247"/>
  <c r="T16" i="112" s="1"/>
  <c r="Y164" i="247"/>
  <c r="T18" i="112" s="1"/>
  <c r="Y166" i="247"/>
  <c r="T20" i="112" s="1"/>
  <c r="Y170" i="247"/>
  <c r="T24" i="112" s="1"/>
  <c r="Y172" i="247"/>
  <c r="T26" i="112" s="1"/>
  <c r="Y174" i="247"/>
  <c r="T28" i="112" s="1"/>
  <c r="Y176" i="247"/>
  <c r="T30" i="112" s="1"/>
  <c r="Y178" i="247"/>
  <c r="T32" i="112" s="1"/>
  <c r="Y180" i="247"/>
  <c r="T34" i="112" s="1"/>
  <c r="Y182" i="247"/>
  <c r="T36" i="112" s="1"/>
  <c r="Y184" i="247"/>
  <c r="T38" i="112" s="1"/>
  <c r="Y186" i="247"/>
  <c r="T40" i="112" s="1"/>
  <c r="Y188" i="247"/>
  <c r="T42" i="112" s="1"/>
  <c r="Y190" i="247"/>
  <c r="T44" i="112" s="1"/>
  <c r="Y192" i="247"/>
  <c r="T46" i="112" s="1"/>
  <c r="Y194" i="247"/>
  <c r="T48" i="112" s="1"/>
  <c r="Y196" i="247"/>
  <c r="T50" i="112" s="1"/>
  <c r="Y198" i="247"/>
  <c r="T52" i="112" s="1"/>
  <c r="Y201" i="247"/>
  <c r="T55" i="112" s="1"/>
  <c r="Y102" i="247"/>
  <c r="S5" i="112" s="1"/>
  <c r="C3" i="116" s="1"/>
  <c r="Y104" i="247"/>
  <c r="S7" i="112" s="1"/>
  <c r="C5" i="116" s="1"/>
  <c r="Y106" i="247"/>
  <c r="S9" i="112" s="1"/>
  <c r="C8" i="116" s="1"/>
  <c r="Y108" i="247"/>
  <c r="S11" i="112" s="1"/>
  <c r="C11" i="116" s="1"/>
  <c r="Y110" i="247"/>
  <c r="S13" i="112" s="1"/>
  <c r="C12" i="116" s="1"/>
  <c r="Y112" i="247"/>
  <c r="S15" i="112" s="1"/>
  <c r="C14" i="116" s="1"/>
  <c r="Y114" i="247"/>
  <c r="S17" i="112" s="1"/>
  <c r="C15" i="116" s="1"/>
  <c r="Y116" i="247"/>
  <c r="S19" i="112" s="1"/>
  <c r="C17" i="116" s="1"/>
  <c r="Y118" i="247"/>
  <c r="S21" i="112" s="1"/>
  <c r="C20" i="116" s="1"/>
  <c r="Y120" i="247"/>
  <c r="S23" i="112" s="1"/>
  <c r="C24" i="116" s="1"/>
  <c r="Y122" i="247"/>
  <c r="S25" i="112" s="1"/>
  <c r="C22" i="116" s="1"/>
  <c r="Y124" i="247"/>
  <c r="S27" i="112" s="1"/>
  <c r="C26" i="116" s="1"/>
  <c r="Y126" i="247"/>
  <c r="S29" i="112" s="1"/>
  <c r="C27" i="116" s="1"/>
  <c r="Y128" i="247"/>
  <c r="S31" i="112" s="1"/>
  <c r="C36" i="116" s="1"/>
  <c r="Y130" i="247"/>
  <c r="S33" i="112" s="1"/>
  <c r="C30" i="116" s="1"/>
  <c r="Y132" i="247"/>
  <c r="S35" i="112" s="1"/>
  <c r="C33" i="116" s="1"/>
  <c r="Y134" i="247"/>
  <c r="S38" i="112" s="1"/>
  <c r="C35" i="116" s="1"/>
  <c r="Y136" i="247"/>
  <c r="S40" i="112" s="1"/>
  <c r="C39" i="116" s="1"/>
  <c r="Y138" i="247"/>
  <c r="S42" i="112" s="1"/>
  <c r="C41" i="116" s="1"/>
  <c r="Y140" i="247"/>
  <c r="S44" i="112" s="1"/>
  <c r="C43" i="116" s="1"/>
  <c r="Y142" i="247"/>
  <c r="S46" i="112" s="1"/>
  <c r="C45" i="116" s="1"/>
  <c r="Y144" i="247"/>
  <c r="S49" i="112" s="1"/>
  <c r="C49" i="116" s="1"/>
  <c r="Y145" i="247"/>
  <c r="S50" i="112" s="1"/>
  <c r="C48" i="116" s="1"/>
  <c r="Y56" i="247"/>
  <c r="R6" i="112" s="1"/>
  <c r="Y58" i="247"/>
  <c r="R8" i="112" s="1"/>
  <c r="Y60" i="247"/>
  <c r="R10" i="112" s="1"/>
  <c r="Y62" i="247"/>
  <c r="R12" i="112" s="1"/>
  <c r="Y64" i="247"/>
  <c r="R15" i="112" s="1"/>
  <c r="Y66" i="247"/>
  <c r="R17" i="112" s="1"/>
  <c r="Y68" i="247"/>
  <c r="R19" i="112" s="1"/>
  <c r="Y70" i="247"/>
  <c r="R21" i="112" s="1"/>
  <c r="Y76" i="247"/>
  <c r="R27" i="112" s="1"/>
  <c r="Y78" i="247"/>
  <c r="R29" i="112" s="1"/>
  <c r="Y80" i="247"/>
  <c r="R31" i="112" s="1"/>
  <c r="Y82" i="247"/>
  <c r="R33" i="112" s="1"/>
  <c r="Y84" i="247"/>
  <c r="R35" i="112" s="1"/>
  <c r="Y86" i="247"/>
  <c r="R38" i="112" s="1"/>
  <c r="Y88" i="247"/>
  <c r="R40" i="112" s="1"/>
  <c r="Y90" i="247"/>
  <c r="R42" i="112" s="1"/>
  <c r="Y92" i="247"/>
  <c r="R44" i="112" s="1"/>
  <c r="Y96" i="247"/>
  <c r="R50" i="112" s="1"/>
  <c r="Y93" i="247"/>
  <c r="R46" i="112" s="1"/>
  <c r="Y8" i="247"/>
  <c r="Q6" i="112" s="1"/>
  <c r="Y10" i="247"/>
  <c r="Q8" i="112" s="1"/>
  <c r="Y12" i="247"/>
  <c r="Q10" i="112" s="1"/>
  <c r="Y14" i="247"/>
  <c r="Q13" i="112" s="1"/>
  <c r="Y16" i="247"/>
  <c r="Q15" i="112" s="1"/>
  <c r="Y18" i="247"/>
  <c r="Q17" i="112" s="1"/>
  <c r="Y20" i="247"/>
  <c r="Q19" i="112" s="1"/>
  <c r="Y22" i="247"/>
  <c r="Q21" i="112" s="1"/>
  <c r="Y24" i="247"/>
  <c r="Q23" i="112" s="1"/>
  <c r="Y26" i="247"/>
  <c r="Q25" i="112" s="1"/>
  <c r="Y28" i="247"/>
  <c r="Q27" i="112" s="1"/>
  <c r="Y30" i="247"/>
  <c r="Q29" i="112" s="1"/>
  <c r="Y32" i="247"/>
  <c r="Q32" i="112" s="1"/>
  <c r="Y34" i="247"/>
  <c r="Q35" i="112" s="1"/>
  <c r="Y36" i="247"/>
  <c r="Q37" i="112" s="1"/>
  <c r="Y38" i="247"/>
  <c r="Q39" i="112" s="1"/>
  <c r="Y40" i="247"/>
  <c r="Q42" i="112" s="1"/>
  <c r="Y42" i="247"/>
  <c r="Q44" i="112" s="1"/>
  <c r="Y44" i="247"/>
  <c r="Q46" i="112" s="1"/>
  <c r="Y46" i="247"/>
  <c r="Q48" i="112" s="1"/>
  <c r="Y48" i="247"/>
  <c r="Q50" i="112" s="1"/>
  <c r="Y50" i="247"/>
  <c r="Q52" i="112" s="1"/>
  <c r="Y49" i="247"/>
  <c r="Q51" i="112" s="1"/>
  <c r="Y148" i="247"/>
  <c r="S55" i="112" s="1"/>
  <c r="D261" i="233" l="1"/>
  <c r="D260" i="233"/>
  <c r="D259" i="233"/>
  <c r="D258" i="233"/>
  <c r="D257" i="233"/>
  <c r="D256" i="233"/>
  <c r="D255" i="233"/>
  <c r="D254" i="233"/>
  <c r="D253" i="233"/>
  <c r="D252" i="233"/>
  <c r="D251" i="233"/>
  <c r="D250" i="233"/>
  <c r="D249" i="233"/>
  <c r="D248" i="233"/>
  <c r="D247" i="233"/>
  <c r="D246" i="233"/>
  <c r="D245" i="233"/>
  <c r="D244" i="233"/>
  <c r="D243" i="233"/>
  <c r="D242" i="233"/>
  <c r="D241" i="233"/>
  <c r="D240" i="233"/>
  <c r="D239" i="233"/>
  <c r="D238" i="233"/>
  <c r="D237" i="233"/>
  <c r="D236" i="233"/>
  <c r="D235" i="233"/>
  <c r="D234" i="233"/>
  <c r="D233" i="233"/>
  <c r="D232" i="233"/>
  <c r="D231" i="233"/>
  <c r="D230" i="233"/>
  <c r="D229" i="233"/>
  <c r="D228" i="233"/>
  <c r="D227" i="233"/>
  <c r="D226" i="233"/>
  <c r="D225" i="233"/>
  <c r="D224" i="233"/>
  <c r="D223" i="233"/>
  <c r="D222" i="233"/>
  <c r="D221" i="233"/>
  <c r="D220" i="233"/>
  <c r="D219" i="233"/>
  <c r="D218" i="233"/>
  <c r="D217" i="233"/>
  <c r="D216" i="233"/>
  <c r="D215" i="233"/>
  <c r="D214" i="233"/>
  <c r="D213" i="233"/>
  <c r="D212" i="233"/>
  <c r="D211" i="233"/>
  <c r="D210" i="233"/>
  <c r="D54" i="115" l="1"/>
  <c r="D105" i="233" s="1"/>
  <c r="E54" i="115"/>
  <c r="C31" i="172" l="1"/>
  <c r="C42" i="172"/>
  <c r="C51" i="172"/>
  <c r="C52" i="172"/>
  <c r="C29" i="172"/>
  <c r="C37" i="172"/>
  <c r="C18" i="172"/>
  <c r="C49" i="172"/>
  <c r="C4" i="172"/>
  <c r="C44" i="172"/>
  <c r="C12" i="172"/>
  <c r="C40" i="172"/>
  <c r="C46" i="172"/>
  <c r="C15" i="172"/>
  <c r="C41" i="172"/>
  <c r="C19" i="172"/>
  <c r="C39" i="172"/>
  <c r="C16" i="172"/>
  <c r="C6" i="172"/>
  <c r="C34" i="172"/>
  <c r="C24" i="172"/>
  <c r="C7" i="172"/>
  <c r="C5" i="172"/>
  <c r="C25" i="172"/>
  <c r="C54" i="172"/>
  <c r="C11" i="172"/>
  <c r="C35" i="172"/>
  <c r="C26" i="172"/>
  <c r="C10" i="172"/>
  <c r="C14" i="172"/>
  <c r="C13" i="172"/>
  <c r="C23" i="172"/>
  <c r="C47" i="172"/>
  <c r="C28" i="172"/>
  <c r="C21" i="172"/>
  <c r="C36" i="172"/>
  <c r="C20" i="172"/>
  <c r="C30" i="172"/>
  <c r="C45" i="172"/>
  <c r="C43" i="172"/>
  <c r="C22" i="172"/>
  <c r="C17" i="172"/>
  <c r="C3" i="172"/>
  <c r="C38" i="172"/>
  <c r="C48" i="172"/>
  <c r="C9" i="172"/>
  <c r="C27" i="172"/>
  <c r="C50" i="172"/>
  <c r="C8" i="172"/>
  <c r="E3" i="115" l="1"/>
  <c r="E57" i="115" s="1"/>
  <c r="D3" i="115"/>
  <c r="E4" i="168"/>
  <c r="E5" i="168"/>
  <c r="E6" i="168"/>
  <c r="E7" i="168"/>
  <c r="E8" i="168"/>
  <c r="E9" i="168"/>
  <c r="E10" i="168"/>
  <c r="E11" i="168"/>
  <c r="E12" i="168"/>
  <c r="E13" i="168"/>
  <c r="E14" i="168"/>
  <c r="E15" i="168"/>
  <c r="E16" i="168"/>
  <c r="E17" i="168"/>
  <c r="E18" i="168"/>
  <c r="E19" i="168"/>
  <c r="E20" i="168"/>
  <c r="E21" i="168"/>
  <c r="E22" i="168"/>
  <c r="E23" i="168"/>
  <c r="E24" i="168"/>
  <c r="E25" i="168"/>
  <c r="E26" i="168"/>
  <c r="E27" i="168"/>
  <c r="E28" i="168"/>
  <c r="E29" i="168"/>
  <c r="E30" i="168"/>
  <c r="E31" i="168"/>
  <c r="E32" i="168"/>
  <c r="E33" i="168"/>
  <c r="E34" i="168"/>
  <c r="E35" i="168"/>
  <c r="E36" i="168"/>
  <c r="E37" i="168"/>
  <c r="E38" i="168"/>
  <c r="E39" i="168"/>
  <c r="E40" i="168"/>
  <c r="E41" i="168"/>
  <c r="E42" i="168"/>
  <c r="E43" i="168"/>
  <c r="E44" i="168"/>
  <c r="E45" i="168"/>
  <c r="E46" i="168"/>
  <c r="E47" i="168"/>
  <c r="E48" i="168"/>
  <c r="E49" i="168"/>
  <c r="E50" i="168"/>
  <c r="E51" i="168"/>
  <c r="E52" i="168"/>
  <c r="E53" i="168"/>
  <c r="E3" i="168"/>
  <c r="C3" i="168" s="1"/>
  <c r="D106" i="233" l="1"/>
  <c r="D60" i="115"/>
  <c r="D57" i="115"/>
  <c r="D58" i="115"/>
  <c r="D53" i="168"/>
  <c r="C53" i="168"/>
  <c r="D51" i="168"/>
  <c r="C51" i="168"/>
  <c r="D49" i="168"/>
  <c r="C49" i="168"/>
  <c r="D47" i="168"/>
  <c r="C47" i="168"/>
  <c r="D45" i="168"/>
  <c r="C45" i="168"/>
  <c r="D43" i="168"/>
  <c r="C43" i="168"/>
  <c r="D41" i="168"/>
  <c r="C41" i="168"/>
  <c r="D300" i="233" s="1"/>
  <c r="D39" i="168"/>
  <c r="C39" i="168"/>
  <c r="D37" i="168"/>
  <c r="C37" i="168"/>
  <c r="D35" i="168"/>
  <c r="C35" i="168"/>
  <c r="D33" i="168"/>
  <c r="C33" i="168"/>
  <c r="D31" i="168"/>
  <c r="C31" i="168"/>
  <c r="D290" i="233" s="1"/>
  <c r="D29" i="168"/>
  <c r="C29" i="168"/>
  <c r="D27" i="168"/>
  <c r="C27" i="168"/>
  <c r="D25" i="168"/>
  <c r="C25" i="168"/>
  <c r="D23" i="168"/>
  <c r="C23" i="168"/>
  <c r="D21" i="168"/>
  <c r="C21" i="168"/>
  <c r="D19" i="168"/>
  <c r="C19" i="168"/>
  <c r="D17" i="168"/>
  <c r="C17" i="168"/>
  <c r="D15" i="168"/>
  <c r="C15" i="168"/>
  <c r="D13" i="168"/>
  <c r="C13" i="168"/>
  <c r="D11" i="168"/>
  <c r="C11" i="168"/>
  <c r="D9" i="168"/>
  <c r="C9" i="168"/>
  <c r="D268" i="233" s="1"/>
  <c r="D7" i="168"/>
  <c r="C7" i="168"/>
  <c r="D266" i="233" s="1"/>
  <c r="D5" i="168"/>
  <c r="C5" i="168"/>
  <c r="D52" i="168"/>
  <c r="C52" i="168"/>
  <c r="D50" i="168"/>
  <c r="C50" i="168"/>
  <c r="D309" i="233" s="1"/>
  <c r="D48" i="168"/>
  <c r="C48" i="168"/>
  <c r="D46" i="168"/>
  <c r="C46" i="168"/>
  <c r="D44" i="168"/>
  <c r="C44" i="168"/>
  <c r="D303" i="233" s="1"/>
  <c r="D42" i="168"/>
  <c r="C42" i="168"/>
  <c r="D301" i="233" s="1"/>
  <c r="D40" i="168"/>
  <c r="C40" i="168"/>
  <c r="D299" i="233" s="1"/>
  <c r="D38" i="168"/>
  <c r="C38" i="168"/>
  <c r="D297" i="233" s="1"/>
  <c r="D36" i="168"/>
  <c r="C36" i="168"/>
  <c r="D34" i="168"/>
  <c r="C34" i="168"/>
  <c r="D293" i="233" s="1"/>
  <c r="D32" i="168"/>
  <c r="C32" i="168"/>
  <c r="D291" i="233" s="1"/>
  <c r="D30" i="168"/>
  <c r="C30" i="168"/>
  <c r="D28" i="168"/>
  <c r="C28" i="168"/>
  <c r="D287" i="233" s="1"/>
  <c r="D26" i="168"/>
  <c r="C26" i="168"/>
  <c r="D285" i="233" s="1"/>
  <c r="D24" i="168"/>
  <c r="C24" i="168"/>
  <c r="D283" i="233" s="1"/>
  <c r="D22" i="168"/>
  <c r="C22" i="168"/>
  <c r="D281" i="233" s="1"/>
  <c r="D20" i="168"/>
  <c r="C20" i="168"/>
  <c r="D279" i="233" s="1"/>
  <c r="D18" i="168"/>
  <c r="C18" i="168"/>
  <c r="D277" i="233" s="1"/>
  <c r="D16" i="168"/>
  <c r="C16" i="168"/>
  <c r="D14" i="168"/>
  <c r="C14" i="168"/>
  <c r="D273" i="233" s="1"/>
  <c r="D12" i="168"/>
  <c r="C12" i="168"/>
  <c r="D271" i="233" s="1"/>
  <c r="D10" i="168"/>
  <c r="C10" i="168"/>
  <c r="D269" i="233" s="1"/>
  <c r="D8" i="168"/>
  <c r="C8" i="168"/>
  <c r="D267" i="233" s="1"/>
  <c r="D6" i="168"/>
  <c r="C6" i="168"/>
  <c r="D265" i="233" s="1"/>
  <c r="D4" i="168"/>
  <c r="C4" i="168"/>
  <c r="D263" i="233" s="1"/>
  <c r="D3" i="168"/>
  <c r="D57" i="168" s="1"/>
  <c r="M1" i="59"/>
  <c r="M1" i="58"/>
  <c r="M1" i="57"/>
  <c r="M1" i="3"/>
  <c r="M1" i="2"/>
  <c r="M1" i="1"/>
  <c r="M1" i="6"/>
  <c r="M1" i="5"/>
  <c r="M1" i="4"/>
  <c r="M1" i="12"/>
  <c r="M1" i="11"/>
  <c r="M1" i="10"/>
  <c r="M1" i="9"/>
  <c r="M1" i="8"/>
  <c r="M1" i="7"/>
  <c r="M1" i="24"/>
  <c r="M1" i="23"/>
  <c r="M1" i="107"/>
  <c r="M1" i="22"/>
  <c r="M1" i="21"/>
  <c r="M1" i="20"/>
  <c r="M1" i="19"/>
  <c r="M1" i="18"/>
  <c r="M1" i="17"/>
  <c r="M1" i="16"/>
  <c r="M1" i="15"/>
  <c r="M1" i="14"/>
  <c r="M1" i="13"/>
  <c r="M1" i="48"/>
  <c r="M1" i="47"/>
  <c r="M1" i="46"/>
  <c r="M1" i="45"/>
  <c r="M1" i="44"/>
  <c r="M1" i="43"/>
  <c r="M1" i="42"/>
  <c r="M1" i="41"/>
  <c r="M1" i="40"/>
  <c r="M1" i="39"/>
  <c r="M1" i="38"/>
  <c r="M1" i="37"/>
  <c r="M1" i="36"/>
  <c r="M1" i="35"/>
  <c r="M1" i="34"/>
  <c r="M1" i="33"/>
  <c r="M1" i="32"/>
  <c r="M1" i="31"/>
  <c r="M1" i="30"/>
  <c r="M1" i="29"/>
  <c r="M1" i="28"/>
  <c r="M1" i="26"/>
  <c r="K1" i="59"/>
  <c r="K1" i="58"/>
  <c r="K1" i="57"/>
  <c r="K1" i="3"/>
  <c r="K1" i="2"/>
  <c r="K1" i="1"/>
  <c r="K1" i="6"/>
  <c r="K1" i="5"/>
  <c r="K1" i="4"/>
  <c r="K1" i="12"/>
  <c r="K1" i="11"/>
  <c r="K1" i="10"/>
  <c r="K1" i="9"/>
  <c r="K1" i="8"/>
  <c r="K1" i="7"/>
  <c r="K1" i="24"/>
  <c r="K1" i="23"/>
  <c r="K1" i="107"/>
  <c r="K1" i="22"/>
  <c r="K1" i="21"/>
  <c r="K1" i="20"/>
  <c r="K1" i="19"/>
  <c r="K1" i="18"/>
  <c r="K1" i="17"/>
  <c r="K1" i="16"/>
  <c r="K1" i="15"/>
  <c r="K1" i="14"/>
  <c r="K1" i="13"/>
  <c r="K1" i="48"/>
  <c r="K1" i="47"/>
  <c r="K1" i="46"/>
  <c r="K1" i="45"/>
  <c r="K1" i="44"/>
  <c r="K1" i="43"/>
  <c r="K1" i="42"/>
  <c r="K1" i="41"/>
  <c r="K1" i="40"/>
  <c r="K1" i="39"/>
  <c r="K1" i="38"/>
  <c r="K1" i="37"/>
  <c r="K1" i="36"/>
  <c r="K1" i="35"/>
  <c r="K1" i="34"/>
  <c r="K1" i="33"/>
  <c r="K1" i="32"/>
  <c r="K1" i="31"/>
  <c r="K1" i="30"/>
  <c r="K1" i="29"/>
  <c r="K1" i="28"/>
  <c r="K1" i="26"/>
  <c r="K1" i="27"/>
  <c r="D262" i="233" l="1"/>
  <c r="D275" i="233"/>
  <c r="D289" i="233"/>
  <c r="D295" i="233"/>
  <c r="D305" i="233"/>
  <c r="D307" i="233"/>
  <c r="D311" i="233"/>
  <c r="D264" i="233"/>
  <c r="D270" i="233"/>
  <c r="D272" i="233"/>
  <c r="D274" i="233"/>
  <c r="D276" i="233"/>
  <c r="D278" i="233"/>
  <c r="D280" i="233"/>
  <c r="D282" i="233"/>
  <c r="D284" i="233"/>
  <c r="D286" i="233"/>
  <c r="D288" i="233"/>
  <c r="D292" i="233"/>
  <c r="D294" i="233"/>
  <c r="D296" i="233"/>
  <c r="D298" i="233"/>
  <c r="D302" i="233"/>
  <c r="D304" i="233"/>
  <c r="D306" i="233"/>
  <c r="D308" i="233"/>
  <c r="D310" i="233"/>
  <c r="D312" i="233"/>
  <c r="C57" i="168"/>
  <c r="F30" i="168"/>
  <c r="D157" i="233" l="1"/>
  <c r="D62" i="233"/>
  <c r="F10" i="168"/>
  <c r="G10" i="168" s="1"/>
  <c r="F18" i="168"/>
  <c r="G18" i="168" s="1"/>
  <c r="F26" i="168"/>
  <c r="G26" i="168" s="1"/>
  <c r="F34" i="168"/>
  <c r="G34" i="168" s="1"/>
  <c r="F42" i="168"/>
  <c r="G42" i="168" s="1"/>
  <c r="F46" i="168"/>
  <c r="G46" i="168" s="1"/>
  <c r="F50" i="168"/>
  <c r="G50" i="168" s="1"/>
  <c r="F7" i="168"/>
  <c r="G7" i="168" s="1"/>
  <c r="F19" i="168"/>
  <c r="G19" i="168" s="1"/>
  <c r="F23" i="168"/>
  <c r="G23" i="168" s="1"/>
  <c r="F31" i="168"/>
  <c r="G31" i="168" s="1"/>
  <c r="F39" i="168"/>
  <c r="G39" i="168" s="1"/>
  <c r="F47" i="168"/>
  <c r="G47" i="168" s="1"/>
  <c r="F6" i="168"/>
  <c r="G6" i="168" s="1"/>
  <c r="F14" i="168"/>
  <c r="G14" i="168" s="1"/>
  <c r="F22" i="168"/>
  <c r="G22" i="168" s="1"/>
  <c r="G30" i="168"/>
  <c r="F38" i="168"/>
  <c r="G38" i="168" s="1"/>
  <c r="F11" i="168"/>
  <c r="G11" i="168" s="1"/>
  <c r="F15" i="168"/>
  <c r="G15" i="168" s="1"/>
  <c r="F27" i="168"/>
  <c r="G27" i="168" s="1"/>
  <c r="F35" i="168"/>
  <c r="G35" i="168" s="1"/>
  <c r="F43" i="168"/>
  <c r="G43" i="168" s="1"/>
  <c r="F51" i="168"/>
  <c r="G51" i="168" s="1"/>
  <c r="F4" i="168"/>
  <c r="G4" i="168" s="1"/>
  <c r="F8" i="168"/>
  <c r="G8" i="168" s="1"/>
  <c r="F12" i="168"/>
  <c r="G12" i="168" s="1"/>
  <c r="F16" i="168"/>
  <c r="G16" i="168" s="1"/>
  <c r="F20" i="168"/>
  <c r="G20" i="168" s="1"/>
  <c r="F24" i="168"/>
  <c r="G24" i="168" s="1"/>
  <c r="F28" i="168"/>
  <c r="G28" i="168" s="1"/>
  <c r="F32" i="168"/>
  <c r="G32" i="168" s="1"/>
  <c r="F36" i="168"/>
  <c r="G36" i="168" s="1"/>
  <c r="F40" i="168"/>
  <c r="G40" i="168" s="1"/>
  <c r="F44" i="168"/>
  <c r="G44" i="168" s="1"/>
  <c r="F48" i="168"/>
  <c r="G48" i="168" s="1"/>
  <c r="F52" i="168"/>
  <c r="G52" i="168" s="1"/>
  <c r="F5" i="168"/>
  <c r="G5" i="168" s="1"/>
  <c r="F9" i="168"/>
  <c r="G9" i="168" s="1"/>
  <c r="F13" i="168"/>
  <c r="G13" i="168" s="1"/>
  <c r="F17" i="168"/>
  <c r="G17" i="168" s="1"/>
  <c r="F21" i="168"/>
  <c r="G21" i="168" s="1"/>
  <c r="F25" i="168"/>
  <c r="G25" i="168" s="1"/>
  <c r="F29" i="168"/>
  <c r="G29" i="168" s="1"/>
  <c r="F33" i="168"/>
  <c r="G33" i="168" s="1"/>
  <c r="F37" i="168"/>
  <c r="G37" i="168" s="1"/>
  <c r="F41" i="168"/>
  <c r="G41" i="168" s="1"/>
  <c r="F45" i="168"/>
  <c r="G45" i="168" s="1"/>
  <c r="F49" i="168"/>
  <c r="G49" i="168" s="1"/>
  <c r="F53" i="168"/>
  <c r="G53" i="168" s="1"/>
  <c r="I1" i="34"/>
  <c r="G1" i="34"/>
  <c r="D152" i="233" l="1"/>
  <c r="K49" i="115"/>
  <c r="L49" i="115" s="1"/>
  <c r="I14" i="115"/>
  <c r="J14" i="115" s="1"/>
  <c r="D65" i="233"/>
  <c r="D120" i="233"/>
  <c r="K17" i="115"/>
  <c r="L17" i="115" s="1"/>
  <c r="D123" i="233"/>
  <c r="K20" i="115"/>
  <c r="L20" i="115" s="1"/>
  <c r="I18" i="115"/>
  <c r="J18" i="115" s="1"/>
  <c r="D69" i="233"/>
  <c r="I13" i="115"/>
  <c r="J13" i="115" s="1"/>
  <c r="D64" i="233"/>
  <c r="D133" i="233"/>
  <c r="K30" i="115"/>
  <c r="L30" i="115" s="1"/>
  <c r="D115" i="233"/>
  <c r="K12" i="115"/>
  <c r="L12" i="115" s="1"/>
  <c r="I51" i="115"/>
  <c r="J51" i="115" s="1"/>
  <c r="D102" i="233"/>
  <c r="I33" i="115"/>
  <c r="J33" i="115" s="1"/>
  <c r="D84" i="233"/>
  <c r="D124" i="233"/>
  <c r="K21" i="115"/>
  <c r="L21" i="115" s="1"/>
  <c r="D110" i="233"/>
  <c r="K7" i="115"/>
  <c r="L7" i="115" s="1"/>
  <c r="I29" i="115"/>
  <c r="J29" i="115" s="1"/>
  <c r="D80" i="233"/>
  <c r="D122" i="233"/>
  <c r="K19" i="115"/>
  <c r="L19" i="115" s="1"/>
  <c r="D149" i="233"/>
  <c r="K46" i="115"/>
  <c r="L46" i="115" s="1"/>
  <c r="I53" i="115"/>
  <c r="J53" i="115" s="1"/>
  <c r="D104" i="233"/>
  <c r="I6" i="115"/>
  <c r="J6" i="115" s="1"/>
  <c r="D57" i="233"/>
  <c r="I27" i="115"/>
  <c r="J27" i="115" s="1"/>
  <c r="D78" i="233"/>
  <c r="D125" i="233"/>
  <c r="K22" i="115"/>
  <c r="L22" i="115" s="1"/>
  <c r="I41" i="115"/>
  <c r="J41" i="115" s="1"/>
  <c r="D92" i="233"/>
  <c r="D128" i="233"/>
  <c r="K25" i="115"/>
  <c r="L25" i="115" s="1"/>
  <c r="I39" i="115"/>
  <c r="J39" i="115" s="1"/>
  <c r="D90" i="233"/>
  <c r="I26" i="115"/>
  <c r="J26" i="115" s="1"/>
  <c r="D77" i="233"/>
  <c r="I52" i="115"/>
  <c r="J52" i="115" s="1"/>
  <c r="D103" i="233"/>
  <c r="D144" i="233"/>
  <c r="K41" i="115"/>
  <c r="L41" i="115" s="1"/>
  <c r="I24" i="115"/>
  <c r="J24" i="115" s="1"/>
  <c r="D75" i="233"/>
  <c r="I47" i="115"/>
  <c r="J47" i="115" s="1"/>
  <c r="D98" i="233"/>
  <c r="D138" i="233"/>
  <c r="K35" i="115"/>
  <c r="L35" i="115" s="1"/>
  <c r="I34" i="115"/>
  <c r="J34" i="115" s="1"/>
  <c r="D85" i="233"/>
  <c r="D143" i="233"/>
  <c r="K40" i="115"/>
  <c r="L40" i="115" s="1"/>
  <c r="D154" i="233"/>
  <c r="K51" i="115"/>
  <c r="L51" i="115" s="1"/>
  <c r="I42" i="115"/>
  <c r="J42" i="115" s="1"/>
  <c r="D93" i="233"/>
  <c r="D156" i="233"/>
  <c r="K53" i="115"/>
  <c r="L53" i="115" s="1"/>
  <c r="D142" i="233"/>
  <c r="K39" i="115"/>
  <c r="L39" i="115" s="1"/>
  <c r="I31" i="115"/>
  <c r="J31" i="115" s="1"/>
  <c r="D82" i="233"/>
  <c r="I9" i="115"/>
  <c r="J9" i="115" s="1"/>
  <c r="D60" i="233"/>
  <c r="I50" i="115"/>
  <c r="J50" i="115" s="1"/>
  <c r="D101" i="233"/>
  <c r="D113" i="233"/>
  <c r="K10" i="115"/>
  <c r="L10" i="115" s="1"/>
  <c r="D116" i="233"/>
  <c r="K13" i="115"/>
  <c r="L13" i="115" s="1"/>
  <c r="D112" i="233"/>
  <c r="K9" i="115"/>
  <c r="L9" i="115" s="1"/>
  <c r="I46" i="115"/>
  <c r="J46" i="115" s="1"/>
  <c r="D97" i="233"/>
  <c r="I8" i="115"/>
  <c r="J8" i="115" s="1"/>
  <c r="D59" i="233"/>
  <c r="D140" i="233"/>
  <c r="K37" i="115"/>
  <c r="L37" i="115" s="1"/>
  <c r="D135" i="233"/>
  <c r="K32" i="115"/>
  <c r="L32" i="115" s="1"/>
  <c r="I5" i="115"/>
  <c r="J5" i="115" s="1"/>
  <c r="D56" i="233"/>
  <c r="E59" i="115"/>
  <c r="K3" i="115"/>
  <c r="D111" i="233"/>
  <c r="K8" i="115"/>
  <c r="L8" i="115" s="1"/>
  <c r="I4" i="115"/>
  <c r="J4" i="115" s="1"/>
  <c r="D55" i="233"/>
  <c r="I16" i="115"/>
  <c r="J16" i="115" s="1"/>
  <c r="D67" i="233"/>
  <c r="I48" i="115"/>
  <c r="J48" i="115" s="1"/>
  <c r="D99" i="233"/>
  <c r="D146" i="233"/>
  <c r="K43" i="115"/>
  <c r="L43" i="115" s="1"/>
  <c r="D148" i="233"/>
  <c r="K45" i="115"/>
  <c r="L45" i="115" s="1"/>
  <c r="I12" i="115"/>
  <c r="J12" i="115" s="1"/>
  <c r="D63" i="233"/>
  <c r="D121" i="233"/>
  <c r="K18" i="115"/>
  <c r="L18" i="115" s="1"/>
  <c r="D119" i="233"/>
  <c r="K16" i="115"/>
  <c r="L16" i="115" s="1"/>
  <c r="D107" i="233"/>
  <c r="K4" i="115"/>
  <c r="L4" i="115" s="1"/>
  <c r="D131" i="233"/>
  <c r="K28" i="115"/>
  <c r="L28" i="115" s="1"/>
  <c r="D132" i="233"/>
  <c r="K29" i="115"/>
  <c r="L29" i="115" s="1"/>
  <c r="D155" i="233"/>
  <c r="K52" i="115"/>
  <c r="L52" i="115" s="1"/>
  <c r="I10" i="115"/>
  <c r="J10" i="115" s="1"/>
  <c r="D61" i="233"/>
  <c r="I30" i="115"/>
  <c r="J30" i="115" s="1"/>
  <c r="D81" i="233"/>
  <c r="D114" i="233"/>
  <c r="K11" i="115"/>
  <c r="L11" i="115" s="1"/>
  <c r="I37" i="115"/>
  <c r="J37" i="115" s="1"/>
  <c r="D88" i="233"/>
  <c r="D127" i="233"/>
  <c r="K24" i="115"/>
  <c r="L24" i="115" s="1"/>
  <c r="D109" i="233"/>
  <c r="K6" i="115"/>
  <c r="L6" i="115" s="1"/>
  <c r="D129" i="233"/>
  <c r="K26" i="115"/>
  <c r="L26" i="115" s="1"/>
  <c r="D137" i="233"/>
  <c r="K34" i="115"/>
  <c r="L34" i="115" s="1"/>
  <c r="I36" i="115"/>
  <c r="J36" i="115" s="1"/>
  <c r="D87" i="233"/>
  <c r="D150" i="233"/>
  <c r="K47" i="115"/>
  <c r="L47" i="115" s="1"/>
  <c r="I43" i="115"/>
  <c r="J43" i="115" s="1"/>
  <c r="D94" i="233"/>
  <c r="D130" i="233"/>
  <c r="K27" i="115"/>
  <c r="L27" i="115" s="1"/>
  <c r="D117" i="233"/>
  <c r="K14" i="115"/>
  <c r="L14" i="115" s="1"/>
  <c r="I35" i="115"/>
  <c r="J35" i="115" s="1"/>
  <c r="D86" i="233"/>
  <c r="I22" i="115"/>
  <c r="J22" i="115" s="1"/>
  <c r="D73" i="233"/>
  <c r="D147" i="233"/>
  <c r="K44" i="115"/>
  <c r="L44" i="115" s="1"/>
  <c r="D139" i="233"/>
  <c r="K36" i="115"/>
  <c r="L36" i="115" s="1"/>
  <c r="I20" i="115"/>
  <c r="J20" i="115" s="1"/>
  <c r="D71" i="233"/>
  <c r="I45" i="115"/>
  <c r="J45" i="115" s="1"/>
  <c r="D96" i="233"/>
  <c r="D126" i="233"/>
  <c r="K23" i="115"/>
  <c r="L23" i="115" s="1"/>
  <c r="D141" i="233"/>
  <c r="K38" i="115"/>
  <c r="L38" i="115" s="1"/>
  <c r="D153" i="233"/>
  <c r="K50" i="115"/>
  <c r="L50" i="115" s="1"/>
  <c r="D151" i="233"/>
  <c r="K48" i="115"/>
  <c r="L48" i="115" s="1"/>
  <c r="I40" i="115"/>
  <c r="J40" i="115" s="1"/>
  <c r="D91" i="233"/>
  <c r="D145" i="233"/>
  <c r="K42" i="115"/>
  <c r="L42" i="115" s="1"/>
  <c r="I38" i="115"/>
  <c r="J38" i="115" s="1"/>
  <c r="D89" i="233"/>
  <c r="I28" i="115"/>
  <c r="J28" i="115" s="1"/>
  <c r="D79" i="233"/>
  <c r="I7" i="115"/>
  <c r="J7" i="115" s="1"/>
  <c r="D58" i="233"/>
  <c r="I49" i="115"/>
  <c r="J49" i="115" s="1"/>
  <c r="D100" i="233"/>
  <c r="D118" i="233"/>
  <c r="K15" i="115"/>
  <c r="L15" i="115" s="1"/>
  <c r="I23" i="115"/>
  <c r="J23" i="115" s="1"/>
  <c r="D74" i="233"/>
  <c r="I21" i="115"/>
  <c r="J21" i="115" s="1"/>
  <c r="D72" i="233"/>
  <c r="I44" i="115"/>
  <c r="J44" i="115" s="1"/>
  <c r="D95" i="233"/>
  <c r="D108" i="233"/>
  <c r="K5" i="115"/>
  <c r="L5" i="115" s="1"/>
  <c r="D134" i="233"/>
  <c r="K31" i="115"/>
  <c r="L31" i="115" s="1"/>
  <c r="I32" i="115"/>
  <c r="J32" i="115" s="1"/>
  <c r="D83" i="233"/>
  <c r="I17" i="115"/>
  <c r="J17" i="115" s="1"/>
  <c r="D68" i="233"/>
  <c r="D136" i="233"/>
  <c r="K33" i="115"/>
  <c r="L33" i="115" s="1"/>
  <c r="I3" i="115"/>
  <c r="J3" i="115" s="1"/>
  <c r="D54" i="233"/>
  <c r="Q4" i="115"/>
  <c r="I11" i="115"/>
  <c r="J11" i="115" s="1"/>
  <c r="Q5" i="115"/>
  <c r="I15" i="115"/>
  <c r="J15" i="115" s="1"/>
  <c r="D66" i="233"/>
  <c r="I19" i="115"/>
  <c r="J19" i="115" s="1"/>
  <c r="D70" i="233"/>
  <c r="I25" i="115"/>
  <c r="J25" i="115" s="1"/>
  <c r="D76" i="233"/>
  <c r="J58" i="115" l="1"/>
  <c r="J57" i="115"/>
  <c r="J59" i="115"/>
  <c r="J60" i="115"/>
  <c r="L3" i="115"/>
  <c r="S23" i="115"/>
  <c r="S26" i="115"/>
  <c r="S17" i="115"/>
  <c r="S25" i="115"/>
  <c r="S20" i="115"/>
  <c r="S16" i="115"/>
  <c r="S12" i="115"/>
  <c r="S24" i="115"/>
  <c r="S19" i="115"/>
  <c r="S15" i="115"/>
  <c r="S11" i="115"/>
  <c r="S18" i="115"/>
  <c r="S14" i="115"/>
  <c r="S22" i="115"/>
  <c r="S13" i="115"/>
  <c r="L58" i="115" l="1"/>
  <c r="L57" i="115"/>
  <c r="L60" i="115"/>
  <c r="L59" i="115"/>
  <c r="F3" i="168" l="1"/>
  <c r="G3" i="168" s="1"/>
  <c r="G60" i="168" s="1"/>
  <c r="G58" i="168" l="1"/>
  <c r="G59" i="168"/>
  <c r="G57" i="168"/>
  <c r="Z14" i="112"/>
  <c r="B36" i="112"/>
  <c r="AA49" i="112"/>
  <c r="H28" i="112"/>
  <c r="H52" i="112"/>
  <c r="H36" i="112"/>
  <c r="AA34" i="112"/>
  <c r="AA6" i="112"/>
  <c r="H5" i="112"/>
  <c r="AA16" i="112"/>
  <c r="AB11" i="112"/>
  <c r="Z4" i="112"/>
  <c r="Z49" i="112"/>
  <c r="D7" i="112"/>
  <c r="H18" i="112"/>
  <c r="Z8" i="112"/>
  <c r="Z38" i="112"/>
  <c r="AA40" i="112"/>
  <c r="G55" i="112"/>
  <c r="M22" i="112"/>
  <c r="AB15" i="112"/>
  <c r="L46" i="112"/>
  <c r="AB51" i="112"/>
  <c r="L41" i="112"/>
  <c r="L43" i="112"/>
  <c r="K35" i="112"/>
  <c r="F4" i="112"/>
  <c r="M37" i="112"/>
  <c r="G26" i="112"/>
  <c r="J22" i="112"/>
  <c r="I22" i="112"/>
  <c r="C6" i="112"/>
  <c r="G45" i="112"/>
  <c r="AA26" i="112"/>
  <c r="AB36" i="112"/>
  <c r="AA35" i="112"/>
  <c r="F34" i="112"/>
  <c r="C38" i="112"/>
  <c r="C54" i="112"/>
  <c r="AA27" i="112"/>
  <c r="H22" i="112"/>
  <c r="AA43" i="112"/>
  <c r="I16" i="112"/>
  <c r="D15" i="112"/>
  <c r="M26" i="112"/>
  <c r="Z33" i="112"/>
  <c r="L30" i="112"/>
  <c r="D24" i="112"/>
  <c r="I24" i="112"/>
  <c r="C12" i="112"/>
  <c r="B4" i="112"/>
  <c r="F7" i="112"/>
  <c r="J12" i="112"/>
  <c r="H25" i="112"/>
  <c r="AB7" i="112"/>
  <c r="B5" i="112"/>
  <c r="F14" i="112"/>
  <c r="D53" i="112"/>
  <c r="F8" i="112"/>
  <c r="K44" i="112"/>
  <c r="K42" i="112"/>
  <c r="M40" i="112"/>
  <c r="K22" i="112"/>
  <c r="G44" i="112"/>
  <c r="AB42" i="112"/>
  <c r="AB50" i="112"/>
  <c r="H27" i="112"/>
  <c r="G49" i="112"/>
  <c r="C31" i="112"/>
  <c r="AB13" i="112"/>
  <c r="AA41" i="112"/>
  <c r="H6" i="112"/>
  <c r="Z27" i="112"/>
  <c r="H41" i="112"/>
  <c r="G13" i="112"/>
  <c r="AA14" i="112"/>
  <c r="AA13" i="112"/>
  <c r="G52" i="112"/>
  <c r="AA8" i="112"/>
  <c r="H30" i="112"/>
  <c r="D55" i="112"/>
  <c r="G40" i="112"/>
  <c r="AA45" i="112"/>
  <c r="AA20" i="112"/>
  <c r="Z10" i="112"/>
  <c r="AB48" i="112"/>
  <c r="D6" i="112"/>
  <c r="H49" i="112"/>
  <c r="I44" i="112"/>
  <c r="M38" i="112"/>
  <c r="L19" i="112"/>
  <c r="K20" i="112"/>
  <c r="G20" i="112"/>
  <c r="M23" i="112"/>
  <c r="J18" i="112"/>
  <c r="Z7" i="112"/>
  <c r="H12" i="112"/>
  <c r="AB24" i="112"/>
  <c r="C29" i="112"/>
  <c r="G47" i="112"/>
  <c r="G54" i="112"/>
  <c r="Z24" i="112"/>
  <c r="AB32" i="112"/>
  <c r="Z43" i="112"/>
  <c r="H51" i="112"/>
  <c r="Z15" i="112"/>
  <c r="Z11" i="112"/>
  <c r="I49" i="112"/>
  <c r="D43" i="112"/>
  <c r="G6" i="112"/>
  <c r="D45" i="112"/>
  <c r="F24" i="112"/>
  <c r="L29" i="112"/>
  <c r="B41" i="112"/>
  <c r="D37" i="112"/>
  <c r="L27" i="112"/>
  <c r="B53" i="112"/>
  <c r="Z5" i="112"/>
  <c r="H17" i="112"/>
  <c r="L53" i="112"/>
  <c r="I36" i="112"/>
  <c r="F30" i="112"/>
  <c r="M9" i="112"/>
  <c r="J13" i="112"/>
  <c r="K53" i="112"/>
  <c r="B49" i="112"/>
  <c r="K15" i="112"/>
  <c r="AB47" i="112"/>
  <c r="AA19" i="112"/>
  <c r="C15" i="112"/>
  <c r="H53" i="112"/>
  <c r="AB17" i="112"/>
  <c r="G35" i="112"/>
  <c r="AA46" i="112"/>
  <c r="G42" i="112"/>
  <c r="Z51" i="112"/>
  <c r="C52" i="112"/>
  <c r="G50" i="112"/>
  <c r="AA9" i="112"/>
  <c r="H19" i="112"/>
  <c r="G18" i="112"/>
  <c r="AB26" i="112"/>
  <c r="AB28" i="112"/>
  <c r="H33" i="112"/>
  <c r="AA17" i="112"/>
  <c r="AB38" i="112"/>
  <c r="AB39" i="112"/>
  <c r="G22" i="112"/>
  <c r="Z41" i="112"/>
  <c r="Z55" i="112"/>
  <c r="D5" i="112"/>
  <c r="D8" i="112"/>
  <c r="AA38" i="112"/>
  <c r="B34" i="112"/>
  <c r="C44" i="112"/>
  <c r="K23" i="112"/>
  <c r="Z9" i="112"/>
  <c r="B30" i="112"/>
  <c r="G37" i="112"/>
  <c r="G23" i="112"/>
  <c r="AB40" i="112"/>
  <c r="G17" i="112"/>
  <c r="H13" i="112"/>
  <c r="H24" i="112"/>
  <c r="AB54" i="112"/>
  <c r="AA18" i="112"/>
  <c r="AB14" i="112"/>
  <c r="C21" i="112"/>
  <c r="H4" i="112"/>
  <c r="G28" i="112"/>
  <c r="Z18" i="112"/>
  <c r="C28" i="112"/>
  <c r="F6" i="112"/>
  <c r="AA24" i="112"/>
  <c r="K19" i="112"/>
  <c r="B46" i="112"/>
  <c r="K40" i="112"/>
  <c r="J25" i="112"/>
  <c r="L12" i="112"/>
  <c r="D23" i="112"/>
  <c r="B28" i="112"/>
  <c r="H20" i="112"/>
  <c r="J47" i="112"/>
  <c r="M55" i="112"/>
  <c r="M27" i="112"/>
  <c r="D32" i="112"/>
  <c r="L28" i="112"/>
  <c r="H35" i="112"/>
  <c r="I27" i="112"/>
  <c r="I32" i="112"/>
  <c r="H47" i="112"/>
  <c r="C4" i="112"/>
  <c r="AB6" i="112"/>
  <c r="J42" i="112"/>
  <c r="Z22" i="112"/>
  <c r="C48" i="112"/>
  <c r="AA33" i="112"/>
  <c r="G24" i="112"/>
  <c r="C5" i="112"/>
  <c r="AA31" i="112"/>
  <c r="H16" i="112"/>
  <c r="AA32" i="112"/>
  <c r="AB31" i="112"/>
  <c r="C34" i="112"/>
  <c r="AB41" i="112"/>
  <c r="Z36" i="112"/>
  <c r="B51" i="112"/>
  <c r="C10" i="112"/>
  <c r="AA51" i="112"/>
  <c r="AA53" i="112"/>
  <c r="Z53" i="112"/>
  <c r="G30" i="112"/>
  <c r="C23" i="112"/>
  <c r="AB34" i="112"/>
  <c r="Z21" i="112"/>
  <c r="L16" i="112"/>
  <c r="L10" i="112"/>
  <c r="F22" i="112"/>
  <c r="AB44" i="112"/>
  <c r="J27" i="112"/>
  <c r="F12" i="112"/>
  <c r="D46" i="112"/>
  <c r="M29" i="112"/>
  <c r="Z25" i="112"/>
  <c r="G38" i="112"/>
  <c r="Z26" i="112"/>
  <c r="Z31" i="112"/>
  <c r="G21" i="112"/>
  <c r="Z12" i="112"/>
  <c r="C55" i="112"/>
  <c r="AA7" i="112"/>
  <c r="AA11" i="112"/>
  <c r="AA36" i="112"/>
  <c r="D4" i="112"/>
  <c r="K51" i="112"/>
  <c r="B55" i="112"/>
  <c r="D44" i="112"/>
  <c r="J8" i="112"/>
  <c r="M52" i="112"/>
  <c r="M53" i="112"/>
  <c r="AA44" i="112"/>
  <c r="L47" i="112"/>
  <c r="D35" i="112"/>
  <c r="M24" i="112"/>
  <c r="AB10" i="112"/>
  <c r="G25" i="112"/>
  <c r="L21" i="112"/>
  <c r="J52" i="112"/>
  <c r="L39" i="112"/>
  <c r="K27" i="112"/>
  <c r="M12" i="112"/>
  <c r="F28" i="112"/>
  <c r="L52" i="112"/>
  <c r="F44" i="112"/>
  <c r="C39" i="112"/>
  <c r="M49" i="112"/>
  <c r="J21" i="112"/>
  <c r="L33" i="112"/>
  <c r="D34" i="112"/>
  <c r="Z19" i="112"/>
  <c r="J46" i="112"/>
  <c r="J39" i="112"/>
  <c r="K26" i="112"/>
  <c r="L23" i="112"/>
  <c r="I55" i="112"/>
  <c r="J26" i="112"/>
  <c r="H48" i="112"/>
  <c r="K38" i="112"/>
  <c r="J19" i="112"/>
  <c r="J37" i="112"/>
  <c r="D47" i="112"/>
  <c r="L22" i="112"/>
  <c r="G8" i="112"/>
  <c r="H40" i="112"/>
  <c r="Z34" i="112"/>
  <c r="AB43" i="112"/>
  <c r="M54" i="112"/>
  <c r="L40" i="112"/>
  <c r="AB16" i="112"/>
  <c r="D39" i="112"/>
  <c r="L42" i="112"/>
  <c r="K8" i="112"/>
  <c r="AB22" i="112"/>
  <c r="M46" i="112"/>
  <c r="I25" i="112"/>
  <c r="M30" i="112"/>
  <c r="L32" i="112"/>
  <c r="D33" i="112"/>
  <c r="B33" i="112"/>
  <c r="L44" i="112"/>
  <c r="G9" i="112"/>
  <c r="D51" i="112"/>
  <c r="AA54" i="112"/>
  <c r="H9" i="112"/>
  <c r="AA28" i="112"/>
  <c r="C26" i="112"/>
  <c r="D22" i="112"/>
  <c r="AA47" i="112"/>
  <c r="M18" i="112"/>
  <c r="K43" i="112"/>
  <c r="I33" i="112"/>
  <c r="M48" i="112"/>
  <c r="J50" i="112"/>
  <c r="F40" i="112"/>
  <c r="D28" i="112"/>
  <c r="C50" i="112"/>
  <c r="B25" i="112"/>
  <c r="L38" i="112"/>
  <c r="AB33" i="112"/>
  <c r="I38" i="112"/>
  <c r="F27" i="112"/>
  <c r="K55" i="112"/>
  <c r="M11" i="112"/>
  <c r="H26" i="112"/>
  <c r="I52" i="112"/>
  <c r="J30" i="112"/>
  <c r="K47" i="112"/>
  <c r="H23" i="112"/>
  <c r="F16" i="112"/>
  <c r="K13" i="112"/>
  <c r="D48" i="112"/>
  <c r="AB37" i="112"/>
  <c r="L7" i="112"/>
  <c r="F47" i="112"/>
  <c r="B50" i="112"/>
  <c r="M7" i="112"/>
  <c r="D16" i="112"/>
  <c r="J32" i="112"/>
  <c r="F38" i="112"/>
  <c r="C36" i="112"/>
  <c r="AB8" i="112"/>
  <c r="C33" i="112"/>
  <c r="M47" i="112"/>
  <c r="C8" i="112"/>
  <c r="M16" i="112"/>
  <c r="H55" i="112"/>
  <c r="F15" i="112"/>
  <c r="L26" i="112"/>
  <c r="AA37" i="112"/>
  <c r="F53" i="112"/>
  <c r="F20" i="112"/>
  <c r="I15" i="112"/>
  <c r="F10" i="112"/>
  <c r="AA48" i="112"/>
  <c r="B16" i="112"/>
  <c r="I7" i="112"/>
  <c r="K5" i="112"/>
  <c r="AA39" i="112"/>
  <c r="Z45" i="112"/>
  <c r="M19" i="112"/>
  <c r="F52" i="112"/>
  <c r="AB53" i="112"/>
  <c r="J7" i="112"/>
  <c r="AB29" i="112"/>
  <c r="C25" i="112"/>
  <c r="B7" i="112"/>
  <c r="C9" i="112"/>
  <c r="I26" i="112"/>
  <c r="B42" i="112"/>
  <c r="K31" i="112"/>
  <c r="I29" i="112"/>
  <c r="C16" i="112"/>
  <c r="J20" i="112"/>
  <c r="I10" i="112"/>
  <c r="B48" i="112"/>
  <c r="I14" i="112"/>
  <c r="B40" i="112"/>
  <c r="F19" i="112"/>
  <c r="Z39" i="112"/>
  <c r="M45" i="112"/>
  <c r="C42" i="112"/>
  <c r="M33" i="112"/>
  <c r="F36" i="112"/>
  <c r="M44" i="112"/>
  <c r="K37" i="112"/>
  <c r="F48" i="112"/>
  <c r="G53" i="112"/>
  <c r="I11" i="112"/>
  <c r="M43" i="112"/>
  <c r="J34" i="112"/>
  <c r="J11" i="112"/>
  <c r="K17" i="112"/>
  <c r="G29" i="112"/>
  <c r="G51" i="112"/>
  <c r="M35" i="112"/>
  <c r="K10" i="112"/>
  <c r="AB52" i="112"/>
  <c r="B38" i="112"/>
  <c r="J43" i="112"/>
  <c r="AB49" i="112"/>
  <c r="Z37" i="112"/>
  <c r="K34" i="112"/>
  <c r="B15" i="112"/>
  <c r="I5" i="112"/>
  <c r="Z16" i="112"/>
  <c r="K45" i="112"/>
  <c r="F39" i="112"/>
  <c r="F50" i="112"/>
  <c r="D27" i="112"/>
  <c r="Z42" i="112"/>
  <c r="K29" i="112"/>
  <c r="M4" i="112"/>
  <c r="J35" i="112"/>
  <c r="H10" i="112"/>
  <c r="G48" i="112"/>
  <c r="I46" i="112"/>
  <c r="G19" i="112"/>
  <c r="K32" i="112"/>
  <c r="AA4" i="112"/>
  <c r="AB18" i="112"/>
  <c r="C18" i="112"/>
  <c r="H38" i="112"/>
  <c r="AB23" i="112"/>
  <c r="F31" i="112"/>
  <c r="F33" i="112"/>
  <c r="L55" i="112"/>
  <c r="M50" i="112"/>
  <c r="Z20" i="112"/>
  <c r="J31" i="112"/>
  <c r="Z29" i="112"/>
  <c r="L8" i="112"/>
  <c r="M34" i="112"/>
  <c r="C37" i="112"/>
  <c r="F37" i="112"/>
  <c r="AA23" i="112"/>
  <c r="G34" i="112"/>
  <c r="H34" i="112"/>
  <c r="G27" i="112"/>
  <c r="K41" i="112"/>
  <c r="D31" i="112"/>
  <c r="AB27" i="112"/>
  <c r="F49" i="112"/>
  <c r="B10" i="112"/>
  <c r="F18" i="112"/>
  <c r="Z35" i="112"/>
  <c r="B12" i="112"/>
  <c r="L15" i="112"/>
  <c r="Z23" i="112"/>
  <c r="F46" i="112"/>
  <c r="I6" i="112"/>
  <c r="C27" i="112"/>
  <c r="B8" i="112"/>
  <c r="H21" i="112"/>
  <c r="H8" i="112"/>
  <c r="J48" i="112"/>
  <c r="M10" i="112"/>
  <c r="L31" i="112"/>
  <c r="D42" i="112"/>
  <c r="D40" i="112"/>
  <c r="K33" i="112"/>
  <c r="K12" i="112"/>
  <c r="H43" i="112"/>
  <c r="L49" i="112"/>
  <c r="AA29" i="112"/>
  <c r="K36" i="112"/>
  <c r="I9" i="112"/>
  <c r="H32" i="112"/>
  <c r="Z17" i="112"/>
  <c r="G7" i="112"/>
  <c r="H50" i="112"/>
  <c r="K6" i="112"/>
  <c r="B13" i="112"/>
  <c r="B32" i="112"/>
  <c r="F5" i="112"/>
  <c r="Z30" i="112"/>
  <c r="H29" i="112"/>
  <c r="I41" i="112"/>
  <c r="B26" i="112"/>
  <c r="K21" i="112"/>
  <c r="B47" i="112"/>
  <c r="J45" i="112"/>
  <c r="D10" i="112"/>
  <c r="J55" i="112"/>
  <c r="I50" i="112"/>
  <c r="B14" i="112"/>
  <c r="L36" i="112"/>
  <c r="C35" i="112"/>
  <c r="D20" i="112"/>
  <c r="AB45" i="112"/>
  <c r="J14" i="112"/>
  <c r="I34" i="112"/>
  <c r="I31" i="112"/>
  <c r="M15" i="112"/>
  <c r="F42" i="112"/>
  <c r="B19" i="112"/>
  <c r="L13" i="112"/>
  <c r="D30" i="112"/>
  <c r="F21" i="112"/>
  <c r="B20" i="112"/>
  <c r="F26" i="112"/>
  <c r="F55" i="112"/>
  <c r="D38" i="112"/>
  <c r="F25" i="112"/>
  <c r="I17" i="112"/>
  <c r="D29" i="112"/>
  <c r="AB19" i="112"/>
  <c r="L37" i="112"/>
  <c r="J24" i="112"/>
  <c r="J40" i="112"/>
  <c r="I54" i="112"/>
  <c r="J49" i="112"/>
  <c r="C7" i="112"/>
  <c r="M25" i="112"/>
  <c r="I39" i="112"/>
  <c r="L25" i="112"/>
  <c r="M41" i="112"/>
  <c r="AA22" i="112"/>
  <c r="F43" i="112"/>
  <c r="D49" i="112"/>
  <c r="C24" i="112"/>
  <c r="C17" i="112"/>
  <c r="L54" i="112"/>
  <c r="K14" i="112"/>
  <c r="H45" i="112"/>
  <c r="Z32" i="112"/>
  <c r="K24" i="112"/>
  <c r="I8" i="112"/>
  <c r="B21" i="112"/>
  <c r="AA25" i="112"/>
  <c r="C43" i="112"/>
  <c r="J29" i="112"/>
  <c r="I53" i="112"/>
  <c r="L51" i="112"/>
  <c r="K48" i="112"/>
  <c r="AB25" i="112"/>
  <c r="I12" i="112"/>
  <c r="D54" i="112"/>
  <c r="C46" i="112"/>
  <c r="M39" i="112"/>
  <c r="D26" i="112"/>
  <c r="G5" i="112"/>
  <c r="AB21" i="112"/>
  <c r="G12" i="112"/>
  <c r="B54" i="112"/>
  <c r="M42" i="112"/>
  <c r="D12" i="112"/>
  <c r="M36" i="112"/>
  <c r="L20" i="112"/>
  <c r="L9" i="112"/>
  <c r="C20" i="112"/>
  <c r="C40" i="112"/>
  <c r="C45" i="112"/>
  <c r="H42" i="112"/>
  <c r="G33" i="112"/>
  <c r="G43" i="112"/>
  <c r="I19" i="112"/>
  <c r="AA50" i="112"/>
  <c r="G4" i="112"/>
  <c r="M20" i="112"/>
  <c r="D25" i="112"/>
  <c r="I47" i="112"/>
  <c r="C22" i="112"/>
  <c r="F35" i="112"/>
  <c r="F32" i="112"/>
  <c r="K25" i="112"/>
  <c r="I40" i="112"/>
  <c r="Z50" i="112"/>
  <c r="J5" i="112"/>
  <c r="L48" i="112"/>
  <c r="C32" i="112"/>
  <c r="K16" i="112"/>
  <c r="D50" i="112"/>
  <c r="L18" i="112"/>
  <c r="J33" i="112"/>
  <c r="Z44" i="112"/>
  <c r="Z47" i="112"/>
  <c r="K46" i="112"/>
  <c r="K7" i="112"/>
  <c r="I51" i="112"/>
  <c r="C53" i="112"/>
  <c r="I48" i="112"/>
  <c r="Z6" i="112"/>
  <c r="H14" i="112"/>
  <c r="Z54" i="112"/>
  <c r="J54" i="112"/>
  <c r="I28" i="112"/>
  <c r="H46" i="112"/>
  <c r="AB12" i="112"/>
  <c r="I30" i="112"/>
  <c r="I35" i="112"/>
  <c r="J17" i="112"/>
  <c r="L45" i="112"/>
  <c r="G41" i="112"/>
  <c r="AA52" i="112"/>
  <c r="C41" i="112"/>
  <c r="AB35" i="112"/>
  <c r="B52" i="112"/>
  <c r="B37" i="112"/>
  <c r="B17" i="112"/>
  <c r="F9" i="112"/>
  <c r="K11" i="112"/>
  <c r="M14" i="112"/>
  <c r="J23" i="112"/>
  <c r="G32" i="112"/>
  <c r="AA15" i="112"/>
  <c r="L17" i="112"/>
  <c r="C13" i="112"/>
  <c r="J10" i="112"/>
  <c r="I13" i="112"/>
  <c r="AB20" i="112"/>
  <c r="Z13" i="112"/>
  <c r="B39" i="112"/>
  <c r="K54" i="112"/>
  <c r="F29" i="112"/>
  <c r="L6" i="112"/>
  <c r="L50" i="112"/>
  <c r="H54" i="112"/>
  <c r="AB4" i="112"/>
  <c r="K28" i="112"/>
  <c r="J38" i="112"/>
  <c r="I18" i="112"/>
  <c r="D52" i="112"/>
  <c r="H37" i="112"/>
  <c r="G36" i="112"/>
  <c r="B45" i="112"/>
  <c r="F54" i="112"/>
  <c r="B29" i="112"/>
  <c r="D36" i="112"/>
  <c r="J6" i="112"/>
  <c r="G10" i="112"/>
  <c r="J15" i="112"/>
  <c r="L4" i="112"/>
  <c r="J28" i="112"/>
  <c r="K50" i="112"/>
  <c r="K49" i="112"/>
  <c r="M13" i="112"/>
  <c r="H31" i="112"/>
  <c r="B6" i="112"/>
  <c r="K18" i="112"/>
  <c r="Z48" i="112"/>
  <c r="K30" i="112"/>
  <c r="Z46" i="112"/>
  <c r="H7" i="112"/>
  <c r="J44" i="112"/>
  <c r="C47" i="112"/>
  <c r="D14" i="112"/>
  <c r="M17" i="112"/>
  <c r="H44" i="112"/>
  <c r="K52" i="112"/>
  <c r="K9" i="112"/>
  <c r="I4" i="112"/>
  <c r="L35" i="112"/>
  <c r="D9" i="112"/>
  <c r="AA55" i="112"/>
  <c r="I21" i="112"/>
  <c r="AA30" i="112"/>
  <c r="C19" i="112"/>
  <c r="AB5" i="112"/>
  <c r="B43" i="112"/>
  <c r="L5" i="112"/>
  <c r="K4" i="112"/>
  <c r="I37" i="112"/>
  <c r="M32" i="112"/>
  <c r="J16" i="112"/>
  <c r="AB9" i="112"/>
  <c r="D17" i="112"/>
  <c r="AA21" i="112"/>
  <c r="M8" i="112"/>
  <c r="D18" i="112"/>
  <c r="K39" i="112"/>
  <c r="I45" i="112"/>
  <c r="H39" i="112"/>
  <c r="D13" i="112"/>
  <c r="I43" i="112"/>
  <c r="M51" i="112"/>
  <c r="G16" i="112"/>
  <c r="J4" i="112"/>
  <c r="J41" i="112"/>
  <c r="J53" i="112"/>
  <c r="D19" i="112"/>
  <c r="I20" i="112"/>
  <c r="L34" i="112"/>
  <c r="Z40" i="112"/>
  <c r="C30" i="112"/>
  <c r="F17" i="112"/>
  <c r="G31" i="112"/>
  <c r="B23" i="112"/>
  <c r="L24" i="112"/>
  <c r="M21" i="112"/>
  <c r="G39" i="112"/>
  <c r="M28" i="112"/>
  <c r="G46" i="112"/>
  <c r="C51" i="112"/>
  <c r="AB46" i="112"/>
  <c r="B18" i="112"/>
  <c r="B31" i="112"/>
  <c r="Z52" i="112"/>
  <c r="F23" i="112"/>
  <c r="H15" i="112"/>
  <c r="B9" i="112"/>
  <c r="AA42" i="112"/>
  <c r="G14" i="112"/>
  <c r="B22" i="112"/>
  <c r="J51" i="112"/>
  <c r="L14" i="112"/>
  <c r="F13" i="112"/>
  <c r="I23" i="112"/>
  <c r="B35" i="112"/>
  <c r="J36" i="112"/>
  <c r="AA10" i="112"/>
  <c r="F41" i="112"/>
  <c r="I42" i="112"/>
  <c r="G15" i="112"/>
  <c r="B24" i="112"/>
  <c r="M31" i="112"/>
  <c r="F51" i="112"/>
  <c r="AB30" i="112"/>
  <c r="D21" i="112"/>
  <c r="D41" i="112"/>
  <c r="C49" i="112"/>
  <c r="C14" i="112"/>
  <c r="Z28" i="112"/>
  <c r="J9" i="112"/>
  <c r="L11" i="112"/>
  <c r="M5" i="112"/>
  <c r="B44" i="112"/>
  <c r="AA5" i="112"/>
  <c r="B27" i="112"/>
  <c r="M6" i="112"/>
  <c r="F45" i="112"/>
  <c r="AA12" i="112"/>
  <c r="G6" i="115" l="1"/>
  <c r="E27" i="112"/>
  <c r="E44" i="112"/>
  <c r="G3" i="115"/>
  <c r="F11" i="115"/>
  <c r="C8" i="115"/>
  <c r="D350" i="233"/>
  <c r="D330" i="233"/>
  <c r="G36" i="115"/>
  <c r="E24" i="112"/>
  <c r="B41" i="115"/>
  <c r="D40" i="233" s="1"/>
  <c r="AD42" i="112"/>
  <c r="C34" i="115"/>
  <c r="E35" i="112"/>
  <c r="AD23" i="112"/>
  <c r="B24" i="115"/>
  <c r="D23" i="233" s="1"/>
  <c r="F13" i="115"/>
  <c r="C50" i="115"/>
  <c r="E22" i="112"/>
  <c r="E9" i="112"/>
  <c r="E31" i="112"/>
  <c r="E18" i="112"/>
  <c r="G28" i="115"/>
  <c r="G20" i="115"/>
  <c r="F23" i="115"/>
  <c r="E23" i="112"/>
  <c r="F32" i="115"/>
  <c r="AD20" i="112"/>
  <c r="B19" i="115"/>
  <c r="D18" i="233" s="1"/>
  <c r="D327" i="233"/>
  <c r="C51" i="115"/>
  <c r="C40" i="115"/>
  <c r="C4" i="115"/>
  <c r="G50" i="115"/>
  <c r="B42" i="115"/>
  <c r="D41" i="233" s="1"/>
  <c r="AD43" i="112"/>
  <c r="D322" i="233"/>
  <c r="B44" i="115"/>
  <c r="D43" i="233" s="1"/>
  <c r="AD45" i="112"/>
  <c r="B38" i="168"/>
  <c r="B15" i="172"/>
  <c r="D326" i="233"/>
  <c r="G7" i="115"/>
  <c r="D325" i="233"/>
  <c r="C18" i="115"/>
  <c r="G37" i="115"/>
  <c r="B31" i="115"/>
  <c r="D30" i="233" s="1"/>
  <c r="AD37" i="112"/>
  <c r="B28" i="172"/>
  <c r="B4" i="168"/>
  <c r="F3" i="115"/>
  <c r="E43" i="112"/>
  <c r="B20" i="115"/>
  <c r="D19" i="233" s="1"/>
  <c r="AD21" i="112"/>
  <c r="D319" i="233"/>
  <c r="F33" i="115"/>
  <c r="AD4" i="112"/>
  <c r="B4" i="115"/>
  <c r="D3" i="233" s="1"/>
  <c r="B40" i="172"/>
  <c r="B8" i="168"/>
  <c r="B52" i="168"/>
  <c r="B41" i="172"/>
  <c r="G15" i="115"/>
  <c r="D323" i="233"/>
  <c r="C43" i="115"/>
  <c r="B29" i="168"/>
  <c r="B4" i="172"/>
  <c r="B16" i="168"/>
  <c r="B54" i="172"/>
  <c r="E6" i="112"/>
  <c r="G12" i="115"/>
  <c r="B49" i="168"/>
  <c r="B11" i="172"/>
  <c r="B17" i="172"/>
  <c r="B48" i="168"/>
  <c r="C28" i="115"/>
  <c r="F4" i="115"/>
  <c r="C14" i="115"/>
  <c r="C6" i="115"/>
  <c r="D344" i="233"/>
  <c r="E29" i="112"/>
  <c r="E45" i="112"/>
  <c r="D362" i="233"/>
  <c r="AD18" i="112"/>
  <c r="B16" i="115"/>
  <c r="D15" i="233" s="1"/>
  <c r="C35" i="115"/>
  <c r="B28" i="168"/>
  <c r="B43" i="172"/>
  <c r="F48" i="115"/>
  <c r="F6" i="115"/>
  <c r="B53" i="168"/>
  <c r="B6" i="172"/>
  <c r="E39" i="112"/>
  <c r="B12" i="115"/>
  <c r="D11" i="233" s="1"/>
  <c r="AD13" i="112"/>
  <c r="C9" i="115"/>
  <c r="F15" i="115"/>
  <c r="C24" i="115"/>
  <c r="G13" i="115"/>
  <c r="B11" i="168"/>
  <c r="B50" i="172"/>
  <c r="E17" i="112"/>
  <c r="E37" i="112"/>
  <c r="E52" i="112"/>
  <c r="F44" i="115"/>
  <c r="C15" i="115"/>
  <c r="B33" i="115"/>
  <c r="D32" i="233" s="1"/>
  <c r="AD35" i="112"/>
  <c r="B29" i="115"/>
  <c r="D28" i="233" s="1"/>
  <c r="AD30" i="112"/>
  <c r="B28" i="115"/>
  <c r="D27" i="233" s="1"/>
  <c r="AD28" i="112"/>
  <c r="C53" i="115"/>
  <c r="B47" i="115"/>
  <c r="D46" i="233" s="1"/>
  <c r="AD48" i="112"/>
  <c r="B50" i="115"/>
  <c r="D49" i="233" s="1"/>
  <c r="AD51" i="112"/>
  <c r="B5" i="168"/>
  <c r="B45" i="168"/>
  <c r="B39" i="172"/>
  <c r="C30" i="115"/>
  <c r="F16" i="115"/>
  <c r="D358" i="233"/>
  <c r="B18" i="168"/>
  <c r="B30" i="172"/>
  <c r="F47" i="115"/>
  <c r="C3" i="115"/>
  <c r="B39" i="115"/>
  <c r="D38" i="233" s="1"/>
  <c r="AD40" i="112"/>
  <c r="B22" i="168"/>
  <c r="B38" i="172"/>
  <c r="AD47" i="112"/>
  <c r="B46" i="115"/>
  <c r="D45" i="233" s="1"/>
  <c r="D332" i="233"/>
  <c r="G19" i="115"/>
  <c r="AD19" i="112"/>
  <c r="B17" i="115"/>
  <c r="D16" i="233" s="1"/>
  <c r="F8" i="115"/>
  <c r="F19" i="115"/>
  <c r="G34" i="115"/>
  <c r="D321" i="233"/>
  <c r="G41" i="115"/>
  <c r="E54" i="112"/>
  <c r="D335" i="233"/>
  <c r="G38" i="115"/>
  <c r="D363" i="233"/>
  <c r="AD12" i="112"/>
  <c r="B10" i="115"/>
  <c r="D9" i="233" s="1"/>
  <c r="B47" i="168"/>
  <c r="B34" i="172"/>
  <c r="F50" i="115"/>
  <c r="AD53" i="112"/>
  <c r="B51" i="115"/>
  <c r="D50" i="233" s="1"/>
  <c r="C27" i="115"/>
  <c r="E21" i="112"/>
  <c r="B7" i="115"/>
  <c r="D6" i="233" s="1"/>
  <c r="AD8" i="112"/>
  <c r="B29" i="172"/>
  <c r="B23" i="168"/>
  <c r="B42" i="172"/>
  <c r="B13" i="168"/>
  <c r="F53" i="115"/>
  <c r="D359" i="233"/>
  <c r="G40" i="115"/>
  <c r="F22" i="115"/>
  <c r="B38" i="115"/>
  <c r="D37" i="233" s="1"/>
  <c r="AD39" i="112"/>
  <c r="G22" i="115"/>
  <c r="C49" i="115"/>
  <c r="AD54" i="112"/>
  <c r="B53" i="115"/>
  <c r="D52" i="233" s="1"/>
  <c r="C39" i="115"/>
  <c r="C23" i="115"/>
  <c r="F31" i="115"/>
  <c r="D337" i="233"/>
  <c r="AD17" i="112"/>
  <c r="B15" i="115"/>
  <c r="D14" i="233" s="1"/>
  <c r="D345" i="233"/>
  <c r="D415" i="233"/>
  <c r="E20" i="112"/>
  <c r="D339" i="233"/>
  <c r="F12" i="115"/>
  <c r="E19" i="112"/>
  <c r="G14" i="115"/>
  <c r="B36" i="115"/>
  <c r="D35" i="233" s="1"/>
  <c r="AD31" i="112"/>
  <c r="B32" i="115"/>
  <c r="D31" i="233" s="1"/>
  <c r="AD34" i="112"/>
  <c r="C13" i="115"/>
  <c r="D329" i="233"/>
  <c r="F34" i="115"/>
  <c r="E14" i="112"/>
  <c r="AD50" i="112"/>
  <c r="B48" i="115"/>
  <c r="D47" i="233" s="1"/>
  <c r="C54" i="115"/>
  <c r="D320" i="233"/>
  <c r="C44" i="115"/>
  <c r="E47" i="112"/>
  <c r="B20" i="168"/>
  <c r="B23" i="172"/>
  <c r="E26" i="112"/>
  <c r="AD41" i="112"/>
  <c r="B40" i="115"/>
  <c r="D39" i="233" s="1"/>
  <c r="E32" i="112"/>
  <c r="E13" i="112"/>
  <c r="B6" i="168"/>
  <c r="B9" i="172"/>
  <c r="B8" i="115"/>
  <c r="D7" i="233" s="1"/>
  <c r="AD9" i="112"/>
  <c r="B34" i="168"/>
  <c r="B8" i="172"/>
  <c r="F49" i="115"/>
  <c r="B10" i="168"/>
  <c r="B24" i="172"/>
  <c r="B7" i="172"/>
  <c r="B30" i="168"/>
  <c r="D349" i="233"/>
  <c r="D351" i="233"/>
  <c r="F36" i="115"/>
  <c r="G9" i="115"/>
  <c r="C47" i="115"/>
  <c r="E8" i="112"/>
  <c r="AD6" i="112"/>
  <c r="B6" i="115"/>
  <c r="D5" i="233" s="1"/>
  <c r="F14" i="115"/>
  <c r="E12" i="112"/>
  <c r="E10" i="112"/>
  <c r="D346" i="233"/>
  <c r="B25" i="172"/>
  <c r="B40" i="168"/>
  <c r="G32" i="115"/>
  <c r="F7" i="115"/>
  <c r="C36" i="115"/>
  <c r="G48" i="115"/>
  <c r="F54" i="115"/>
  <c r="D467" i="233" s="1"/>
  <c r="B37" i="168"/>
  <c r="B53" i="172"/>
  <c r="AD46" i="112"/>
  <c r="B45" i="115"/>
  <c r="D44" i="233" s="1"/>
  <c r="C33" i="115"/>
  <c r="G4" i="115"/>
  <c r="B27" i="168"/>
  <c r="B21" i="172"/>
  <c r="D336" i="233"/>
  <c r="B12" i="172"/>
  <c r="B44" i="168"/>
  <c r="AD5" i="112"/>
  <c r="B3" i="115"/>
  <c r="E15" i="112"/>
  <c r="B32" i="168"/>
  <c r="B48" i="172"/>
  <c r="C42" i="115"/>
  <c r="E38" i="112"/>
  <c r="B10" i="172"/>
  <c r="B9" i="168"/>
  <c r="G33" i="115"/>
  <c r="B15" i="168"/>
  <c r="B49" i="172"/>
  <c r="C11" i="115"/>
  <c r="C32" i="115"/>
  <c r="G42" i="115"/>
  <c r="AD11" i="112"/>
  <c r="B11" i="115"/>
  <c r="D10" i="233" s="1"/>
  <c r="B31" i="168"/>
  <c r="B26" i="172"/>
  <c r="G43" i="115"/>
  <c r="G30" i="115"/>
  <c r="G44" i="115"/>
  <c r="E40" i="112"/>
  <c r="AD14" i="112"/>
  <c r="B13" i="115"/>
  <c r="D12" i="233" s="1"/>
  <c r="E48" i="112"/>
  <c r="B9" i="115"/>
  <c r="D8" i="233" s="1"/>
  <c r="AD10" i="112"/>
  <c r="C19" i="115"/>
  <c r="AD29" i="112"/>
  <c r="B27" i="115"/>
  <c r="D26" i="233" s="1"/>
  <c r="B36" i="168"/>
  <c r="B20" i="172"/>
  <c r="E42" i="112"/>
  <c r="AD26" i="112"/>
  <c r="B25" i="115"/>
  <c r="D24" i="233" s="1"/>
  <c r="E7" i="112"/>
  <c r="C5" i="115"/>
  <c r="G17" i="115"/>
  <c r="B45" i="172"/>
  <c r="B3" i="168"/>
  <c r="AD7" i="112"/>
  <c r="B5" i="115"/>
  <c r="D4" i="233" s="1"/>
  <c r="E16" i="112"/>
  <c r="AD15" i="112"/>
  <c r="B14" i="115"/>
  <c r="D13" i="233" s="1"/>
  <c r="F25" i="115"/>
  <c r="G18" i="115"/>
  <c r="G46" i="115"/>
  <c r="C37" i="115"/>
  <c r="D328" i="233"/>
  <c r="G5" i="115"/>
  <c r="E50" i="112"/>
  <c r="F5" i="115"/>
  <c r="D357" i="233"/>
  <c r="B12" i="168"/>
  <c r="B18" i="172"/>
  <c r="B47" i="172"/>
  <c r="B46" i="168"/>
  <c r="C29" i="115"/>
  <c r="AD52" i="112"/>
  <c r="B52" i="115"/>
  <c r="D51" i="233" s="1"/>
  <c r="G11" i="115"/>
  <c r="B33" i="172"/>
  <c r="B54" i="168"/>
  <c r="B32" i="172"/>
  <c r="AD38" i="112"/>
  <c r="B35" i="115"/>
  <c r="D34" i="233" s="1"/>
  <c r="F35" i="115"/>
  <c r="E25" i="112"/>
  <c r="D338" i="233"/>
  <c r="C48" i="115"/>
  <c r="G47" i="115"/>
  <c r="AD33" i="112"/>
  <c r="B30" i="115"/>
  <c r="D29" i="233" s="1"/>
  <c r="B42" i="168"/>
  <c r="B22" i="172"/>
  <c r="G16" i="115"/>
  <c r="D331" i="233"/>
  <c r="D360" i="233"/>
  <c r="F43" i="115"/>
  <c r="E33" i="112"/>
  <c r="D340" i="233"/>
  <c r="F37" i="115"/>
  <c r="G29" i="115"/>
  <c r="AD25" i="112"/>
  <c r="B22" i="115"/>
  <c r="D21" i="233" s="1"/>
  <c r="G45" i="115"/>
  <c r="B7" i="168"/>
  <c r="B35" i="172"/>
  <c r="F41" i="115"/>
  <c r="D348" i="233"/>
  <c r="F39" i="115"/>
  <c r="G53" i="115"/>
  <c r="F21" i="115"/>
  <c r="D356" i="233"/>
  <c r="C31" i="115"/>
  <c r="C17" i="115"/>
  <c r="B35" i="168"/>
  <c r="B51" i="172"/>
  <c r="C25" i="115"/>
  <c r="B54" i="115"/>
  <c r="D53" i="233" s="1"/>
  <c r="F24" i="115"/>
  <c r="B25" i="168"/>
  <c r="B46" i="172"/>
  <c r="C38" i="115"/>
  <c r="C45" i="115"/>
  <c r="D342" i="233"/>
  <c r="F30" i="115"/>
  <c r="C20" i="115"/>
  <c r="G49" i="115"/>
  <c r="F52" i="115"/>
  <c r="G10" i="115"/>
  <c r="B13" i="172"/>
  <c r="B26" i="168"/>
  <c r="F38" i="115"/>
  <c r="C52" i="115"/>
  <c r="F20" i="115"/>
  <c r="G23" i="115"/>
  <c r="D343" i="233"/>
  <c r="F46" i="115"/>
  <c r="G51" i="115"/>
  <c r="G52" i="115"/>
  <c r="C7" i="115"/>
  <c r="D353" i="233"/>
  <c r="E55" i="112"/>
  <c r="B50" i="168"/>
  <c r="B36" i="172"/>
  <c r="D315" i="233"/>
  <c r="G27" i="115"/>
  <c r="D355" i="233"/>
  <c r="C26" i="115"/>
  <c r="F9" i="115"/>
  <c r="F18" i="115"/>
  <c r="E51" i="112"/>
  <c r="C41" i="115"/>
  <c r="B37" i="115"/>
  <c r="D36" i="233" s="1"/>
  <c r="AD32" i="112"/>
  <c r="B26" i="115"/>
  <c r="D25" i="233" s="1"/>
  <c r="AD27" i="112"/>
  <c r="F28" i="115"/>
  <c r="D347" i="233"/>
  <c r="G26" i="115"/>
  <c r="G54" i="115"/>
  <c r="D209" i="233" s="1"/>
  <c r="C46" i="115"/>
  <c r="E28" i="112"/>
  <c r="D334" i="233"/>
  <c r="F10" i="115"/>
  <c r="C22" i="115"/>
  <c r="B39" i="168"/>
  <c r="B16" i="172"/>
  <c r="E46" i="112"/>
  <c r="B37" i="172"/>
  <c r="B17" i="168"/>
  <c r="E30" i="112"/>
  <c r="B31" i="172"/>
  <c r="B24" i="168"/>
  <c r="E34" i="112"/>
  <c r="D318" i="233"/>
  <c r="D314" i="233"/>
  <c r="B27" i="172"/>
  <c r="B14" i="168"/>
  <c r="E49" i="112"/>
  <c r="B3" i="172"/>
  <c r="B51" i="168"/>
  <c r="C12" i="115"/>
  <c r="G8" i="115"/>
  <c r="B34" i="115"/>
  <c r="D33" i="233" s="1"/>
  <c r="AD36" i="112"/>
  <c r="F51" i="115"/>
  <c r="E53" i="112"/>
  <c r="F26" i="115"/>
  <c r="D341" i="233"/>
  <c r="E41" i="112"/>
  <c r="F27" i="115"/>
  <c r="D354" i="233"/>
  <c r="D352" i="233"/>
  <c r="B49" i="115"/>
  <c r="D48" i="233" s="1"/>
  <c r="AD49" i="112"/>
  <c r="C16" i="115"/>
  <c r="G24" i="115"/>
  <c r="B5" i="172"/>
  <c r="B19" i="168"/>
  <c r="F17" i="115"/>
  <c r="G35" i="115"/>
  <c r="AD44" i="112"/>
  <c r="B43" i="115"/>
  <c r="D42" i="233" s="1"/>
  <c r="D317" i="233"/>
  <c r="D364" i="233"/>
  <c r="B14" i="172"/>
  <c r="B21" i="168"/>
  <c r="G39" i="115"/>
  <c r="B19" i="172"/>
  <c r="B41" i="168"/>
  <c r="B43" i="168"/>
  <c r="B52" i="172"/>
  <c r="D361" i="233"/>
  <c r="E5" i="112"/>
  <c r="C10" i="115"/>
  <c r="E4" i="112"/>
  <c r="B23" i="115"/>
  <c r="D22" i="233" s="1"/>
  <c r="AD24" i="112"/>
  <c r="D333" i="233"/>
  <c r="F29" i="115"/>
  <c r="G25" i="115"/>
  <c r="D324" i="233"/>
  <c r="B18" i="115"/>
  <c r="D17" i="233" s="1"/>
  <c r="AD16" i="112"/>
  <c r="AD22" i="112"/>
  <c r="B21" i="115"/>
  <c r="D20" i="233" s="1"/>
  <c r="C21" i="115"/>
  <c r="G31" i="115"/>
  <c r="B33" i="168"/>
  <c r="B44" i="172"/>
  <c r="F42" i="115"/>
  <c r="F40" i="115"/>
  <c r="F45" i="115"/>
  <c r="G21" i="115"/>
  <c r="D316" i="233"/>
  <c r="Y4" i="112"/>
  <c r="E36" i="112"/>
  <c r="O21" i="115" l="1"/>
  <c r="P21" i="115" s="1"/>
  <c r="D176" i="233"/>
  <c r="M40" i="115"/>
  <c r="N40" i="115" s="1"/>
  <c r="D453" i="233"/>
  <c r="D366" i="233"/>
  <c r="D180" i="233"/>
  <c r="O25" i="115"/>
  <c r="P25" i="115" s="1"/>
  <c r="D374" i="233"/>
  <c r="D369" i="233"/>
  <c r="O35" i="115"/>
  <c r="P35" i="115" s="1"/>
  <c r="D190" i="233"/>
  <c r="D384" i="233"/>
  <c r="D390" i="233"/>
  <c r="D368" i="233"/>
  <c r="M10" i="115"/>
  <c r="N10" i="115" s="1"/>
  <c r="D423" i="233"/>
  <c r="D431" i="233"/>
  <c r="M18" i="115"/>
  <c r="N18" i="115" s="1"/>
  <c r="D382" i="233"/>
  <c r="D372" i="233"/>
  <c r="O27" i="115"/>
  <c r="P27" i="115" s="1"/>
  <c r="D182" i="233"/>
  <c r="D207" i="233"/>
  <c r="O52" i="115"/>
  <c r="P52" i="115" s="1"/>
  <c r="M46" i="115"/>
  <c r="N46" i="115" s="1"/>
  <c r="D459" i="233"/>
  <c r="D178" i="233"/>
  <c r="O23" i="115"/>
  <c r="P23" i="115" s="1"/>
  <c r="D433" i="233"/>
  <c r="M20" i="115"/>
  <c r="N20" i="115" s="1"/>
  <c r="M38" i="115"/>
  <c r="N38" i="115" s="1"/>
  <c r="D451" i="233"/>
  <c r="D389" i="233"/>
  <c r="D404" i="233"/>
  <c r="M21" i="115"/>
  <c r="N21" i="115" s="1"/>
  <c r="D434" i="233"/>
  <c r="D452" i="233"/>
  <c r="M39" i="115"/>
  <c r="N39" i="115" s="1"/>
  <c r="M41" i="115"/>
  <c r="N41" i="115" s="1"/>
  <c r="D454" i="233"/>
  <c r="O29" i="115"/>
  <c r="P29" i="115" s="1"/>
  <c r="D184" i="233"/>
  <c r="D171" i="233"/>
  <c r="O16" i="115"/>
  <c r="P16" i="115" s="1"/>
  <c r="D387" i="233"/>
  <c r="D166" i="233"/>
  <c r="O11" i="115"/>
  <c r="P11" i="115" s="1"/>
  <c r="D379" i="233"/>
  <c r="M5" i="115"/>
  <c r="N5" i="115" s="1"/>
  <c r="D418" i="233"/>
  <c r="D160" i="233"/>
  <c r="O5" i="115"/>
  <c r="P5" i="115" s="1"/>
  <c r="D201" i="233"/>
  <c r="O46" i="115"/>
  <c r="P46" i="115" s="1"/>
  <c r="D438" i="233"/>
  <c r="M25" i="115"/>
  <c r="N25" i="115" s="1"/>
  <c r="D380" i="233"/>
  <c r="B57" i="168"/>
  <c r="O17" i="115"/>
  <c r="P17" i="115" s="1"/>
  <c r="D172" i="233"/>
  <c r="D378" i="233"/>
  <c r="O30" i="115"/>
  <c r="P30" i="115" s="1"/>
  <c r="D185" i="233"/>
  <c r="O43" i="115"/>
  <c r="P43" i="115" s="1"/>
  <c r="D198" i="233"/>
  <c r="O33" i="115"/>
  <c r="P33" i="115" s="1"/>
  <c r="D188" i="233"/>
  <c r="B58" i="115"/>
  <c r="D2" i="233"/>
  <c r="B56" i="115"/>
  <c r="D399" i="233"/>
  <c r="D391" i="233"/>
  <c r="O48" i="115"/>
  <c r="P48" i="115" s="1"/>
  <c r="D203" i="233"/>
  <c r="M7" i="115"/>
  <c r="N7" i="115" s="1"/>
  <c r="D420" i="233"/>
  <c r="D392" i="233"/>
  <c r="D377" i="233"/>
  <c r="D406" i="233"/>
  <c r="O9" i="115"/>
  <c r="P9" i="115" s="1"/>
  <c r="D164" i="233"/>
  <c r="M34" i="115"/>
  <c r="N34" i="115" s="1"/>
  <c r="D447" i="233"/>
  <c r="D402" i="233"/>
  <c r="D386" i="233"/>
  <c r="D435" i="233"/>
  <c r="M22" i="115"/>
  <c r="N22" i="115" s="1"/>
  <c r="D403" i="233"/>
  <c r="M53" i="115"/>
  <c r="N53" i="115" s="1"/>
  <c r="D466" i="233"/>
  <c r="D432" i="233"/>
  <c r="M19" i="115"/>
  <c r="N19" i="115" s="1"/>
  <c r="D174" i="233"/>
  <c r="O19" i="115"/>
  <c r="P19" i="115" s="1"/>
  <c r="D394" i="233"/>
  <c r="C57" i="115"/>
  <c r="M44" i="115"/>
  <c r="N44" i="115" s="1"/>
  <c r="D457" i="233"/>
  <c r="D370" i="233"/>
  <c r="M15" i="115"/>
  <c r="N15" i="115" s="1"/>
  <c r="D428" i="233"/>
  <c r="D388" i="233"/>
  <c r="D461" i="233"/>
  <c r="M48" i="115"/>
  <c r="N48" i="115" s="1"/>
  <c r="D414" i="233"/>
  <c r="O15" i="115"/>
  <c r="P15" i="115" s="1"/>
  <c r="D170" i="233"/>
  <c r="D446" i="233"/>
  <c r="M33" i="115"/>
  <c r="N33" i="115" s="1"/>
  <c r="D416" i="233"/>
  <c r="M3" i="115"/>
  <c r="N3" i="115" s="1"/>
  <c r="F57" i="115"/>
  <c r="O7" i="115"/>
  <c r="P7" i="115" s="1"/>
  <c r="D162" i="233"/>
  <c r="O50" i="115"/>
  <c r="P50" i="115" s="1"/>
  <c r="D205" i="233"/>
  <c r="D445" i="233"/>
  <c r="M32" i="115"/>
  <c r="N32" i="115" s="1"/>
  <c r="D175" i="233"/>
  <c r="O20" i="115"/>
  <c r="P20" i="115" s="1"/>
  <c r="O28" i="115"/>
  <c r="P28" i="115" s="1"/>
  <c r="D183" i="233"/>
  <c r="D385" i="233"/>
  <c r="M13" i="115"/>
  <c r="N13" i="115" s="1"/>
  <c r="D426" i="233"/>
  <c r="D411" i="233"/>
  <c r="D424" i="233"/>
  <c r="M11" i="115"/>
  <c r="N11" i="115" s="1"/>
  <c r="O6" i="115"/>
  <c r="P6" i="115" s="1"/>
  <c r="D161" i="233"/>
  <c r="M45" i="115"/>
  <c r="N45" i="115" s="1"/>
  <c r="D458" i="233"/>
  <c r="D455" i="233"/>
  <c r="M42" i="115"/>
  <c r="N42" i="115" s="1"/>
  <c r="O31" i="115"/>
  <c r="P31" i="115" s="1"/>
  <c r="D186" i="233"/>
  <c r="D393" i="233"/>
  <c r="M29" i="115"/>
  <c r="N29" i="115" s="1"/>
  <c r="D442" i="233"/>
  <c r="D367" i="233"/>
  <c r="D194" i="233"/>
  <c r="O39" i="115"/>
  <c r="P39" i="115" s="1"/>
  <c r="M17" i="115"/>
  <c r="N17" i="115" s="1"/>
  <c r="D430" i="233"/>
  <c r="D179" i="233"/>
  <c r="O24" i="115"/>
  <c r="P24" i="115" s="1"/>
  <c r="M27" i="115"/>
  <c r="N27" i="115" s="1"/>
  <c r="D440" i="233"/>
  <c r="D439" i="233"/>
  <c r="M26" i="115"/>
  <c r="N26" i="115" s="1"/>
  <c r="D464" i="233"/>
  <c r="M51" i="115"/>
  <c r="N51" i="115" s="1"/>
  <c r="O8" i="115"/>
  <c r="P8" i="115" s="1"/>
  <c r="D163" i="233"/>
  <c r="O26" i="115"/>
  <c r="P26" i="115" s="1"/>
  <c r="D181" i="233"/>
  <c r="M28" i="115"/>
  <c r="N28" i="115" s="1"/>
  <c r="D441" i="233"/>
  <c r="D422" i="233"/>
  <c r="M9" i="115"/>
  <c r="N9" i="115" s="1"/>
  <c r="O51" i="115"/>
  <c r="P51" i="115" s="1"/>
  <c r="D206" i="233"/>
  <c r="D165" i="233"/>
  <c r="O10" i="115"/>
  <c r="P10" i="115" s="1"/>
  <c r="M52" i="115"/>
  <c r="N52" i="115" s="1"/>
  <c r="D465" i="233"/>
  <c r="D204" i="233"/>
  <c r="O49" i="115"/>
  <c r="P49" i="115" s="1"/>
  <c r="D443" i="233"/>
  <c r="M30" i="115"/>
  <c r="N30" i="115" s="1"/>
  <c r="M24" i="115"/>
  <c r="N24" i="115" s="1"/>
  <c r="D437" i="233"/>
  <c r="D208" i="233"/>
  <c r="O53" i="115"/>
  <c r="P53" i="115" s="1"/>
  <c r="D200" i="233"/>
  <c r="O45" i="115"/>
  <c r="P45" i="115" s="1"/>
  <c r="D450" i="233"/>
  <c r="M37" i="115"/>
  <c r="N37" i="115" s="1"/>
  <c r="M43" i="115"/>
  <c r="N43" i="115" s="1"/>
  <c r="D456" i="233"/>
  <c r="O47" i="115"/>
  <c r="P47" i="115" s="1"/>
  <c r="D202" i="233"/>
  <c r="D400" i="233"/>
  <c r="D448" i="233"/>
  <c r="M35" i="115"/>
  <c r="N35" i="115" s="1"/>
  <c r="D407" i="233"/>
  <c r="D396" i="233"/>
  <c r="O18" i="115"/>
  <c r="P18" i="115" s="1"/>
  <c r="D173" i="233"/>
  <c r="D375" i="233"/>
  <c r="D412" i="233"/>
  <c r="D371" i="233"/>
  <c r="D413" i="233"/>
  <c r="D199" i="233"/>
  <c r="O44" i="115"/>
  <c r="P44" i="115" s="1"/>
  <c r="D395" i="233"/>
  <c r="D408" i="233"/>
  <c r="D197" i="233"/>
  <c r="O42" i="115"/>
  <c r="P42" i="115" s="1"/>
  <c r="D409" i="233"/>
  <c r="D159" i="233"/>
  <c r="O4" i="115"/>
  <c r="P4" i="115" s="1"/>
  <c r="D397" i="233"/>
  <c r="O32" i="115"/>
  <c r="P32" i="115" s="1"/>
  <c r="D187" i="233"/>
  <c r="D410" i="233"/>
  <c r="M14" i="115"/>
  <c r="N14" i="115" s="1"/>
  <c r="D427" i="233"/>
  <c r="D449" i="233"/>
  <c r="M36" i="115"/>
  <c r="N36" i="115" s="1"/>
  <c r="D462" i="233"/>
  <c r="M49" i="115"/>
  <c r="N49" i="115" s="1"/>
  <c r="D365" i="233"/>
  <c r="D169" i="233"/>
  <c r="O14" i="115"/>
  <c r="P14" i="115" s="1"/>
  <c r="M12" i="115"/>
  <c r="N12" i="115" s="1"/>
  <c r="D425" i="233"/>
  <c r="D381" i="233"/>
  <c r="D383" i="233"/>
  <c r="M31" i="115"/>
  <c r="N31" i="115" s="1"/>
  <c r="D444" i="233"/>
  <c r="D177" i="233"/>
  <c r="O22" i="115"/>
  <c r="P22" i="115" s="1"/>
  <c r="O40" i="115"/>
  <c r="P40" i="115" s="1"/>
  <c r="D195" i="233"/>
  <c r="D463" i="233"/>
  <c r="M50" i="115"/>
  <c r="N50" i="115" s="1"/>
  <c r="D193" i="233"/>
  <c r="O38" i="115"/>
  <c r="P38" i="115" s="1"/>
  <c r="O41" i="115"/>
  <c r="P41" i="115" s="1"/>
  <c r="D196" i="233"/>
  <c r="O34" i="115"/>
  <c r="P34" i="115" s="1"/>
  <c r="D189" i="233"/>
  <c r="D421" i="233"/>
  <c r="M8" i="115"/>
  <c r="N8" i="115" s="1"/>
  <c r="D398" i="233"/>
  <c r="D460" i="233"/>
  <c r="M47" i="115"/>
  <c r="N47" i="115" s="1"/>
  <c r="D429" i="233"/>
  <c r="M16" i="115"/>
  <c r="N16" i="115" s="1"/>
  <c r="O13" i="115"/>
  <c r="P13" i="115" s="1"/>
  <c r="D168" i="233"/>
  <c r="D419" i="233"/>
  <c r="M6" i="115"/>
  <c r="N6" i="115" s="1"/>
  <c r="M4" i="115"/>
  <c r="N4" i="115" s="1"/>
  <c r="D417" i="233"/>
  <c r="D167" i="233"/>
  <c r="O12" i="115"/>
  <c r="P12" i="115" s="1"/>
  <c r="AD57" i="112"/>
  <c r="O37" i="115"/>
  <c r="P37" i="115" s="1"/>
  <c r="D192" i="233"/>
  <c r="D376" i="233"/>
  <c r="M23" i="115"/>
  <c r="N23" i="115" s="1"/>
  <c r="D436" i="233"/>
  <c r="D373" i="233"/>
  <c r="D401" i="233"/>
  <c r="D191" i="233"/>
  <c r="O36" i="115"/>
  <c r="P36" i="115" s="1"/>
  <c r="D158" i="233"/>
  <c r="O3" i="115"/>
  <c r="P3" i="115" s="1"/>
  <c r="G57" i="115"/>
  <c r="D405" i="233"/>
  <c r="P57" i="115" l="1"/>
  <c r="P60" i="115"/>
  <c r="P59" i="115"/>
  <c r="P58" i="115"/>
  <c r="N60" i="115"/>
  <c r="N59" i="115"/>
  <c r="N58" i="115"/>
  <c r="N57" i="115"/>
</calcChain>
</file>

<file path=xl/comments1.xml><?xml version="1.0" encoding="utf-8"?>
<comments xmlns="http://schemas.openxmlformats.org/spreadsheetml/2006/main">
  <authors>
    <author/>
  </authors>
  <commentList>
    <comment ref="E5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6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7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8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9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10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11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12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13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14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15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16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17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18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19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20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21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22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23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24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25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26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27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28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29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30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31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32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33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34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35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36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37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38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39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40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41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42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43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44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45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46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47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48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49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50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51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52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53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54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55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E56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F56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</commentList>
</comments>
</file>

<file path=xl/connections.xml><?xml version="1.0" encoding="utf-8"?>
<connections xmlns="http://schemas.openxmlformats.org/spreadsheetml/2006/main">
  <connection id="1" name="search1" type="4" refreshedVersion="0" background="1">
    <webPr xml="1" sourceData="1" url="http://api.stlouisfed.org/fred/series/search?search_text=WY*&amp;api_key=e2ddad77bf1066d5453b6e18f1f2958f&amp;search_type=series_id&amp;limit=100&amp;order_by=popularity&amp;filter_variable=&amp;filter_value=&amp;sort_order=" htmlTables="1" htmlFormat="all"/>
  </connection>
  <connection id="2" name="search10" type="4" refreshedVersion="0" background="1">
    <webPr xml="1" sourceData="1" url="http://api.stlouisfed.org/fred/series/search?search_text=NJ*&amp;api_key=e2ddad77bf1066d5453b6e18f1f2958f&amp;order_by=popularity&amp;tag_names=annual&amp;limit=100" htmlTables="1" htmlFormat="all"/>
  </connection>
  <connection id="3" name="search11" type="4" refreshedVersion="0" background="1">
    <webPr xml="1" sourceData="1" url="http://api.stlouisfed.org/fred/series/search?search_text=AK*&amp;api_key=e2ddad77bf1066d5453b6e18f1f2958f&amp;search_type=series_id&amp;limit=100&amp;order_by=&amp;filter_variable=&amp;filter_value=&amp;sort_order=" htmlTables="1" htmlFormat="all"/>
  </connection>
  <connection id="4" name="search12" type="4" refreshedVersion="0" background="1">
    <webPr xml="1" sourceData="1" url="http://api.stlouisfed.org/fred/series/search?search_text=AK*&amp;api_key=e2ddad77bf1066d5453b6e18f1f2958f&amp;order_by=popularity&amp;tag_names=annual&amp;limit=100" htmlTables="1" htmlFormat="all"/>
  </connection>
  <connection id="5" name="search13" type="4" refreshedVersion="0" background="1">
    <webPr xml="1" sourceData="1" url="http://api.stlouisfed.org/fred/series/search?search_text=permit&amp;api_key=e2ddad77bf1066d5453b6e18f1f2958f&amp;search_type=full_text&amp;limit=100&amp;order_by=&amp;filter_variable=&amp;filter_value=&amp;sort_order=" htmlTables="1" htmlFormat="all"/>
  </connection>
  <connection id="6" name="search14" type="4" refreshedVersion="0" background="1">
    <webPr xml="1" sourceData="1" url="http://api.stlouisfed.org/fred/series/search?search_text=permit&amp;api_key=e2ddad77bf1066d5453b6e18f1f2958f&amp;search_type=full_text&amp;limit=100&amp;order_by=&amp;filter_variable=&amp;filter_value=&amp;sort_order=" htmlTables="1" htmlFormat="all"/>
  </connection>
  <connection id="7" name="search2" type="4" refreshedVersion="0" background="1">
    <webPr xml="1" sourceData="1" url="http://api.stlouisfed.org/fred/series/search?search_text=WY*HPI*&amp;api_key=e2ddad77bf1066d5453b6e18f1f2958f&amp;search_type=series_id&amp;limit=100&amp;order_by=popularity&amp;filter_variable=&amp;filter_value=&amp;sort_order=" htmlTables="1" htmlFormat="all"/>
  </connection>
  <connection id="8" name="search3" type="4" refreshedVersion="0" background="1">
    <webPr xml="1" sourceData="1" url="http://api.stlouisfed.org/fred/series/search?search_text=AK&amp;api_key=e2ddad77bf1066d5453b6e18f1f2958f&amp;search_type=full_text&amp;limit=100&amp;order_by=popularity&amp;filter_variable=&amp;filter_value=&amp;sort_order=" htmlTables="1" htmlFormat="all"/>
  </connection>
  <connection id="9" name="search4" type="4" refreshedVersion="0" background="1">
    <webPr xml="1" sourceData="1" url="http://api.stlouisfed.org/fred/series/search?search_text=AK employment&amp;api_key=e2ddad77bf1066d5453b6e18f1f2958f&amp;search_type=full_text&amp;limit=100&amp;order_by=popularity&amp;filter_variable=&amp;filter_value=&amp;sort_order=" htmlTables="1" htmlFormat="all"/>
  </connection>
  <connection id="10" name="search5" type="4" refreshedVersion="0" background="1">
    <webPr xml="1" sourceData="1" url="http://api.stlouisfed.org/fred/series/search?search_text=pay*&amp;api_key=e2ddad77bf1066d5453b6e18f1f2958f&amp;search_type=series_id&amp;limit=100&amp;order_by=popularity&amp;filter_variable=&amp;filter_value=&amp;sort_order=" htmlTables="1" htmlFormat="all"/>
  </connection>
  <connection id="11" name="search6" type="4" refreshedVersion="0" background="1">
    <webPr xml="1" sourceData="1" url="http://api.stlouisfed.org/fred/series/search?search_text=USGOV&amp;api_key=e2ddad77bf1066d5453b6e18f1f2958f&amp;search_type=series_id&amp;limit=100&amp;order_by=&amp;filter_variable=&amp;filter_value=&amp;sort_order=" htmlTables="1" htmlFormat="all"/>
  </connection>
  <connection id="12" name="search7" type="4" refreshedVersion="0" background="1">
    <webPr xml="1" sourceData="1" url="http://api.stlouisfed.org/fred/series/search?search_text=federal employment&amp;api_key=e2ddad77bf1066d5453b6e18f1f2958f&amp;search_type=full_text&amp;limit=100&amp;order_by=&amp;filter_variable=&amp;filter_value=&amp;sort_order=" htmlTables="1" htmlFormat="all"/>
  </connection>
  <connection id="13" name="search8" type="4" refreshedVersion="0" background="1">
    <webPr xml="1" sourceData="1" url="http://api.stlouisfed.org/fred/series/search?search_text=federal employment&amp;api_key=e2ddad77bf1066d5453b6e18f1f2958f&amp;search_type=full_text&amp;limit=100&amp;order_by=&amp;filter_variable=&amp;filter_value=&amp;sort_order=" htmlTables="1" htmlFormat="all"/>
  </connection>
  <connection id="14" name="search9" type="4" refreshedVersion="0" background="1">
    <webPr xml="1" sourceData="1" url="http://api.stlouisfed.org/fred/series/search?search_text=NJ*&amp;api_key=e2ddad77bf1066d5453b6e18f1f2958f&amp;search_type=series_id&amp;limit=100&amp;order_by=&amp;filter_variable=&amp;filter_value=&amp;sort_order=" htmlTables="1" htmlFormat="all"/>
  </connection>
  <connection id="15" name="tags" type="4" refreshedVersion="0" background="1">
    <webPr xml="1" sourceData="1" url="http://api.stlouisfed.org/fred/series/search/tags?series_search_text=NJ*&amp;api_key=e2ddad77bf1066d5453b6e18f1f2958f&amp;order_by=name&amp;tag_group_id=freq" htmlTables="1" htmlFormat="all"/>
  </connection>
  <connection id="16" name="tags1" type="4" refreshedVersion="0" background="1">
    <webPr xml="1" sourceData="1" url="http://api.stlouisfed.org/fred/series/search/tags?series_search_text=AK*&amp;api_key=e2ddad77bf1066d5453b6e18f1f2958f&amp;order_by=name&amp;tag_group_id=freq" htmlTables="1" htmlFormat="all"/>
  </connection>
</connections>
</file>

<file path=xl/sharedStrings.xml><?xml version="1.0" encoding="utf-8"?>
<sst xmlns="http://schemas.openxmlformats.org/spreadsheetml/2006/main" count="6495" uniqueCount="998">
  <si>
    <t>PAYEMS</t>
  </si>
  <si>
    <t>UNRATE</t>
  </si>
  <si>
    <t>USSLIND</t>
  </si>
  <si>
    <t>lin</t>
  </si>
  <si>
    <t>All Employees: Total nonfarm</t>
  </si>
  <si>
    <t>Monthly</t>
  </si>
  <si>
    <t>Thousands of Persons</t>
  </si>
  <si>
    <t>M</t>
  </si>
  <si>
    <t>date</t>
  </si>
  <si>
    <t>value</t>
  </si>
  <si>
    <t>Thousands of Units</t>
  </si>
  <si>
    <t>Civilian Unemployment Rate</t>
  </si>
  <si>
    <t>Percent</t>
  </si>
  <si>
    <t>Leading Index for the United States</t>
  </si>
  <si>
    <t>Federal Reserve Bank of Philadelphia</t>
  </si>
  <si>
    <t>ALNA</t>
  </si>
  <si>
    <t>ALBPPRIV</t>
  </si>
  <si>
    <t>ALUR</t>
  </si>
  <si>
    <t>ALSLIND</t>
  </si>
  <si>
    <t>USPHCI</t>
  </si>
  <si>
    <t>Coincident Economic Activity Index for the United States</t>
  </si>
  <si>
    <t>July 1992=100</t>
  </si>
  <si>
    <t>ALPHCI</t>
  </si>
  <si>
    <t>New Private Housing Units Authorized By Building Permit for Alabama</t>
  </si>
  <si>
    <t>Units</t>
  </si>
  <si>
    <t>Unemployment Rate in Alabama</t>
  </si>
  <si>
    <t>Leading Index for Alabama</t>
  </si>
  <si>
    <t>Coincident Economic Activity Index for Alabama</t>
  </si>
  <si>
    <t>AKNA</t>
  </si>
  <si>
    <t>AKBPPRIV</t>
  </si>
  <si>
    <t>AKUR</t>
  </si>
  <si>
    <t>AKSLIND</t>
  </si>
  <si>
    <t>AKPHCI</t>
  </si>
  <si>
    <t>New Private Housing Units Authorized By Building Permit for Alaska</t>
  </si>
  <si>
    <t>Unemployment Rate in Alaska</t>
  </si>
  <si>
    <t>Leading Index for Alaska</t>
  </si>
  <si>
    <t>Coincident Economic Activity Index for Alaska</t>
  </si>
  <si>
    <t>ARNA</t>
  </si>
  <si>
    <t>ARBPPRIV</t>
  </si>
  <si>
    <t>ARUR</t>
  </si>
  <si>
    <t>ARSLIND</t>
  </si>
  <si>
    <t>ARPHCI</t>
  </si>
  <si>
    <t>New Private Housing Units Authorized By Building Permit for Arkansas</t>
  </si>
  <si>
    <t>Unemployment Rate in Arkansas</t>
  </si>
  <si>
    <t>Leading Index for Arkansas</t>
  </si>
  <si>
    <t>Coincident Economic Activity Index for Arkansas</t>
  </si>
  <si>
    <t>AZNA</t>
  </si>
  <si>
    <t>AZBPPRIV</t>
  </si>
  <si>
    <t>AZUR</t>
  </si>
  <si>
    <t>AZSLIND</t>
  </si>
  <si>
    <t>AZPHCI</t>
  </si>
  <si>
    <t>New Private Housing Units Authorized By Building Permit for Arizona</t>
  </si>
  <si>
    <t>Unemployment Rate in Arizona</t>
  </si>
  <si>
    <t>Leading Index for Arizona</t>
  </si>
  <si>
    <t>Coincident Economic Activity Index for Arizona</t>
  </si>
  <si>
    <t>WYNA</t>
  </si>
  <si>
    <t>WYBPPRIV</t>
  </si>
  <si>
    <t>WYUR</t>
  </si>
  <si>
    <t>WYSLIND</t>
  </si>
  <si>
    <t>WYPHCI</t>
  </si>
  <si>
    <t>New Private Housing Units Authorized By Building Permit for Wyoming</t>
  </si>
  <si>
    <t>Unemployment Rate in Wyoming</t>
  </si>
  <si>
    <t>Leading Index for Wyoming</t>
  </si>
  <si>
    <t>Coincident Economic Activity Index for Wyoming</t>
  </si>
  <si>
    <t>CANA</t>
  </si>
  <si>
    <t>CABPPRIV</t>
  </si>
  <si>
    <t>CAUR</t>
  </si>
  <si>
    <t>CASLIND</t>
  </si>
  <si>
    <t>CAPHCI</t>
  </si>
  <si>
    <t>New Private Housing Units Authorized By Building Permit for California</t>
  </si>
  <si>
    <t>Unemployment Rate in California</t>
  </si>
  <si>
    <t>Leading Index for California</t>
  </si>
  <si>
    <t>Coincident Economic Activity Index for California</t>
  </si>
  <si>
    <t>CONA</t>
  </si>
  <si>
    <t>COBPPRIV</t>
  </si>
  <si>
    <t>COUR</t>
  </si>
  <si>
    <t>COSLIND</t>
  </si>
  <si>
    <t>COPHCI</t>
  </si>
  <si>
    <t>New Private Housing Units Authorized By Building Permit for Colorado</t>
  </si>
  <si>
    <t>Unemployment Rate in Colorado</t>
  </si>
  <si>
    <t>Leading Index for Colorado</t>
  </si>
  <si>
    <t>Coincident Economic Activity Index for Colorado</t>
  </si>
  <si>
    <t>CTNA</t>
  </si>
  <si>
    <t>CTBPPRIV</t>
  </si>
  <si>
    <t>CTUR</t>
  </si>
  <si>
    <t>CTSLIND</t>
  </si>
  <si>
    <t>CTPHCI</t>
  </si>
  <si>
    <t>New Private Housing Units Authorized By Building Permit for Connecticut</t>
  </si>
  <si>
    <t>Unemployment Rate in Connecticut</t>
  </si>
  <si>
    <t>Leading Index for Connecticut</t>
  </si>
  <si>
    <t>Coincident Economic Activity Index for Connecticut</t>
  </si>
  <si>
    <t>DENA</t>
  </si>
  <si>
    <t>DEBPPRIV</t>
  </si>
  <si>
    <t>DEUR</t>
  </si>
  <si>
    <t>DESLIND</t>
  </si>
  <si>
    <t>DEPHCI</t>
  </si>
  <si>
    <t>New Private Housing Units Authorized By Building Permit for Delaware</t>
  </si>
  <si>
    <t>Unemployment Rate in Delaware</t>
  </si>
  <si>
    <t>Leading Index for Delaware</t>
  </si>
  <si>
    <t>Coincident Economic Activity Index for Delaware</t>
  </si>
  <si>
    <t>FLNA</t>
  </si>
  <si>
    <t>FLBPPRIV</t>
  </si>
  <si>
    <t>FLUR</t>
  </si>
  <si>
    <t>FLSLIND</t>
  </si>
  <si>
    <t>FLPHCI</t>
  </si>
  <si>
    <t>DCNA</t>
  </si>
  <si>
    <t>DCBPPRIV</t>
  </si>
  <si>
    <t>DCUR</t>
  </si>
  <si>
    <t>New Private Housing Units Authorized By Building Permit for Florida</t>
  </si>
  <si>
    <t>Unemployment Rate in Florida</t>
  </si>
  <si>
    <t>Leading Index for Florida</t>
  </si>
  <si>
    <t>Coincident Economic Activity Index for Florida</t>
  </si>
  <si>
    <t>GANA</t>
  </si>
  <si>
    <t>GABPPRIV</t>
  </si>
  <si>
    <t>GAUR</t>
  </si>
  <si>
    <t>GASLIND</t>
  </si>
  <si>
    <t>GAPHCI</t>
  </si>
  <si>
    <t>New Private Housing Units Authorized By Building Permit for Georgia</t>
  </si>
  <si>
    <t>Unemployment Rate in Georgia</t>
  </si>
  <si>
    <t>Leading Index for Georgia</t>
  </si>
  <si>
    <t>Coincident Economic Activity Index for Georgia</t>
  </si>
  <si>
    <t>HINA</t>
  </si>
  <si>
    <t>HIBPPRIV</t>
  </si>
  <si>
    <t>HIUR</t>
  </si>
  <si>
    <t>HISLIND</t>
  </si>
  <si>
    <t>HIPHCI</t>
  </si>
  <si>
    <t>New Private Housing Units Authorized By Building Permit for Hawaii</t>
  </si>
  <si>
    <t>Unemployment Rate in Hawaii</t>
  </si>
  <si>
    <t>Leading Index for Hawaii</t>
  </si>
  <si>
    <t>Coincident Economic Activity Index for Hawaii</t>
  </si>
  <si>
    <t>IANA</t>
  </si>
  <si>
    <t>IABPPRIV</t>
  </si>
  <si>
    <t>IAUR</t>
  </si>
  <si>
    <t>IASLIND</t>
  </si>
  <si>
    <t>IAPHCI</t>
  </si>
  <si>
    <t>New Private Housing Units Authorized By Building Permit for Iowa</t>
  </si>
  <si>
    <t>Unemployment Rate in Iowa</t>
  </si>
  <si>
    <t>Leading Index for Iowa</t>
  </si>
  <si>
    <t>Coincident Economic Activity Index for Iowa</t>
  </si>
  <si>
    <t>IDNA</t>
  </si>
  <si>
    <t>IDBPPRIV</t>
  </si>
  <si>
    <t>IDUR</t>
  </si>
  <si>
    <t>IDSLIND</t>
  </si>
  <si>
    <t>IDPHCI</t>
  </si>
  <si>
    <t>New Private Housing Units Authorized By Building Permit for Idaho</t>
  </si>
  <si>
    <t>Unemployment Rate in Idaho</t>
  </si>
  <si>
    <t>Leading Index for Idaho</t>
  </si>
  <si>
    <t>Coincident Economic Activity Index for Idaho</t>
  </si>
  <si>
    <t>ILNA</t>
  </si>
  <si>
    <t>ILBPPRIV</t>
  </si>
  <si>
    <t>ILUR</t>
  </si>
  <si>
    <t>ILSLIND</t>
  </si>
  <si>
    <t>ILPHCI</t>
  </si>
  <si>
    <t>INNA</t>
  </si>
  <si>
    <t>INBPPRIV</t>
  </si>
  <si>
    <t>INUR</t>
  </si>
  <si>
    <t>INSLIND</t>
  </si>
  <si>
    <t>INPHCI</t>
  </si>
  <si>
    <t>KSNA</t>
  </si>
  <si>
    <t>KSBPPRIV</t>
  </si>
  <si>
    <t>KSUR</t>
  </si>
  <si>
    <t>KSSLIND</t>
  </si>
  <si>
    <t>KSPHCI</t>
  </si>
  <si>
    <t>KYNA</t>
  </si>
  <si>
    <t>KYBPPRIV</t>
  </si>
  <si>
    <t>KYUR</t>
  </si>
  <si>
    <t>KYSLIND</t>
  </si>
  <si>
    <t>KYPHCI</t>
  </si>
  <si>
    <t>LANA</t>
  </si>
  <si>
    <t>LABPPRIV</t>
  </si>
  <si>
    <t>LAUR</t>
  </si>
  <si>
    <t>LASLIND</t>
  </si>
  <si>
    <t>LAPHCI</t>
  </si>
  <si>
    <t>MANA</t>
  </si>
  <si>
    <t>MABPPRIV</t>
  </si>
  <si>
    <t>MAUR</t>
  </si>
  <si>
    <t>MASLIND</t>
  </si>
  <si>
    <t>MAPHCI</t>
  </si>
  <si>
    <t>MDNA</t>
  </si>
  <si>
    <t>MDBPPRIV</t>
  </si>
  <si>
    <t>MDUR</t>
  </si>
  <si>
    <t>MDSLIND</t>
  </si>
  <si>
    <t>MDPHCI</t>
  </si>
  <si>
    <t>MENA</t>
  </si>
  <si>
    <t>MEBPPRIV</t>
  </si>
  <si>
    <t>MEUR</t>
  </si>
  <si>
    <t>MESLIND</t>
  </si>
  <si>
    <t>MEPHCI</t>
  </si>
  <si>
    <t>MNNA</t>
  </si>
  <si>
    <t>MNBPPRIV</t>
  </si>
  <si>
    <t>MNUR</t>
  </si>
  <si>
    <t>MNSLIND</t>
  </si>
  <si>
    <t>MNPHCI</t>
  </si>
  <si>
    <t>MONA</t>
  </si>
  <si>
    <t>MOBPPRIV</t>
  </si>
  <si>
    <t>MOUR</t>
  </si>
  <si>
    <t>MOSLIND</t>
  </si>
  <si>
    <t>MOPHCI</t>
  </si>
  <si>
    <t>MINA</t>
  </si>
  <si>
    <t>MIBPPRIV</t>
  </si>
  <si>
    <t>MIUR</t>
  </si>
  <si>
    <t>MISLIND</t>
  </si>
  <si>
    <t>MIPHCI</t>
  </si>
  <si>
    <t>MSNA</t>
  </si>
  <si>
    <t>MSBPPRIV</t>
  </si>
  <si>
    <t>MSUR</t>
  </si>
  <si>
    <t>MSSLIND</t>
  </si>
  <si>
    <t>MSPHCI</t>
  </si>
  <si>
    <t>MTNA</t>
  </si>
  <si>
    <t>MTBPPRIV</t>
  </si>
  <si>
    <t>MTUR</t>
  </si>
  <si>
    <t>MTSLIND</t>
  </si>
  <si>
    <t>MTPHCI</t>
  </si>
  <si>
    <t>NCNA</t>
  </si>
  <si>
    <t>NCBPPRIV</t>
  </si>
  <si>
    <t>NCUR</t>
  </si>
  <si>
    <t>NCSLIND</t>
  </si>
  <si>
    <t>NCPHCI</t>
  </si>
  <si>
    <t>NDNA</t>
  </si>
  <si>
    <t>NDBPPRIV</t>
  </si>
  <si>
    <t>NDUR</t>
  </si>
  <si>
    <t>NDSLIND</t>
  </si>
  <si>
    <t>NDPHCI</t>
  </si>
  <si>
    <t>NENA</t>
  </si>
  <si>
    <t>NEBPPRIV</t>
  </si>
  <si>
    <t>NEUR</t>
  </si>
  <si>
    <t>NESLIND</t>
  </si>
  <si>
    <t>NEPHCI</t>
  </si>
  <si>
    <t>NHNA</t>
  </si>
  <si>
    <t>NHBPPRIV</t>
  </si>
  <si>
    <t>NHUR</t>
  </si>
  <si>
    <t>NHSLIND</t>
  </si>
  <si>
    <t>NHPHCI</t>
  </si>
  <si>
    <t>NJNA</t>
  </si>
  <si>
    <t>NJBPPRIV</t>
  </si>
  <si>
    <t>NJUR</t>
  </si>
  <si>
    <t>NJSLIND</t>
  </si>
  <si>
    <t>NJPHCI</t>
  </si>
  <si>
    <t>NMNA</t>
  </si>
  <si>
    <t>NMBPPRIV</t>
  </si>
  <si>
    <t>NMUR</t>
  </si>
  <si>
    <t>NMSLIND</t>
  </si>
  <si>
    <t>NMPHCI</t>
  </si>
  <si>
    <t>NYNA</t>
  </si>
  <si>
    <t>NYBPPRIV</t>
  </si>
  <si>
    <t>NYUR</t>
  </si>
  <si>
    <t>NYSLIND</t>
  </si>
  <si>
    <t>NYPHCI</t>
  </si>
  <si>
    <t>OHNA</t>
  </si>
  <si>
    <t>OHBPPRIV</t>
  </si>
  <si>
    <t>OHUR</t>
  </si>
  <si>
    <t>OHSLIND</t>
  </si>
  <si>
    <t>OHPHCI</t>
  </si>
  <si>
    <t>OKNA</t>
  </si>
  <si>
    <t>OKBPPRIV</t>
  </si>
  <si>
    <t>OKUR</t>
  </si>
  <si>
    <t>OKSLIND</t>
  </si>
  <si>
    <t>OKPHCI</t>
  </si>
  <si>
    <t>ORNA</t>
  </si>
  <si>
    <t>ORBPPRIV</t>
  </si>
  <si>
    <t>ORUR</t>
  </si>
  <si>
    <t>ORSLIND</t>
  </si>
  <si>
    <t>ORPHCI</t>
  </si>
  <si>
    <t>PANA</t>
  </si>
  <si>
    <t>PABPPRIV</t>
  </si>
  <si>
    <t>PAUR</t>
  </si>
  <si>
    <t>PASLIND</t>
  </si>
  <si>
    <t>PAPHCI</t>
  </si>
  <si>
    <t>RINA</t>
  </si>
  <si>
    <t>RIBPPRIV</t>
  </si>
  <si>
    <t>RIUR</t>
  </si>
  <si>
    <t>RISLIND</t>
  </si>
  <si>
    <t>RIPHCI</t>
  </si>
  <si>
    <t>SCNA</t>
  </si>
  <si>
    <t>SCBPPRIV</t>
  </si>
  <si>
    <t>SCUR</t>
  </si>
  <si>
    <t>SCSLIND</t>
  </si>
  <si>
    <t>SCPHCI</t>
  </si>
  <si>
    <t>SDNA</t>
  </si>
  <si>
    <t>SDBPPRIV</t>
  </si>
  <si>
    <t>SDUR</t>
  </si>
  <si>
    <t>SDSLIND</t>
  </si>
  <si>
    <t>SDPHCI</t>
  </si>
  <si>
    <t>TXNA</t>
  </si>
  <si>
    <t>TXBPPRIV</t>
  </si>
  <si>
    <t>TXUR</t>
  </si>
  <si>
    <t>TXSLIND</t>
  </si>
  <si>
    <t>TXPHCI</t>
  </si>
  <si>
    <t>TNNA</t>
  </si>
  <si>
    <t>TNBPPRIV</t>
  </si>
  <si>
    <t>TNUR</t>
  </si>
  <si>
    <t>TNSLIND</t>
  </si>
  <si>
    <t>TNPHCI</t>
  </si>
  <si>
    <t>UTNA</t>
  </si>
  <si>
    <t>UTBPPRIV</t>
  </si>
  <si>
    <t>UTUR</t>
  </si>
  <si>
    <t>UTSLIND</t>
  </si>
  <si>
    <t>UTPHCI</t>
  </si>
  <si>
    <t>VANA</t>
  </si>
  <si>
    <t>VABPPRIV</t>
  </si>
  <si>
    <t>VAUR</t>
  </si>
  <si>
    <t>VASLIND</t>
  </si>
  <si>
    <t>VAPHCI</t>
  </si>
  <si>
    <t>VTNA</t>
  </si>
  <si>
    <t>VTBPPRIV</t>
  </si>
  <si>
    <t>VTUR</t>
  </si>
  <si>
    <t>VTSLIND</t>
  </si>
  <si>
    <t>VTPHCI</t>
  </si>
  <si>
    <t>WANA</t>
  </si>
  <si>
    <t>WABPPRIV</t>
  </si>
  <si>
    <t>WAUR</t>
  </si>
  <si>
    <t>WASLIND</t>
  </si>
  <si>
    <t>WAPHCI</t>
  </si>
  <si>
    <t>WINA</t>
  </si>
  <si>
    <t>WIBPPRIV</t>
  </si>
  <si>
    <t>WIUR</t>
  </si>
  <si>
    <t>WISLIND</t>
  </si>
  <si>
    <t>WIPHCI</t>
  </si>
  <si>
    <t>WVNA</t>
  </si>
  <si>
    <t>WVBPPRIV</t>
  </si>
  <si>
    <t>WVUR</t>
  </si>
  <si>
    <t>WVSLIND</t>
  </si>
  <si>
    <t>WVPHCI</t>
  </si>
  <si>
    <t>New Private Housing Units Authorized By Building Permit for West Virginia</t>
  </si>
  <si>
    <t>Unemployment Rate in West Virginia</t>
  </si>
  <si>
    <t>Leading Index for West Virginia</t>
  </si>
  <si>
    <t>Coincident Economic Activity Index for West Virginia</t>
  </si>
  <si>
    <t>New Private Housing Units Authorized By Building Permit for Wisconsin</t>
  </si>
  <si>
    <t>Unemployment Rate in Wisconsin</t>
  </si>
  <si>
    <t>Leading Index for Wisconsin</t>
  </si>
  <si>
    <t>Coincident Economic Activity Index for Wisconsin</t>
  </si>
  <si>
    <t>New Private Housing Units Authorized By Building Permit for Washington</t>
  </si>
  <si>
    <t>Unemployment Rate in Washington</t>
  </si>
  <si>
    <t>Leading Index for Washington</t>
  </si>
  <si>
    <t>Coincident Economic Activity Index for Washington</t>
  </si>
  <si>
    <t>New Private Housing Units Authorized By Building Permit for Vermont</t>
  </si>
  <si>
    <t>Unemployment Rate in Vermont</t>
  </si>
  <si>
    <t>Leading Index for Vermont</t>
  </si>
  <si>
    <t>Coincident Economic Activity Index for Vermont</t>
  </si>
  <si>
    <t>New Private Housing Units Authorized By Building Permit for Virginia</t>
  </si>
  <si>
    <t>Unemployment Rate in Virginia</t>
  </si>
  <si>
    <t>Leading Index for Virginia</t>
  </si>
  <si>
    <t>Coincident Economic Activity Index for Virginia</t>
  </si>
  <si>
    <t>New Private Housing Units Authorized By Building Permit for Utah</t>
  </si>
  <si>
    <t>Unemployment Rate in Utah</t>
  </si>
  <si>
    <t>Leading Index for Utah</t>
  </si>
  <si>
    <t>Coincident Economic Activity Index for Utah</t>
  </si>
  <si>
    <t>New Private Housing Units Authorized By Building Permit for Tennessee</t>
  </si>
  <si>
    <t>Unemployment Rate in Tennessee</t>
  </si>
  <si>
    <t>Leading Index for Tennessee</t>
  </si>
  <si>
    <t>Coincident Economic Activity Index for Tennessee</t>
  </si>
  <si>
    <t>New Private Housing Units Authorized By Building Permit for Texas</t>
  </si>
  <si>
    <t>Unemployment Rate in Texas</t>
  </si>
  <si>
    <t>Leading Index for Texas</t>
  </si>
  <si>
    <t>Coincident Economic Activity Index for Texas</t>
  </si>
  <si>
    <t>New Private Housing Units Authorized By Building Permit for South Dakota</t>
  </si>
  <si>
    <t>Unemployment Rate in South Dakota</t>
  </si>
  <si>
    <t>Leading Index for South Dakota</t>
  </si>
  <si>
    <t>Coincident Economic Activity Index for South Dakota</t>
  </si>
  <si>
    <t>New Private Housing Units Authorized By Building Permit for South Carolina</t>
  </si>
  <si>
    <t>Unemployment Rate in South Carolina</t>
  </si>
  <si>
    <t>Leading Index for South Carolina</t>
  </si>
  <si>
    <t>Coincident Economic Activity Index for South Carolina</t>
  </si>
  <si>
    <t>New Private Housing Units Authorized By Building Permit for Rhode Island</t>
  </si>
  <si>
    <t>Unemployment Rate in Rhode Island</t>
  </si>
  <si>
    <t>Leading Index for Rhode Island</t>
  </si>
  <si>
    <t>Coincident Economic Activity Index for Rhode Island</t>
  </si>
  <si>
    <t>New Private Housing Units Authorized By Building Permit for Pennsylvania</t>
  </si>
  <si>
    <t>Unemployment Rate in Pennsylvania</t>
  </si>
  <si>
    <t>Leading Index for Pennsylvania</t>
  </si>
  <si>
    <t>Coincident Economic Activity Index for Pennsylvania</t>
  </si>
  <si>
    <t>New Private Housing Units Authorized By Building Permit for Oregon</t>
  </si>
  <si>
    <t>Unemployment Rate in Oregon</t>
  </si>
  <si>
    <t>Leading Index for Oregon</t>
  </si>
  <si>
    <t>Coincident Economic Activity Index for Oregon</t>
  </si>
  <si>
    <t>New Private Housing Units Authorized By Building Permit for Oklahoma</t>
  </si>
  <si>
    <t>Unemployment Rate in Oklahoma</t>
  </si>
  <si>
    <t>Leading Index for Oklahoma</t>
  </si>
  <si>
    <t>Coincident Economic Activity Index for Oklahoma</t>
  </si>
  <si>
    <t>New Private Housing Units Authorized By Building Permit for Ohio</t>
  </si>
  <si>
    <t>Unemployment Rate in Ohio</t>
  </si>
  <si>
    <t>Leading Index for Ohio</t>
  </si>
  <si>
    <t>Coincident Economic Activity Index for Ohio</t>
  </si>
  <si>
    <t>New Private Housing Units Authorized By Building Permit for New York</t>
  </si>
  <si>
    <t>Unemployment Rate in New York</t>
  </si>
  <si>
    <t>Leading Index for New York</t>
  </si>
  <si>
    <t>Coincident Economic Activity Index for New York</t>
  </si>
  <si>
    <t>New Private Housing Units Authorized By Building Permit for New Mexico</t>
  </si>
  <si>
    <t>Unemployment Rate in New Mexico</t>
  </si>
  <si>
    <t>Leading Index for New Mexico</t>
  </si>
  <si>
    <t>Coincident Economic Activity Index for New Mexico</t>
  </si>
  <si>
    <t>New Private Housing Units Authorized By Building Permit for New Jersey</t>
  </si>
  <si>
    <t>Unemployment Rate in New Jersey</t>
  </si>
  <si>
    <t>Leading Index for New Jersey</t>
  </si>
  <si>
    <t>Coincident Economic Activity Index for New Jersey</t>
  </si>
  <si>
    <t>New Private Housing Units Authorized By Building Permit for New Hampshire</t>
  </si>
  <si>
    <t>Unemployment Rate in New Hampshire</t>
  </si>
  <si>
    <t>Leading Index for New Hampshire</t>
  </si>
  <si>
    <t>Coincident Economic Activity Index for New Hampshire</t>
  </si>
  <si>
    <t>New Private Housing Units Authorized By Building Permit for Nebraska</t>
  </si>
  <si>
    <t>Unemployment Rate in Nebraska</t>
  </si>
  <si>
    <t>Leading Index for Nebraska</t>
  </si>
  <si>
    <t>Coincident Economic Activity Index for Nebraska</t>
  </si>
  <si>
    <t>New Private Housing Units Authorized By Building Permit for North Dakota</t>
  </si>
  <si>
    <t>Unemployment Rate in North Dakota</t>
  </si>
  <si>
    <t>Leading Index for North Dakota</t>
  </si>
  <si>
    <t>Coincident Economic Activity Index for North Dakota</t>
  </si>
  <si>
    <t>New Private Housing Units Authorized By Building Permit for North Carolina</t>
  </si>
  <si>
    <t>Unemployment Rate in North Carolina</t>
  </si>
  <si>
    <t>Leading Index for North Carolina</t>
  </si>
  <si>
    <t>Coincident Economic Activity Index for North Carolina</t>
  </si>
  <si>
    <t>New Private Housing Units Authorized By Building Permit for Montana</t>
  </si>
  <si>
    <t>Unemployment Rate in Montana</t>
  </si>
  <si>
    <t>Leading Index for Montana</t>
  </si>
  <si>
    <t>Coincident Economic Activity Index for Montana</t>
  </si>
  <si>
    <t>New Private Housing Units Authorized By Building Permit for Mississippi</t>
  </si>
  <si>
    <t>Unemployment Rate in Mississippi</t>
  </si>
  <si>
    <t>Leading Index for Mississippi</t>
  </si>
  <si>
    <t>Coincident Economic Activity Index for Mississippi</t>
  </si>
  <si>
    <t>New Private Housing Units Authorized By Building Permit for Michigan</t>
  </si>
  <si>
    <t>Unemployment Rate in Michigan</t>
  </si>
  <si>
    <t>Leading Index for Michigan</t>
  </si>
  <si>
    <t>Coincident Economic Activity Index for Michigan</t>
  </si>
  <si>
    <t>New Private Housing Units Authorized By Building Permit for Missouri</t>
  </si>
  <si>
    <t>Unemployment Rate in Missouri</t>
  </si>
  <si>
    <t>Leading Index for Missouri</t>
  </si>
  <si>
    <t>Coincident Economic Activity Index for Missouri</t>
  </si>
  <si>
    <t>New Private Housing Units Authorized By Building Permit for Minnesota</t>
  </si>
  <si>
    <t>Unemployment Rate in Minnesota</t>
  </si>
  <si>
    <t>Leading Index for Minnesota</t>
  </si>
  <si>
    <t>Coincident Economic Activity Index for Minnesota</t>
  </si>
  <si>
    <t>New Private Housing Units Authorized By Building Permit for Maine</t>
  </si>
  <si>
    <t>Unemployment Rate in Maine</t>
  </si>
  <si>
    <t>Leading Index for Maine</t>
  </si>
  <si>
    <t>Coincident Economic Activity Index for Maine</t>
  </si>
  <si>
    <t>New Private Housing Units Authorized By Building Permit for Maryland</t>
  </si>
  <si>
    <t>Unemployment Rate in Maryland</t>
  </si>
  <si>
    <t>Leading Index for Maryland</t>
  </si>
  <si>
    <t>Coincident Economic Activity Index for Maryland</t>
  </si>
  <si>
    <t>New Private Housing Units Authorized By Building Permit for Massachusetts</t>
  </si>
  <si>
    <t>Unemployment Rate in Massachusetts</t>
  </si>
  <si>
    <t>Leading Index for Massachusetts</t>
  </si>
  <si>
    <t>Coincident Economic Activity Index for Massachusetts</t>
  </si>
  <si>
    <t>New Private Housing Units Authorized By Building Permit for Louisiana</t>
  </si>
  <si>
    <t>Unemployment Rate in Louisiana</t>
  </si>
  <si>
    <t>Leading Index for Louisiana</t>
  </si>
  <si>
    <t>Coincident Economic Activity Index for Louisiana</t>
  </si>
  <si>
    <t>New Private Housing Units Authorized By Building Permit for Kentucky</t>
  </si>
  <si>
    <t>Unemployment Rate in Kentucky</t>
  </si>
  <si>
    <t>Leading Index for Kentucky</t>
  </si>
  <si>
    <t>Coincident Economic Activity Index for Kentucky</t>
  </si>
  <si>
    <t>New Private Housing Units Authorized By Building Permit for Kansas</t>
  </si>
  <si>
    <t>Unemployment Rate in Kansas</t>
  </si>
  <si>
    <t>Leading Index for Kansas</t>
  </si>
  <si>
    <t>Coincident Economic Activity Index for Kansas</t>
  </si>
  <si>
    <t>New Private Housing Units Authorized By Building Permit for Indiana</t>
  </si>
  <si>
    <t>Unemployment Rate in Indiana</t>
  </si>
  <si>
    <t>Leading Index for Indiana</t>
  </si>
  <si>
    <t>Coincident Economic Activity Index for Indiana</t>
  </si>
  <si>
    <t>New Private Housing Units Authorized By Building Permit for Illinois</t>
  </si>
  <si>
    <t>Unemployment Rate in Illinois</t>
  </si>
  <si>
    <t>Leading Index for Illinois</t>
  </si>
  <si>
    <t>Coincident Economic Activity Index for Illinois</t>
  </si>
  <si>
    <t>New Private Housing Units Authorized By Building Permit for District of Columbia</t>
  </si>
  <si>
    <t>Unemployment Rate in the District of Columbia</t>
  </si>
  <si>
    <t>AL</t>
  </si>
  <si>
    <t>AK</t>
  </si>
  <si>
    <t>CA</t>
  </si>
  <si>
    <t>CT</t>
  </si>
  <si>
    <t>DE</t>
  </si>
  <si>
    <t>FL</t>
  </si>
  <si>
    <t>GA</t>
  </si>
  <si>
    <t>NM</t>
  </si>
  <si>
    <t>ND</t>
  </si>
  <si>
    <t>NC</t>
  </si>
  <si>
    <t>AR</t>
  </si>
  <si>
    <t>AZ</t>
  </si>
  <si>
    <t>CO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</si>
  <si>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</si>
  <si>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</si>
  <si>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</si>
  <si>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</si>
  <si>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</si>
  <si>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</si>
  <si>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</si>
  <si>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</si>
  <si>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</si>
  <si>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</si>
  <si>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</si>
  <si>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</si>
  <si>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</si>
  <si>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</si>
  <si>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</si>
  <si>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</si>
  <si>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</si>
  <si>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</si>
  <si>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</si>
  <si>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</si>
  <si>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NY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</si>
  <si>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</si>
  <si>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</si>
  <si>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</si>
  <si>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</si>
  <si>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</si>
  <si>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</si>
  <si>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</si>
  <si>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</si>
  <si>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</si>
  <si>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</si>
  <si>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</si>
  <si>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</si>
  <si>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</si>
  <si>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</si>
  <si>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</si>
  <si>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</si>
  <si>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NVNA</t>
  </si>
  <si>
    <t>NVBPPRIV</t>
  </si>
  <si>
    <t>NVUR</t>
  </si>
  <si>
    <t>NVSLIND</t>
  </si>
  <si>
    <t>NVPHCI</t>
  </si>
  <si>
    <t>New Private Housing Units Authorized By Building Permit for Nevada</t>
  </si>
  <si>
    <t>Unemployment Rate in Nevada</t>
  </si>
  <si>
    <t>Leading Index for Nevada</t>
  </si>
  <si>
    <t>Coincident Economic Activity Index for Nevada</t>
  </si>
  <si>
    <t>last row</t>
  </si>
  <si>
    <t>d</t>
  </si>
  <si>
    <t>f</t>
  </si>
  <si>
    <t>h</t>
  </si>
  <si>
    <t>j</t>
  </si>
  <si>
    <t>COIN1Y</t>
  </si>
  <si>
    <t>COIN3M</t>
  </si>
  <si>
    <t>LEAD</t>
  </si>
  <si>
    <t>LEAD3MOCHG</t>
  </si>
  <si>
    <t>RUC</t>
  </si>
  <si>
    <t>STARTYOY</t>
  </si>
  <si>
    <t>RUC1YCH</t>
  </si>
  <si>
    <t>EMP1Y</t>
  </si>
  <si>
    <t>GOVTEMP1Y</t>
  </si>
  <si>
    <t>l</t>
  </si>
  <si>
    <t>n</t>
  </si>
  <si>
    <t>USGOVT</t>
  </si>
  <si>
    <t>All Employees: Government</t>
  </si>
  <si>
    <t>State</t>
  </si>
  <si>
    <t>Unemployment rate (%)</t>
  </si>
  <si>
    <t>Year-over-year change in unemployment rate (percentage points)</t>
  </si>
  <si>
    <t>Average weekly earnings, all private employees ($)</t>
  </si>
  <si>
    <t>Year-over-year change in average weekly earnings, all private employees (%)</t>
  </si>
  <si>
    <t>Year-over-year change in total employment (%)</t>
  </si>
  <si>
    <t>Year-over-year change in public employment (%)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</si>
  <si>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</si>
  <si>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</si>
  <si>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</si>
  <si>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</si>
  <si>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</si>
  <si>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</si>
  <si>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</si>
  <si>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</si>
  <si>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 of 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</si>
  <si>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</si>
  <si>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</si>
  <si>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</si>
  <si>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</si>
  <si>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</si>
  <si>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</si>
  <si>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</si>
  <si>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</si>
  <si>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</si>
  <si>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</si>
  <si>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</si>
  <si>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</si>
  <si>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</si>
  <si>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</si>
  <si>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</si>
  <si>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</si>
  <si>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</si>
  <si>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</si>
  <si>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</si>
  <si>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</si>
  <si>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</si>
  <si>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</si>
  <si>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</si>
  <si>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</si>
  <si>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</si>
  <si>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</si>
  <si>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</si>
  <si>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</si>
  <si>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</si>
  <si>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</si>
  <si>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</si>
  <si>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</si>
  <si>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</si>
  <si>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</si>
  <si>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</si>
  <si>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</si>
  <si>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</si>
  <si>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</si>
  <si>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</si>
  <si>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</si>
  <si>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</si>
  <si>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</si>
  <si>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DC</t>
  </si>
  <si>
    <t>Personal income tax (%)</t>
  </si>
  <si>
    <t>Corporate income tax (%)</t>
  </si>
  <si>
    <t>Sales tax (%)</t>
  </si>
  <si>
    <t>Total tax revenues (%)</t>
  </si>
  <si>
    <t>Table 3. Changes in Housing Permits and House Prices</t>
  </si>
  <si>
    <t>United States</t>
  </si>
  <si>
    <t>COIN</t>
  </si>
  <si>
    <t>US</t>
  </si>
  <si>
    <t>LEAD1Y</t>
  </si>
  <si>
    <t>SMU56000000500000011</t>
  </si>
  <si>
    <t>SMU55000000500000011</t>
  </si>
  <si>
    <t>SMU54000000500000011</t>
  </si>
  <si>
    <t>SMU53000000500000011</t>
  </si>
  <si>
    <t>SMU51000000500000011</t>
  </si>
  <si>
    <t>SMU50000000500000011</t>
  </si>
  <si>
    <t>SMU49000000500000011</t>
  </si>
  <si>
    <t>SMU48000000500000011</t>
  </si>
  <si>
    <t>SMU47000000500000011</t>
  </si>
  <si>
    <t>SMU46000000500000011</t>
  </si>
  <si>
    <t>SMU45000000500000011</t>
  </si>
  <si>
    <t>SMU44000000500000011</t>
  </si>
  <si>
    <t>SMU42000000500000011</t>
  </si>
  <si>
    <t>SMU41000000500000011</t>
  </si>
  <si>
    <t>SMU40000000500000011</t>
  </si>
  <si>
    <t>SMU39000000500000011</t>
  </si>
  <si>
    <t>SMU38000000500000011</t>
  </si>
  <si>
    <t>SMU37000000500000011</t>
  </si>
  <si>
    <t>SMU36000000500000011</t>
  </si>
  <si>
    <t>SMU35000000500000011</t>
  </si>
  <si>
    <t>SMU34000000500000011</t>
  </si>
  <si>
    <t>SMU33000000500000011</t>
  </si>
  <si>
    <t>SMU32000000500000011</t>
  </si>
  <si>
    <t>SMU31000000500000011</t>
  </si>
  <si>
    <t>SMU30000000500000011</t>
  </si>
  <si>
    <t>SMU29000000500000011</t>
  </si>
  <si>
    <t>SMU28000000500000011</t>
  </si>
  <si>
    <t>SMU27000000500000011</t>
  </si>
  <si>
    <t>SMU26000000500000011</t>
  </si>
  <si>
    <t>SMU25000000500000011</t>
  </si>
  <si>
    <t>SMU24000000500000011</t>
  </si>
  <si>
    <t>SMU23000000500000011</t>
  </si>
  <si>
    <t>SMU22000000500000011</t>
  </si>
  <si>
    <t>SMU21000000500000011</t>
  </si>
  <si>
    <t>SMU20000000500000011</t>
  </si>
  <si>
    <t>SMU19000000500000011</t>
  </si>
  <si>
    <t>SMU18000000500000011</t>
  </si>
  <si>
    <t>SMU17000000500000011</t>
  </si>
  <si>
    <t>SMU16000000500000011</t>
  </si>
  <si>
    <t>SMU15000000500000011</t>
  </si>
  <si>
    <t>SMU13000000500000011</t>
  </si>
  <si>
    <t>SMU12000000500000011</t>
  </si>
  <si>
    <t>SMU11000000500000011</t>
  </si>
  <si>
    <t>SMU10000000500000011</t>
  </si>
  <si>
    <t>SMU09000000500000011</t>
  </si>
  <si>
    <t>SMU08000000500000011</t>
  </si>
  <si>
    <t>SMU06000000500000011</t>
  </si>
  <si>
    <t>SMU05000000500000011</t>
  </si>
  <si>
    <t>SMU04000000500000011</t>
  </si>
  <si>
    <t>SMU02000000500000011</t>
  </si>
  <si>
    <t>SMU01000000500000011</t>
  </si>
  <si>
    <t>Series ID</t>
  </si>
  <si>
    <t>Years:</t>
  </si>
  <si>
    <t>State and Area Employment, Hours, and Earnings</t>
  </si>
  <si>
    <t>state</t>
  </si>
  <si>
    <t>fips</t>
  </si>
  <si>
    <t>stabr</t>
  </si>
  <si>
    <t>AWE</t>
  </si>
  <si>
    <t>AWE1Y</t>
  </si>
  <si>
    <t>CPI</t>
  </si>
  <si>
    <t>PAYNSA</t>
  </si>
  <si>
    <t>Month</t>
  </si>
  <si>
    <t>Year</t>
  </si>
  <si>
    <t>Day</t>
  </si>
  <si>
    <t>Value</t>
  </si>
  <si>
    <t>StID</t>
  </si>
  <si>
    <t>VarID</t>
  </si>
  <si>
    <t>GOVT</t>
  </si>
  <si>
    <t>TOTAL</t>
  </si>
  <si>
    <t>HPI</t>
  </si>
  <si>
    <t>PHCI</t>
  </si>
  <si>
    <t>SLIND</t>
  </si>
  <si>
    <t>EMP</t>
  </si>
  <si>
    <t>AWW</t>
  </si>
  <si>
    <t>AWWChg</t>
  </si>
  <si>
    <t>CPIAUCSL</t>
  </si>
  <si>
    <t>Consumer Price Index for All Urban Consumers: All Items</t>
  </si>
  <si>
    <t>Index 1982-84=100</t>
  </si>
  <si>
    <t>CES9091000001</t>
  </si>
  <si>
    <t>All Employees: Government: Federal</t>
  </si>
  <si>
    <t>Level</t>
  </si>
  <si>
    <t>Sum of Amount</t>
  </si>
  <si>
    <t>Row Labels</t>
  </si>
  <si>
    <t>Q12013</t>
  </si>
  <si>
    <t>Q22013</t>
  </si>
  <si>
    <t>Q32012</t>
  </si>
  <si>
    <t>Q32013</t>
  </si>
  <si>
    <t>Q42012</t>
  </si>
  <si>
    <t>Q42013</t>
  </si>
  <si>
    <t>T41 Corporation Net Income Taxes</t>
  </si>
  <si>
    <t>Total Taxes</t>
  </si>
  <si>
    <t>T09 General Sales and Gross Receipts Taxes</t>
  </si>
  <si>
    <t>T40 Individual Income Taxes</t>
  </si>
  <si>
    <t>awe</t>
  </si>
  <si>
    <t>awechg</t>
  </si>
  <si>
    <t>Q12012</t>
  </si>
  <si>
    <t>Q22012</t>
  </si>
  <si>
    <t>Q32011</t>
  </si>
  <si>
    <t>Q42011</t>
  </si>
  <si>
    <t>COIN-12</t>
  </si>
  <si>
    <t>CEU9000000001</t>
  </si>
  <si>
    <t>CUUS0000SA0</t>
  </si>
  <si>
    <t>CEU0500000011</t>
  </si>
  <si>
    <t>update this row with new month ---&gt;</t>
  </si>
  <si>
    <t>ECON MON Looks for this column</t>
  </si>
  <si>
    <t xml:space="preserve"> </t>
  </si>
  <si>
    <t>Q12014</t>
  </si>
  <si>
    <t>Coincident indices, 3-month change</t>
  </si>
  <si>
    <t>Nonfarm Payroll Employment Change</t>
  </si>
  <si>
    <t>State Leading Index</t>
  </si>
  <si>
    <t>Housing Price Index</t>
  </si>
  <si>
    <t>Tax Revenue</t>
  </si>
  <si>
    <t>Public Sector Employment</t>
  </si>
  <si>
    <t>Change in Average Weekly Earnings</t>
  </si>
  <si>
    <t>Average Weekly Earnings</t>
  </si>
  <si>
    <t>New England</t>
  </si>
  <si>
    <t>since recession</t>
  </si>
  <si>
    <t>1 yr</t>
  </si>
  <si>
    <t>2014q1</t>
  </si>
  <si>
    <t>2013q1</t>
  </si>
  <si>
    <t>division</t>
  </si>
  <si>
    <t>USA</t>
  </si>
  <si>
    <t>Since 2007q4</t>
  </si>
  <si>
    <t>Since 2013q1</t>
  </si>
  <si>
    <t>East North Central</t>
  </si>
  <si>
    <t>East South Central</t>
  </si>
  <si>
    <t>Mid Atlantic</t>
  </si>
  <si>
    <t>Mountain</t>
  </si>
  <si>
    <t>Pacific</t>
  </si>
  <si>
    <t>South Atlantic</t>
  </si>
  <si>
    <t>West North Central</t>
  </si>
  <si>
    <t>West South Central</t>
  </si>
  <si>
    <t>2007q1</t>
  </si>
  <si>
    <t>DV_ENC</t>
  </si>
  <si>
    <t>DV_ESC</t>
  </si>
  <si>
    <t>DV_MA</t>
  </si>
  <si>
    <t>DV_MT</t>
  </si>
  <si>
    <t>DV_NE</t>
  </si>
  <si>
    <t>DV_PAC</t>
  </si>
  <si>
    <t>DV_SA</t>
  </si>
  <si>
    <t>DV_WNC</t>
  </si>
  <si>
    <t>DV_WSC</t>
  </si>
  <si>
    <t>http://www.fhfa.gov/DataTools/Downloads/Pages/House-Price-Index-Datasets.aspx#qpo</t>
  </si>
  <si>
    <t>Low</t>
  </si>
  <si>
    <t>2011q2</t>
  </si>
  <si>
    <t>2011q4</t>
  </si>
  <si>
    <t>2012q1</t>
  </si>
  <si>
    <t>2011q3</t>
  </si>
  <si>
    <t>2011q1</t>
  </si>
  <si>
    <t>Change in average monthly new housing permits, 12-month average, May 2013–May 2014 (%)</t>
  </si>
  <si>
    <t>totemp</t>
  </si>
  <si>
    <t>pubemo</t>
  </si>
  <si>
    <t>RECESSION--&gt;</t>
  </si>
  <si>
    <t>GOVTEMP</t>
  </si>
  <si>
    <t>A</t>
  </si>
  <si>
    <t>U.S. Department of Commerce: Bureau of Economic Analysis</t>
  </si>
  <si>
    <t>Annual</t>
  </si>
  <si>
    <t>Real Total Gross Domestic Product by State for Alaska</t>
  </si>
  <si>
    <t>Millions of Chained 2005 Dollars</t>
  </si>
  <si>
    <t>Real Total Gross Domestic Product by State for Wyoming</t>
  </si>
  <si>
    <t>1997-01-01 to 2013-01-01</t>
  </si>
  <si>
    <t>Real Total Gross Domestic Product by State for West Virginia</t>
  </si>
  <si>
    <t>Real Total Gross Domestic Product by State for Wisconsin</t>
  </si>
  <si>
    <t>Real Total Gross Domestic Product by State for Washington</t>
  </si>
  <si>
    <t>Real Total Gross Domestic Product by State for Vermont</t>
  </si>
  <si>
    <t>Real Total Gross Domestic Product by State for Virginia</t>
  </si>
  <si>
    <t>Real Total Gross Domestic Product by State for Utah</t>
  </si>
  <si>
    <t>Real Total Gross Domestic Product by State for Tennessee</t>
  </si>
  <si>
    <t>Real Total Gross Domestic Product by State for Texas</t>
  </si>
  <si>
    <t>Real Total Gross Domestic Product by State for South Dakota</t>
  </si>
  <si>
    <t>Real Total Gross Domestic Product by State for South Carolina</t>
  </si>
  <si>
    <t>Real Total Gross Domestic Product by State for Rhode Island</t>
  </si>
  <si>
    <t>Real Total Gross Domestic Product by State for Pennsylvania</t>
  </si>
  <si>
    <t>Real Total Gross Domestic Product by State for Oregon</t>
  </si>
  <si>
    <t>Real Total Gross Domestic Product by State for Oklahoma</t>
  </si>
  <si>
    <t>Real Total Gross Domestic Product by State for Ohio</t>
  </si>
  <si>
    <t>Real Total Gross Domestic Product by State for New York</t>
  </si>
  <si>
    <t>Real Total Gross Domestic Product by State for Nevada</t>
  </si>
  <si>
    <t>Real Total Gross Domestic Product by State for New Mexico</t>
  </si>
  <si>
    <t>Real Total Gross Domestic Product by State for New Jersey</t>
  </si>
  <si>
    <t>Real Total Gross Domestic Product by State for New Hampshire</t>
  </si>
  <si>
    <t>Real Total Gross Domestic Product by State for Nebraska</t>
  </si>
  <si>
    <t>Real Total Gross Domestic Product by State for North Dakota</t>
  </si>
  <si>
    <t>Real Total Gross Domestic Product by State for North Carolina</t>
  </si>
  <si>
    <t>Real Total Gross Domestic Product by State for Montana</t>
  </si>
  <si>
    <t>Real Total Gross Domestic Product by State for Mississippi</t>
  </si>
  <si>
    <t>Real Total Gross Domestic Product by State for Michigan</t>
  </si>
  <si>
    <t>Real Total Gross Domestic Product by State for Missouri</t>
  </si>
  <si>
    <t>Real Total Gross Domestic Product by State for Minnesota</t>
  </si>
  <si>
    <t>Real Total Gross Domestic Product by State for Maine</t>
  </si>
  <si>
    <t>Real Total Gross Domestic Product by State for Maryland</t>
  </si>
  <si>
    <t>Real Total Gross Domestic Product by State for Massachusetts</t>
  </si>
  <si>
    <t>Real Total Gross Domestic Product by State for Louisiana</t>
  </si>
  <si>
    <t>Real Total Gross Domestic Product by State for Kentucky</t>
  </si>
  <si>
    <t>Real Total Gross Domestic Product by State for Kansas</t>
  </si>
  <si>
    <t>Real Total Gross Domestic Product by State for Indiana</t>
  </si>
  <si>
    <t>Real Total Gross Domestic Product by State for Illinois</t>
  </si>
  <si>
    <t>Real Total Gross Domestic Product by State for Idaho</t>
  </si>
  <si>
    <t>Real Total Gross Domestic Product by State for Iowa</t>
  </si>
  <si>
    <t>Real Total Gross Domestic Product by State for Hawaii</t>
  </si>
  <si>
    <t>Real Total Gross Domestic Product by State for Georgia</t>
  </si>
  <si>
    <t>Real Total Gross Domestic Product by State for Florida</t>
  </si>
  <si>
    <t>Real Total Gross Domestic Product by State for the District of Columbia</t>
  </si>
  <si>
    <t>Real Total Gross Domestic Product by State for Delaware</t>
  </si>
  <si>
    <t>Real Total Gross Domestic Product by State for Connecticut</t>
  </si>
  <si>
    <t>Real Total Gross Domestic Product by State for Colorado</t>
  </si>
  <si>
    <t>Real Total Gross Domestic Product by State for California</t>
  </si>
  <si>
    <t>Real Total Gross Domestic Product by State for Arizona</t>
  </si>
  <si>
    <t>Real Total Gross Domestic Product by State for Arkansas</t>
  </si>
  <si>
    <t>Real Total Gross Domestic Product by State for Alabama</t>
  </si>
  <si>
    <t>GSP</t>
  </si>
  <si>
    <t>p</t>
  </si>
  <si>
    <t>PERMITNSA</t>
  </si>
  <si>
    <t>Quarterly</t>
  </si>
  <si>
    <t>GDPC96</t>
  </si>
  <si>
    <t>a</t>
  </si>
  <si>
    <t>Real Gross Domestic Product, 3 Decimal</t>
  </si>
  <si>
    <t>Billions of Chained 2009 Dollars</t>
  </si>
  <si>
    <t>four quarters ending</t>
  </si>
  <si>
    <t>Sales</t>
  </si>
  <si>
    <t>PIT</t>
  </si>
  <si>
    <t>CIT</t>
  </si>
  <si>
    <t>TotTax</t>
  </si>
  <si>
    <t>Sales4q</t>
  </si>
  <si>
    <t>PIT4q</t>
  </si>
  <si>
    <t>CIT4q</t>
  </si>
  <si>
    <t>TotTax4q</t>
  </si>
  <si>
    <t>Tasks:</t>
  </si>
  <si>
    <t>Cross check numbers:  text -- maps/charts -- tables</t>
  </si>
  <si>
    <t>Create values only tables (separate file) - get rid of clutter</t>
  </si>
  <si>
    <t>Check US numbers on scatter plots</t>
  </si>
  <si>
    <t>Check for incomplete references/endnotes</t>
  </si>
  <si>
    <t>Send xlsx files (full econmondata and values only tables) and link (\\ceres\maptraining\slfi\econmon maps) to Tim Meko</t>
  </si>
  <si>
    <t>After last reviewer (TPC), send word document to Fiona Blackshaw</t>
  </si>
  <si>
    <t>All Employees: Total Nonfarm in Alaska</t>
  </si>
  <si>
    <t>All Employees: Government in Alaska</t>
  </si>
  <si>
    <t>All Employees: Total Nonfarm in Alabama</t>
  </si>
  <si>
    <t>All Employees: Government in Alabama</t>
  </si>
  <si>
    <t>All Employees: Total Nonfarm in Arkansas</t>
  </si>
  <si>
    <t>All Employees: Government in Arkansas</t>
  </si>
  <si>
    <t>All Employees: Total Nonfarm in Arizona</t>
  </si>
  <si>
    <t>All Employees: Government in Arizona</t>
  </si>
  <si>
    <t>All Employees: Total Nonfarm in California</t>
  </si>
  <si>
    <t>All Employees: Government in California</t>
  </si>
  <si>
    <t>All Employees: Total Nonfarm in Colorado</t>
  </si>
  <si>
    <t>All Employees: Government in Colorado</t>
  </si>
  <si>
    <t>All Employees: Total Nonfarm in Connecticut</t>
  </si>
  <si>
    <t>All Employees: Government in Connecticut</t>
  </si>
  <si>
    <t>All Employees: Total Nonfarm in Delaware</t>
  </si>
  <si>
    <t>All Employees: Government in Delaware</t>
  </si>
  <si>
    <t>All Employees: Total Nonfarm in the District of Columbia</t>
  </si>
  <si>
    <t>All Employees: Government in the District of Columbia</t>
  </si>
  <si>
    <t>All Employees: Total Nonfarm in Florida</t>
  </si>
  <si>
    <t>All Employees: Government in Florida</t>
  </si>
  <si>
    <t>All Employees: Total Nonfarm in Georgia</t>
  </si>
  <si>
    <t>All Employees: Government in Georgia</t>
  </si>
  <si>
    <t>All Employees: Total Nonfarm in Hawaii</t>
  </si>
  <si>
    <t>All Employees: Government in Hawaii</t>
  </si>
  <si>
    <t>All Employees: Total Nonfarm in Iowa</t>
  </si>
  <si>
    <t>All Employees: Government in Iowa</t>
  </si>
  <si>
    <t>All Employees: Total Nonfarm in Idaho</t>
  </si>
  <si>
    <t>All Employees: Government in Idaho</t>
  </si>
  <si>
    <t>All Employees: Total Nonfarm in Illinois</t>
  </si>
  <si>
    <t>All Employees: Government in Illinois</t>
  </si>
  <si>
    <t>All Employees: Total Nonfarm in Indiana</t>
  </si>
  <si>
    <t>All Employees: Government in Indiana</t>
  </si>
  <si>
    <t>All Employees: Total Nonfarm in Kansas</t>
  </si>
  <si>
    <t>All Employees: Government in Kansas</t>
  </si>
  <si>
    <t>All Employees: Total Nonfarm in Kentucky</t>
  </si>
  <si>
    <t>All Employees: Government in Kentucky</t>
  </si>
  <si>
    <t>All Employees: Total Nonfarm in Louisiana</t>
  </si>
  <si>
    <t>All Employees: Government in Louisiana</t>
  </si>
  <si>
    <t>All Employees: Total Nonfarm in Massachusetts</t>
  </si>
  <si>
    <t>All Employees: Government in Massachusetts</t>
  </si>
  <si>
    <t>All Employees: Total Nonfarm in Maryland</t>
  </si>
  <si>
    <t>All Employees: Government in Maryland</t>
  </si>
  <si>
    <t>All Employees: Total Nonfarm in Maine</t>
  </si>
  <si>
    <t>All Employees: Government in Maine</t>
  </si>
  <si>
    <t>All Employees: Total Nonfarm in Minnesota</t>
  </si>
  <si>
    <t>All Employees: Government in Minnesota</t>
  </si>
  <si>
    <t>All Employees: Total Nonfarm in Missouri</t>
  </si>
  <si>
    <t>All Employees: Government in Missouri</t>
  </si>
  <si>
    <t>All Employees: Total Nonfarm in Michigan</t>
  </si>
  <si>
    <t>All Employees: Government in Michigan</t>
  </si>
  <si>
    <t>All Employees: Total Nonfarm in Mississippi</t>
  </si>
  <si>
    <t>All Employees: Government in Mississippi</t>
  </si>
  <si>
    <t>All Employees: Total Nonfarm in Montana</t>
  </si>
  <si>
    <t>All Employees: Government in Montana</t>
  </si>
  <si>
    <t>All Employees: Total Nonfarm in North Carolina</t>
  </si>
  <si>
    <t>All Employees: Government in North Carolina</t>
  </si>
  <si>
    <t>All Employees: Total Nonfarm in North Dakota</t>
  </si>
  <si>
    <t>All Employees: Government in North Dakota</t>
  </si>
  <si>
    <t>All Employees: Total Nonfarm in Nebraska</t>
  </si>
  <si>
    <t>All Employees: Government in Nebraska</t>
  </si>
  <si>
    <t>All Employees: Total Nonfarm in New Hampshire</t>
  </si>
  <si>
    <t>All Employees: Government in New Hampshire</t>
  </si>
  <si>
    <t>All Employees: Total Nonfarm in New Jersey</t>
  </si>
  <si>
    <t>All Employees: Government in New Jersey</t>
  </si>
  <si>
    <t>All Employees: Total Nonfarm in New Mexico</t>
  </si>
  <si>
    <t>All Employees: Government in New Mexico</t>
  </si>
  <si>
    <t>All Employees: Total Nonfarm in Nevada</t>
  </si>
  <si>
    <t>All Employees: Government in Nevada</t>
  </si>
  <si>
    <t>All Employees: Total Nonfarm in New York</t>
  </si>
  <si>
    <t>All Employees: Government in New York</t>
  </si>
  <si>
    <t>All Employees: Total Nonfarm in Ohio</t>
  </si>
  <si>
    <t>All Employees: Government in Ohio</t>
  </si>
  <si>
    <t>All Employees: Total Nonfarm in Oklahoma</t>
  </si>
  <si>
    <t>All Employees: Government in Oklahoma</t>
  </si>
  <si>
    <t>All Employees: Total Nonfarm in Oregon</t>
  </si>
  <si>
    <t>All Employees: Government in Oregon</t>
  </si>
  <si>
    <t>All Employees: Total Nonfarm in Pennsylvania</t>
  </si>
  <si>
    <t>All Employees: Government in Pennsylvania</t>
  </si>
  <si>
    <t>All Employees: Total Nonfarm in Rhode Island</t>
  </si>
  <si>
    <t>All Employees: Government in Rhode Island</t>
  </si>
  <si>
    <t>All Employees: Total Nonfarm in South Carolina</t>
  </si>
  <si>
    <t>All Employees: Government in South Carolina</t>
  </si>
  <si>
    <t>All Employees: Total Nonfarm in South Dakota</t>
  </si>
  <si>
    <t>All Employees: Government in South Dakota</t>
  </si>
  <si>
    <t>All Employees: Total Nonfarm in Texas</t>
  </si>
  <si>
    <t>All Employees: Government in Texas</t>
  </si>
  <si>
    <t>All Employees: Total Nonfarm in Tennessee</t>
  </si>
  <si>
    <t>All Employees: Government in Tennessee</t>
  </si>
  <si>
    <t>All Employees: Total Nonfarm in Utah</t>
  </si>
  <si>
    <t>All Employees: Government in Utah</t>
  </si>
  <si>
    <t>All Employees: Total Nonfarm in Virginia</t>
  </si>
  <si>
    <t>All Employees: Government in Virginia</t>
  </si>
  <si>
    <t>All Employees: Total Nonfarm in Vermont</t>
  </si>
  <si>
    <t>All Employees: Government in Vermont</t>
  </si>
  <si>
    <t>All Employees: Total Nonfarm in Washington</t>
  </si>
  <si>
    <t>All Employees: Government in Washington</t>
  </si>
  <si>
    <t>All Employees: Total Nonfarm in Wisconsin</t>
  </si>
  <si>
    <t>All Employees: Government in Wisconsin</t>
  </si>
  <si>
    <t>All Employees: Total Nonfarm in West Virginia</t>
  </si>
  <si>
    <t>All Employees: Government in West Virginia</t>
  </si>
  <si>
    <t>All Employees: Total Nonfarm in Wyoming</t>
  </si>
  <si>
    <t>All Employees: Government in Wyoming</t>
  </si>
  <si>
    <t>One-year change in house prices, Q2 2013–Q2 2014 (%)</t>
  </si>
  <si>
    <t>Change in house prices from peak, Q1 2007–Q2 2014 (%)</t>
  </si>
  <si>
    <t>2007 Q1</t>
  </si>
  <si>
    <t>Q22014</t>
  </si>
  <si>
    <t>2014q2</t>
  </si>
  <si>
    <t>Year-over-Year Percent Change</t>
  </si>
  <si>
    <t>Unemployment Rate</t>
  </si>
  <si>
    <t>US. Bureau of Labor Statistics</t>
  </si>
  <si>
    <t>1990-01-01 to 2014-11-01</t>
  </si>
  <si>
    <t>US. Bureau of the Census</t>
  </si>
  <si>
    <t>1988-01-01 to 2014-11-01</t>
  </si>
  <si>
    <t>1982-01-01 to 2014-11-01</t>
  </si>
  <si>
    <t>1979-07-01 to 2014-11-01</t>
  </si>
  <si>
    <t>1939-01-01 to 2014-11-01</t>
  </si>
  <si>
    <t>1979-01-01 to 2014-11-01</t>
  </si>
  <si>
    <t>1979-04-01 to 2014-11-01</t>
  </si>
  <si>
    <t>New Private Housing Units Authorized by Building Permits</t>
  </si>
  <si>
    <t>US. Bureau of Economic Analysis</t>
  </si>
  <si>
    <t>1947-01-01 to 2014-07-01</t>
  </si>
  <si>
    <t>2013 Q3</t>
  </si>
  <si>
    <t>2014 Q3</t>
  </si>
  <si>
    <t>ROCKEFELLER FIX</t>
  </si>
  <si>
    <t>Q32014</t>
  </si>
  <si>
    <t>Q3 2013 -- 10</t>
  </si>
  <si>
    <t>Q3 2014 -- 14</t>
  </si>
  <si>
    <t>Table 1. Employment and Wages, November 2014</t>
  </si>
  <si>
    <t>2014q3</t>
  </si>
  <si>
    <t>2013q3</t>
  </si>
  <si>
    <t>Year-Over-Year Change</t>
  </si>
  <si>
    <t>4Q Agg YearChange</t>
  </si>
  <si>
    <t>Change in average monthly new housing permits, 12-month average, November 2013–November 2014 (%)</t>
  </si>
  <si>
    <t>Y-O-Y Change</t>
  </si>
  <si>
    <t>Agg Y-O-Y Change</t>
  </si>
  <si>
    <t>Value Added by Private Industries</t>
  </si>
  <si>
    <t>Billions of Dollars</t>
  </si>
  <si>
    <t>Q</t>
  </si>
  <si>
    <r>
      <t>Table 2. Year-over-Year Percent Change in State Tax Revenues, Q4-Q3 2013–Q4-Q3 2014</t>
    </r>
    <r>
      <rPr>
        <sz val="11"/>
        <rFont val="Times New Roman"/>
        <family val="1"/>
      </rPr>
      <t xml:space="preserve"> </t>
    </r>
  </si>
  <si>
    <t>1976-01-01 to 2014-12-01</t>
  </si>
  <si>
    <t>1990-01-01 to 2014-12-01</t>
  </si>
  <si>
    <t>1939-01-01 to 2014-12-01</t>
  </si>
  <si>
    <t>2005-01-01 to 2014-07-01</t>
  </si>
  <si>
    <t>1956-01-01 to 2014-12-01</t>
  </si>
  <si>
    <t>1950-01-01 to 2014-12-01</t>
  </si>
  <si>
    <t>1947-01-01 to 2014-12-01</t>
  </si>
  <si>
    <t>1958-01-01 to 2014-12-01</t>
  </si>
  <si>
    <t>1960-01-01 to 2014-12-01</t>
  </si>
  <si>
    <t>1959-01-01 to 2014-12-01</t>
  </si>
  <si>
    <t>1948-01-01 to 2014-12-01</t>
  </si>
  <si>
    <t>DEC
2013</t>
  </si>
  <si>
    <t>DEC
2014</t>
  </si>
  <si>
    <t>DEC 2013 adj for infl</t>
  </si>
  <si>
    <t>Data Retrieved: 2/20/2015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</si>
</sst>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0.0%"/>
    <numFmt numFmtId="166" formatCode="#,##0.0_);\(#,##0.0\)"/>
    <numFmt numFmtId="167" formatCode="&quot;$&quot;#,##0.00"/>
    <numFmt numFmtId="168" formatCode="&quot;$&quot;#,##0\ ;\(&quot;$&quot;#,##0\)"/>
    <numFmt numFmtId="169" formatCode="m/d"/>
    <numFmt numFmtId="170" formatCode="_([$€-2]* #,##0.00_);_([$€-2]* \(#,##0.00\);_([$€-2]* &quot;-&quot;??_)"/>
    <numFmt numFmtId="171" formatCode="[$-409]mmm\-yy;@"/>
    <numFmt numFmtId="172" formatCode="0.0000000000"/>
    <numFmt numFmtId="173" formatCode="0%_);\(0%\)"/>
    <numFmt numFmtId="174" formatCode="#0.00"/>
    <numFmt numFmtId="175" formatCode="#0.000"/>
    <numFmt numFmtId="176" formatCode="mm/dd/yyyy"/>
    <numFmt numFmtId="177" formatCode="_(* #,##0.0_);_(* \(#,##0.0\);_(* &quot;-&quot;??_);_(@_)"/>
    <numFmt numFmtId="178" formatCode="_(* #,##0_);_(* \(#,##0\);_(* &quot;-&quot;??_);_(@_)"/>
    <numFmt numFmtId="179" formatCode="_(* #,##0.000000_);_(* \(#,##0.000000\);_(* &quot;-&quot;??_);_(@_)"/>
  </numFmts>
  <fonts count="95" x14ac:knownFonts="1">
    <font>
      <sz val="12"/>
      <color theme="1"/>
      <name val="Times New Roman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color theme="1"/>
      <name val="Times New Roman"/>
      <family val="2"/>
    </font>
    <font>
      <sz val="12"/>
      <color theme="1"/>
      <name val="Times New Roman"/>
      <family val="2"/>
    </font>
    <font>
      <u/>
      <sz val="12"/>
      <color theme="10"/>
      <name val="Times New Roman"/>
      <family val="2"/>
    </font>
    <font>
      <b/>
      <sz val="11"/>
      <name val="Times New Roman"/>
      <family val="1"/>
    </font>
    <font>
      <b/>
      <sz val="11"/>
      <color indexed="8"/>
      <name val="Times New Roman"/>
      <family val="1"/>
    </font>
    <font>
      <b/>
      <sz val="11"/>
      <color theme="1"/>
      <name val="Times New Roman"/>
      <family val="1"/>
    </font>
    <font>
      <sz val="11"/>
      <color indexed="8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u/>
      <sz val="11"/>
      <color theme="10"/>
      <name val="Times New Roman"/>
      <family val="2"/>
    </font>
    <font>
      <sz val="8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b/>
      <i/>
      <sz val="14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b/>
      <sz val="24"/>
      <name val="Arial Narrow"/>
      <family val="2"/>
    </font>
    <font>
      <b/>
      <i/>
      <sz val="12"/>
      <name val="Arial"/>
      <family val="2"/>
    </font>
    <font>
      <i/>
      <sz val="12"/>
      <name val="Arial"/>
      <family val="2"/>
    </font>
    <font>
      <sz val="12"/>
      <name val="Arial"/>
      <family val="2"/>
    </font>
    <font>
      <sz val="9"/>
      <name val="Arial"/>
      <family val="2"/>
    </font>
    <font>
      <i/>
      <sz val="10"/>
      <name val="Arial"/>
      <family val="2"/>
    </font>
    <font>
      <sz val="9"/>
      <color indexed="18"/>
      <name val="Arial"/>
      <family val="2"/>
    </font>
    <font>
      <i/>
      <sz val="10"/>
      <color indexed="18"/>
      <name val="Arial"/>
      <family val="2"/>
    </font>
    <font>
      <sz val="10"/>
      <color indexed="18"/>
      <name val="Arial"/>
      <family val="2"/>
    </font>
    <font>
      <sz val="8"/>
      <color indexed="18"/>
      <name val="Arial"/>
      <family val="2"/>
    </font>
    <font>
      <i/>
      <sz val="9"/>
      <color indexed="18"/>
      <name val="Arial"/>
      <family val="2"/>
    </font>
    <font>
      <sz val="12"/>
      <name val="Times New Roman"/>
      <family val="1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b/>
      <sz val="10"/>
      <name val="Arial"/>
      <family val="2"/>
    </font>
    <font>
      <b/>
      <i/>
      <sz val="14"/>
      <color indexed="15"/>
      <name val="Times New Roman"/>
      <family val="1"/>
    </font>
    <font>
      <u/>
      <sz val="11"/>
      <color theme="10"/>
      <name val="Calibri"/>
      <family val="2"/>
    </font>
    <font>
      <u/>
      <sz val="10"/>
      <color indexed="12"/>
      <name val="Arial"/>
      <family val="2"/>
    </font>
    <font>
      <sz val="26"/>
      <name val="Arial"/>
      <family val="2"/>
    </font>
    <font>
      <sz val="30"/>
      <name val="Arial"/>
      <family val="2"/>
    </font>
    <font>
      <sz val="48"/>
      <name val="Arial"/>
      <family val="2"/>
    </font>
    <font>
      <b/>
      <sz val="100"/>
      <name val="Arial"/>
      <family val="2"/>
    </font>
    <font>
      <sz val="7"/>
      <name val="Small Fonts"/>
      <family val="2"/>
    </font>
    <font>
      <sz val="10"/>
      <name val="Courier"/>
      <family val="3"/>
    </font>
    <font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0"/>
      <name val="MS Sans Serif"/>
      <family val="2"/>
    </font>
    <font>
      <sz val="8"/>
      <color indexed="38"/>
      <name val="Arial"/>
      <family val="2"/>
    </font>
    <font>
      <sz val="8"/>
      <color indexed="32"/>
      <name val="Arial"/>
      <family val="2"/>
    </font>
    <font>
      <b/>
      <sz val="12"/>
      <color indexed="60"/>
      <name val="Arial"/>
      <family val="2"/>
    </font>
    <font>
      <b/>
      <sz val="12"/>
      <color indexed="16"/>
      <name val="Arial"/>
      <family val="2"/>
    </font>
    <font>
      <b/>
      <sz val="12"/>
      <color indexed="17"/>
      <name val="Arial"/>
      <family val="2"/>
    </font>
    <font>
      <b/>
      <sz val="12"/>
      <color indexed="54"/>
      <name val="Arial"/>
      <family val="2"/>
    </font>
    <font>
      <sz val="10"/>
      <color indexed="53"/>
      <name val="Arial"/>
      <family val="2"/>
    </font>
    <font>
      <sz val="10"/>
      <color indexed="20"/>
      <name val="Arial"/>
      <family val="2"/>
    </font>
    <font>
      <sz val="9"/>
      <color indexed="19"/>
      <name val="Arial"/>
      <family val="2"/>
    </font>
    <font>
      <sz val="10"/>
      <color indexed="19"/>
      <name val="Arial"/>
      <family val="2"/>
    </font>
    <font>
      <sz val="9"/>
      <color indexed="11"/>
      <name val="Arial"/>
      <family val="2"/>
    </font>
    <font>
      <sz val="8"/>
      <color indexed="10"/>
      <name val="Arial"/>
      <family val="2"/>
    </font>
    <font>
      <sz val="6.5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2"/>
      <color theme="1"/>
      <name val="Times New Roman"/>
      <family val="1"/>
    </font>
    <font>
      <b/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indexed="8"/>
      <name val="Arial"/>
      <family val="2"/>
    </font>
    <font>
      <sz val="10"/>
      <name val="Arial"/>
      <family val="2"/>
    </font>
    <font>
      <sz val="10"/>
      <color indexed="8"/>
      <name val="Arial"/>
    </font>
    <font>
      <sz val="14"/>
      <color theme="1"/>
      <name val="Arial"/>
      <family val="2"/>
    </font>
    <font>
      <b/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</fonts>
  <fills count="4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8"/>
        <bgColor indexed="9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indexed="8"/>
      </bottom>
      <diagonal/>
    </border>
    <border>
      <left/>
      <right/>
      <top/>
      <bottom style="thick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6">
    <xf numFmtId="0" fontId="0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7" fillId="0" borderId="0"/>
    <xf numFmtId="9" fontId="7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Alignment="0"/>
    <xf numFmtId="43" fontId="17" fillId="0" borderId="0" applyFont="0" applyFill="0" applyBorder="0" applyAlignment="0" applyProtection="0"/>
    <xf numFmtId="39" fontId="18" fillId="0" borderId="0">
      <alignment horizontal="right"/>
    </xf>
    <xf numFmtId="0" fontId="17" fillId="0" borderId="0" applyFill="0">
      <alignment horizontal="center"/>
    </xf>
    <xf numFmtId="167" fontId="19" fillId="0" borderId="11" applyFill="0"/>
    <xf numFmtId="0" fontId="20" fillId="0" borderId="0" applyFont="0" applyAlignment="0"/>
    <xf numFmtId="0" fontId="21" fillId="0" borderId="0" applyFill="0">
      <alignment vertical="top"/>
    </xf>
    <xf numFmtId="0" fontId="19" fillId="0" borderId="0" applyFill="0">
      <alignment horizontal="left" vertical="top"/>
    </xf>
    <xf numFmtId="167" fontId="22" fillId="0" borderId="12" applyFill="0"/>
    <xf numFmtId="0" fontId="20" fillId="0" borderId="0" applyNumberFormat="0" applyFont="0" applyAlignment="0"/>
    <xf numFmtId="0" fontId="21" fillId="0" borderId="0" applyFill="0">
      <alignment wrapText="1"/>
    </xf>
    <xf numFmtId="0" fontId="19" fillId="0" borderId="0" applyFill="0">
      <alignment horizontal="left" vertical="top" wrapText="1"/>
    </xf>
    <xf numFmtId="167" fontId="23" fillId="0" borderId="0" applyFill="0"/>
    <xf numFmtId="0" fontId="24" fillId="0" borderId="0" applyNumberFormat="0" applyFont="0" applyAlignment="0">
      <alignment horizontal="center"/>
    </xf>
    <xf numFmtId="0" fontId="25" fillId="0" borderId="0" applyFill="0">
      <alignment vertical="top" wrapText="1"/>
    </xf>
    <xf numFmtId="0" fontId="22" fillId="0" borderId="0" applyFill="0">
      <alignment horizontal="left" vertical="top" wrapText="1"/>
    </xf>
    <xf numFmtId="167" fontId="20" fillId="0" borderId="0" applyFill="0"/>
    <xf numFmtId="0" fontId="24" fillId="0" borderId="0" applyNumberFormat="0" applyFont="0" applyAlignment="0">
      <alignment horizontal="center"/>
    </xf>
    <xf numFmtId="0" fontId="26" fillId="0" borderId="0" applyFill="0">
      <alignment vertical="center" wrapText="1"/>
    </xf>
    <xf numFmtId="0" fontId="27" fillId="0" borderId="0">
      <alignment horizontal="left" vertical="center" wrapText="1"/>
    </xf>
    <xf numFmtId="167" fontId="28" fillId="0" borderId="0" applyFill="0"/>
    <xf numFmtId="0" fontId="24" fillId="0" borderId="0" applyNumberFormat="0" applyFont="0" applyAlignment="0">
      <alignment horizontal="center"/>
    </xf>
    <xf numFmtId="0" fontId="29" fillId="0" borderId="0" applyFill="0">
      <alignment horizontal="center" vertical="center" wrapText="1"/>
    </xf>
    <xf numFmtId="0" fontId="20" fillId="0" borderId="0" applyFill="0">
      <alignment horizontal="center" vertical="center" wrapText="1"/>
    </xf>
    <xf numFmtId="167" fontId="30" fillId="0" borderId="0" applyFill="0"/>
    <xf numFmtId="43" fontId="28" fillId="0" borderId="0" applyFill="0"/>
    <xf numFmtId="0" fontId="31" fillId="0" borderId="0" applyFill="0">
      <alignment horizontal="center" vertical="center" wrapText="1"/>
    </xf>
    <xf numFmtId="0" fontId="32" fillId="0" borderId="0" applyFill="0">
      <alignment horizontal="center" vertical="center" wrapText="1"/>
    </xf>
    <xf numFmtId="167" fontId="33" fillId="0" borderId="0" applyFill="0"/>
    <xf numFmtId="0" fontId="24" fillId="0" borderId="0" applyNumberFormat="0" applyFont="0" applyAlignment="0">
      <alignment horizontal="center"/>
    </xf>
    <xf numFmtId="0" fontId="34" fillId="0" borderId="0">
      <alignment horizontal="center" wrapText="1"/>
    </xf>
    <xf numFmtId="0" fontId="30" fillId="0" borderId="0" applyFill="0">
      <alignment horizontal="center" wrapText="1"/>
    </xf>
    <xf numFmtId="43" fontId="35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37" fillId="0" borderId="0" applyFont="0" applyFill="0" applyBorder="0" applyAlignment="0" applyProtection="0"/>
    <xf numFmtId="3" fontId="20" fillId="0" borderId="0" applyFont="0" applyFill="0" applyBorder="0" applyAlignment="0" applyProtection="0"/>
    <xf numFmtId="3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0" fontId="38" fillId="0" borderId="0"/>
    <xf numFmtId="2" fontId="20" fillId="0" borderId="0" applyFont="0" applyFill="0" applyBorder="0" applyAlignment="0" applyProtection="0"/>
    <xf numFmtId="2" fontId="20" fillId="0" borderId="0" applyFont="0" applyFill="0" applyBorder="0" applyAlignment="0" applyProtection="0"/>
    <xf numFmtId="38" fontId="17" fillId="4" borderId="0" applyNumberFormat="0" applyBorder="0" applyAlignment="0" applyProtection="0"/>
    <xf numFmtId="0" fontId="22" fillId="0" borderId="13" applyNumberFormat="0" applyAlignment="0" applyProtection="0">
      <alignment horizontal="left" vertical="center"/>
    </xf>
    <xf numFmtId="0" fontId="22" fillId="0" borderId="2">
      <alignment horizontal="left" vertical="center"/>
    </xf>
    <xf numFmtId="14" fontId="39" fillId="5" borderId="14">
      <alignment horizontal="center" vertical="center" wrapText="1"/>
    </xf>
    <xf numFmtId="0" fontId="40" fillId="6" borderId="0" applyNumberFormat="0" applyAlignment="0" applyProtection="0"/>
    <xf numFmtId="0" fontId="41" fillId="0" borderId="0" applyNumberFormat="0" applyFill="0" applyBorder="0" applyAlignment="0" applyProtection="0">
      <alignment vertical="top"/>
      <protection locked="0"/>
    </xf>
    <xf numFmtId="171" fontId="41" fillId="0" borderId="0" applyNumberFormat="0" applyFill="0" applyBorder="0" applyAlignment="0" applyProtection="0">
      <alignment vertical="top"/>
      <protection locked="0"/>
    </xf>
    <xf numFmtId="0" fontId="42" fillId="0" borderId="0" applyNumberFormat="0" applyFill="0" applyBorder="0" applyAlignment="0" applyProtection="0">
      <alignment vertical="top"/>
      <protection locked="0"/>
    </xf>
    <xf numFmtId="10" fontId="17" fillId="7" borderId="4" applyNumberFormat="0" applyBorder="0" applyAlignment="0" applyProtection="0"/>
    <xf numFmtId="0" fontId="17" fillId="4" borderId="0"/>
    <xf numFmtId="171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71" fontId="43" fillId="0" borderId="0" applyNumberFormat="0" applyFill="0" applyBorder="0" applyAlignment="0" applyProtection="0"/>
    <xf numFmtId="171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171" fontId="44" fillId="0" borderId="0" applyNumberFormat="0" applyFill="0" applyBorder="0" applyAlignment="0" applyProtection="0"/>
    <xf numFmtId="171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171" fontId="45" fillId="0" borderId="0" applyNumberFormat="0" applyFill="0" applyBorder="0" applyAlignment="0" applyProtection="0"/>
    <xf numFmtId="171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71" fontId="43" fillId="0" borderId="0" applyNumberFormat="0" applyFill="0" applyBorder="0" applyAlignment="0" applyProtection="0"/>
    <xf numFmtId="171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71" fontId="46" fillId="0" borderId="0" applyNumberFormat="0" applyFill="0" applyBorder="0" applyAlignment="0" applyProtection="0"/>
    <xf numFmtId="37" fontId="47" fillId="0" borderId="0"/>
    <xf numFmtId="172" fontId="20" fillId="0" borderId="0"/>
    <xf numFmtId="0" fontId="36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6" fillId="0" borderId="0"/>
    <xf numFmtId="0" fontId="20" fillId="0" borderId="0"/>
    <xf numFmtId="0" fontId="20" fillId="0" borderId="0"/>
    <xf numFmtId="171" fontId="20" fillId="0" borderId="0"/>
    <xf numFmtId="171" fontId="20" fillId="0" borderId="0"/>
    <xf numFmtId="0" fontId="37" fillId="0" borderId="0"/>
    <xf numFmtId="0" fontId="37" fillId="0" borderId="0"/>
    <xf numFmtId="0" fontId="37" fillId="0" borderId="0"/>
    <xf numFmtId="0" fontId="20" fillId="0" borderId="0"/>
    <xf numFmtId="0" fontId="20" fillId="0" borderId="0"/>
    <xf numFmtId="171" fontId="20" fillId="0" borderId="0"/>
    <xf numFmtId="0" fontId="20" fillId="0" borderId="0"/>
    <xf numFmtId="0" fontId="37" fillId="0" borderId="0"/>
    <xf numFmtId="0" fontId="20" fillId="0" borderId="0"/>
    <xf numFmtId="171" fontId="20" fillId="0" borderId="0"/>
    <xf numFmtId="0" fontId="20" fillId="0" borderId="0"/>
    <xf numFmtId="171" fontId="20" fillId="0" borderId="0"/>
    <xf numFmtId="171" fontId="20" fillId="0" borderId="0"/>
    <xf numFmtId="0" fontId="37" fillId="0" borderId="0"/>
    <xf numFmtId="0" fontId="37" fillId="0" borderId="0"/>
    <xf numFmtId="0" fontId="48" fillId="0" borderId="0"/>
    <xf numFmtId="0" fontId="38" fillId="0" borderId="0"/>
    <xf numFmtId="0" fontId="38" fillId="0" borderId="0"/>
    <xf numFmtId="0" fontId="20" fillId="0" borderId="0"/>
    <xf numFmtId="0" fontId="35" fillId="0" borderId="0"/>
    <xf numFmtId="0" fontId="49" fillId="0" borderId="0"/>
    <xf numFmtId="0" fontId="50" fillId="0" borderId="0"/>
    <xf numFmtId="0" fontId="37" fillId="0" borderId="0"/>
    <xf numFmtId="0" fontId="36" fillId="0" borderId="0"/>
    <xf numFmtId="0" fontId="49" fillId="0" borderId="0"/>
    <xf numFmtId="171" fontId="35" fillId="0" borderId="0"/>
    <xf numFmtId="0" fontId="37" fillId="0" borderId="0"/>
    <xf numFmtId="0" fontId="35" fillId="0" borderId="0"/>
    <xf numFmtId="0" fontId="36" fillId="0" borderId="0"/>
    <xf numFmtId="0" fontId="20" fillId="0" borderId="0"/>
    <xf numFmtId="171" fontId="51" fillId="0" borderId="0"/>
    <xf numFmtId="0" fontId="7" fillId="0" borderId="0"/>
    <xf numFmtId="171" fontId="37" fillId="0" borderId="0"/>
    <xf numFmtId="171" fontId="37" fillId="0" borderId="0"/>
    <xf numFmtId="171" fontId="37" fillId="0" borderId="0"/>
    <xf numFmtId="171" fontId="37" fillId="0" borderId="0"/>
    <xf numFmtId="171" fontId="37" fillId="0" borderId="0"/>
    <xf numFmtId="171" fontId="37" fillId="0" borderId="0"/>
    <xf numFmtId="0" fontId="37" fillId="0" borderId="0"/>
    <xf numFmtId="171" fontId="37" fillId="0" borderId="0"/>
    <xf numFmtId="0" fontId="50" fillId="0" borderId="0"/>
    <xf numFmtId="0" fontId="38" fillId="0" borderId="0"/>
    <xf numFmtId="171" fontId="37" fillId="0" borderId="0"/>
    <xf numFmtId="171" fontId="37" fillId="0" borderId="0"/>
    <xf numFmtId="0" fontId="37" fillId="0" borderId="0"/>
    <xf numFmtId="171" fontId="37" fillId="0" borderId="0"/>
    <xf numFmtId="0" fontId="38" fillId="0" borderId="0"/>
    <xf numFmtId="0" fontId="20" fillId="0" borderId="0"/>
    <xf numFmtId="0" fontId="38" fillId="0" borderId="0"/>
    <xf numFmtId="0" fontId="20" fillId="0" borderId="0"/>
    <xf numFmtId="0" fontId="38" fillId="0" borderId="0"/>
    <xf numFmtId="0" fontId="20" fillId="0" borderId="0"/>
    <xf numFmtId="4" fontId="20" fillId="0" borderId="0" applyFont="0" applyFill="0" applyBorder="0" applyAlignment="0" applyProtection="0"/>
    <xf numFmtId="0" fontId="37" fillId="3" borderId="10" applyNumberFormat="0" applyFont="0" applyAlignment="0" applyProtection="0"/>
    <xf numFmtId="173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9" fontId="50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5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5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38" fillId="0" borderId="0" applyNumberFormat="0" applyFont="0" applyFill="0" applyBorder="0" applyAlignment="0" applyProtection="0">
      <alignment horizontal="left"/>
    </xf>
    <xf numFmtId="15" fontId="38" fillId="0" borderId="0" applyFont="0" applyFill="0" applyBorder="0" applyAlignment="0" applyProtection="0"/>
    <xf numFmtId="4" fontId="38" fillId="0" borderId="0" applyFont="0" applyFill="0" applyBorder="0" applyAlignment="0" applyProtection="0"/>
    <xf numFmtId="0" fontId="52" fillId="0" borderId="14">
      <alignment horizontal="center"/>
    </xf>
    <xf numFmtId="3" fontId="38" fillId="0" borderId="0" applyFont="0" applyFill="0" applyBorder="0" applyAlignment="0" applyProtection="0"/>
    <xf numFmtId="0" fontId="38" fillId="8" borderId="0" applyNumberFormat="0" applyFont="0" applyBorder="0" applyAlignment="0" applyProtection="0"/>
    <xf numFmtId="39" fontId="17" fillId="0" borderId="2" applyBorder="0">
      <protection locked="0"/>
    </xf>
    <xf numFmtId="0" fontId="53" fillId="0" borderId="0">
      <alignment horizontal="left"/>
    </xf>
    <xf numFmtId="0" fontId="53" fillId="0" borderId="0">
      <alignment horizontal="left" indent="7"/>
    </xf>
    <xf numFmtId="0" fontId="54" fillId="0" borderId="0" applyNumberFormat="0" applyFill="0" applyBorder="0" applyProtection="0">
      <alignment horizontal="left"/>
    </xf>
    <xf numFmtId="0" fontId="54" fillId="0" borderId="0" applyNumberFormat="0" applyFill="0" applyBorder="0" applyProtection="0">
      <alignment horizontal="left" indent="7"/>
    </xf>
    <xf numFmtId="39" fontId="18" fillId="0" borderId="0" applyFill="0">
      <alignment horizontal="right"/>
    </xf>
    <xf numFmtId="0" fontId="39" fillId="0" borderId="4" applyNumberFormat="0" applyFont="0" applyBorder="0" applyAlignment="0">
      <alignment horizontal="right"/>
    </xf>
    <xf numFmtId="0" fontId="19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39" fontId="28" fillId="0" borderId="0" applyFill="0">
      <alignment horizontal="right"/>
    </xf>
    <xf numFmtId="0" fontId="20" fillId="0" borderId="0" applyNumberFormat="0" applyFont="0" applyBorder="0" applyAlignment="0"/>
    <xf numFmtId="0" fontId="55" fillId="0" borderId="0" applyNumberFormat="0" applyFill="0" applyBorder="0" applyProtection="0">
      <alignment horizontal="left"/>
    </xf>
    <xf numFmtId="0" fontId="55" fillId="0" borderId="0" applyNumberFormat="0" applyFill="0" applyBorder="0" applyProtection="0">
      <alignment horizontal="left" indent="1"/>
    </xf>
    <xf numFmtId="0" fontId="56" fillId="0" borderId="0" applyNumberFormat="0" applyFill="0" applyBorder="0" applyProtection="0">
      <alignment horizontal="left"/>
    </xf>
    <xf numFmtId="0" fontId="56" fillId="0" borderId="0" applyNumberFormat="0" applyFill="0" applyBorder="0" applyProtection="0">
      <alignment horizontal="left" indent="1"/>
    </xf>
    <xf numFmtId="39" fontId="28" fillId="0" borderId="0" applyFill="0"/>
    <xf numFmtId="0" fontId="20" fillId="0" borderId="0" applyNumberFormat="0" applyFont="0" applyFill="0" applyBorder="0" applyAlignment="0"/>
    <xf numFmtId="0" fontId="57" fillId="0" borderId="0" applyNumberFormat="0" applyFill="0" applyBorder="0" applyProtection="0">
      <alignment horizontal="left"/>
    </xf>
    <xf numFmtId="0" fontId="57" fillId="0" borderId="0" applyNumberFormat="0" applyFill="0" applyBorder="0" applyProtection="0">
      <alignment horizontal="left" indent="2"/>
    </xf>
    <xf numFmtId="0" fontId="57" fillId="0" borderId="0" applyNumberFormat="0" applyFill="0" applyBorder="0" applyProtection="0">
      <alignment horizontal="left"/>
    </xf>
    <xf numFmtId="0" fontId="57" fillId="0" borderId="0" applyNumberFormat="0" applyFill="0" applyBorder="0" applyProtection="0">
      <alignment horizontal="left" indent="2"/>
    </xf>
    <xf numFmtId="39" fontId="28" fillId="0" borderId="0" applyFill="0"/>
    <xf numFmtId="0" fontId="20" fillId="0" borderId="0" applyNumberFormat="0" applyFont="0" applyBorder="0" applyAlignment="0"/>
    <xf numFmtId="0" fontId="58" fillId="0" borderId="0" applyNumberFormat="0" applyFill="0" applyBorder="0" applyProtection="0">
      <alignment horizontal="left"/>
    </xf>
    <xf numFmtId="0" fontId="58" fillId="0" borderId="0" applyNumberFormat="0" applyFill="0" applyBorder="0" applyProtection="0">
      <alignment horizontal="left" indent="3"/>
    </xf>
    <xf numFmtId="0" fontId="58" fillId="0" borderId="0" applyNumberFormat="0" applyFill="0" applyBorder="0" applyProtection="0">
      <alignment horizontal="left"/>
    </xf>
    <xf numFmtId="0" fontId="58" fillId="0" borderId="0" applyNumberFormat="0" applyFill="0" applyBorder="0" applyProtection="0">
      <alignment horizontal="left" indent="3"/>
    </xf>
    <xf numFmtId="39" fontId="28" fillId="0" borderId="0" applyFill="0"/>
    <xf numFmtId="0" fontId="20" fillId="0" borderId="0" applyNumberFormat="0" applyFont="0" applyBorder="0" applyAlignment="0"/>
    <xf numFmtId="0" fontId="59" fillId="0" borderId="0" applyNumberFormat="0" applyFill="0" applyBorder="0" applyProtection="0">
      <alignment horizontal="left"/>
    </xf>
    <xf numFmtId="0" fontId="59" fillId="0" borderId="0" applyNumberFormat="0" applyFill="0" applyBorder="0" applyProtection="0">
      <alignment horizontal="left" indent="4"/>
    </xf>
    <xf numFmtId="0" fontId="59" fillId="0" borderId="0" applyNumberFormat="0" applyFill="0" applyBorder="0" applyProtection="0">
      <alignment horizontal="left"/>
    </xf>
    <xf numFmtId="0" fontId="59" fillId="0" borderId="0" applyNumberFormat="0" applyFill="0" applyBorder="0" applyProtection="0">
      <alignment horizontal="left" indent="4"/>
    </xf>
    <xf numFmtId="39" fontId="28" fillId="0" borderId="0" applyFill="0"/>
    <xf numFmtId="0" fontId="20" fillId="0" borderId="0" applyNumberFormat="0" applyFont="0" applyBorder="0" applyAlignment="0"/>
    <xf numFmtId="0" fontId="60" fillId="0" borderId="0" applyNumberFormat="0" applyFill="0" applyBorder="0" applyProtection="0">
      <alignment horizontal="left"/>
    </xf>
    <xf numFmtId="0" fontId="60" fillId="0" borderId="0" applyNumberFormat="0" applyFill="0" applyBorder="0" applyProtection="0">
      <alignment horizontal="left" indent="5"/>
    </xf>
    <xf numFmtId="0" fontId="60" fillId="0" borderId="0" applyNumberFormat="0" applyFill="0" applyBorder="0" applyProtection="0">
      <alignment horizontal="left"/>
    </xf>
    <xf numFmtId="0" fontId="60" fillId="0" borderId="0" applyNumberFormat="0" applyFill="0" applyBorder="0" applyProtection="0">
      <alignment horizontal="left" indent="5"/>
    </xf>
    <xf numFmtId="39" fontId="28" fillId="0" borderId="0" applyFill="0"/>
    <xf numFmtId="0" fontId="20" fillId="0" borderId="0" applyNumberFormat="0" applyFont="0" applyFill="0" applyBorder="0" applyAlignment="0"/>
    <xf numFmtId="0" fontId="61" fillId="0" borderId="0" applyNumberFormat="0" applyFill="0" applyBorder="0" applyProtection="0">
      <alignment horizontal="left"/>
    </xf>
    <xf numFmtId="0" fontId="61" fillId="0" borderId="0" applyNumberFormat="0" applyFill="0" applyBorder="0" applyProtection="0">
      <alignment horizontal="left" indent="6"/>
    </xf>
    <xf numFmtId="0" fontId="62" fillId="0" borderId="0" applyNumberFormat="0" applyFill="0" applyBorder="0" applyProtection="0">
      <alignment horizontal="left"/>
    </xf>
    <xf numFmtId="0" fontId="62" fillId="0" borderId="0" applyNumberFormat="0" applyFill="0" applyBorder="0" applyProtection="0">
      <alignment horizontal="left" indent="6"/>
    </xf>
    <xf numFmtId="39" fontId="28" fillId="0" borderId="0"/>
    <xf numFmtId="39" fontId="63" fillId="0" borderId="0" applyNumberFormat="0" applyFill="0" applyBorder="0" applyProtection="0">
      <alignment horizontal="left"/>
    </xf>
    <xf numFmtId="39" fontId="63" fillId="0" borderId="0" applyNumberFormat="0" applyFill="0" applyBorder="0" applyProtection="0">
      <alignment horizontal="left" indent="7"/>
    </xf>
    <xf numFmtId="39" fontId="63" fillId="0" borderId="0" applyNumberFormat="0" applyFill="0" applyBorder="0" applyProtection="0">
      <alignment horizontal="left"/>
    </xf>
    <xf numFmtId="39" fontId="63" fillId="0" borderId="0" applyNumberFormat="0" applyFill="0" applyBorder="0" applyProtection="0">
      <alignment horizontal="left" indent="7"/>
    </xf>
    <xf numFmtId="39" fontId="53" fillId="0" borderId="0" applyNumberFormat="0" applyFill="0" applyBorder="0" applyProtection="0">
      <alignment horizontal="left"/>
    </xf>
    <xf numFmtId="39" fontId="53" fillId="0" borderId="0" applyNumberFormat="0" applyFill="0" applyBorder="0" applyProtection="0">
      <alignment horizontal="left" indent="8"/>
    </xf>
    <xf numFmtId="39" fontId="53" fillId="0" borderId="0" applyNumberFormat="0" applyFill="0" applyBorder="0" applyProtection="0">
      <alignment horizontal="left"/>
    </xf>
    <xf numFmtId="39" fontId="53" fillId="0" borderId="0" applyNumberFormat="0" applyFill="0" applyBorder="0" applyProtection="0">
      <alignment horizontal="left" indent="8"/>
    </xf>
    <xf numFmtId="39" fontId="64" fillId="0" borderId="0" applyNumberFormat="0" applyFill="0" applyBorder="0" applyProtection="0">
      <alignment horizontal="left"/>
    </xf>
    <xf numFmtId="39" fontId="64" fillId="0" borderId="0" applyNumberFormat="0" applyFill="0" applyBorder="0" applyProtection="0">
      <alignment horizontal="left" indent="9"/>
    </xf>
    <xf numFmtId="39" fontId="64" fillId="0" borderId="0" applyNumberFormat="0" applyFill="0" applyBorder="0" applyProtection="0">
      <alignment horizontal="left"/>
    </xf>
    <xf numFmtId="39" fontId="64" fillId="0" borderId="0" applyNumberFormat="0" applyFill="0" applyBorder="0" applyProtection="0">
      <alignment horizontal="left" indent="9"/>
    </xf>
    <xf numFmtId="0" fontId="27" fillId="0" borderId="0"/>
    <xf numFmtId="171" fontId="65" fillId="0" borderId="15">
      <alignment horizontal="center"/>
    </xf>
    <xf numFmtId="0" fontId="66" fillId="0" borderId="0" applyFill="0" applyBorder="0" applyProtection="0">
      <alignment horizontal="left" vertical="top"/>
    </xf>
    <xf numFmtId="0" fontId="67" fillId="0" borderId="0"/>
    <xf numFmtId="44" fontId="8" fillId="0" borderId="0" applyFont="0" applyFill="0" applyBorder="0" applyAlignment="0" applyProtection="0"/>
    <xf numFmtId="0" fontId="36" fillId="0" borderId="0"/>
    <xf numFmtId="0" fontId="72" fillId="0" borderId="0"/>
    <xf numFmtId="0" fontId="72" fillId="0" borderId="0"/>
    <xf numFmtId="0" fontId="74" fillId="0" borderId="0"/>
    <xf numFmtId="43" fontId="74" fillId="0" borderId="0" applyFont="0" applyFill="0" applyBorder="0" applyAlignment="0" applyProtection="0"/>
    <xf numFmtId="0" fontId="36" fillId="0" borderId="0"/>
    <xf numFmtId="0" fontId="36" fillId="0" borderId="0"/>
    <xf numFmtId="0" fontId="4" fillId="0" borderId="0"/>
    <xf numFmtId="9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8" fillId="0" borderId="0" applyNumberFormat="0" applyFill="0" applyBorder="0" applyAlignment="0" applyProtection="0"/>
    <xf numFmtId="0" fontId="79" fillId="0" borderId="19" applyNumberFormat="0" applyFill="0" applyAlignment="0" applyProtection="0"/>
    <xf numFmtId="0" fontId="80" fillId="0" borderId="20" applyNumberFormat="0" applyFill="0" applyAlignment="0" applyProtection="0"/>
    <xf numFmtId="0" fontId="81" fillId="0" borderId="21" applyNumberFormat="0" applyFill="0" applyAlignment="0" applyProtection="0"/>
    <xf numFmtId="0" fontId="81" fillId="0" borderId="0" applyNumberFormat="0" applyFill="0" applyBorder="0" applyAlignment="0" applyProtection="0"/>
    <xf numFmtId="0" fontId="82" fillId="11" borderId="0" applyNumberFormat="0" applyBorder="0" applyAlignment="0" applyProtection="0"/>
    <xf numFmtId="0" fontId="83" fillId="12" borderId="0" applyNumberFormat="0" applyBorder="0" applyAlignment="0" applyProtection="0"/>
    <xf numFmtId="0" fontId="84" fillId="13" borderId="0" applyNumberFormat="0" applyBorder="0" applyAlignment="0" applyProtection="0"/>
    <xf numFmtId="0" fontId="85" fillId="14" borderId="22" applyNumberFormat="0" applyAlignment="0" applyProtection="0"/>
    <xf numFmtId="0" fontId="86" fillId="15" borderId="23" applyNumberFormat="0" applyAlignment="0" applyProtection="0"/>
    <xf numFmtId="0" fontId="87" fillId="15" borderId="22" applyNumberFormat="0" applyAlignment="0" applyProtection="0"/>
    <xf numFmtId="0" fontId="88" fillId="0" borderId="24" applyNumberFormat="0" applyFill="0" applyAlignment="0" applyProtection="0"/>
    <xf numFmtId="0" fontId="89" fillId="16" borderId="25" applyNumberFormat="0" applyAlignment="0" applyProtection="0"/>
    <xf numFmtId="0" fontId="90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2" fillId="0" borderId="26" applyNumberFormat="0" applyFill="0" applyAlignment="0" applyProtection="0"/>
    <xf numFmtId="0" fontId="9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93" fillId="20" borderId="0" applyNumberFormat="0" applyBorder="0" applyAlignment="0" applyProtection="0"/>
    <xf numFmtId="0" fontId="9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93" fillId="24" borderId="0" applyNumberFormat="0" applyBorder="0" applyAlignment="0" applyProtection="0"/>
    <xf numFmtId="0" fontId="9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93" fillId="28" borderId="0" applyNumberFormat="0" applyBorder="0" applyAlignment="0" applyProtection="0"/>
    <xf numFmtId="0" fontId="9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93" fillId="32" borderId="0" applyNumberFormat="0" applyBorder="0" applyAlignment="0" applyProtection="0"/>
    <xf numFmtId="0" fontId="9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5" borderId="0" applyNumberFormat="0" applyBorder="0" applyAlignment="0" applyProtection="0"/>
    <xf numFmtId="0" fontId="93" fillId="36" borderId="0" applyNumberFormat="0" applyBorder="0" applyAlignment="0" applyProtection="0"/>
    <xf numFmtId="0" fontId="9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39" borderId="0" applyNumberFormat="0" applyBorder="0" applyAlignment="0" applyProtection="0"/>
    <xf numFmtId="0" fontId="93" fillId="40" borderId="0" applyNumberFormat="0" applyBorder="0" applyAlignment="0" applyProtection="0"/>
    <xf numFmtId="0" fontId="3" fillId="0" borderId="0"/>
    <xf numFmtId="0" fontId="3" fillId="3" borderId="10" applyNumberFormat="0" applyFont="0" applyAlignment="0" applyProtection="0"/>
    <xf numFmtId="0" fontId="3" fillId="0" borderId="0"/>
    <xf numFmtId="0" fontId="3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1" fontId="3" fillId="0" borderId="0"/>
    <xf numFmtId="171" fontId="3" fillId="0" borderId="0"/>
    <xf numFmtId="171" fontId="3" fillId="0" borderId="0"/>
    <xf numFmtId="171" fontId="3" fillId="0" borderId="0"/>
    <xf numFmtId="171" fontId="3" fillId="0" borderId="0"/>
    <xf numFmtId="171" fontId="3" fillId="0" borderId="0"/>
    <xf numFmtId="0" fontId="3" fillId="0" borderId="0"/>
    <xf numFmtId="171" fontId="3" fillId="0" borderId="0"/>
    <xf numFmtId="171" fontId="3" fillId="0" borderId="0"/>
    <xf numFmtId="171" fontId="3" fillId="0" borderId="0"/>
    <xf numFmtId="0" fontId="3" fillId="0" borderId="0"/>
    <xf numFmtId="171" fontId="3" fillId="0" borderId="0"/>
    <xf numFmtId="0" fontId="3" fillId="3" borderId="10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20" fillId="0" borderId="0"/>
    <xf numFmtId="44" fontId="8" fillId="0" borderId="0" applyFont="0" applyFill="0" applyBorder="0" applyAlignment="0" applyProtection="0"/>
    <xf numFmtId="0" fontId="20" fillId="0" borderId="0"/>
    <xf numFmtId="43" fontId="20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9" fontId="8" fillId="0" borderId="0" applyFont="0" applyFill="0" applyBorder="0" applyAlignment="0" applyProtection="0"/>
    <xf numFmtId="0" fontId="8" fillId="0" borderId="0"/>
    <xf numFmtId="0" fontId="1" fillId="0" borderId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3" borderId="10" applyNumberFormat="0" applyFont="0" applyAlignment="0" applyProtection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71" fontId="1" fillId="0" borderId="0"/>
    <xf numFmtId="0" fontId="1" fillId="3" borderId="10" applyNumberFormat="0" applyFon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4" fontId="8" fillId="0" borderId="0" applyFont="0" applyFill="0" applyBorder="0" applyAlignment="0" applyProtection="0"/>
    <xf numFmtId="0" fontId="1" fillId="0" borderId="0"/>
    <xf numFmtId="9" fontId="8" fillId="0" borderId="0" applyFont="0" applyFill="0" applyBorder="0" applyAlignment="0" applyProtection="0"/>
    <xf numFmtId="0" fontId="8" fillId="0" borderId="0"/>
    <xf numFmtId="0" fontId="1" fillId="0" borderId="0"/>
    <xf numFmtId="0" fontId="1" fillId="3" borderId="10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71" fontId="1" fillId="0" borderId="0"/>
    <xf numFmtId="0" fontId="1" fillId="3" borderId="10" applyNumberFormat="0" applyFon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8" fillId="0" borderId="0" applyFont="0" applyFill="0" applyBorder="0" applyAlignment="0" applyProtection="0"/>
    <xf numFmtId="0" fontId="8" fillId="0" borderId="0"/>
  </cellStyleXfs>
  <cellXfs count="123">
    <xf numFmtId="0" fontId="0" fillId="0" borderId="0" xfId="0"/>
    <xf numFmtId="164" fontId="0" fillId="0" borderId="0" xfId="0" applyNumberFormat="1"/>
    <xf numFmtId="165" fontId="0" fillId="0" borderId="0" xfId="2" applyNumberFormat="1" applyFont="1"/>
    <xf numFmtId="43" fontId="0" fillId="0" borderId="0" xfId="1" applyFont="1"/>
    <xf numFmtId="9" fontId="0" fillId="0" borderId="0" xfId="2" applyFont="1"/>
    <xf numFmtId="164" fontId="0" fillId="0" borderId="0" xfId="2" applyNumberFormat="1" applyFont="1"/>
    <xf numFmtId="0" fontId="11" fillId="0" borderId="4" xfId="0" applyFont="1" applyFill="1" applyBorder="1" applyAlignment="1">
      <alignment horizontal="center" wrapText="1"/>
    </xf>
    <xf numFmtId="164" fontId="13" fillId="0" borderId="5" xfId="0" applyNumberFormat="1" applyFont="1" applyFill="1" applyBorder="1" applyAlignment="1">
      <alignment horizontal="center"/>
    </xf>
    <xf numFmtId="164" fontId="14" fillId="2" borderId="5" xfId="2" applyNumberFormat="1" applyFont="1" applyFill="1" applyBorder="1" applyAlignment="1">
      <alignment horizontal="center"/>
    </xf>
    <xf numFmtId="0" fontId="12" fillId="0" borderId="4" xfId="0" applyFont="1" applyBorder="1" applyAlignment="1">
      <alignment horizontal="left" wrapText="1"/>
    </xf>
    <xf numFmtId="0" fontId="12" fillId="0" borderId="5" xfId="0" applyFont="1" applyBorder="1"/>
    <xf numFmtId="0" fontId="12" fillId="0" borderId="6" xfId="0" applyFont="1" applyBorder="1"/>
    <xf numFmtId="0" fontId="12" fillId="2" borderId="4" xfId="0" applyFont="1" applyFill="1" applyBorder="1" applyAlignment="1">
      <alignment horizontal="center" wrapText="1"/>
    </xf>
    <xf numFmtId="0" fontId="12" fillId="2" borderId="3" xfId="0" applyFont="1" applyFill="1" applyBorder="1" applyAlignment="1">
      <alignment horizontal="center" wrapText="1"/>
    </xf>
    <xf numFmtId="164" fontId="0" fillId="2" borderId="5" xfId="2" applyNumberFormat="1" applyFont="1" applyFill="1" applyBorder="1" applyAlignment="1">
      <alignment horizontal="center"/>
    </xf>
    <xf numFmtId="1" fontId="14" fillId="2" borderId="5" xfId="0" applyNumberFormat="1" applyFont="1" applyFill="1" applyBorder="1" applyAlignment="1">
      <alignment horizontal="center"/>
    </xf>
    <xf numFmtId="166" fontId="0" fillId="0" borderId="0" xfId="1" applyNumberFormat="1" applyFont="1"/>
    <xf numFmtId="0" fontId="12" fillId="0" borderId="7" xfId="0" applyFont="1" applyFill="1" applyBorder="1" applyAlignment="1">
      <alignment horizontal="left"/>
    </xf>
    <xf numFmtId="0" fontId="12" fillId="0" borderId="8" xfId="0" applyFont="1" applyFill="1" applyBorder="1" applyAlignment="1">
      <alignment horizontal="center" wrapText="1"/>
    </xf>
    <xf numFmtId="0" fontId="12" fillId="0" borderId="9" xfId="0" applyFont="1" applyFill="1" applyBorder="1" applyAlignment="1">
      <alignment horizontal="center" wrapText="1"/>
    </xf>
    <xf numFmtId="0" fontId="11" fillId="0" borderId="5" xfId="0" applyFont="1" applyFill="1" applyBorder="1" applyAlignment="1">
      <alignment horizontal="left"/>
    </xf>
    <xf numFmtId="164" fontId="15" fillId="0" borderId="0" xfId="0" applyNumberFormat="1" applyFont="1" applyFill="1" applyAlignment="1">
      <alignment horizontal="center" vertical="center"/>
    </xf>
    <xf numFmtId="0" fontId="11" fillId="0" borderId="6" xfId="0" applyFont="1" applyFill="1" applyBorder="1" applyAlignment="1">
      <alignment horizontal="left"/>
    </xf>
    <xf numFmtId="0" fontId="68" fillId="0" borderId="0" xfId="236" applyFont="1" applyAlignment="1">
      <alignment horizontal="left"/>
    </xf>
    <xf numFmtId="0" fontId="68" fillId="0" borderId="16" xfId="236" applyFont="1" applyBorder="1" applyAlignment="1">
      <alignment horizontal="left" wrapText="1"/>
    </xf>
    <xf numFmtId="0" fontId="68" fillId="0" borderId="0" xfId="236" applyFont="1" applyAlignment="1">
      <alignment horizontal="left" vertical="top" wrapText="1"/>
    </xf>
    <xf numFmtId="0" fontId="68" fillId="0" borderId="0" xfId="236" applyNumberFormat="1" applyFont="1" applyAlignment="1">
      <alignment horizontal="left"/>
    </xf>
    <xf numFmtId="0" fontId="20" fillId="0" borderId="0" xfId="236" applyFont="1"/>
    <xf numFmtId="44" fontId="0" fillId="0" borderId="0" xfId="237" applyFont="1"/>
    <xf numFmtId="164" fontId="14" fillId="0" borderId="5" xfId="2" applyNumberFormat="1" applyFont="1" applyFill="1" applyBorder="1" applyAlignment="1">
      <alignment horizontal="center"/>
    </xf>
    <xf numFmtId="0" fontId="11" fillId="0" borderId="4" xfId="0" applyFont="1" applyFill="1" applyBorder="1" applyAlignment="1">
      <alignment horizontal="left" wrapText="1"/>
    </xf>
    <xf numFmtId="0" fontId="12" fillId="0" borderId="5" xfId="0" applyFont="1" applyFill="1" applyBorder="1"/>
    <xf numFmtId="0" fontId="0" fillId="0" borderId="0" xfId="0" applyNumberFormat="1"/>
    <xf numFmtId="165" fontId="67" fillId="0" borderId="0" xfId="2" applyNumberFormat="1" applyFont="1"/>
    <xf numFmtId="176" fontId="0" fillId="0" borderId="0" xfId="0" applyNumberFormat="1"/>
    <xf numFmtId="176" fontId="9" fillId="0" borderId="0" xfId="3" applyNumberFormat="1"/>
    <xf numFmtId="0" fontId="12" fillId="2" borderId="0" xfId="0" applyFont="1" applyFill="1" applyBorder="1" applyAlignment="1">
      <alignment horizontal="center" wrapText="1"/>
    </xf>
    <xf numFmtId="177" fontId="0" fillId="0" borderId="0" xfId="1" applyNumberFormat="1" applyFont="1"/>
    <xf numFmtId="178" fontId="0" fillId="0" borderId="0" xfId="1" applyNumberFormat="1" applyFont="1"/>
    <xf numFmtId="178" fontId="70" fillId="0" borderId="0" xfId="1" applyNumberFormat="1" applyFont="1"/>
    <xf numFmtId="1" fontId="14" fillId="0" borderId="5" xfId="2" applyNumberFormat="1" applyFont="1" applyFill="1" applyBorder="1" applyAlignment="1">
      <alignment horizontal="center"/>
    </xf>
    <xf numFmtId="0" fontId="0" fillId="0" borderId="0" xfId="2" applyNumberFormat="1" applyFont="1"/>
    <xf numFmtId="0" fontId="36" fillId="0" borderId="0" xfId="238"/>
    <xf numFmtId="176" fontId="0" fillId="0" borderId="0" xfId="2" applyNumberFormat="1" applyFont="1"/>
    <xf numFmtId="176" fontId="0" fillId="0" borderId="0" xfId="1" applyNumberFormat="1" applyFont="1"/>
    <xf numFmtId="0" fontId="71" fillId="0" borderId="0" xfId="0" applyFont="1" applyFill="1" applyAlignment="1">
      <alignment horizontal="left"/>
    </xf>
    <xf numFmtId="0" fontId="39" fillId="0" borderId="0" xfId="236" applyFont="1" applyAlignment="1">
      <alignment horizontal="right"/>
    </xf>
    <xf numFmtId="10" fontId="67" fillId="0" borderId="0" xfId="2" applyNumberFormat="1" applyFont="1"/>
    <xf numFmtId="0" fontId="68" fillId="0" borderId="0" xfId="0" applyFont="1" applyFill="1" applyAlignment="1">
      <alignment horizontal="left"/>
    </xf>
    <xf numFmtId="174" fontId="51" fillId="0" borderId="0" xfId="240" applyNumberFormat="1" applyFont="1" applyFill="1" applyAlignment="1">
      <alignment horizontal="right"/>
    </xf>
    <xf numFmtId="0" fontId="12" fillId="2" borderId="18" xfId="0" applyFont="1" applyFill="1" applyBorder="1" applyAlignment="1">
      <alignment horizontal="center" wrapText="1"/>
    </xf>
    <xf numFmtId="0" fontId="5" fillId="0" borderId="0" xfId="0" applyFont="1"/>
    <xf numFmtId="1" fontId="5" fillId="0" borderId="0" xfId="0" applyNumberFormat="1" applyFont="1"/>
    <xf numFmtId="2" fontId="5" fillId="0" borderId="0" xfId="0" applyNumberFormat="1" applyFont="1"/>
    <xf numFmtId="164" fontId="5" fillId="0" borderId="0" xfId="0" applyNumberFormat="1" applyFont="1"/>
    <xf numFmtId="2" fontId="0" fillId="0" borderId="0" xfId="0" applyNumberFormat="1" applyFont="1"/>
    <xf numFmtId="0" fontId="0" fillId="0" borderId="0" xfId="0" applyFont="1"/>
    <xf numFmtId="0" fontId="23" fillId="4" borderId="0" xfId="0" applyFont="1" applyFill="1"/>
    <xf numFmtId="39" fontId="73" fillId="0" borderId="0" xfId="41" applyNumberFormat="1" applyFont="1" applyBorder="1" applyAlignment="1">
      <alignment horizontal="center"/>
    </xf>
    <xf numFmtId="2" fontId="0" fillId="0" borderId="0" xfId="0" applyNumberFormat="1" applyFont="1" applyAlignment="1">
      <alignment horizontal="center"/>
    </xf>
    <xf numFmtId="0" fontId="67" fillId="0" borderId="0" xfId="236"/>
    <xf numFmtId="0" fontId="12" fillId="0" borderId="3" xfId="0" applyFont="1" applyFill="1" applyBorder="1" applyAlignment="1">
      <alignment horizontal="center" wrapText="1"/>
    </xf>
    <xf numFmtId="0" fontId="69" fillId="0" borderId="0" xfId="236" applyFont="1" applyAlignment="1"/>
    <xf numFmtId="0" fontId="0" fillId="0" borderId="0" xfId="237" applyNumberFormat="1" applyFont="1"/>
    <xf numFmtId="10" fontId="0" fillId="0" borderId="0" xfId="237" applyNumberFormat="1" applyFont="1"/>
    <xf numFmtId="43" fontId="0" fillId="0" borderId="0" xfId="1" applyNumberFormat="1" applyFont="1"/>
    <xf numFmtId="1" fontId="0" fillId="0" borderId="0" xfId="0" applyNumberFormat="1"/>
    <xf numFmtId="0" fontId="10" fillId="0" borderId="4" xfId="0" applyFont="1" applyFill="1" applyBorder="1" applyAlignment="1">
      <alignment horizontal="center" wrapText="1"/>
    </xf>
    <xf numFmtId="0" fontId="0" fillId="0" borderId="0" xfId="0" applyFill="1"/>
    <xf numFmtId="164" fontId="0" fillId="0" borderId="0" xfId="0" applyNumberFormat="1" applyFill="1"/>
    <xf numFmtId="0" fontId="76" fillId="0" borderId="0" xfId="0" applyFont="1"/>
    <xf numFmtId="0" fontId="49" fillId="0" borderId="0" xfId="0" applyFont="1"/>
    <xf numFmtId="0" fontId="77" fillId="10" borderId="0" xfId="0" applyFont="1" applyFill="1" applyAlignment="1">
      <alignment horizontal="left"/>
    </xf>
    <xf numFmtId="0" fontId="77" fillId="10" borderId="0" xfId="0" applyFont="1" applyFill="1" applyAlignment="1">
      <alignment horizontal="center"/>
    </xf>
    <xf numFmtId="0" fontId="49" fillId="10" borderId="0" xfId="0" applyFont="1" applyFill="1"/>
    <xf numFmtId="0" fontId="77" fillId="10" borderId="0" xfId="0" applyFont="1" applyFill="1" applyAlignment="1">
      <alignment horizontal="right"/>
    </xf>
    <xf numFmtId="0" fontId="76" fillId="0" borderId="0" xfId="0" applyFont="1" applyAlignment="1">
      <alignment horizontal="left"/>
    </xf>
    <xf numFmtId="0" fontId="49" fillId="0" borderId="0" xfId="0" applyFont="1" applyAlignment="1">
      <alignment horizontal="left"/>
    </xf>
    <xf numFmtId="2" fontId="20" fillId="0" borderId="0" xfId="244" applyNumberFormat="1" applyFont="1"/>
    <xf numFmtId="2" fontId="20" fillId="0" borderId="0" xfId="250" applyNumberFormat="1" applyFont="1"/>
    <xf numFmtId="2" fontId="20" fillId="0" borderId="0" xfId="251" applyNumberFormat="1" applyFont="1"/>
    <xf numFmtId="2" fontId="20" fillId="0" borderId="0" xfId="248" applyNumberFormat="1" applyFont="1"/>
    <xf numFmtId="0" fontId="49" fillId="0" borderId="0" xfId="0" applyFont="1" applyFill="1" applyAlignment="1">
      <alignment horizontal="left"/>
    </xf>
    <xf numFmtId="2" fontId="20" fillId="0" borderId="0" xfId="249" applyNumberFormat="1" applyFont="1" applyAlignment="1">
      <alignment horizontal="right"/>
    </xf>
    <xf numFmtId="2" fontId="20" fillId="0" borderId="0" xfId="252" applyNumberFormat="1" applyFont="1" applyAlignment="1">
      <alignment horizontal="right"/>
    </xf>
    <xf numFmtId="0" fontId="12" fillId="0" borderId="4" xfId="0" applyFont="1" applyFill="1" applyBorder="1" applyAlignment="1">
      <alignment horizontal="center" wrapText="1"/>
    </xf>
    <xf numFmtId="2" fontId="20" fillId="0" borderId="0" xfId="253" applyNumberFormat="1" applyFont="1" applyAlignment="1">
      <alignment horizontal="right"/>
    </xf>
    <xf numFmtId="0" fontId="68" fillId="0" borderId="17" xfId="0" applyFont="1" applyFill="1" applyBorder="1" applyAlignment="1">
      <alignment horizontal="center" wrapText="1"/>
    </xf>
    <xf numFmtId="174" fontId="75" fillId="0" borderId="0" xfId="255" applyNumberFormat="1" applyFont="1" applyFill="1" applyAlignment="1">
      <alignment horizontal="right"/>
    </xf>
    <xf numFmtId="174" fontId="75" fillId="0" borderId="0" xfId="255" applyNumberFormat="1" applyFont="1" applyFill="1" applyAlignment="1">
      <alignment horizontal="right"/>
    </xf>
    <xf numFmtId="175" fontId="51" fillId="0" borderId="0" xfId="259" applyNumberFormat="1" applyFont="1" applyFill="1" applyAlignment="1">
      <alignment horizontal="right"/>
    </xf>
    <xf numFmtId="175" fontId="51" fillId="0" borderId="0" xfId="260" applyNumberFormat="1" applyFont="1" applyFill="1" applyAlignment="1">
      <alignment horizontal="right"/>
    </xf>
    <xf numFmtId="0" fontId="39" fillId="0" borderId="0" xfId="236" applyFont="1" applyFill="1"/>
    <xf numFmtId="9" fontId="0" fillId="9" borderId="0" xfId="2" applyFont="1" applyFill="1"/>
    <xf numFmtId="0" fontId="0" fillId="41" borderId="0" xfId="0" applyFill="1"/>
    <xf numFmtId="0" fontId="70" fillId="41" borderId="0" xfId="0" applyFont="1" applyFill="1"/>
    <xf numFmtId="178" fontId="0" fillId="9" borderId="0" xfId="1" applyNumberFormat="1" applyFont="1" applyFill="1"/>
    <xf numFmtId="165" fontId="0" fillId="9" borderId="0" xfId="2" applyNumberFormat="1" applyFont="1" applyFill="1"/>
    <xf numFmtId="0" fontId="0" fillId="9" borderId="0" xfId="0" applyFill="1"/>
    <xf numFmtId="179" fontId="0" fillId="0" borderId="0" xfId="1" applyNumberFormat="1" applyFont="1"/>
    <xf numFmtId="0" fontId="2" fillId="0" borderId="0" xfId="0" applyFont="1"/>
    <xf numFmtId="178" fontId="0" fillId="42" borderId="0" xfId="1" applyNumberFormat="1" applyFont="1" applyFill="1"/>
    <xf numFmtId="0" fontId="0" fillId="42" borderId="0" xfId="0" applyFill="1"/>
    <xf numFmtId="174" fontId="75" fillId="0" borderId="0" xfId="0" applyNumberFormat="1" applyFont="1" applyFill="1" applyAlignment="1">
      <alignment horizontal="right"/>
    </xf>
    <xf numFmtId="178" fontId="0" fillId="0" borderId="0" xfId="1" applyNumberFormat="1" applyFont="1" applyFill="1"/>
    <xf numFmtId="3" fontId="0" fillId="0" borderId="0" xfId="0" applyNumberFormat="1" applyFill="1"/>
    <xf numFmtId="43" fontId="0" fillId="0" borderId="0" xfId="1" applyNumberFormat="1" applyFont="1" applyFill="1"/>
    <xf numFmtId="0" fontId="1" fillId="0" borderId="0" xfId="0" applyFont="1"/>
    <xf numFmtId="0" fontId="70" fillId="9" borderId="0" xfId="0" applyFont="1" applyFill="1"/>
    <xf numFmtId="178" fontId="94" fillId="0" borderId="0" xfId="1" applyNumberFormat="1" applyFont="1"/>
    <xf numFmtId="177" fontId="0" fillId="0" borderId="0" xfId="1" applyNumberFormat="1" applyFont="1" applyFill="1"/>
    <xf numFmtId="165" fontId="0" fillId="0" borderId="0" xfId="2" applyNumberFormat="1" applyFont="1" applyFill="1"/>
    <xf numFmtId="0" fontId="0" fillId="43" borderId="0" xfId="0" applyFill="1"/>
    <xf numFmtId="178" fontId="0" fillId="43" borderId="0" xfId="1" applyNumberFormat="1" applyFont="1" applyFill="1"/>
    <xf numFmtId="177" fontId="0" fillId="43" borderId="0" xfId="1" applyNumberFormat="1" applyFont="1" applyFill="1"/>
    <xf numFmtId="165" fontId="0" fillId="43" borderId="0" xfId="2" applyNumberFormat="1" applyFont="1" applyFill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10" fillId="9" borderId="0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3" xfId="0" applyFont="1" applyBorder="1" applyAlignment="1">
      <alignment horizontal="center"/>
    </xf>
  </cellXfs>
  <cellStyles count="436">
    <cellStyle name="20% - Accent1" xfId="278" builtinId="30" customBuiltin="1"/>
    <cellStyle name="20% - Accent1 2" xfId="349"/>
    <cellStyle name="20% - Accent2" xfId="282" builtinId="34" customBuiltin="1"/>
    <cellStyle name="20% - Accent2 2" xfId="350"/>
    <cellStyle name="20% - Accent3" xfId="286" builtinId="38" customBuiltin="1"/>
    <cellStyle name="20% - Accent3 2" xfId="351"/>
    <cellStyle name="20% - Accent4" xfId="290" builtinId="42" customBuiltin="1"/>
    <cellStyle name="20% - Accent4 2" xfId="352"/>
    <cellStyle name="20% - Accent5" xfId="294" builtinId="46" customBuiltin="1"/>
    <cellStyle name="20% - Accent5 2" xfId="353"/>
    <cellStyle name="20% - Accent6" xfId="298" builtinId="50" customBuiltin="1"/>
    <cellStyle name="20% - Accent6 2" xfId="354"/>
    <cellStyle name="40% - Accent1" xfId="279" builtinId="31" customBuiltin="1"/>
    <cellStyle name="40% - Accent1 2" xfId="355"/>
    <cellStyle name="40% - Accent2" xfId="283" builtinId="35" customBuiltin="1"/>
    <cellStyle name="40% - Accent2 2" xfId="356"/>
    <cellStyle name="40% - Accent3" xfId="287" builtinId="39" customBuiltin="1"/>
    <cellStyle name="40% - Accent3 2" xfId="357"/>
    <cellStyle name="40% - Accent4" xfId="291" builtinId="43" customBuiltin="1"/>
    <cellStyle name="40% - Accent4 2" xfId="358"/>
    <cellStyle name="40% - Accent5" xfId="295" builtinId="47" customBuiltin="1"/>
    <cellStyle name="40% - Accent5 2" xfId="359"/>
    <cellStyle name="40% - Accent6" xfId="299" builtinId="51" customBuiltin="1"/>
    <cellStyle name="40% - Accent6 2" xfId="360"/>
    <cellStyle name="60% - Accent1" xfId="280" builtinId="32" customBuiltin="1"/>
    <cellStyle name="60% - Accent2" xfId="284" builtinId="36" customBuiltin="1"/>
    <cellStyle name="60% - Accent3" xfId="288" builtinId="40" customBuiltin="1"/>
    <cellStyle name="60% - Accent4" xfId="292" builtinId="44" customBuiltin="1"/>
    <cellStyle name="60% - Accent5" xfId="296" builtinId="48" customBuiltin="1"/>
    <cellStyle name="60% - Accent6" xfId="300" builtinId="52" customBuiltin="1"/>
    <cellStyle name="Accent1" xfId="277" builtinId="29" customBuiltin="1"/>
    <cellStyle name="Accent2" xfId="281" builtinId="33" customBuiltin="1"/>
    <cellStyle name="Accent3" xfId="285" builtinId="37" customBuiltin="1"/>
    <cellStyle name="Accent4" xfId="289" builtinId="41" customBuiltin="1"/>
    <cellStyle name="Accent5" xfId="293" builtinId="45" customBuiltin="1"/>
    <cellStyle name="Accent6" xfId="297" builtinId="49" customBuiltin="1"/>
    <cellStyle name="active" xfId="7"/>
    <cellStyle name="Bad" xfId="267" builtinId="27" customBuiltin="1"/>
    <cellStyle name="C00A" xfId="8"/>
    <cellStyle name="C00B" xfId="9"/>
    <cellStyle name="C00L" xfId="10"/>
    <cellStyle name="C01A" xfId="11"/>
    <cellStyle name="C01B" xfId="12"/>
    <cellStyle name="C01H" xfId="13"/>
    <cellStyle name="C01L" xfId="14"/>
    <cellStyle name="C02A" xfId="15"/>
    <cellStyle name="C02B" xfId="16"/>
    <cellStyle name="C02H" xfId="17"/>
    <cellStyle name="C02L" xfId="18"/>
    <cellStyle name="C03A" xfId="19"/>
    <cellStyle name="C03B" xfId="20"/>
    <cellStyle name="C03H" xfId="21"/>
    <cellStyle name="C03L" xfId="22"/>
    <cellStyle name="C04A" xfId="23"/>
    <cellStyle name="C04B" xfId="24"/>
    <cellStyle name="C04H" xfId="25"/>
    <cellStyle name="C04L" xfId="26"/>
    <cellStyle name="C05A" xfId="27"/>
    <cellStyle name="C05B" xfId="28"/>
    <cellStyle name="C05H" xfId="29"/>
    <cellStyle name="C05L" xfId="30"/>
    <cellStyle name="C06A" xfId="31"/>
    <cellStyle name="C06B" xfId="32"/>
    <cellStyle name="C06H" xfId="33"/>
    <cellStyle name="C06L" xfId="34"/>
    <cellStyle name="C07A" xfId="35"/>
    <cellStyle name="C07B" xfId="36"/>
    <cellStyle name="C07H" xfId="37"/>
    <cellStyle name="C07L" xfId="38"/>
    <cellStyle name="Calculation" xfId="271" builtinId="22" customBuiltin="1"/>
    <cellStyle name="Check Cell" xfId="273" builtinId="23" customBuiltin="1"/>
    <cellStyle name="Comma" xfId="1" builtinId="3"/>
    <cellStyle name="Comma 2" xfId="39"/>
    <cellStyle name="Comma 2 2" xfId="40"/>
    <cellStyle name="Comma 3" xfId="41"/>
    <cellStyle name="Comma 4" xfId="42"/>
    <cellStyle name="Comma 5" xfId="43"/>
    <cellStyle name="Comma 6" xfId="44"/>
    <cellStyle name="Comma 6 2" xfId="310"/>
    <cellStyle name="Comma 6 2 2" xfId="402"/>
    <cellStyle name="Comma 6 3" xfId="365"/>
    <cellStyle name="Comma 7" xfId="242"/>
    <cellStyle name="Comma 7 2" xfId="342"/>
    <cellStyle name="Comma 8" xfId="306"/>
    <cellStyle name="Comma 9" xfId="363"/>
    <cellStyle name="Comma0" xfId="45"/>
    <cellStyle name="Comma0 2" xfId="46"/>
    <cellStyle name="Currency" xfId="237" builtinId="4"/>
    <cellStyle name="Currency 2" xfId="340"/>
    <cellStyle name="Currency 3" xfId="392"/>
    <cellStyle name="Currency0" xfId="47"/>
    <cellStyle name="Currency0 2" xfId="48"/>
    <cellStyle name="Date" xfId="49"/>
    <cellStyle name="Date 2" xfId="50"/>
    <cellStyle name="Euro" xfId="51"/>
    <cellStyle name="Euro 2" xfId="52"/>
    <cellStyle name="EXPENSE REPORT" xfId="53"/>
    <cellStyle name="Explanatory Text" xfId="275" builtinId="53" customBuiltin="1"/>
    <cellStyle name="Fixed" xfId="54"/>
    <cellStyle name="Fixed 2" xfId="55"/>
    <cellStyle name="Good" xfId="266" builtinId="26" customBuiltin="1"/>
    <cellStyle name="Grey" xfId="56"/>
    <cellStyle name="Header1" xfId="57"/>
    <cellStyle name="Header2" xfId="58"/>
    <cellStyle name="Heading" xfId="59"/>
    <cellStyle name="Heading 1" xfId="262" builtinId="16" customBuiltin="1"/>
    <cellStyle name="Heading 2" xfId="263" builtinId="17" customBuiltin="1"/>
    <cellStyle name="Heading 3" xfId="264" builtinId="18" customBuiltin="1"/>
    <cellStyle name="Heading 4" xfId="265" builtinId="19" customBuiltin="1"/>
    <cellStyle name="Heading1" xfId="60"/>
    <cellStyle name="Hyperlink" xfId="3" builtinId="8"/>
    <cellStyle name="Hyperlink 2" xfId="6"/>
    <cellStyle name="Hyperlink 2 2" xfId="61"/>
    <cellStyle name="Hyperlink 2 3" xfId="62"/>
    <cellStyle name="Hyperlink 3" xfId="63"/>
    <cellStyle name="Input" xfId="269" builtinId="20" customBuiltin="1"/>
    <cellStyle name="Input [yellow]" xfId="64"/>
    <cellStyle name="Lines" xfId="65"/>
    <cellStyle name="Linked Cell" xfId="272" builtinId="24" customBuiltin="1"/>
    <cellStyle name="Map Data Values" xfId="66"/>
    <cellStyle name="Map Data Values 2" xfId="67"/>
    <cellStyle name="Map Data Values 3" xfId="68"/>
    <cellStyle name="Map Distance" xfId="69"/>
    <cellStyle name="Map Distance 2" xfId="70"/>
    <cellStyle name="Map Distance 3" xfId="71"/>
    <cellStyle name="Map Legend" xfId="72"/>
    <cellStyle name="Map Legend 2" xfId="73"/>
    <cellStyle name="Map Legend 3" xfId="74"/>
    <cellStyle name="Map Object Names" xfId="75"/>
    <cellStyle name="Map Object Names 2" xfId="76"/>
    <cellStyle name="Map Object Names 3" xfId="77"/>
    <cellStyle name="Map Title" xfId="78"/>
    <cellStyle name="Map Title 2" xfId="79"/>
    <cellStyle name="Map Title 3" xfId="80"/>
    <cellStyle name="Neutral" xfId="268" builtinId="28" customBuiltin="1"/>
    <cellStyle name="no dec" xfId="81"/>
    <cellStyle name="Normal" xfId="0" builtinId="0"/>
    <cellStyle name="Normal - Style1" xfId="82"/>
    <cellStyle name="Normal 10" xfId="83"/>
    <cellStyle name="Normal 10 2" xfId="84"/>
    <cellStyle name="Normal 11" xfId="85"/>
    <cellStyle name="Normal 11 2" xfId="86"/>
    <cellStyle name="Normal 12" xfId="87"/>
    <cellStyle name="Normal 12 2" xfId="88"/>
    <cellStyle name="Normal 13" xfId="89"/>
    <cellStyle name="Normal 13 2" xfId="90"/>
    <cellStyle name="Normal 14" xfId="91"/>
    <cellStyle name="Normal 14 2" xfId="92"/>
    <cellStyle name="Normal 15" xfId="93"/>
    <cellStyle name="Normal 16" xfId="94"/>
    <cellStyle name="Normal 16 2" xfId="95"/>
    <cellStyle name="Normal 17" xfId="96"/>
    <cellStyle name="Normal 17 2" xfId="97"/>
    <cellStyle name="Normal 18" xfId="98"/>
    <cellStyle name="Normal 18 2" xfId="99"/>
    <cellStyle name="Normal 18 2 2" xfId="313"/>
    <cellStyle name="Normal 18 2 2 2" xfId="405"/>
    <cellStyle name="Normal 18 2 3" xfId="367"/>
    <cellStyle name="Normal 18 3" xfId="312"/>
    <cellStyle name="Normal 18 3 2" xfId="404"/>
    <cellStyle name="Normal 18 4" xfId="366"/>
    <cellStyle name="Normal 19" xfId="100"/>
    <cellStyle name="Normal 19 2" xfId="314"/>
    <cellStyle name="Normal 19 2 2" xfId="406"/>
    <cellStyle name="Normal 19 3" xfId="368"/>
    <cellStyle name="Normal 2" xfId="4"/>
    <cellStyle name="Normal 2 2" xfId="101"/>
    <cellStyle name="Normal 2 2 2" xfId="102"/>
    <cellStyle name="Normal 2 2 3" xfId="103"/>
    <cellStyle name="Normal 2 2 4" xfId="104"/>
    <cellStyle name="Normal 2 3" xfId="105"/>
    <cellStyle name="Normal 2 3 2" xfId="316"/>
    <cellStyle name="Normal 2 3 2 2" xfId="408"/>
    <cellStyle name="Normal 2 3 3" xfId="369"/>
    <cellStyle name="Normal 2 4" xfId="106"/>
    <cellStyle name="Normal 2 5" xfId="107"/>
    <cellStyle name="Normal 2 6" xfId="245"/>
    <cellStyle name="Normal 2 6 2" xfId="343"/>
    <cellStyle name="Normal 2 6 2 2" xfId="431"/>
    <cellStyle name="Normal 2 6 3" xfId="393"/>
    <cellStyle name="Normal 2 7" xfId="255"/>
    <cellStyle name="Normal 2_temp" xfId="108"/>
    <cellStyle name="Normal 20" xfId="109"/>
    <cellStyle name="Normal 21" xfId="110"/>
    <cellStyle name="Normal 22" xfId="111"/>
    <cellStyle name="Normal 22 2" xfId="317"/>
    <cellStyle name="Normal 22 2 2" xfId="409"/>
    <cellStyle name="Normal 22 3" xfId="370"/>
    <cellStyle name="Normal 23" xfId="112"/>
    <cellStyle name="Normal 23 2" xfId="318"/>
    <cellStyle name="Normal 23 2 2" xfId="410"/>
    <cellStyle name="Normal 23 3" xfId="371"/>
    <cellStyle name="Normal 24" xfId="113"/>
    <cellStyle name="Normal 25" xfId="114"/>
    <cellStyle name="Normal 26" xfId="115"/>
    <cellStyle name="Normal 27" xfId="236"/>
    <cellStyle name="Normal 27 2" xfId="339"/>
    <cellStyle name="Normal 28" xfId="239"/>
    <cellStyle name="Normal 29" xfId="240"/>
    <cellStyle name="Normal 3" xfId="116"/>
    <cellStyle name="Normal 3 2" xfId="117"/>
    <cellStyle name="Normal 3 3" xfId="118"/>
    <cellStyle name="Normal 3 4" xfId="238"/>
    <cellStyle name="Normal 3_SRR_2008_1-15-09djb(1)" xfId="119"/>
    <cellStyle name="Normal 30" xfId="241"/>
    <cellStyle name="Normal 30 2" xfId="341"/>
    <cellStyle name="Normal 31" xfId="243"/>
    <cellStyle name="Normal 32" xfId="247"/>
    <cellStyle name="Normal 33" xfId="244"/>
    <cellStyle name="Normal 34" xfId="248"/>
    <cellStyle name="Normal 35" xfId="250"/>
    <cellStyle name="Normal 36" xfId="251"/>
    <cellStyle name="Normal 37" xfId="249"/>
    <cellStyle name="Normal 38" xfId="252"/>
    <cellStyle name="Normal 39" xfId="253"/>
    <cellStyle name="Normal 4" xfId="120"/>
    <cellStyle name="Normal 4 2" xfId="121"/>
    <cellStyle name="Normal 4 3" xfId="122"/>
    <cellStyle name="Normal 4 4" xfId="123"/>
    <cellStyle name="Normal 4 5" xfId="124"/>
    <cellStyle name="Normal 4 5 2" xfId="320"/>
    <cellStyle name="Normal 4 5 2 2" xfId="412"/>
    <cellStyle name="Normal 4 5 3" xfId="373"/>
    <cellStyle name="Normal 4 6" xfId="319"/>
    <cellStyle name="Normal 4 6 2" xfId="411"/>
    <cellStyle name="Normal 4 7" xfId="372"/>
    <cellStyle name="Normal 4_temp" xfId="125"/>
    <cellStyle name="Normal 40" xfId="254"/>
    <cellStyle name="Normal 41" xfId="256"/>
    <cellStyle name="Normal 42" xfId="257"/>
    <cellStyle name="Normal 43" xfId="258"/>
    <cellStyle name="Normal 44" xfId="259"/>
    <cellStyle name="Normal 45" xfId="260"/>
    <cellStyle name="Normal 46" xfId="301"/>
    <cellStyle name="Normal 46 2" xfId="396"/>
    <cellStyle name="Normal 47" xfId="305"/>
    <cellStyle name="Normal 48" xfId="303"/>
    <cellStyle name="Normal 48 2" xfId="398"/>
    <cellStyle name="Normal 49" xfId="304"/>
    <cellStyle name="Normal 49 2" xfId="399"/>
    <cellStyle name="Normal 5" xfId="126"/>
    <cellStyle name="Normal 5 2" xfId="127"/>
    <cellStyle name="Normal 5 3" xfId="128"/>
    <cellStyle name="Normal 50" xfId="338"/>
    <cellStyle name="Normal 50 2" xfId="430"/>
    <cellStyle name="Normal 51" xfId="308"/>
    <cellStyle name="Normal 51 2" xfId="400"/>
    <cellStyle name="Normal 52" xfId="345"/>
    <cellStyle name="Normal 52 2" xfId="433"/>
    <cellStyle name="Normal 53" xfId="311"/>
    <cellStyle name="Normal 53 2" xfId="403"/>
    <cellStyle name="Normal 54" xfId="347"/>
    <cellStyle name="Normal 55" xfId="344"/>
    <cellStyle name="Normal 55 2" xfId="432"/>
    <cellStyle name="Normal 56" xfId="309"/>
    <cellStyle name="Normal 56 2" xfId="401"/>
    <cellStyle name="Normal 57" xfId="315"/>
    <cellStyle name="Normal 57 2" xfId="407"/>
    <cellStyle name="Normal 58" xfId="362"/>
    <cellStyle name="Normal 59" xfId="395"/>
    <cellStyle name="Normal 6" xfId="129"/>
    <cellStyle name="Normal 6 2" xfId="130"/>
    <cellStyle name="Normal 6 2 2" xfId="131"/>
    <cellStyle name="Normal 6 2 2 2" xfId="132"/>
    <cellStyle name="Normal 6 2 2 2 2" xfId="323"/>
    <cellStyle name="Normal 6 2 2 2 2 2" xfId="415"/>
    <cellStyle name="Normal 6 2 2 2 3" xfId="376"/>
    <cellStyle name="Normal 6 2 2 3" xfId="322"/>
    <cellStyle name="Normal 6 2 2 3 2" xfId="414"/>
    <cellStyle name="Normal 6 2 2 4" xfId="375"/>
    <cellStyle name="Normal 6 2 3" xfId="133"/>
    <cellStyle name="Normal 6 2 3 2" xfId="324"/>
    <cellStyle name="Normal 6 2 3 2 2" xfId="416"/>
    <cellStyle name="Normal 6 2 3 3" xfId="377"/>
    <cellStyle name="Normal 6 2 4" xfId="321"/>
    <cellStyle name="Normal 6 2 4 2" xfId="413"/>
    <cellStyle name="Normal 6 2 5" xfId="374"/>
    <cellStyle name="Normal 6 3" xfId="134"/>
    <cellStyle name="Normal 6 3 2" xfId="135"/>
    <cellStyle name="Normal 6 3 2 2" xfId="326"/>
    <cellStyle name="Normal 6 3 2 2 2" xfId="418"/>
    <cellStyle name="Normal 6 3 2 3" xfId="379"/>
    <cellStyle name="Normal 6 3 3" xfId="325"/>
    <cellStyle name="Normal 6 3 3 2" xfId="417"/>
    <cellStyle name="Normal 6 3 4" xfId="378"/>
    <cellStyle name="Normal 6 4" xfId="136"/>
    <cellStyle name="Normal 6 4 2" xfId="327"/>
    <cellStyle name="Normal 6 4 2 2" xfId="419"/>
    <cellStyle name="Normal 6 4 3" xfId="380"/>
    <cellStyle name="Normal 6 5" xfId="137"/>
    <cellStyle name="Normal 6 5 2" xfId="328"/>
    <cellStyle name="Normal 6 5 2 2" xfId="420"/>
    <cellStyle name="Normal 6 5 3" xfId="381"/>
    <cellStyle name="Normal 6_temp" xfId="138"/>
    <cellStyle name="Normal 60" xfId="435"/>
    <cellStyle name="Normal 61" xfId="348"/>
    <cellStyle name="Normal 62" xfId="391"/>
    <cellStyle name="Normal 7" xfId="139"/>
    <cellStyle name="Normal 7 2" xfId="140"/>
    <cellStyle name="Normal 7 2 2" xfId="141"/>
    <cellStyle name="Normal 7 2 2 2" xfId="330"/>
    <cellStyle name="Normal 7 2 2 2 2" xfId="422"/>
    <cellStyle name="Normal 7 2 2 3" xfId="383"/>
    <cellStyle name="Normal 7 2 3" xfId="329"/>
    <cellStyle name="Normal 7 2 3 2" xfId="421"/>
    <cellStyle name="Normal 7 2 4" xfId="382"/>
    <cellStyle name="Normal 7 3" xfId="142"/>
    <cellStyle name="Normal 7 3 2" xfId="331"/>
    <cellStyle name="Normal 7 3 2 2" xfId="423"/>
    <cellStyle name="Normal 7 3 3" xfId="384"/>
    <cellStyle name="Normal 7 4" xfId="143"/>
    <cellStyle name="Normal 7 4 2" xfId="332"/>
    <cellStyle name="Normal 7 4 2 2" xfId="424"/>
    <cellStyle name="Normal 7 4 3" xfId="385"/>
    <cellStyle name="Normal 8" xfId="144"/>
    <cellStyle name="Normal 8 2" xfId="145"/>
    <cellStyle name="Normal 8 3" xfId="146"/>
    <cellStyle name="Normal 8 4" xfId="147"/>
    <cellStyle name="Normal 9" xfId="148"/>
    <cellStyle name="Normal 9 2" xfId="149"/>
    <cellStyle name="Normal2" xfId="150"/>
    <cellStyle name="Note 2" xfId="151"/>
    <cellStyle name="Note 2 2" xfId="333"/>
    <cellStyle name="Note 2 2 2" xfId="425"/>
    <cellStyle name="Note 2 3" xfId="386"/>
    <cellStyle name="Note 3" xfId="302"/>
    <cellStyle name="Note 3 2" xfId="397"/>
    <cellStyle name="Note 4" xfId="361"/>
    <cellStyle name="Output" xfId="270" builtinId="21" customBuiltin="1"/>
    <cellStyle name="Percent" xfId="2" builtinId="5"/>
    <cellStyle name="Percent (0)" xfId="152"/>
    <cellStyle name="Percent [2]" xfId="153"/>
    <cellStyle name="Percent 10" xfId="346"/>
    <cellStyle name="Percent 11" xfId="364"/>
    <cellStyle name="Percent 12" xfId="394"/>
    <cellStyle name="Percent 13" xfId="434"/>
    <cellStyle name="Percent 2" xfId="5"/>
    <cellStyle name="Percent 2 2" xfId="154"/>
    <cellStyle name="Percent 2 2 2" xfId="155"/>
    <cellStyle name="Percent 2 2 2 2" xfId="334"/>
    <cellStyle name="Percent 2 2 2 2 2" xfId="426"/>
    <cellStyle name="Percent 2 2 2 3" xfId="387"/>
    <cellStyle name="Percent 2 2 3" xfId="156"/>
    <cellStyle name="Percent 2 3" xfId="157"/>
    <cellStyle name="Percent 2 4" xfId="158"/>
    <cellStyle name="Percent 2 5" xfId="246"/>
    <cellStyle name="Percent 3" xfId="159"/>
    <cellStyle name="Percent 3 2" xfId="160"/>
    <cellStyle name="Percent 3 3" xfId="161"/>
    <cellStyle name="Percent 4" xfId="162"/>
    <cellStyle name="Percent 4 2" xfId="163"/>
    <cellStyle name="Percent 5" xfId="164"/>
    <cellStyle name="Percent 6" xfId="165"/>
    <cellStyle name="Percent 7" xfId="166"/>
    <cellStyle name="Percent 7 2" xfId="167"/>
    <cellStyle name="Percent 7 2 2" xfId="336"/>
    <cellStyle name="Percent 7 2 2 2" xfId="428"/>
    <cellStyle name="Percent 7 2 3" xfId="389"/>
    <cellStyle name="Percent 7 3" xfId="335"/>
    <cellStyle name="Percent 7 3 2" xfId="427"/>
    <cellStyle name="Percent 7 4" xfId="388"/>
    <cellStyle name="Percent 8" xfId="168"/>
    <cellStyle name="Percent 8 2" xfId="337"/>
    <cellStyle name="Percent 8 2 2" xfId="429"/>
    <cellStyle name="Percent 8 3" xfId="390"/>
    <cellStyle name="Percent 9" xfId="307"/>
    <cellStyle name="PSChar" xfId="169"/>
    <cellStyle name="PSDate" xfId="170"/>
    <cellStyle name="PSDec" xfId="171"/>
    <cellStyle name="PSHeading" xfId="172"/>
    <cellStyle name="PSInt" xfId="173"/>
    <cellStyle name="PSSpacer" xfId="174"/>
    <cellStyle name="R00A" xfId="175"/>
    <cellStyle name="R00B" xfId="176"/>
    <cellStyle name="R00B 2" xfId="177"/>
    <cellStyle name="R00L" xfId="178"/>
    <cellStyle name="R00L 2" xfId="179"/>
    <cellStyle name="R01A" xfId="180"/>
    <cellStyle name="R01B" xfId="181"/>
    <cellStyle name="R01H" xfId="182"/>
    <cellStyle name="R01L" xfId="183"/>
    <cellStyle name="R02A" xfId="184"/>
    <cellStyle name="R02B" xfId="185"/>
    <cellStyle name="R02H" xfId="186"/>
    <cellStyle name="R02H 2" xfId="187"/>
    <cellStyle name="R02L" xfId="188"/>
    <cellStyle name="R02L 2" xfId="189"/>
    <cellStyle name="R03A" xfId="190"/>
    <cellStyle name="R03B" xfId="191"/>
    <cellStyle name="R03H" xfId="192"/>
    <cellStyle name="R03H 2" xfId="193"/>
    <cellStyle name="R03L" xfId="194"/>
    <cellStyle name="R03L 2" xfId="195"/>
    <cellStyle name="R04A" xfId="196"/>
    <cellStyle name="R04B" xfId="197"/>
    <cellStyle name="R04H" xfId="198"/>
    <cellStyle name="R04H 2" xfId="199"/>
    <cellStyle name="R04L" xfId="200"/>
    <cellStyle name="R04L 2" xfId="201"/>
    <cellStyle name="R05A" xfId="202"/>
    <cellStyle name="R05B" xfId="203"/>
    <cellStyle name="R05H" xfId="204"/>
    <cellStyle name="R05H 2" xfId="205"/>
    <cellStyle name="R05L" xfId="206"/>
    <cellStyle name="R05L 2" xfId="207"/>
    <cellStyle name="R06A" xfId="208"/>
    <cellStyle name="R06B" xfId="209"/>
    <cellStyle name="R06H" xfId="210"/>
    <cellStyle name="R06H 2" xfId="211"/>
    <cellStyle name="R06L" xfId="212"/>
    <cellStyle name="R06L 2" xfId="213"/>
    <cellStyle name="R07A" xfId="214"/>
    <cellStyle name="R07B" xfId="215"/>
    <cellStyle name="R07H" xfId="216"/>
    <cellStyle name="R07H 2" xfId="217"/>
    <cellStyle name="R07L" xfId="218"/>
    <cellStyle name="R07L 2" xfId="219"/>
    <cellStyle name="R08A" xfId="220"/>
    <cellStyle name="R08H" xfId="221"/>
    <cellStyle name="R08H 2" xfId="222"/>
    <cellStyle name="R08L" xfId="223"/>
    <cellStyle name="R08L 2" xfId="224"/>
    <cellStyle name="R09H" xfId="225"/>
    <cellStyle name="R09H 2" xfId="226"/>
    <cellStyle name="R09L" xfId="227"/>
    <cellStyle name="R09L 2" xfId="228"/>
    <cellStyle name="R10H" xfId="229"/>
    <cellStyle name="R10H 2" xfId="230"/>
    <cellStyle name="R10L" xfId="231"/>
    <cellStyle name="R10L 2" xfId="232"/>
    <cellStyle name="Style 1" xfId="233"/>
    <cellStyle name="style_col_headings" xfId="234"/>
    <cellStyle name="Tickmark" xfId="235"/>
    <cellStyle name="Title" xfId="261" builtinId="15" customBuiltin="1"/>
    <cellStyle name="Total" xfId="276" builtinId="25" customBuiltin="1"/>
    <cellStyle name="Warning Text" xfId="274" builtinId="11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1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7684850204535"/>
          <c:y val="3.5281084050540194E-2"/>
          <c:w val="0.71514743089546229"/>
          <c:h val="0.60116462186412745"/>
        </c:manualLayout>
      </c:layout>
      <c:stockChart>
        <c:ser>
          <c:idx val="0"/>
          <c:order val="0"/>
          <c:tx>
            <c:strRef>
              <c:f>'Table 3'!$K$59</c:f>
              <c:strCache>
                <c:ptCount val="1"/>
                <c:pt idx="0">
                  <c:v>2007q1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0"/>
          </c:marker>
          <c:cat>
            <c:strRef>
              <c:f>'Table 3'!$J$60:$J$69</c:f>
              <c:strCache>
                <c:ptCount val="10"/>
                <c:pt idx="0">
                  <c:v>East North Central</c:v>
                </c:pt>
                <c:pt idx="1">
                  <c:v>East South Central</c:v>
                </c:pt>
                <c:pt idx="2">
                  <c:v>Mid Atlantic</c:v>
                </c:pt>
                <c:pt idx="3">
                  <c:v>Mountain</c:v>
                </c:pt>
                <c:pt idx="4">
                  <c:v>New England</c:v>
                </c:pt>
                <c:pt idx="5">
                  <c:v>Pacific</c:v>
                </c:pt>
                <c:pt idx="6">
                  <c:v>South Atlantic</c:v>
                </c:pt>
                <c:pt idx="7">
                  <c:v>West North Central</c:v>
                </c:pt>
                <c:pt idx="8">
                  <c:v>West South Central</c:v>
                </c:pt>
                <c:pt idx="9">
                  <c:v>USA</c:v>
                </c:pt>
              </c:strCache>
            </c:strRef>
          </c:cat>
          <c:val>
            <c:numRef>
              <c:f>'Table 3'!$K$60:$K$69</c:f>
              <c:numCache>
                <c:formatCode>0.00</c:formatCode>
                <c:ptCount val="10"/>
                <c:pt idx="0">
                  <c:v>192.75</c:v>
                </c:pt>
                <c:pt idx="1">
                  <c:v>197.5</c:v>
                </c:pt>
                <c:pt idx="2">
                  <c:v>219.8</c:v>
                </c:pt>
                <c:pt idx="3">
                  <c:v>292.52</c:v>
                </c:pt>
                <c:pt idx="4">
                  <c:v>225.1</c:v>
                </c:pt>
                <c:pt idx="5">
                  <c:v>277.26</c:v>
                </c:pt>
                <c:pt idx="6">
                  <c:v>240.88</c:v>
                </c:pt>
                <c:pt idx="7">
                  <c:v>214.36</c:v>
                </c:pt>
                <c:pt idx="8">
                  <c:v>194.18</c:v>
                </c:pt>
                <c:pt idx="9">
                  <c:v>225.12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'Table 3'!$L$59</c:f>
              <c:strCache>
                <c:ptCount val="1"/>
                <c:pt idx="0">
                  <c:v>Low</c:v>
                </c:pt>
              </c:strCache>
            </c:strRef>
          </c:tx>
          <c:spPr>
            <a:ln w="15875">
              <a:noFill/>
            </a:ln>
          </c:spPr>
          <c:marker>
            <c:symbol val="dash"/>
            <c:size val="7"/>
          </c:marker>
          <c:cat>
            <c:strRef>
              <c:f>'Table 3'!$J$60:$J$69</c:f>
              <c:strCache>
                <c:ptCount val="10"/>
                <c:pt idx="0">
                  <c:v>East North Central</c:v>
                </c:pt>
                <c:pt idx="1">
                  <c:v>East South Central</c:v>
                </c:pt>
                <c:pt idx="2">
                  <c:v>Mid Atlantic</c:v>
                </c:pt>
                <c:pt idx="3">
                  <c:v>Mountain</c:v>
                </c:pt>
                <c:pt idx="4">
                  <c:v>New England</c:v>
                </c:pt>
                <c:pt idx="5">
                  <c:v>Pacific</c:v>
                </c:pt>
                <c:pt idx="6">
                  <c:v>South Atlantic</c:v>
                </c:pt>
                <c:pt idx="7">
                  <c:v>West North Central</c:v>
                </c:pt>
                <c:pt idx="8">
                  <c:v>West South Central</c:v>
                </c:pt>
                <c:pt idx="9">
                  <c:v>USA</c:v>
                </c:pt>
              </c:strCache>
            </c:strRef>
          </c:cat>
          <c:val>
            <c:numRef>
              <c:f>'Table 3'!$L$60:$L$69</c:f>
              <c:numCache>
                <c:formatCode>0.00</c:formatCode>
                <c:ptCount val="10"/>
                <c:pt idx="0">
                  <c:v>157.66</c:v>
                </c:pt>
                <c:pt idx="1">
                  <c:v>176.74</c:v>
                </c:pt>
                <c:pt idx="2">
                  <c:v>195.65</c:v>
                </c:pt>
                <c:pt idx="3">
                  <c:v>198.17</c:v>
                </c:pt>
                <c:pt idx="4">
                  <c:v>193.28</c:v>
                </c:pt>
                <c:pt idx="5">
                  <c:v>169.68</c:v>
                </c:pt>
                <c:pt idx="6">
                  <c:v>174.21</c:v>
                </c:pt>
                <c:pt idx="7">
                  <c:v>189.4</c:v>
                </c:pt>
                <c:pt idx="8">
                  <c:v>190.65</c:v>
                </c:pt>
                <c:pt idx="9">
                  <c:v>178.88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'Table 3'!$M$59</c:f>
              <c:strCache>
                <c:ptCount val="1"/>
                <c:pt idx="0">
                  <c:v>2014q1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</c:marker>
          <c:cat>
            <c:strRef>
              <c:f>'Table 3'!$J$60:$J$69</c:f>
              <c:strCache>
                <c:ptCount val="10"/>
                <c:pt idx="0">
                  <c:v>East North Central</c:v>
                </c:pt>
                <c:pt idx="1">
                  <c:v>East South Central</c:v>
                </c:pt>
                <c:pt idx="2">
                  <c:v>Mid Atlantic</c:v>
                </c:pt>
                <c:pt idx="3">
                  <c:v>Mountain</c:v>
                </c:pt>
                <c:pt idx="4">
                  <c:v>New England</c:v>
                </c:pt>
                <c:pt idx="5">
                  <c:v>Pacific</c:v>
                </c:pt>
                <c:pt idx="6">
                  <c:v>South Atlantic</c:v>
                </c:pt>
                <c:pt idx="7">
                  <c:v>West North Central</c:v>
                </c:pt>
                <c:pt idx="8">
                  <c:v>West South Central</c:v>
                </c:pt>
                <c:pt idx="9">
                  <c:v>USA</c:v>
                </c:pt>
              </c:strCache>
            </c:strRef>
          </c:cat>
          <c:val>
            <c:numRef>
              <c:f>'Table 3'!$M$60:$M$69</c:f>
              <c:numCache>
                <c:formatCode>0.00</c:formatCode>
                <c:ptCount val="10"/>
                <c:pt idx="0">
                  <c:v>176.04</c:v>
                </c:pt>
                <c:pt idx="1">
                  <c:v>194.82</c:v>
                </c:pt>
                <c:pt idx="2">
                  <c:v>205.13</c:v>
                </c:pt>
                <c:pt idx="3">
                  <c:v>257.22000000000003</c:v>
                </c:pt>
                <c:pt idx="4">
                  <c:v>204.68</c:v>
                </c:pt>
                <c:pt idx="5">
                  <c:v>223.27</c:v>
                </c:pt>
                <c:pt idx="6">
                  <c:v>204.92</c:v>
                </c:pt>
                <c:pt idx="7">
                  <c:v>212.77</c:v>
                </c:pt>
                <c:pt idx="8">
                  <c:v>220.51</c:v>
                </c:pt>
                <c:pt idx="9">
                  <c:v>207.33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15875"/>
          </c:spPr>
        </c:hiLowLines>
        <c:axId val="134551424"/>
        <c:axId val="134552960"/>
      </c:stockChart>
      <c:catAx>
        <c:axId val="13455142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4552960"/>
        <c:crosses val="autoZero"/>
        <c:auto val="1"/>
        <c:lblAlgn val="ctr"/>
        <c:lblOffset val="100"/>
        <c:noMultiLvlLbl val="0"/>
      </c:catAx>
      <c:valAx>
        <c:axId val="134552960"/>
        <c:scaling>
          <c:orientation val="minMax"/>
          <c:max val="300"/>
          <c:min val="15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FHFA Purchase Only Index (Seas. Adj.)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134551424"/>
        <c:crosses val="autoZero"/>
        <c:crossBetween val="between"/>
        <c:majorUnit val="50"/>
      </c:valAx>
    </c:plotArea>
    <c:legend>
      <c:legendPos val="tr"/>
      <c:layout>
        <c:manualLayout>
          <c:xMode val="edge"/>
          <c:yMode val="edge"/>
          <c:x val="0.84427987042160269"/>
          <c:y val="1.937984496124031E-2"/>
          <c:w val="0.1527171265753943"/>
          <c:h val="0.18022279191845206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1419225</xdr:colOff>
      <xdr:row>63</xdr:row>
      <xdr:rowOff>133350</xdr:rowOff>
    </xdr:from>
    <xdr:to>
      <xdr:col>7</xdr:col>
      <xdr:colOff>257175</xdr:colOff>
      <xdr:row>80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DVDEL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Sheet2"/>
      <sheetName val="TABLE 3"/>
      <sheetName val="COVERPG"/>
    </sheetNames>
    <sheetDataSet>
      <sheetData sheetId="0"/>
      <sheetData sheetId="1"/>
      <sheetData sheetId="2"/>
      <sheetData sheetId="3">
        <row r="14">
          <cell r="B14">
            <v>44000</v>
          </cell>
          <cell r="C14" t="str">
            <v>4400A</v>
          </cell>
          <cell r="D14">
            <v>44100</v>
          </cell>
          <cell r="E14">
            <v>45200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GDPC96" TargetMode="External"/><Relationship Id="rId3" Type="http://schemas.openxmlformats.org/officeDocument/2006/relationships/hyperlink" Target="http://research.stlouisfed.org/fred2/series/UNRATE" TargetMode="External"/><Relationship Id="rId7" Type="http://schemas.openxmlformats.org/officeDocument/2006/relationships/hyperlink" Target="http://research.stlouisfed.org/fred2/series/CEU9000000001" TargetMode="External"/><Relationship Id="rId2" Type="http://schemas.openxmlformats.org/officeDocument/2006/relationships/hyperlink" Target="http://research.stlouisfed.org/fred2/series/PERMITNSA" TargetMode="External"/><Relationship Id="rId1" Type="http://schemas.openxmlformats.org/officeDocument/2006/relationships/hyperlink" Target="http://research.stlouisfed.org/fred2/series/PAYEMS" TargetMode="External"/><Relationship Id="rId6" Type="http://schemas.openxmlformats.org/officeDocument/2006/relationships/hyperlink" Target="http://research.stlouisfed.org/fred2/series/PAYNSA" TargetMode="External"/><Relationship Id="rId11" Type="http://schemas.openxmlformats.org/officeDocument/2006/relationships/hyperlink" Target="http://research.stlouisfed.org/fred2/series/CES9091000001" TargetMode="External"/><Relationship Id="rId5" Type="http://schemas.openxmlformats.org/officeDocument/2006/relationships/hyperlink" Target="http://research.stlouisfed.org/fred2/series/USPHCI" TargetMode="External"/><Relationship Id="rId10" Type="http://schemas.openxmlformats.org/officeDocument/2006/relationships/hyperlink" Target="http://research.stlouisfed.org/fred2/series/USGOVT" TargetMode="External"/><Relationship Id="rId4" Type="http://schemas.openxmlformats.org/officeDocument/2006/relationships/hyperlink" Target="http://research.stlouisfed.org/fred2/series/USSLIND" TargetMode="External"/><Relationship Id="rId9" Type="http://schemas.openxmlformats.org/officeDocument/2006/relationships/hyperlink" Target="http://research.stlouisfed.org/fred2/series/CPIAUCSL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AKRGSP" TargetMode="External"/><Relationship Id="rId3" Type="http://schemas.openxmlformats.org/officeDocument/2006/relationships/hyperlink" Target="http://research.stlouisfed.org/fred2/series/AKUR" TargetMode="External"/><Relationship Id="rId7" Type="http://schemas.openxmlformats.org/officeDocument/2006/relationships/hyperlink" Target="http://research.stlouisfed.org/fred2/series/AKGOVTN" TargetMode="External"/><Relationship Id="rId2" Type="http://schemas.openxmlformats.org/officeDocument/2006/relationships/hyperlink" Target="http://research.stlouisfed.org/fred2/series/AKBPPRIV" TargetMode="External"/><Relationship Id="rId1" Type="http://schemas.openxmlformats.org/officeDocument/2006/relationships/hyperlink" Target="http://research.stlouisfed.org/fred2/series/AKNA" TargetMode="External"/><Relationship Id="rId6" Type="http://schemas.openxmlformats.org/officeDocument/2006/relationships/hyperlink" Target="http://research.stlouisfed.org/fred2/series/AKNAN" TargetMode="External"/><Relationship Id="rId5" Type="http://schemas.openxmlformats.org/officeDocument/2006/relationships/hyperlink" Target="http://research.stlouisfed.org/fred2/series/AKPHCI" TargetMode="External"/><Relationship Id="rId4" Type="http://schemas.openxmlformats.org/officeDocument/2006/relationships/hyperlink" Target="http://research.stlouisfed.org/fred2/series/AKSLIND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ALRGSP" TargetMode="External"/><Relationship Id="rId3" Type="http://schemas.openxmlformats.org/officeDocument/2006/relationships/hyperlink" Target="http://research.stlouisfed.org/fred2/series/ALUR" TargetMode="External"/><Relationship Id="rId7" Type="http://schemas.openxmlformats.org/officeDocument/2006/relationships/hyperlink" Target="http://research.stlouisfed.org/fred2/series/ALGOVTN" TargetMode="External"/><Relationship Id="rId2" Type="http://schemas.openxmlformats.org/officeDocument/2006/relationships/hyperlink" Target="http://research.stlouisfed.org/fred2/series/ALBPPRIV" TargetMode="External"/><Relationship Id="rId1" Type="http://schemas.openxmlformats.org/officeDocument/2006/relationships/hyperlink" Target="http://research.stlouisfed.org/fred2/series/ALNA" TargetMode="External"/><Relationship Id="rId6" Type="http://schemas.openxmlformats.org/officeDocument/2006/relationships/hyperlink" Target="http://research.stlouisfed.org/fred2/series/ALNAN" TargetMode="External"/><Relationship Id="rId5" Type="http://schemas.openxmlformats.org/officeDocument/2006/relationships/hyperlink" Target="http://research.stlouisfed.org/fred2/series/ALPHCI" TargetMode="External"/><Relationship Id="rId4" Type="http://schemas.openxmlformats.org/officeDocument/2006/relationships/hyperlink" Target="http://research.stlouisfed.org/fred2/series/ALSLIND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ARRGSP" TargetMode="External"/><Relationship Id="rId3" Type="http://schemas.openxmlformats.org/officeDocument/2006/relationships/hyperlink" Target="http://research.stlouisfed.org/fred2/series/ARUR" TargetMode="External"/><Relationship Id="rId7" Type="http://schemas.openxmlformats.org/officeDocument/2006/relationships/hyperlink" Target="http://research.stlouisfed.org/fred2/series/ARGOVTN" TargetMode="External"/><Relationship Id="rId2" Type="http://schemas.openxmlformats.org/officeDocument/2006/relationships/hyperlink" Target="http://research.stlouisfed.org/fred2/series/ARBPPRIV" TargetMode="External"/><Relationship Id="rId1" Type="http://schemas.openxmlformats.org/officeDocument/2006/relationships/hyperlink" Target="http://research.stlouisfed.org/fred2/series/ARNA" TargetMode="External"/><Relationship Id="rId6" Type="http://schemas.openxmlformats.org/officeDocument/2006/relationships/hyperlink" Target="http://research.stlouisfed.org/fred2/series/ARNAN" TargetMode="External"/><Relationship Id="rId5" Type="http://schemas.openxmlformats.org/officeDocument/2006/relationships/hyperlink" Target="http://research.stlouisfed.org/fred2/series/ARPHCI" TargetMode="External"/><Relationship Id="rId4" Type="http://schemas.openxmlformats.org/officeDocument/2006/relationships/hyperlink" Target="http://research.stlouisfed.org/fred2/series/ARSLIND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AZRGSP" TargetMode="External"/><Relationship Id="rId3" Type="http://schemas.openxmlformats.org/officeDocument/2006/relationships/hyperlink" Target="http://research.stlouisfed.org/fred2/series/AZUR" TargetMode="External"/><Relationship Id="rId7" Type="http://schemas.openxmlformats.org/officeDocument/2006/relationships/hyperlink" Target="http://research.stlouisfed.org/fred2/series/AZGOVTN" TargetMode="External"/><Relationship Id="rId2" Type="http://schemas.openxmlformats.org/officeDocument/2006/relationships/hyperlink" Target="http://research.stlouisfed.org/fred2/series/AZBPPRIV" TargetMode="External"/><Relationship Id="rId1" Type="http://schemas.openxmlformats.org/officeDocument/2006/relationships/hyperlink" Target="http://research.stlouisfed.org/fred2/series/AZNA" TargetMode="External"/><Relationship Id="rId6" Type="http://schemas.openxmlformats.org/officeDocument/2006/relationships/hyperlink" Target="http://research.stlouisfed.org/fred2/series/AZNAN" TargetMode="External"/><Relationship Id="rId5" Type="http://schemas.openxmlformats.org/officeDocument/2006/relationships/hyperlink" Target="http://research.stlouisfed.org/fred2/series/AZPHCI" TargetMode="External"/><Relationship Id="rId4" Type="http://schemas.openxmlformats.org/officeDocument/2006/relationships/hyperlink" Target="http://research.stlouisfed.org/fred2/series/AZSLIND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CARGSP" TargetMode="External"/><Relationship Id="rId3" Type="http://schemas.openxmlformats.org/officeDocument/2006/relationships/hyperlink" Target="http://research.stlouisfed.org/fred2/series/CAUR" TargetMode="External"/><Relationship Id="rId7" Type="http://schemas.openxmlformats.org/officeDocument/2006/relationships/hyperlink" Target="http://research.stlouisfed.org/fred2/series/CAGOVTN" TargetMode="External"/><Relationship Id="rId2" Type="http://schemas.openxmlformats.org/officeDocument/2006/relationships/hyperlink" Target="http://research.stlouisfed.org/fred2/series/CABPPRIV" TargetMode="External"/><Relationship Id="rId1" Type="http://schemas.openxmlformats.org/officeDocument/2006/relationships/hyperlink" Target="http://research.stlouisfed.org/fred2/series/CANA" TargetMode="External"/><Relationship Id="rId6" Type="http://schemas.openxmlformats.org/officeDocument/2006/relationships/hyperlink" Target="http://research.stlouisfed.org/fred2/series/CANAN" TargetMode="External"/><Relationship Id="rId5" Type="http://schemas.openxmlformats.org/officeDocument/2006/relationships/hyperlink" Target="http://research.stlouisfed.org/fred2/series/CAPHCI" TargetMode="External"/><Relationship Id="rId4" Type="http://schemas.openxmlformats.org/officeDocument/2006/relationships/hyperlink" Target="http://research.stlouisfed.org/fred2/series/CASLIND" TargetMode="Externa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CORGSP" TargetMode="External"/><Relationship Id="rId3" Type="http://schemas.openxmlformats.org/officeDocument/2006/relationships/hyperlink" Target="http://research.stlouisfed.org/fred2/series/COUR" TargetMode="External"/><Relationship Id="rId7" Type="http://schemas.openxmlformats.org/officeDocument/2006/relationships/hyperlink" Target="http://research.stlouisfed.org/fred2/series/COGOVTN" TargetMode="External"/><Relationship Id="rId2" Type="http://schemas.openxmlformats.org/officeDocument/2006/relationships/hyperlink" Target="http://research.stlouisfed.org/fred2/series/COBPPRIV" TargetMode="External"/><Relationship Id="rId1" Type="http://schemas.openxmlformats.org/officeDocument/2006/relationships/hyperlink" Target="http://research.stlouisfed.org/fred2/series/CONA" TargetMode="External"/><Relationship Id="rId6" Type="http://schemas.openxmlformats.org/officeDocument/2006/relationships/hyperlink" Target="http://research.stlouisfed.org/fred2/series/CONAN" TargetMode="External"/><Relationship Id="rId5" Type="http://schemas.openxmlformats.org/officeDocument/2006/relationships/hyperlink" Target="http://research.stlouisfed.org/fred2/series/COPHCI" TargetMode="External"/><Relationship Id="rId4" Type="http://schemas.openxmlformats.org/officeDocument/2006/relationships/hyperlink" Target="http://research.stlouisfed.org/fred2/series/COSLIND" TargetMode="Externa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CTRGSP" TargetMode="External"/><Relationship Id="rId3" Type="http://schemas.openxmlformats.org/officeDocument/2006/relationships/hyperlink" Target="http://research.stlouisfed.org/fred2/series/CTUR" TargetMode="External"/><Relationship Id="rId7" Type="http://schemas.openxmlformats.org/officeDocument/2006/relationships/hyperlink" Target="http://research.stlouisfed.org/fred2/series/CTGOVTN" TargetMode="External"/><Relationship Id="rId2" Type="http://schemas.openxmlformats.org/officeDocument/2006/relationships/hyperlink" Target="http://research.stlouisfed.org/fred2/series/CTBPPRIV" TargetMode="External"/><Relationship Id="rId1" Type="http://schemas.openxmlformats.org/officeDocument/2006/relationships/hyperlink" Target="http://research.stlouisfed.org/fred2/series/CTNA" TargetMode="External"/><Relationship Id="rId6" Type="http://schemas.openxmlformats.org/officeDocument/2006/relationships/hyperlink" Target="http://research.stlouisfed.org/fred2/series/CTNAN" TargetMode="External"/><Relationship Id="rId5" Type="http://schemas.openxmlformats.org/officeDocument/2006/relationships/hyperlink" Target="http://research.stlouisfed.org/fred2/series/CTPHCI" TargetMode="External"/><Relationship Id="rId4" Type="http://schemas.openxmlformats.org/officeDocument/2006/relationships/hyperlink" Target="http://research.stlouisfed.org/fred2/series/CTSLIND" TargetMode="Externa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DERGSP" TargetMode="External"/><Relationship Id="rId3" Type="http://schemas.openxmlformats.org/officeDocument/2006/relationships/hyperlink" Target="http://research.stlouisfed.org/fred2/series/DEUR" TargetMode="External"/><Relationship Id="rId7" Type="http://schemas.openxmlformats.org/officeDocument/2006/relationships/hyperlink" Target="http://research.stlouisfed.org/fred2/series/DEGOVTN" TargetMode="External"/><Relationship Id="rId2" Type="http://schemas.openxmlformats.org/officeDocument/2006/relationships/hyperlink" Target="http://research.stlouisfed.org/fred2/series/DEBPPRIV" TargetMode="External"/><Relationship Id="rId1" Type="http://schemas.openxmlformats.org/officeDocument/2006/relationships/hyperlink" Target="http://research.stlouisfed.org/fred2/series/DENA" TargetMode="External"/><Relationship Id="rId6" Type="http://schemas.openxmlformats.org/officeDocument/2006/relationships/hyperlink" Target="http://research.stlouisfed.org/fred2/series/DENAN" TargetMode="External"/><Relationship Id="rId5" Type="http://schemas.openxmlformats.org/officeDocument/2006/relationships/hyperlink" Target="http://research.stlouisfed.org/fred2/series/DEPHCI" TargetMode="External"/><Relationship Id="rId4" Type="http://schemas.openxmlformats.org/officeDocument/2006/relationships/hyperlink" Target="http://research.stlouisfed.org/fred2/series/DESLIND" TargetMode="Externa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DCRGSP" TargetMode="External"/><Relationship Id="rId3" Type="http://schemas.openxmlformats.org/officeDocument/2006/relationships/hyperlink" Target="http://research.stlouisfed.org/fred2/series/DCUR" TargetMode="External"/><Relationship Id="rId7" Type="http://schemas.openxmlformats.org/officeDocument/2006/relationships/hyperlink" Target="http://research.stlouisfed.org/fred2/series/DCGOVTN" TargetMode="External"/><Relationship Id="rId2" Type="http://schemas.openxmlformats.org/officeDocument/2006/relationships/hyperlink" Target="http://research.stlouisfed.org/fred2/series/DCBPPRIV" TargetMode="External"/><Relationship Id="rId1" Type="http://schemas.openxmlformats.org/officeDocument/2006/relationships/hyperlink" Target="http://research.stlouisfed.org/fred2/series/DCNA" TargetMode="External"/><Relationship Id="rId6" Type="http://schemas.openxmlformats.org/officeDocument/2006/relationships/hyperlink" Target="http://research.stlouisfed.org/fred2/series/DCNAN" TargetMode="External"/><Relationship Id="rId5" Type="http://schemas.openxmlformats.org/officeDocument/2006/relationships/hyperlink" Target="http://research.stlouisfed.org/fred2/series/DCGOVTN" TargetMode="External"/><Relationship Id="rId4" Type="http://schemas.openxmlformats.org/officeDocument/2006/relationships/hyperlink" Target="http://research.stlouisfed.org/fred2/series/DCNAN" TargetMode="Externa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FLRGSP" TargetMode="External"/><Relationship Id="rId3" Type="http://schemas.openxmlformats.org/officeDocument/2006/relationships/hyperlink" Target="http://research.stlouisfed.org/fred2/series/FLUR" TargetMode="External"/><Relationship Id="rId7" Type="http://schemas.openxmlformats.org/officeDocument/2006/relationships/hyperlink" Target="http://research.stlouisfed.org/fred2/series/FLGOVTN" TargetMode="External"/><Relationship Id="rId2" Type="http://schemas.openxmlformats.org/officeDocument/2006/relationships/hyperlink" Target="http://research.stlouisfed.org/fred2/series/FLBPPRIV" TargetMode="External"/><Relationship Id="rId1" Type="http://schemas.openxmlformats.org/officeDocument/2006/relationships/hyperlink" Target="http://research.stlouisfed.org/fred2/series/FLNA" TargetMode="External"/><Relationship Id="rId6" Type="http://schemas.openxmlformats.org/officeDocument/2006/relationships/hyperlink" Target="http://research.stlouisfed.org/fred2/series/FLNAN" TargetMode="External"/><Relationship Id="rId5" Type="http://schemas.openxmlformats.org/officeDocument/2006/relationships/hyperlink" Target="http://research.stlouisfed.org/fred2/series/FLPHCI" TargetMode="External"/><Relationship Id="rId4" Type="http://schemas.openxmlformats.org/officeDocument/2006/relationships/hyperlink" Target="http://research.stlouisfed.org/fred2/series/FLSLIND" TargetMode="Externa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GARGSP" TargetMode="External"/><Relationship Id="rId3" Type="http://schemas.openxmlformats.org/officeDocument/2006/relationships/hyperlink" Target="http://research.stlouisfed.org/fred2/series/GAUR" TargetMode="External"/><Relationship Id="rId7" Type="http://schemas.openxmlformats.org/officeDocument/2006/relationships/hyperlink" Target="http://research.stlouisfed.org/fred2/series/GAGOVTN" TargetMode="External"/><Relationship Id="rId2" Type="http://schemas.openxmlformats.org/officeDocument/2006/relationships/hyperlink" Target="http://research.stlouisfed.org/fred2/series/GABPPRIV" TargetMode="External"/><Relationship Id="rId1" Type="http://schemas.openxmlformats.org/officeDocument/2006/relationships/hyperlink" Target="http://research.stlouisfed.org/fred2/series/GANA" TargetMode="External"/><Relationship Id="rId6" Type="http://schemas.openxmlformats.org/officeDocument/2006/relationships/hyperlink" Target="http://research.stlouisfed.org/fred2/series/GANAN" TargetMode="External"/><Relationship Id="rId5" Type="http://schemas.openxmlformats.org/officeDocument/2006/relationships/hyperlink" Target="http://research.stlouisfed.org/fred2/series/GAPHCI" TargetMode="External"/><Relationship Id="rId4" Type="http://schemas.openxmlformats.org/officeDocument/2006/relationships/hyperlink" Target="http://research.stlouisfed.org/fred2/series/GASLIND" TargetMode="Externa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HIRGSP" TargetMode="External"/><Relationship Id="rId3" Type="http://schemas.openxmlformats.org/officeDocument/2006/relationships/hyperlink" Target="http://research.stlouisfed.org/fred2/series/HIUR" TargetMode="External"/><Relationship Id="rId7" Type="http://schemas.openxmlformats.org/officeDocument/2006/relationships/hyperlink" Target="http://research.stlouisfed.org/fred2/series/HIGOVTN" TargetMode="External"/><Relationship Id="rId2" Type="http://schemas.openxmlformats.org/officeDocument/2006/relationships/hyperlink" Target="http://research.stlouisfed.org/fred2/series/HIBPPRIV" TargetMode="External"/><Relationship Id="rId1" Type="http://schemas.openxmlformats.org/officeDocument/2006/relationships/hyperlink" Target="http://research.stlouisfed.org/fred2/series/HINA" TargetMode="External"/><Relationship Id="rId6" Type="http://schemas.openxmlformats.org/officeDocument/2006/relationships/hyperlink" Target="http://research.stlouisfed.org/fred2/series/HINAN" TargetMode="External"/><Relationship Id="rId5" Type="http://schemas.openxmlformats.org/officeDocument/2006/relationships/hyperlink" Target="http://research.stlouisfed.org/fred2/series/HIPHCI" TargetMode="External"/><Relationship Id="rId4" Type="http://schemas.openxmlformats.org/officeDocument/2006/relationships/hyperlink" Target="http://research.stlouisfed.org/fred2/series/HISLIND" TargetMode="Externa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IARGSP" TargetMode="External"/><Relationship Id="rId3" Type="http://schemas.openxmlformats.org/officeDocument/2006/relationships/hyperlink" Target="http://research.stlouisfed.org/fred2/series/IAUR" TargetMode="External"/><Relationship Id="rId7" Type="http://schemas.openxmlformats.org/officeDocument/2006/relationships/hyperlink" Target="http://research.stlouisfed.org/fred2/series/IAGOVTN" TargetMode="External"/><Relationship Id="rId2" Type="http://schemas.openxmlformats.org/officeDocument/2006/relationships/hyperlink" Target="http://research.stlouisfed.org/fred2/series/IABPPRIV" TargetMode="External"/><Relationship Id="rId1" Type="http://schemas.openxmlformats.org/officeDocument/2006/relationships/hyperlink" Target="http://research.stlouisfed.org/fred2/series/IANA" TargetMode="External"/><Relationship Id="rId6" Type="http://schemas.openxmlformats.org/officeDocument/2006/relationships/hyperlink" Target="http://research.stlouisfed.org/fred2/series/IANAN" TargetMode="External"/><Relationship Id="rId5" Type="http://schemas.openxmlformats.org/officeDocument/2006/relationships/hyperlink" Target="http://research.stlouisfed.org/fred2/series/IAPHCI" TargetMode="External"/><Relationship Id="rId4" Type="http://schemas.openxmlformats.org/officeDocument/2006/relationships/hyperlink" Target="http://research.stlouisfed.org/fred2/series/IASLIND" TargetMode="Externa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IDRGSP" TargetMode="External"/><Relationship Id="rId3" Type="http://schemas.openxmlformats.org/officeDocument/2006/relationships/hyperlink" Target="http://research.stlouisfed.org/fred2/series/IDUR" TargetMode="External"/><Relationship Id="rId7" Type="http://schemas.openxmlformats.org/officeDocument/2006/relationships/hyperlink" Target="http://research.stlouisfed.org/fred2/series/IDGOVTN" TargetMode="External"/><Relationship Id="rId2" Type="http://schemas.openxmlformats.org/officeDocument/2006/relationships/hyperlink" Target="http://research.stlouisfed.org/fred2/series/IDBPPRIV" TargetMode="External"/><Relationship Id="rId1" Type="http://schemas.openxmlformats.org/officeDocument/2006/relationships/hyperlink" Target="http://research.stlouisfed.org/fred2/series/IDNA" TargetMode="External"/><Relationship Id="rId6" Type="http://schemas.openxmlformats.org/officeDocument/2006/relationships/hyperlink" Target="http://research.stlouisfed.org/fred2/series/IDNAN" TargetMode="External"/><Relationship Id="rId5" Type="http://schemas.openxmlformats.org/officeDocument/2006/relationships/hyperlink" Target="http://research.stlouisfed.org/fred2/series/IDPHCI" TargetMode="External"/><Relationship Id="rId4" Type="http://schemas.openxmlformats.org/officeDocument/2006/relationships/hyperlink" Target="http://research.stlouisfed.org/fred2/series/IDSLIND" TargetMode="Externa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ILRGSP" TargetMode="External"/><Relationship Id="rId3" Type="http://schemas.openxmlformats.org/officeDocument/2006/relationships/hyperlink" Target="http://research.stlouisfed.org/fred2/series/ILUR" TargetMode="External"/><Relationship Id="rId7" Type="http://schemas.openxmlformats.org/officeDocument/2006/relationships/hyperlink" Target="http://research.stlouisfed.org/fred2/series/ILGOVTN" TargetMode="External"/><Relationship Id="rId2" Type="http://schemas.openxmlformats.org/officeDocument/2006/relationships/hyperlink" Target="http://research.stlouisfed.org/fred2/series/ILBPPRIV" TargetMode="External"/><Relationship Id="rId1" Type="http://schemas.openxmlformats.org/officeDocument/2006/relationships/hyperlink" Target="http://research.stlouisfed.org/fred2/series/ILNA" TargetMode="External"/><Relationship Id="rId6" Type="http://schemas.openxmlformats.org/officeDocument/2006/relationships/hyperlink" Target="http://research.stlouisfed.org/fred2/series/ILNAN" TargetMode="External"/><Relationship Id="rId5" Type="http://schemas.openxmlformats.org/officeDocument/2006/relationships/hyperlink" Target="http://research.stlouisfed.org/fred2/series/ILPHCI" TargetMode="External"/><Relationship Id="rId4" Type="http://schemas.openxmlformats.org/officeDocument/2006/relationships/hyperlink" Target="http://research.stlouisfed.org/fred2/series/ILSLIND" TargetMode="Externa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INRGSP" TargetMode="External"/><Relationship Id="rId3" Type="http://schemas.openxmlformats.org/officeDocument/2006/relationships/hyperlink" Target="http://research.stlouisfed.org/fred2/series/INUR" TargetMode="External"/><Relationship Id="rId7" Type="http://schemas.openxmlformats.org/officeDocument/2006/relationships/hyperlink" Target="http://research.stlouisfed.org/fred2/series/INGOVTN" TargetMode="External"/><Relationship Id="rId2" Type="http://schemas.openxmlformats.org/officeDocument/2006/relationships/hyperlink" Target="http://research.stlouisfed.org/fred2/series/INBPPRIV" TargetMode="External"/><Relationship Id="rId1" Type="http://schemas.openxmlformats.org/officeDocument/2006/relationships/hyperlink" Target="http://research.stlouisfed.org/fred2/series/INNA" TargetMode="External"/><Relationship Id="rId6" Type="http://schemas.openxmlformats.org/officeDocument/2006/relationships/hyperlink" Target="http://research.stlouisfed.org/fred2/series/INNAN" TargetMode="External"/><Relationship Id="rId5" Type="http://schemas.openxmlformats.org/officeDocument/2006/relationships/hyperlink" Target="http://research.stlouisfed.org/fred2/series/INPHCI" TargetMode="External"/><Relationship Id="rId4" Type="http://schemas.openxmlformats.org/officeDocument/2006/relationships/hyperlink" Target="http://research.stlouisfed.org/fred2/series/INSLIND" TargetMode="Externa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KSRGSP" TargetMode="External"/><Relationship Id="rId3" Type="http://schemas.openxmlformats.org/officeDocument/2006/relationships/hyperlink" Target="http://research.stlouisfed.org/fred2/series/KSUR" TargetMode="External"/><Relationship Id="rId7" Type="http://schemas.openxmlformats.org/officeDocument/2006/relationships/hyperlink" Target="http://research.stlouisfed.org/fred2/series/KSGOVTN" TargetMode="External"/><Relationship Id="rId2" Type="http://schemas.openxmlformats.org/officeDocument/2006/relationships/hyperlink" Target="http://research.stlouisfed.org/fred2/series/KSBPPRIV" TargetMode="External"/><Relationship Id="rId1" Type="http://schemas.openxmlformats.org/officeDocument/2006/relationships/hyperlink" Target="http://research.stlouisfed.org/fred2/series/KSNA" TargetMode="External"/><Relationship Id="rId6" Type="http://schemas.openxmlformats.org/officeDocument/2006/relationships/hyperlink" Target="http://research.stlouisfed.org/fred2/series/KSNAN" TargetMode="External"/><Relationship Id="rId5" Type="http://schemas.openxmlformats.org/officeDocument/2006/relationships/hyperlink" Target="http://research.stlouisfed.org/fred2/series/KSPHCI" TargetMode="External"/><Relationship Id="rId4" Type="http://schemas.openxmlformats.org/officeDocument/2006/relationships/hyperlink" Target="http://research.stlouisfed.org/fred2/series/KSSLIND" TargetMode="Externa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KYRGSP" TargetMode="External"/><Relationship Id="rId3" Type="http://schemas.openxmlformats.org/officeDocument/2006/relationships/hyperlink" Target="http://research.stlouisfed.org/fred2/series/KYUR" TargetMode="External"/><Relationship Id="rId7" Type="http://schemas.openxmlformats.org/officeDocument/2006/relationships/hyperlink" Target="http://research.stlouisfed.org/fred2/series/KYGOVTN" TargetMode="External"/><Relationship Id="rId2" Type="http://schemas.openxmlformats.org/officeDocument/2006/relationships/hyperlink" Target="http://research.stlouisfed.org/fred2/series/KYBPPRIV" TargetMode="External"/><Relationship Id="rId1" Type="http://schemas.openxmlformats.org/officeDocument/2006/relationships/hyperlink" Target="http://research.stlouisfed.org/fred2/series/KYNA" TargetMode="External"/><Relationship Id="rId6" Type="http://schemas.openxmlformats.org/officeDocument/2006/relationships/hyperlink" Target="http://research.stlouisfed.org/fred2/series/KYNAN" TargetMode="External"/><Relationship Id="rId5" Type="http://schemas.openxmlformats.org/officeDocument/2006/relationships/hyperlink" Target="http://research.stlouisfed.org/fred2/series/KYPHCI" TargetMode="External"/><Relationship Id="rId4" Type="http://schemas.openxmlformats.org/officeDocument/2006/relationships/hyperlink" Target="http://research.stlouisfed.org/fred2/series/KYSLIND" TargetMode="Externa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LARGSP" TargetMode="External"/><Relationship Id="rId3" Type="http://schemas.openxmlformats.org/officeDocument/2006/relationships/hyperlink" Target="http://research.stlouisfed.org/fred2/series/LAUR" TargetMode="External"/><Relationship Id="rId7" Type="http://schemas.openxmlformats.org/officeDocument/2006/relationships/hyperlink" Target="http://research.stlouisfed.org/fred2/series/LAGOVTN" TargetMode="External"/><Relationship Id="rId2" Type="http://schemas.openxmlformats.org/officeDocument/2006/relationships/hyperlink" Target="http://research.stlouisfed.org/fred2/series/LABPPRIV" TargetMode="External"/><Relationship Id="rId1" Type="http://schemas.openxmlformats.org/officeDocument/2006/relationships/hyperlink" Target="http://research.stlouisfed.org/fred2/series/LANA" TargetMode="External"/><Relationship Id="rId6" Type="http://schemas.openxmlformats.org/officeDocument/2006/relationships/hyperlink" Target="http://research.stlouisfed.org/fred2/series/LANAN" TargetMode="External"/><Relationship Id="rId5" Type="http://schemas.openxmlformats.org/officeDocument/2006/relationships/hyperlink" Target="http://research.stlouisfed.org/fred2/series/LAPHCI" TargetMode="External"/><Relationship Id="rId4" Type="http://schemas.openxmlformats.org/officeDocument/2006/relationships/hyperlink" Target="http://research.stlouisfed.org/fred2/series/LASLIND" TargetMode="Externa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MARGSP" TargetMode="External"/><Relationship Id="rId3" Type="http://schemas.openxmlformats.org/officeDocument/2006/relationships/hyperlink" Target="http://research.stlouisfed.org/fred2/series/MAUR" TargetMode="External"/><Relationship Id="rId7" Type="http://schemas.openxmlformats.org/officeDocument/2006/relationships/hyperlink" Target="http://research.stlouisfed.org/fred2/series/MAGOVTN" TargetMode="External"/><Relationship Id="rId2" Type="http://schemas.openxmlformats.org/officeDocument/2006/relationships/hyperlink" Target="http://research.stlouisfed.org/fred2/series/MABPPRIV" TargetMode="External"/><Relationship Id="rId1" Type="http://schemas.openxmlformats.org/officeDocument/2006/relationships/hyperlink" Target="http://research.stlouisfed.org/fred2/series/MANA" TargetMode="External"/><Relationship Id="rId6" Type="http://schemas.openxmlformats.org/officeDocument/2006/relationships/hyperlink" Target="http://research.stlouisfed.org/fred2/series/MANAN" TargetMode="External"/><Relationship Id="rId5" Type="http://schemas.openxmlformats.org/officeDocument/2006/relationships/hyperlink" Target="http://research.stlouisfed.org/fred2/series/MAPHCI" TargetMode="External"/><Relationship Id="rId4" Type="http://schemas.openxmlformats.org/officeDocument/2006/relationships/hyperlink" Target="http://research.stlouisfed.org/fred2/series/MASLIND" TargetMode="Externa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MDRGSP" TargetMode="External"/><Relationship Id="rId3" Type="http://schemas.openxmlformats.org/officeDocument/2006/relationships/hyperlink" Target="http://research.stlouisfed.org/fred2/series/MDUR" TargetMode="External"/><Relationship Id="rId7" Type="http://schemas.openxmlformats.org/officeDocument/2006/relationships/hyperlink" Target="http://research.stlouisfed.org/fred2/series/MDGOVTN" TargetMode="External"/><Relationship Id="rId2" Type="http://schemas.openxmlformats.org/officeDocument/2006/relationships/hyperlink" Target="http://research.stlouisfed.org/fred2/series/MDBPPRIV" TargetMode="External"/><Relationship Id="rId1" Type="http://schemas.openxmlformats.org/officeDocument/2006/relationships/hyperlink" Target="http://research.stlouisfed.org/fred2/series/MDNA" TargetMode="External"/><Relationship Id="rId6" Type="http://schemas.openxmlformats.org/officeDocument/2006/relationships/hyperlink" Target="http://research.stlouisfed.org/fred2/series/MDNAN" TargetMode="External"/><Relationship Id="rId5" Type="http://schemas.openxmlformats.org/officeDocument/2006/relationships/hyperlink" Target="http://research.stlouisfed.org/fred2/series/MDPHCI" TargetMode="External"/><Relationship Id="rId4" Type="http://schemas.openxmlformats.org/officeDocument/2006/relationships/hyperlink" Target="http://research.stlouisfed.org/fred2/series/MDSLIND" TargetMode="Externa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MERGSP" TargetMode="External"/><Relationship Id="rId3" Type="http://schemas.openxmlformats.org/officeDocument/2006/relationships/hyperlink" Target="http://research.stlouisfed.org/fred2/series/MEUR" TargetMode="External"/><Relationship Id="rId7" Type="http://schemas.openxmlformats.org/officeDocument/2006/relationships/hyperlink" Target="http://research.stlouisfed.org/fred2/series/MEGOVTN" TargetMode="External"/><Relationship Id="rId2" Type="http://schemas.openxmlformats.org/officeDocument/2006/relationships/hyperlink" Target="http://research.stlouisfed.org/fred2/series/MEBPPRIV" TargetMode="External"/><Relationship Id="rId1" Type="http://schemas.openxmlformats.org/officeDocument/2006/relationships/hyperlink" Target="http://research.stlouisfed.org/fred2/series/MENA" TargetMode="External"/><Relationship Id="rId6" Type="http://schemas.openxmlformats.org/officeDocument/2006/relationships/hyperlink" Target="http://research.stlouisfed.org/fred2/series/MENAN" TargetMode="External"/><Relationship Id="rId5" Type="http://schemas.openxmlformats.org/officeDocument/2006/relationships/hyperlink" Target="http://research.stlouisfed.org/fred2/series/MEPHCI" TargetMode="External"/><Relationship Id="rId4" Type="http://schemas.openxmlformats.org/officeDocument/2006/relationships/hyperlink" Target="http://research.stlouisfed.org/fred2/series/MESLIND" TargetMode="Externa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MNRGSP" TargetMode="External"/><Relationship Id="rId3" Type="http://schemas.openxmlformats.org/officeDocument/2006/relationships/hyperlink" Target="http://research.stlouisfed.org/fred2/series/MNUR" TargetMode="External"/><Relationship Id="rId7" Type="http://schemas.openxmlformats.org/officeDocument/2006/relationships/hyperlink" Target="http://research.stlouisfed.org/fred2/series/MNGOVTN" TargetMode="External"/><Relationship Id="rId2" Type="http://schemas.openxmlformats.org/officeDocument/2006/relationships/hyperlink" Target="http://research.stlouisfed.org/fred2/series/MNBPPRIV" TargetMode="External"/><Relationship Id="rId1" Type="http://schemas.openxmlformats.org/officeDocument/2006/relationships/hyperlink" Target="http://research.stlouisfed.org/fred2/series/MNNA" TargetMode="External"/><Relationship Id="rId6" Type="http://schemas.openxmlformats.org/officeDocument/2006/relationships/hyperlink" Target="http://research.stlouisfed.org/fred2/series/MNNAN" TargetMode="External"/><Relationship Id="rId5" Type="http://schemas.openxmlformats.org/officeDocument/2006/relationships/hyperlink" Target="http://research.stlouisfed.org/fred2/series/MNPHCI" TargetMode="External"/><Relationship Id="rId4" Type="http://schemas.openxmlformats.org/officeDocument/2006/relationships/hyperlink" Target="http://research.stlouisfed.org/fred2/series/MNSLIND" TargetMode="Externa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MORGSP" TargetMode="External"/><Relationship Id="rId3" Type="http://schemas.openxmlformats.org/officeDocument/2006/relationships/hyperlink" Target="http://research.stlouisfed.org/fred2/series/MOUR" TargetMode="External"/><Relationship Id="rId7" Type="http://schemas.openxmlformats.org/officeDocument/2006/relationships/hyperlink" Target="http://research.stlouisfed.org/fred2/series/MOGOVTN" TargetMode="External"/><Relationship Id="rId2" Type="http://schemas.openxmlformats.org/officeDocument/2006/relationships/hyperlink" Target="http://research.stlouisfed.org/fred2/series/MOBPPRIV" TargetMode="External"/><Relationship Id="rId1" Type="http://schemas.openxmlformats.org/officeDocument/2006/relationships/hyperlink" Target="http://research.stlouisfed.org/fred2/series/MONA" TargetMode="External"/><Relationship Id="rId6" Type="http://schemas.openxmlformats.org/officeDocument/2006/relationships/hyperlink" Target="http://research.stlouisfed.org/fred2/series/MONAN" TargetMode="External"/><Relationship Id="rId5" Type="http://schemas.openxmlformats.org/officeDocument/2006/relationships/hyperlink" Target="http://research.stlouisfed.org/fred2/series/MOPHCI" TargetMode="External"/><Relationship Id="rId4" Type="http://schemas.openxmlformats.org/officeDocument/2006/relationships/hyperlink" Target="http://research.stlouisfed.org/fred2/series/MOSLIND" TargetMode="Externa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MIRGSP" TargetMode="External"/><Relationship Id="rId3" Type="http://schemas.openxmlformats.org/officeDocument/2006/relationships/hyperlink" Target="http://research.stlouisfed.org/fred2/series/MIUR" TargetMode="External"/><Relationship Id="rId7" Type="http://schemas.openxmlformats.org/officeDocument/2006/relationships/hyperlink" Target="http://research.stlouisfed.org/fred2/series/MIGOVTN" TargetMode="External"/><Relationship Id="rId2" Type="http://schemas.openxmlformats.org/officeDocument/2006/relationships/hyperlink" Target="http://research.stlouisfed.org/fred2/series/MIBPPRIV" TargetMode="External"/><Relationship Id="rId1" Type="http://schemas.openxmlformats.org/officeDocument/2006/relationships/hyperlink" Target="http://research.stlouisfed.org/fred2/series/MINA" TargetMode="External"/><Relationship Id="rId6" Type="http://schemas.openxmlformats.org/officeDocument/2006/relationships/hyperlink" Target="http://research.stlouisfed.org/fred2/series/MINAN" TargetMode="External"/><Relationship Id="rId5" Type="http://schemas.openxmlformats.org/officeDocument/2006/relationships/hyperlink" Target="http://research.stlouisfed.org/fred2/series/MIPHCI" TargetMode="External"/><Relationship Id="rId4" Type="http://schemas.openxmlformats.org/officeDocument/2006/relationships/hyperlink" Target="http://research.stlouisfed.org/fred2/series/MISLIND" TargetMode="Externa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MSRGSP" TargetMode="External"/><Relationship Id="rId3" Type="http://schemas.openxmlformats.org/officeDocument/2006/relationships/hyperlink" Target="http://research.stlouisfed.org/fred2/series/MSUR" TargetMode="External"/><Relationship Id="rId7" Type="http://schemas.openxmlformats.org/officeDocument/2006/relationships/hyperlink" Target="http://research.stlouisfed.org/fred2/series/MSGOVTN" TargetMode="External"/><Relationship Id="rId2" Type="http://schemas.openxmlformats.org/officeDocument/2006/relationships/hyperlink" Target="http://research.stlouisfed.org/fred2/series/MSBPPRIV" TargetMode="External"/><Relationship Id="rId1" Type="http://schemas.openxmlformats.org/officeDocument/2006/relationships/hyperlink" Target="http://research.stlouisfed.org/fred2/series/MSNA" TargetMode="External"/><Relationship Id="rId6" Type="http://schemas.openxmlformats.org/officeDocument/2006/relationships/hyperlink" Target="http://research.stlouisfed.org/fred2/series/MSNAN" TargetMode="External"/><Relationship Id="rId5" Type="http://schemas.openxmlformats.org/officeDocument/2006/relationships/hyperlink" Target="http://research.stlouisfed.org/fred2/series/MSPHCI" TargetMode="External"/><Relationship Id="rId4" Type="http://schemas.openxmlformats.org/officeDocument/2006/relationships/hyperlink" Target="http://research.stlouisfed.org/fred2/series/MSSLIND" TargetMode="Externa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MTRGSP" TargetMode="External"/><Relationship Id="rId3" Type="http://schemas.openxmlformats.org/officeDocument/2006/relationships/hyperlink" Target="http://research.stlouisfed.org/fred2/series/MTUR" TargetMode="External"/><Relationship Id="rId7" Type="http://schemas.openxmlformats.org/officeDocument/2006/relationships/hyperlink" Target="http://research.stlouisfed.org/fred2/series/MTGOVTN" TargetMode="External"/><Relationship Id="rId2" Type="http://schemas.openxmlformats.org/officeDocument/2006/relationships/hyperlink" Target="http://research.stlouisfed.org/fred2/series/MTBPPRIV" TargetMode="External"/><Relationship Id="rId1" Type="http://schemas.openxmlformats.org/officeDocument/2006/relationships/hyperlink" Target="http://research.stlouisfed.org/fred2/series/MTNA" TargetMode="External"/><Relationship Id="rId6" Type="http://schemas.openxmlformats.org/officeDocument/2006/relationships/hyperlink" Target="http://research.stlouisfed.org/fred2/series/MTNAN" TargetMode="External"/><Relationship Id="rId5" Type="http://schemas.openxmlformats.org/officeDocument/2006/relationships/hyperlink" Target="http://research.stlouisfed.org/fred2/series/MTPHCI" TargetMode="External"/><Relationship Id="rId4" Type="http://schemas.openxmlformats.org/officeDocument/2006/relationships/hyperlink" Target="http://research.stlouisfed.org/fred2/series/MTSLIND" TargetMode="Externa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NCRGSP" TargetMode="External"/><Relationship Id="rId3" Type="http://schemas.openxmlformats.org/officeDocument/2006/relationships/hyperlink" Target="http://research.stlouisfed.org/fred2/series/NCUR" TargetMode="External"/><Relationship Id="rId7" Type="http://schemas.openxmlformats.org/officeDocument/2006/relationships/hyperlink" Target="http://research.stlouisfed.org/fred2/series/NCGOVTN" TargetMode="External"/><Relationship Id="rId2" Type="http://schemas.openxmlformats.org/officeDocument/2006/relationships/hyperlink" Target="http://research.stlouisfed.org/fred2/series/NCBPPRIV" TargetMode="External"/><Relationship Id="rId1" Type="http://schemas.openxmlformats.org/officeDocument/2006/relationships/hyperlink" Target="http://research.stlouisfed.org/fred2/series/NCNA" TargetMode="External"/><Relationship Id="rId6" Type="http://schemas.openxmlformats.org/officeDocument/2006/relationships/hyperlink" Target="http://research.stlouisfed.org/fred2/series/NCNAN" TargetMode="External"/><Relationship Id="rId5" Type="http://schemas.openxmlformats.org/officeDocument/2006/relationships/hyperlink" Target="http://research.stlouisfed.org/fred2/series/NCPHCI" TargetMode="External"/><Relationship Id="rId4" Type="http://schemas.openxmlformats.org/officeDocument/2006/relationships/hyperlink" Target="http://research.stlouisfed.org/fred2/series/NCSLIND" TargetMode="Externa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NDRGSP" TargetMode="External"/><Relationship Id="rId3" Type="http://schemas.openxmlformats.org/officeDocument/2006/relationships/hyperlink" Target="http://research.stlouisfed.org/fred2/series/NDUR" TargetMode="External"/><Relationship Id="rId7" Type="http://schemas.openxmlformats.org/officeDocument/2006/relationships/hyperlink" Target="http://research.stlouisfed.org/fred2/series/NDGOVTN" TargetMode="External"/><Relationship Id="rId2" Type="http://schemas.openxmlformats.org/officeDocument/2006/relationships/hyperlink" Target="http://research.stlouisfed.org/fred2/series/NDBPPRIV" TargetMode="External"/><Relationship Id="rId1" Type="http://schemas.openxmlformats.org/officeDocument/2006/relationships/hyperlink" Target="http://research.stlouisfed.org/fred2/series/NDNA" TargetMode="External"/><Relationship Id="rId6" Type="http://schemas.openxmlformats.org/officeDocument/2006/relationships/hyperlink" Target="http://research.stlouisfed.org/fred2/series/NDNAN" TargetMode="External"/><Relationship Id="rId5" Type="http://schemas.openxmlformats.org/officeDocument/2006/relationships/hyperlink" Target="http://research.stlouisfed.org/fred2/series/NDPHCI" TargetMode="External"/><Relationship Id="rId4" Type="http://schemas.openxmlformats.org/officeDocument/2006/relationships/hyperlink" Target="http://research.stlouisfed.org/fred2/series/NDSLIND" TargetMode="Externa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NERGSP" TargetMode="External"/><Relationship Id="rId3" Type="http://schemas.openxmlformats.org/officeDocument/2006/relationships/hyperlink" Target="http://research.stlouisfed.org/fred2/series/NEUR" TargetMode="External"/><Relationship Id="rId7" Type="http://schemas.openxmlformats.org/officeDocument/2006/relationships/hyperlink" Target="http://research.stlouisfed.org/fred2/series/NEGOVTN" TargetMode="External"/><Relationship Id="rId2" Type="http://schemas.openxmlformats.org/officeDocument/2006/relationships/hyperlink" Target="http://research.stlouisfed.org/fred2/series/NEBPPRIV" TargetMode="External"/><Relationship Id="rId1" Type="http://schemas.openxmlformats.org/officeDocument/2006/relationships/hyperlink" Target="http://research.stlouisfed.org/fred2/series/NENA" TargetMode="External"/><Relationship Id="rId6" Type="http://schemas.openxmlformats.org/officeDocument/2006/relationships/hyperlink" Target="http://research.stlouisfed.org/fred2/series/NENAN" TargetMode="External"/><Relationship Id="rId5" Type="http://schemas.openxmlformats.org/officeDocument/2006/relationships/hyperlink" Target="http://research.stlouisfed.org/fred2/series/NEPHCI" TargetMode="External"/><Relationship Id="rId4" Type="http://schemas.openxmlformats.org/officeDocument/2006/relationships/hyperlink" Target="http://research.stlouisfed.org/fred2/series/NESLIND" TargetMode="Externa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NHRGSP" TargetMode="External"/><Relationship Id="rId3" Type="http://schemas.openxmlformats.org/officeDocument/2006/relationships/hyperlink" Target="http://research.stlouisfed.org/fred2/series/NHUR" TargetMode="External"/><Relationship Id="rId7" Type="http://schemas.openxmlformats.org/officeDocument/2006/relationships/hyperlink" Target="http://research.stlouisfed.org/fred2/series/NHGOVTN" TargetMode="External"/><Relationship Id="rId2" Type="http://schemas.openxmlformats.org/officeDocument/2006/relationships/hyperlink" Target="http://research.stlouisfed.org/fred2/series/NHBPPRIV" TargetMode="External"/><Relationship Id="rId1" Type="http://schemas.openxmlformats.org/officeDocument/2006/relationships/hyperlink" Target="http://research.stlouisfed.org/fred2/series/NHNA" TargetMode="External"/><Relationship Id="rId6" Type="http://schemas.openxmlformats.org/officeDocument/2006/relationships/hyperlink" Target="http://research.stlouisfed.org/fred2/series/NHNAN" TargetMode="External"/><Relationship Id="rId5" Type="http://schemas.openxmlformats.org/officeDocument/2006/relationships/hyperlink" Target="http://research.stlouisfed.org/fred2/series/NHPHCI" TargetMode="External"/><Relationship Id="rId4" Type="http://schemas.openxmlformats.org/officeDocument/2006/relationships/hyperlink" Target="http://research.stlouisfed.org/fred2/series/NHSLIND" TargetMode="Externa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NJRGSP" TargetMode="External"/><Relationship Id="rId3" Type="http://schemas.openxmlformats.org/officeDocument/2006/relationships/hyperlink" Target="http://research.stlouisfed.org/fred2/series/NJUR" TargetMode="External"/><Relationship Id="rId7" Type="http://schemas.openxmlformats.org/officeDocument/2006/relationships/hyperlink" Target="http://research.stlouisfed.org/fred2/series/NJGOVTN" TargetMode="External"/><Relationship Id="rId2" Type="http://schemas.openxmlformats.org/officeDocument/2006/relationships/hyperlink" Target="http://research.stlouisfed.org/fred2/series/NJBPPRIV" TargetMode="External"/><Relationship Id="rId1" Type="http://schemas.openxmlformats.org/officeDocument/2006/relationships/hyperlink" Target="http://research.stlouisfed.org/fred2/series/NJNA" TargetMode="External"/><Relationship Id="rId6" Type="http://schemas.openxmlformats.org/officeDocument/2006/relationships/hyperlink" Target="http://research.stlouisfed.org/fred2/series/NJNAN" TargetMode="External"/><Relationship Id="rId5" Type="http://schemas.openxmlformats.org/officeDocument/2006/relationships/hyperlink" Target="http://research.stlouisfed.org/fred2/series/NJPHCI" TargetMode="External"/><Relationship Id="rId4" Type="http://schemas.openxmlformats.org/officeDocument/2006/relationships/hyperlink" Target="http://research.stlouisfed.org/fred2/series/NJSLIND" TargetMode="Externa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NMRGSP" TargetMode="External"/><Relationship Id="rId3" Type="http://schemas.openxmlformats.org/officeDocument/2006/relationships/hyperlink" Target="http://research.stlouisfed.org/fred2/series/NMUR" TargetMode="External"/><Relationship Id="rId7" Type="http://schemas.openxmlformats.org/officeDocument/2006/relationships/hyperlink" Target="http://research.stlouisfed.org/fred2/series/NMGOVTN" TargetMode="External"/><Relationship Id="rId2" Type="http://schemas.openxmlformats.org/officeDocument/2006/relationships/hyperlink" Target="http://research.stlouisfed.org/fred2/series/NMBPPRIV" TargetMode="External"/><Relationship Id="rId1" Type="http://schemas.openxmlformats.org/officeDocument/2006/relationships/hyperlink" Target="http://research.stlouisfed.org/fred2/series/NMNA" TargetMode="External"/><Relationship Id="rId6" Type="http://schemas.openxmlformats.org/officeDocument/2006/relationships/hyperlink" Target="http://research.stlouisfed.org/fred2/series/NMNAN" TargetMode="External"/><Relationship Id="rId5" Type="http://schemas.openxmlformats.org/officeDocument/2006/relationships/hyperlink" Target="http://research.stlouisfed.org/fred2/series/NMPHCI" TargetMode="External"/><Relationship Id="rId4" Type="http://schemas.openxmlformats.org/officeDocument/2006/relationships/hyperlink" Target="http://research.stlouisfed.org/fred2/series/NMSLIND" TargetMode="Externa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NVRGSP" TargetMode="External"/><Relationship Id="rId3" Type="http://schemas.openxmlformats.org/officeDocument/2006/relationships/hyperlink" Target="http://research.stlouisfed.org/fred2/series/NVUR" TargetMode="External"/><Relationship Id="rId7" Type="http://schemas.openxmlformats.org/officeDocument/2006/relationships/hyperlink" Target="http://research.stlouisfed.org/fred2/series/NVGOVTN" TargetMode="External"/><Relationship Id="rId2" Type="http://schemas.openxmlformats.org/officeDocument/2006/relationships/hyperlink" Target="http://research.stlouisfed.org/fred2/series/NVBPPRIV" TargetMode="External"/><Relationship Id="rId1" Type="http://schemas.openxmlformats.org/officeDocument/2006/relationships/hyperlink" Target="http://research.stlouisfed.org/fred2/series/NVNA" TargetMode="External"/><Relationship Id="rId6" Type="http://schemas.openxmlformats.org/officeDocument/2006/relationships/hyperlink" Target="http://research.stlouisfed.org/fred2/series/NVNAN" TargetMode="External"/><Relationship Id="rId5" Type="http://schemas.openxmlformats.org/officeDocument/2006/relationships/hyperlink" Target="http://research.stlouisfed.org/fred2/series/NVPHCI" TargetMode="External"/><Relationship Id="rId4" Type="http://schemas.openxmlformats.org/officeDocument/2006/relationships/hyperlink" Target="http://research.stlouisfed.org/fred2/series/NVSLIND" TargetMode="Externa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NYRGSP" TargetMode="External"/><Relationship Id="rId3" Type="http://schemas.openxmlformats.org/officeDocument/2006/relationships/hyperlink" Target="http://research.stlouisfed.org/fred2/series/NYUR" TargetMode="External"/><Relationship Id="rId7" Type="http://schemas.openxmlformats.org/officeDocument/2006/relationships/hyperlink" Target="http://research.stlouisfed.org/fred2/series/NYGOVTN" TargetMode="External"/><Relationship Id="rId2" Type="http://schemas.openxmlformats.org/officeDocument/2006/relationships/hyperlink" Target="http://research.stlouisfed.org/fred2/series/NYBPPRIV" TargetMode="External"/><Relationship Id="rId1" Type="http://schemas.openxmlformats.org/officeDocument/2006/relationships/hyperlink" Target="http://research.stlouisfed.org/fred2/series/NYNA" TargetMode="External"/><Relationship Id="rId6" Type="http://schemas.openxmlformats.org/officeDocument/2006/relationships/hyperlink" Target="http://research.stlouisfed.org/fred2/series/NYNAN" TargetMode="External"/><Relationship Id="rId5" Type="http://schemas.openxmlformats.org/officeDocument/2006/relationships/hyperlink" Target="http://research.stlouisfed.org/fred2/series/NYPHCI" TargetMode="External"/><Relationship Id="rId4" Type="http://schemas.openxmlformats.org/officeDocument/2006/relationships/hyperlink" Target="http://research.stlouisfed.org/fred2/series/NYSLIND" TargetMode="Externa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OHRGSP" TargetMode="External"/><Relationship Id="rId3" Type="http://schemas.openxmlformats.org/officeDocument/2006/relationships/hyperlink" Target="http://research.stlouisfed.org/fred2/series/OHUR" TargetMode="External"/><Relationship Id="rId7" Type="http://schemas.openxmlformats.org/officeDocument/2006/relationships/hyperlink" Target="http://research.stlouisfed.org/fred2/series/OHGOVTN" TargetMode="External"/><Relationship Id="rId2" Type="http://schemas.openxmlformats.org/officeDocument/2006/relationships/hyperlink" Target="http://research.stlouisfed.org/fred2/series/OHBPPRIV" TargetMode="External"/><Relationship Id="rId1" Type="http://schemas.openxmlformats.org/officeDocument/2006/relationships/hyperlink" Target="http://research.stlouisfed.org/fred2/series/OHNA" TargetMode="External"/><Relationship Id="rId6" Type="http://schemas.openxmlformats.org/officeDocument/2006/relationships/hyperlink" Target="http://research.stlouisfed.org/fred2/series/OHNAN" TargetMode="External"/><Relationship Id="rId5" Type="http://schemas.openxmlformats.org/officeDocument/2006/relationships/hyperlink" Target="http://research.stlouisfed.org/fred2/series/OHPHCI" TargetMode="External"/><Relationship Id="rId4" Type="http://schemas.openxmlformats.org/officeDocument/2006/relationships/hyperlink" Target="http://research.stlouisfed.org/fred2/series/OHSLIND" TargetMode="Externa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OKRGSP" TargetMode="External"/><Relationship Id="rId3" Type="http://schemas.openxmlformats.org/officeDocument/2006/relationships/hyperlink" Target="http://research.stlouisfed.org/fred2/series/OKUR" TargetMode="External"/><Relationship Id="rId7" Type="http://schemas.openxmlformats.org/officeDocument/2006/relationships/hyperlink" Target="http://research.stlouisfed.org/fred2/series/OKGOVTN" TargetMode="External"/><Relationship Id="rId2" Type="http://schemas.openxmlformats.org/officeDocument/2006/relationships/hyperlink" Target="http://research.stlouisfed.org/fred2/series/OKBPPRIV" TargetMode="External"/><Relationship Id="rId1" Type="http://schemas.openxmlformats.org/officeDocument/2006/relationships/hyperlink" Target="http://research.stlouisfed.org/fred2/series/OKNA" TargetMode="External"/><Relationship Id="rId6" Type="http://schemas.openxmlformats.org/officeDocument/2006/relationships/hyperlink" Target="http://research.stlouisfed.org/fred2/series/OKNAN" TargetMode="External"/><Relationship Id="rId5" Type="http://schemas.openxmlformats.org/officeDocument/2006/relationships/hyperlink" Target="http://research.stlouisfed.org/fred2/series/OKPHCI" TargetMode="External"/><Relationship Id="rId4" Type="http://schemas.openxmlformats.org/officeDocument/2006/relationships/hyperlink" Target="http://research.stlouisfed.org/fred2/series/OKSLIND" TargetMode="Externa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ORRGSP" TargetMode="External"/><Relationship Id="rId3" Type="http://schemas.openxmlformats.org/officeDocument/2006/relationships/hyperlink" Target="http://research.stlouisfed.org/fred2/series/ORUR" TargetMode="External"/><Relationship Id="rId7" Type="http://schemas.openxmlformats.org/officeDocument/2006/relationships/hyperlink" Target="http://research.stlouisfed.org/fred2/series/ORGOVTN" TargetMode="External"/><Relationship Id="rId2" Type="http://schemas.openxmlformats.org/officeDocument/2006/relationships/hyperlink" Target="http://research.stlouisfed.org/fred2/series/ORBPPRIV" TargetMode="External"/><Relationship Id="rId1" Type="http://schemas.openxmlformats.org/officeDocument/2006/relationships/hyperlink" Target="http://research.stlouisfed.org/fred2/series/ORNA" TargetMode="External"/><Relationship Id="rId6" Type="http://schemas.openxmlformats.org/officeDocument/2006/relationships/hyperlink" Target="http://research.stlouisfed.org/fred2/series/ORNAN" TargetMode="External"/><Relationship Id="rId5" Type="http://schemas.openxmlformats.org/officeDocument/2006/relationships/hyperlink" Target="http://research.stlouisfed.org/fred2/series/ORPHCI" TargetMode="External"/><Relationship Id="rId4" Type="http://schemas.openxmlformats.org/officeDocument/2006/relationships/hyperlink" Target="http://research.stlouisfed.org/fred2/series/ORSLIND" TargetMode="Externa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PARGSP" TargetMode="External"/><Relationship Id="rId3" Type="http://schemas.openxmlformats.org/officeDocument/2006/relationships/hyperlink" Target="http://research.stlouisfed.org/fred2/series/PAUR" TargetMode="External"/><Relationship Id="rId7" Type="http://schemas.openxmlformats.org/officeDocument/2006/relationships/hyperlink" Target="http://research.stlouisfed.org/fred2/series/PAGOVTN" TargetMode="External"/><Relationship Id="rId2" Type="http://schemas.openxmlformats.org/officeDocument/2006/relationships/hyperlink" Target="http://research.stlouisfed.org/fred2/series/PABPPRIV" TargetMode="External"/><Relationship Id="rId1" Type="http://schemas.openxmlformats.org/officeDocument/2006/relationships/hyperlink" Target="http://research.stlouisfed.org/fred2/series/PANA" TargetMode="External"/><Relationship Id="rId6" Type="http://schemas.openxmlformats.org/officeDocument/2006/relationships/hyperlink" Target="http://research.stlouisfed.org/fred2/series/PANAN" TargetMode="External"/><Relationship Id="rId5" Type="http://schemas.openxmlformats.org/officeDocument/2006/relationships/hyperlink" Target="http://research.stlouisfed.org/fred2/series/PAPHCI" TargetMode="External"/><Relationship Id="rId4" Type="http://schemas.openxmlformats.org/officeDocument/2006/relationships/hyperlink" Target="http://research.stlouisfed.org/fred2/series/PASLIND" TargetMode="Externa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RIRGSP" TargetMode="External"/><Relationship Id="rId3" Type="http://schemas.openxmlformats.org/officeDocument/2006/relationships/hyperlink" Target="http://research.stlouisfed.org/fred2/series/RIUR" TargetMode="External"/><Relationship Id="rId7" Type="http://schemas.openxmlformats.org/officeDocument/2006/relationships/hyperlink" Target="http://research.stlouisfed.org/fred2/series/RIGOVTN" TargetMode="External"/><Relationship Id="rId2" Type="http://schemas.openxmlformats.org/officeDocument/2006/relationships/hyperlink" Target="http://research.stlouisfed.org/fred2/series/RIBPPRIV" TargetMode="External"/><Relationship Id="rId1" Type="http://schemas.openxmlformats.org/officeDocument/2006/relationships/hyperlink" Target="http://research.stlouisfed.org/fred2/series/RINA" TargetMode="External"/><Relationship Id="rId6" Type="http://schemas.openxmlformats.org/officeDocument/2006/relationships/hyperlink" Target="http://research.stlouisfed.org/fred2/series/RINAN" TargetMode="External"/><Relationship Id="rId5" Type="http://schemas.openxmlformats.org/officeDocument/2006/relationships/hyperlink" Target="http://research.stlouisfed.org/fred2/series/RIPHCI" TargetMode="External"/><Relationship Id="rId4" Type="http://schemas.openxmlformats.org/officeDocument/2006/relationships/hyperlink" Target="http://research.stlouisfed.org/fred2/series/RISLIND" TargetMode="Externa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SCRGSP" TargetMode="External"/><Relationship Id="rId3" Type="http://schemas.openxmlformats.org/officeDocument/2006/relationships/hyperlink" Target="http://research.stlouisfed.org/fred2/series/SCUR" TargetMode="External"/><Relationship Id="rId7" Type="http://schemas.openxmlformats.org/officeDocument/2006/relationships/hyperlink" Target="http://research.stlouisfed.org/fred2/series/SCGOVTN" TargetMode="External"/><Relationship Id="rId2" Type="http://schemas.openxmlformats.org/officeDocument/2006/relationships/hyperlink" Target="http://research.stlouisfed.org/fred2/series/SCBPPRIV" TargetMode="External"/><Relationship Id="rId1" Type="http://schemas.openxmlformats.org/officeDocument/2006/relationships/hyperlink" Target="http://research.stlouisfed.org/fred2/series/SCNA" TargetMode="External"/><Relationship Id="rId6" Type="http://schemas.openxmlformats.org/officeDocument/2006/relationships/hyperlink" Target="http://research.stlouisfed.org/fred2/series/SCNAN" TargetMode="External"/><Relationship Id="rId5" Type="http://schemas.openxmlformats.org/officeDocument/2006/relationships/hyperlink" Target="http://research.stlouisfed.org/fred2/series/SCPHCI" TargetMode="External"/><Relationship Id="rId4" Type="http://schemas.openxmlformats.org/officeDocument/2006/relationships/hyperlink" Target="http://research.stlouisfed.org/fred2/series/SCSLIND" TargetMode="Externa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SDRGSP" TargetMode="External"/><Relationship Id="rId3" Type="http://schemas.openxmlformats.org/officeDocument/2006/relationships/hyperlink" Target="http://research.stlouisfed.org/fred2/series/SDUR" TargetMode="External"/><Relationship Id="rId7" Type="http://schemas.openxmlformats.org/officeDocument/2006/relationships/hyperlink" Target="http://research.stlouisfed.org/fred2/series/SDGOVTN" TargetMode="External"/><Relationship Id="rId2" Type="http://schemas.openxmlformats.org/officeDocument/2006/relationships/hyperlink" Target="http://research.stlouisfed.org/fred2/series/SDBPPRIV" TargetMode="External"/><Relationship Id="rId1" Type="http://schemas.openxmlformats.org/officeDocument/2006/relationships/hyperlink" Target="http://research.stlouisfed.org/fred2/series/SDNA" TargetMode="External"/><Relationship Id="rId6" Type="http://schemas.openxmlformats.org/officeDocument/2006/relationships/hyperlink" Target="http://research.stlouisfed.org/fred2/series/SDNAN" TargetMode="External"/><Relationship Id="rId5" Type="http://schemas.openxmlformats.org/officeDocument/2006/relationships/hyperlink" Target="http://research.stlouisfed.org/fred2/series/SDPHCI" TargetMode="External"/><Relationship Id="rId4" Type="http://schemas.openxmlformats.org/officeDocument/2006/relationships/hyperlink" Target="http://research.stlouisfed.org/fred2/series/SDSLIND" TargetMode="Externa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TXRGSP" TargetMode="External"/><Relationship Id="rId3" Type="http://schemas.openxmlformats.org/officeDocument/2006/relationships/hyperlink" Target="http://research.stlouisfed.org/fred2/series/TXUR" TargetMode="External"/><Relationship Id="rId7" Type="http://schemas.openxmlformats.org/officeDocument/2006/relationships/hyperlink" Target="http://research.stlouisfed.org/fred2/series/TXGOVTN" TargetMode="External"/><Relationship Id="rId2" Type="http://schemas.openxmlformats.org/officeDocument/2006/relationships/hyperlink" Target="http://research.stlouisfed.org/fred2/series/TXBPPRIV" TargetMode="External"/><Relationship Id="rId1" Type="http://schemas.openxmlformats.org/officeDocument/2006/relationships/hyperlink" Target="http://research.stlouisfed.org/fred2/series/TXNA" TargetMode="External"/><Relationship Id="rId6" Type="http://schemas.openxmlformats.org/officeDocument/2006/relationships/hyperlink" Target="http://research.stlouisfed.org/fred2/series/TXNAN" TargetMode="External"/><Relationship Id="rId5" Type="http://schemas.openxmlformats.org/officeDocument/2006/relationships/hyperlink" Target="http://research.stlouisfed.org/fred2/series/TXPHCI" TargetMode="External"/><Relationship Id="rId4" Type="http://schemas.openxmlformats.org/officeDocument/2006/relationships/hyperlink" Target="http://research.stlouisfed.org/fred2/series/TXSLIND" TargetMode="Externa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TNRGSP" TargetMode="External"/><Relationship Id="rId3" Type="http://schemas.openxmlformats.org/officeDocument/2006/relationships/hyperlink" Target="http://research.stlouisfed.org/fred2/series/TNUR" TargetMode="External"/><Relationship Id="rId7" Type="http://schemas.openxmlformats.org/officeDocument/2006/relationships/hyperlink" Target="http://research.stlouisfed.org/fred2/series/TNGOVTN" TargetMode="External"/><Relationship Id="rId2" Type="http://schemas.openxmlformats.org/officeDocument/2006/relationships/hyperlink" Target="http://research.stlouisfed.org/fred2/series/TNBPPRIV" TargetMode="External"/><Relationship Id="rId1" Type="http://schemas.openxmlformats.org/officeDocument/2006/relationships/hyperlink" Target="http://research.stlouisfed.org/fred2/series/TNNA" TargetMode="External"/><Relationship Id="rId6" Type="http://schemas.openxmlformats.org/officeDocument/2006/relationships/hyperlink" Target="http://research.stlouisfed.org/fred2/series/TNNAN" TargetMode="External"/><Relationship Id="rId5" Type="http://schemas.openxmlformats.org/officeDocument/2006/relationships/hyperlink" Target="http://research.stlouisfed.org/fred2/series/TNPHCI" TargetMode="External"/><Relationship Id="rId4" Type="http://schemas.openxmlformats.org/officeDocument/2006/relationships/hyperlink" Target="http://research.stlouisfed.org/fred2/series/TNSLIND" TargetMode="Externa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UTRGSP" TargetMode="External"/><Relationship Id="rId3" Type="http://schemas.openxmlformats.org/officeDocument/2006/relationships/hyperlink" Target="http://research.stlouisfed.org/fred2/series/UTUR" TargetMode="External"/><Relationship Id="rId7" Type="http://schemas.openxmlformats.org/officeDocument/2006/relationships/hyperlink" Target="http://research.stlouisfed.org/fred2/series/UTGOVTN" TargetMode="External"/><Relationship Id="rId2" Type="http://schemas.openxmlformats.org/officeDocument/2006/relationships/hyperlink" Target="http://research.stlouisfed.org/fred2/series/UTBPPRIV" TargetMode="External"/><Relationship Id="rId1" Type="http://schemas.openxmlformats.org/officeDocument/2006/relationships/hyperlink" Target="http://research.stlouisfed.org/fred2/series/UTNA" TargetMode="External"/><Relationship Id="rId6" Type="http://schemas.openxmlformats.org/officeDocument/2006/relationships/hyperlink" Target="http://research.stlouisfed.org/fred2/series/UTNAN" TargetMode="External"/><Relationship Id="rId5" Type="http://schemas.openxmlformats.org/officeDocument/2006/relationships/hyperlink" Target="http://research.stlouisfed.org/fred2/series/UTPHCI" TargetMode="External"/><Relationship Id="rId4" Type="http://schemas.openxmlformats.org/officeDocument/2006/relationships/hyperlink" Target="http://research.stlouisfed.org/fred2/series/UTSLIND" TargetMode="Externa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VARGSP" TargetMode="External"/><Relationship Id="rId3" Type="http://schemas.openxmlformats.org/officeDocument/2006/relationships/hyperlink" Target="http://research.stlouisfed.org/fred2/series/VAUR" TargetMode="External"/><Relationship Id="rId7" Type="http://schemas.openxmlformats.org/officeDocument/2006/relationships/hyperlink" Target="http://research.stlouisfed.org/fred2/series/VAGOVTN" TargetMode="External"/><Relationship Id="rId2" Type="http://schemas.openxmlformats.org/officeDocument/2006/relationships/hyperlink" Target="http://research.stlouisfed.org/fred2/series/VABPPRIV" TargetMode="External"/><Relationship Id="rId1" Type="http://schemas.openxmlformats.org/officeDocument/2006/relationships/hyperlink" Target="http://research.stlouisfed.org/fred2/series/VANA" TargetMode="External"/><Relationship Id="rId6" Type="http://schemas.openxmlformats.org/officeDocument/2006/relationships/hyperlink" Target="http://research.stlouisfed.org/fred2/series/VANAN" TargetMode="External"/><Relationship Id="rId5" Type="http://schemas.openxmlformats.org/officeDocument/2006/relationships/hyperlink" Target="http://research.stlouisfed.org/fred2/series/VAPHCI" TargetMode="External"/><Relationship Id="rId4" Type="http://schemas.openxmlformats.org/officeDocument/2006/relationships/hyperlink" Target="http://research.stlouisfed.org/fred2/series/VASLIND" TargetMode="External"/><Relationship Id="rId9" Type="http://schemas.openxmlformats.org/officeDocument/2006/relationships/hyperlink" Target="http://research.stlouisfed.org/fred2/series/VAPI" TargetMode="External"/></Relationships>
</file>

<file path=xl/worksheets/_rels/sheet59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VTRGSP" TargetMode="External"/><Relationship Id="rId3" Type="http://schemas.openxmlformats.org/officeDocument/2006/relationships/hyperlink" Target="http://research.stlouisfed.org/fred2/series/VTUR" TargetMode="External"/><Relationship Id="rId7" Type="http://schemas.openxmlformats.org/officeDocument/2006/relationships/hyperlink" Target="http://research.stlouisfed.org/fred2/series/VTGOVTN" TargetMode="External"/><Relationship Id="rId2" Type="http://schemas.openxmlformats.org/officeDocument/2006/relationships/hyperlink" Target="http://research.stlouisfed.org/fred2/series/VTBPPRIV" TargetMode="External"/><Relationship Id="rId1" Type="http://schemas.openxmlformats.org/officeDocument/2006/relationships/hyperlink" Target="http://research.stlouisfed.org/fred2/series/VTNA" TargetMode="External"/><Relationship Id="rId6" Type="http://schemas.openxmlformats.org/officeDocument/2006/relationships/hyperlink" Target="http://research.stlouisfed.org/fred2/series/VTNAN" TargetMode="External"/><Relationship Id="rId5" Type="http://schemas.openxmlformats.org/officeDocument/2006/relationships/hyperlink" Target="http://research.stlouisfed.org/fred2/series/VTPHCI" TargetMode="External"/><Relationship Id="rId4" Type="http://schemas.openxmlformats.org/officeDocument/2006/relationships/hyperlink" Target="http://research.stlouisfed.org/fred2/series/VTSLIND" TargetMode="External"/></Relationships>
</file>

<file path=xl/worksheets/_rels/sheet60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WARGSP" TargetMode="External"/><Relationship Id="rId3" Type="http://schemas.openxmlformats.org/officeDocument/2006/relationships/hyperlink" Target="http://research.stlouisfed.org/fred2/series/WAUR" TargetMode="External"/><Relationship Id="rId7" Type="http://schemas.openxmlformats.org/officeDocument/2006/relationships/hyperlink" Target="http://research.stlouisfed.org/fred2/series/WAGOVTN" TargetMode="External"/><Relationship Id="rId2" Type="http://schemas.openxmlformats.org/officeDocument/2006/relationships/hyperlink" Target="http://research.stlouisfed.org/fred2/series/WABPPRIV" TargetMode="External"/><Relationship Id="rId1" Type="http://schemas.openxmlformats.org/officeDocument/2006/relationships/hyperlink" Target="http://research.stlouisfed.org/fred2/series/WANA" TargetMode="External"/><Relationship Id="rId6" Type="http://schemas.openxmlformats.org/officeDocument/2006/relationships/hyperlink" Target="http://research.stlouisfed.org/fred2/series/WANAN" TargetMode="External"/><Relationship Id="rId5" Type="http://schemas.openxmlformats.org/officeDocument/2006/relationships/hyperlink" Target="http://research.stlouisfed.org/fred2/series/WAPHCI" TargetMode="External"/><Relationship Id="rId4" Type="http://schemas.openxmlformats.org/officeDocument/2006/relationships/hyperlink" Target="http://research.stlouisfed.org/fred2/series/WASLIND" TargetMode="External"/></Relationships>
</file>

<file path=xl/worksheets/_rels/sheet61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WIRGSP" TargetMode="External"/><Relationship Id="rId3" Type="http://schemas.openxmlformats.org/officeDocument/2006/relationships/hyperlink" Target="http://research.stlouisfed.org/fred2/series/WIUR" TargetMode="External"/><Relationship Id="rId7" Type="http://schemas.openxmlformats.org/officeDocument/2006/relationships/hyperlink" Target="http://research.stlouisfed.org/fred2/series/WIGOVTN" TargetMode="External"/><Relationship Id="rId2" Type="http://schemas.openxmlformats.org/officeDocument/2006/relationships/hyperlink" Target="http://research.stlouisfed.org/fred2/series/WIBPPRIV" TargetMode="External"/><Relationship Id="rId1" Type="http://schemas.openxmlformats.org/officeDocument/2006/relationships/hyperlink" Target="http://research.stlouisfed.org/fred2/series/WINA" TargetMode="External"/><Relationship Id="rId6" Type="http://schemas.openxmlformats.org/officeDocument/2006/relationships/hyperlink" Target="http://research.stlouisfed.org/fred2/series/WINAN" TargetMode="External"/><Relationship Id="rId5" Type="http://schemas.openxmlformats.org/officeDocument/2006/relationships/hyperlink" Target="http://research.stlouisfed.org/fred2/series/WIPHCI" TargetMode="External"/><Relationship Id="rId4" Type="http://schemas.openxmlformats.org/officeDocument/2006/relationships/hyperlink" Target="http://research.stlouisfed.org/fred2/series/WISLIND" TargetMode="External"/></Relationships>
</file>

<file path=xl/worksheets/_rels/sheet62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WVRGSP" TargetMode="External"/><Relationship Id="rId3" Type="http://schemas.openxmlformats.org/officeDocument/2006/relationships/hyperlink" Target="http://research.stlouisfed.org/fred2/series/WVUR" TargetMode="External"/><Relationship Id="rId7" Type="http://schemas.openxmlformats.org/officeDocument/2006/relationships/hyperlink" Target="http://research.stlouisfed.org/fred2/series/WVGOVTN" TargetMode="External"/><Relationship Id="rId2" Type="http://schemas.openxmlformats.org/officeDocument/2006/relationships/hyperlink" Target="http://research.stlouisfed.org/fred2/series/WVBPPRIV" TargetMode="External"/><Relationship Id="rId1" Type="http://schemas.openxmlformats.org/officeDocument/2006/relationships/hyperlink" Target="http://research.stlouisfed.org/fred2/series/WVNA" TargetMode="External"/><Relationship Id="rId6" Type="http://schemas.openxmlformats.org/officeDocument/2006/relationships/hyperlink" Target="http://research.stlouisfed.org/fred2/series/WVNAN" TargetMode="External"/><Relationship Id="rId5" Type="http://schemas.openxmlformats.org/officeDocument/2006/relationships/hyperlink" Target="http://research.stlouisfed.org/fred2/series/WVPHCI" TargetMode="External"/><Relationship Id="rId4" Type="http://schemas.openxmlformats.org/officeDocument/2006/relationships/hyperlink" Target="http://research.stlouisfed.org/fred2/series/WVSLIND" TargetMode="External"/></Relationships>
</file>

<file path=xl/worksheets/_rels/sheet63.xml.rels><?xml version="1.0" encoding="UTF-8" standalone="yes"?>
<Relationships xmlns="http://schemas.openxmlformats.org/package/2006/relationships"><Relationship Id="rId8" Type="http://schemas.openxmlformats.org/officeDocument/2006/relationships/hyperlink" Target="http://research.stlouisfed.org/fred2/series/WYRGSP" TargetMode="External"/><Relationship Id="rId3" Type="http://schemas.openxmlformats.org/officeDocument/2006/relationships/hyperlink" Target="http://research.stlouisfed.org/fred2/series/WYUR" TargetMode="External"/><Relationship Id="rId7" Type="http://schemas.openxmlformats.org/officeDocument/2006/relationships/hyperlink" Target="http://research.stlouisfed.org/fred2/series/WYGOVTN" TargetMode="External"/><Relationship Id="rId2" Type="http://schemas.openxmlformats.org/officeDocument/2006/relationships/hyperlink" Target="http://research.stlouisfed.org/fred2/series/WYBPPRIV" TargetMode="External"/><Relationship Id="rId1" Type="http://schemas.openxmlformats.org/officeDocument/2006/relationships/hyperlink" Target="http://research.stlouisfed.org/fred2/series/WYNA" TargetMode="External"/><Relationship Id="rId6" Type="http://schemas.openxmlformats.org/officeDocument/2006/relationships/hyperlink" Target="http://research.stlouisfed.org/fred2/series/WYNAN" TargetMode="External"/><Relationship Id="rId5" Type="http://schemas.openxmlformats.org/officeDocument/2006/relationships/hyperlink" Target="http://research.stlouisfed.org/fred2/series/WYPHCI" TargetMode="External"/><Relationship Id="rId4" Type="http://schemas.openxmlformats.org/officeDocument/2006/relationships/hyperlink" Target="http://research.stlouisfed.org/fred2/series/WYSLIN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13"/>
  <sheetViews>
    <sheetView workbookViewId="0">
      <selection activeCell="E23" sqref="E23"/>
    </sheetView>
  </sheetViews>
  <sheetFormatPr defaultRowHeight="15.75" x14ac:dyDescent="0.25"/>
  <sheetData>
    <row r="2" spans="1:2" x14ac:dyDescent="0.25">
      <c r="A2" t="s">
        <v>997</v>
      </c>
    </row>
    <row r="7" spans="1:2" x14ac:dyDescent="0.25">
      <c r="A7" t="s">
        <v>837</v>
      </c>
    </row>
    <row r="8" spans="1:2" x14ac:dyDescent="0.25">
      <c r="A8">
        <v>1</v>
      </c>
      <c r="B8" t="s">
        <v>839</v>
      </c>
    </row>
    <row r="9" spans="1:2" x14ac:dyDescent="0.25">
      <c r="A9">
        <v>2</v>
      </c>
      <c r="B9" t="s">
        <v>840</v>
      </c>
    </row>
    <row r="10" spans="1:2" x14ac:dyDescent="0.25">
      <c r="A10">
        <v>3</v>
      </c>
      <c r="B10" t="s">
        <v>838</v>
      </c>
    </row>
    <row r="11" spans="1:2" x14ac:dyDescent="0.25">
      <c r="A11">
        <v>4</v>
      </c>
      <c r="B11" t="s">
        <v>841</v>
      </c>
    </row>
    <row r="12" spans="1:2" x14ac:dyDescent="0.25">
      <c r="A12">
        <v>5</v>
      </c>
      <c r="B12" t="s">
        <v>842</v>
      </c>
    </row>
    <row r="13" spans="1:2" x14ac:dyDescent="0.25">
      <c r="A13">
        <v>6</v>
      </c>
      <c r="B13" t="s">
        <v>843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J467"/>
  <sheetViews>
    <sheetView topLeftCell="A247" workbookViewId="0">
      <selection activeCell="C278" sqref="C278"/>
    </sheetView>
  </sheetViews>
  <sheetFormatPr defaultRowHeight="15" x14ac:dyDescent="0.25"/>
  <cols>
    <col min="1" max="6" width="9" style="51"/>
    <col min="7" max="7" width="32.5" style="51" bestFit="1" customWidth="1"/>
    <col min="8" max="16384" width="9" style="51"/>
  </cols>
  <sheetData>
    <row r="1" spans="1:7" x14ac:dyDescent="0.25">
      <c r="A1" s="51" t="s">
        <v>671</v>
      </c>
      <c r="B1" s="51" t="s">
        <v>672</v>
      </c>
      <c r="C1" s="51" t="s">
        <v>673</v>
      </c>
      <c r="D1" s="51" t="s">
        <v>674</v>
      </c>
      <c r="E1" s="51" t="s">
        <v>675</v>
      </c>
      <c r="F1" s="51" t="s">
        <v>676</v>
      </c>
    </row>
    <row r="2" spans="1:7" x14ac:dyDescent="0.25">
      <c r="A2" s="51">
        <v>11</v>
      </c>
      <c r="B2" s="51">
        <v>2014</v>
      </c>
      <c r="C2" s="51">
        <v>1</v>
      </c>
      <c r="D2" s="51">
        <f ca="1">+'Table 1'!B3</f>
        <v>5.7</v>
      </c>
      <c r="E2" s="51" t="s">
        <v>465</v>
      </c>
      <c r="F2" s="51" t="s">
        <v>533</v>
      </c>
      <c r="G2" s="100" t="s">
        <v>952</v>
      </c>
    </row>
    <row r="3" spans="1:7" x14ac:dyDescent="0.25">
      <c r="A3" s="51">
        <v>11</v>
      </c>
      <c r="B3" s="51">
        <v>2014</v>
      </c>
      <c r="C3" s="51">
        <v>1</v>
      </c>
      <c r="D3" s="51">
        <f ca="1">+'Table 1'!B4</f>
        <v>6.3</v>
      </c>
      <c r="E3" s="51" t="s">
        <v>466</v>
      </c>
      <c r="F3" s="51" t="s">
        <v>533</v>
      </c>
    </row>
    <row r="4" spans="1:7" x14ac:dyDescent="0.25">
      <c r="A4" s="51">
        <v>11</v>
      </c>
      <c r="B4" s="51">
        <v>2014</v>
      </c>
      <c r="C4" s="51">
        <v>1</v>
      </c>
      <c r="D4" s="51">
        <f ca="1">+'Table 1'!B5</f>
        <v>6.7</v>
      </c>
      <c r="E4" s="51" t="s">
        <v>476</v>
      </c>
      <c r="F4" s="51" t="s">
        <v>533</v>
      </c>
    </row>
    <row r="5" spans="1:7" x14ac:dyDescent="0.25">
      <c r="A5" s="51">
        <v>11</v>
      </c>
      <c r="B5" s="51">
        <v>2014</v>
      </c>
      <c r="C5" s="51">
        <v>1</v>
      </c>
      <c r="D5" s="51">
        <f ca="1">+'Table 1'!B6</f>
        <v>5.7</v>
      </c>
      <c r="E5" s="51" t="s">
        <v>475</v>
      </c>
      <c r="F5" s="51" t="s">
        <v>533</v>
      </c>
    </row>
    <row r="6" spans="1:7" x14ac:dyDescent="0.25">
      <c r="A6" s="51">
        <v>11</v>
      </c>
      <c r="B6" s="51">
        <v>2014</v>
      </c>
      <c r="C6" s="51">
        <v>1</v>
      </c>
      <c r="D6" s="51">
        <f ca="1">+'Table 1'!B7</f>
        <v>7</v>
      </c>
      <c r="E6" s="51" t="s">
        <v>467</v>
      </c>
      <c r="F6" s="51" t="s">
        <v>533</v>
      </c>
    </row>
    <row r="7" spans="1:7" x14ac:dyDescent="0.25">
      <c r="A7" s="51">
        <v>11</v>
      </c>
      <c r="B7" s="51">
        <v>2014</v>
      </c>
      <c r="C7" s="51">
        <v>1</v>
      </c>
      <c r="D7" s="51">
        <f ca="1">+'Table 1'!B8</f>
        <v>4</v>
      </c>
      <c r="E7" s="51" t="s">
        <v>477</v>
      </c>
      <c r="F7" s="51" t="s">
        <v>533</v>
      </c>
    </row>
    <row r="8" spans="1:7" x14ac:dyDescent="0.25">
      <c r="A8" s="51">
        <v>11</v>
      </c>
      <c r="B8" s="51">
        <v>2014</v>
      </c>
      <c r="C8" s="51">
        <v>1</v>
      </c>
      <c r="D8" s="51">
        <f ca="1">+'Table 1'!B9</f>
        <v>6.4</v>
      </c>
      <c r="E8" s="51" t="s">
        <v>468</v>
      </c>
      <c r="F8" s="51" t="s">
        <v>533</v>
      </c>
    </row>
    <row r="9" spans="1:7" x14ac:dyDescent="0.25">
      <c r="A9" s="51">
        <v>11</v>
      </c>
      <c r="B9" s="51">
        <v>2014</v>
      </c>
      <c r="C9" s="51">
        <v>1</v>
      </c>
      <c r="D9" s="51">
        <f ca="1">+'Table 1'!B10</f>
        <v>5.4</v>
      </c>
      <c r="E9" s="51" t="s">
        <v>469</v>
      </c>
      <c r="F9" s="51" t="s">
        <v>533</v>
      </c>
    </row>
    <row r="10" spans="1:7" x14ac:dyDescent="0.25">
      <c r="A10" s="51">
        <v>11</v>
      </c>
      <c r="B10" s="51">
        <v>2014</v>
      </c>
      <c r="C10" s="51">
        <v>1</v>
      </c>
      <c r="D10" s="51">
        <f ca="1">+'Table 1'!B11</f>
        <v>7.3</v>
      </c>
      <c r="E10" s="51" t="s">
        <v>600</v>
      </c>
      <c r="F10" s="51" t="s">
        <v>533</v>
      </c>
    </row>
    <row r="11" spans="1:7" x14ac:dyDescent="0.25">
      <c r="A11" s="51">
        <v>11</v>
      </c>
      <c r="B11" s="51">
        <v>2014</v>
      </c>
      <c r="C11" s="51">
        <v>1</v>
      </c>
      <c r="D11" s="51">
        <f ca="1">+'Table 1'!B12</f>
        <v>5.6</v>
      </c>
      <c r="E11" s="51" t="s">
        <v>470</v>
      </c>
      <c r="F11" s="51" t="s">
        <v>533</v>
      </c>
    </row>
    <row r="12" spans="1:7" x14ac:dyDescent="0.25">
      <c r="A12" s="51">
        <v>11</v>
      </c>
      <c r="B12" s="51">
        <v>2014</v>
      </c>
      <c r="C12" s="51">
        <v>1</v>
      </c>
      <c r="D12" s="51">
        <f ca="1">+'Table 1'!B13</f>
        <v>6.9</v>
      </c>
      <c r="E12" s="51" t="s">
        <v>471</v>
      </c>
      <c r="F12" s="51" t="s">
        <v>533</v>
      </c>
    </row>
    <row r="13" spans="1:7" x14ac:dyDescent="0.25">
      <c r="A13" s="51">
        <v>11</v>
      </c>
      <c r="B13" s="51">
        <v>2014</v>
      </c>
      <c r="C13" s="51">
        <v>1</v>
      </c>
      <c r="D13" s="51">
        <f ca="1">+'Table 1'!B14</f>
        <v>4</v>
      </c>
      <c r="E13" s="51" t="s">
        <v>478</v>
      </c>
      <c r="F13" s="51" t="s">
        <v>533</v>
      </c>
    </row>
    <row r="14" spans="1:7" x14ac:dyDescent="0.25">
      <c r="A14" s="51">
        <v>11</v>
      </c>
      <c r="B14" s="51">
        <v>2014</v>
      </c>
      <c r="C14" s="51">
        <v>1</v>
      </c>
      <c r="D14" s="51">
        <f ca="1">+'Table 1'!B15</f>
        <v>3.7</v>
      </c>
      <c r="E14" s="51" t="s">
        <v>479</v>
      </c>
      <c r="F14" s="51" t="s">
        <v>533</v>
      </c>
    </row>
    <row r="15" spans="1:7" x14ac:dyDescent="0.25">
      <c r="A15" s="51">
        <v>11</v>
      </c>
      <c r="B15" s="51">
        <v>2014</v>
      </c>
      <c r="C15" s="51">
        <v>1</v>
      </c>
      <c r="D15" s="51">
        <f ca="1">+'Table 1'!B16</f>
        <v>6.2</v>
      </c>
      <c r="E15" s="51" t="s">
        <v>480</v>
      </c>
      <c r="F15" s="51" t="s">
        <v>533</v>
      </c>
    </row>
    <row r="16" spans="1:7" x14ac:dyDescent="0.25">
      <c r="A16" s="51">
        <v>11</v>
      </c>
      <c r="B16" s="51">
        <v>2014</v>
      </c>
      <c r="C16" s="51">
        <v>1</v>
      </c>
      <c r="D16" s="51">
        <f ca="1">+'Table 1'!B17</f>
        <v>5.8</v>
      </c>
      <c r="E16" s="51" t="s">
        <v>481</v>
      </c>
      <c r="F16" s="51" t="s">
        <v>533</v>
      </c>
    </row>
    <row r="17" spans="1:6" x14ac:dyDescent="0.25">
      <c r="A17" s="51">
        <v>11</v>
      </c>
      <c r="B17" s="51">
        <v>2014</v>
      </c>
      <c r="C17" s="51">
        <v>1</v>
      </c>
      <c r="D17" s="51">
        <f ca="1">+'Table 1'!B18</f>
        <v>4.0999999999999996</v>
      </c>
      <c r="E17" s="51" t="s">
        <v>482</v>
      </c>
      <c r="F17" s="51" t="s">
        <v>533</v>
      </c>
    </row>
    <row r="18" spans="1:6" x14ac:dyDescent="0.25">
      <c r="A18" s="51">
        <v>11</v>
      </c>
      <c r="B18" s="51">
        <v>2014</v>
      </c>
      <c r="C18" s="51">
        <v>1</v>
      </c>
      <c r="D18" s="51">
        <f ca="1">+'Table 1'!B19</f>
        <v>4.2</v>
      </c>
      <c r="E18" s="51" t="s">
        <v>483</v>
      </c>
      <c r="F18" s="51" t="s">
        <v>533</v>
      </c>
    </row>
    <row r="19" spans="1:6" x14ac:dyDescent="0.25">
      <c r="A19" s="51">
        <v>11</v>
      </c>
      <c r="B19" s="51">
        <v>2014</v>
      </c>
      <c r="C19" s="51">
        <v>1</v>
      </c>
      <c r="D19" s="51">
        <f ca="1">+'Table 1'!B20</f>
        <v>5.7</v>
      </c>
      <c r="E19" s="51" t="s">
        <v>484</v>
      </c>
      <c r="F19" s="51" t="s">
        <v>533</v>
      </c>
    </row>
    <row r="20" spans="1:6" x14ac:dyDescent="0.25">
      <c r="A20" s="51">
        <v>11</v>
      </c>
      <c r="B20" s="51">
        <v>2014</v>
      </c>
      <c r="C20" s="51">
        <v>1</v>
      </c>
      <c r="D20" s="51">
        <f ca="1">+'Table 1'!B21</f>
        <v>6.7</v>
      </c>
      <c r="E20" s="51" t="s">
        <v>485</v>
      </c>
      <c r="F20" s="51" t="s">
        <v>533</v>
      </c>
    </row>
    <row r="21" spans="1:6" x14ac:dyDescent="0.25">
      <c r="A21" s="51">
        <v>11</v>
      </c>
      <c r="B21" s="51">
        <v>2014</v>
      </c>
      <c r="C21" s="51">
        <v>1</v>
      </c>
      <c r="D21" s="51">
        <f ca="1">+'Table 1'!B22</f>
        <v>5.5</v>
      </c>
      <c r="E21" s="51" t="s">
        <v>486</v>
      </c>
      <c r="F21" s="51" t="s">
        <v>533</v>
      </c>
    </row>
    <row r="22" spans="1:6" x14ac:dyDescent="0.25">
      <c r="A22" s="51">
        <v>11</v>
      </c>
      <c r="B22" s="51">
        <v>2014</v>
      </c>
      <c r="C22" s="51">
        <v>1</v>
      </c>
      <c r="D22" s="51">
        <f ca="1">+'Table 1'!B23</f>
        <v>5.5</v>
      </c>
      <c r="E22" s="51" t="s">
        <v>487</v>
      </c>
      <c r="F22" s="51" t="s">
        <v>533</v>
      </c>
    </row>
    <row r="23" spans="1:6" x14ac:dyDescent="0.25">
      <c r="A23" s="51">
        <v>11</v>
      </c>
      <c r="B23" s="51">
        <v>2014</v>
      </c>
      <c r="C23" s="51">
        <v>1</v>
      </c>
      <c r="D23" s="51">
        <f ca="1">+'Table 1'!B24</f>
        <v>5.5</v>
      </c>
      <c r="E23" s="51" t="s">
        <v>488</v>
      </c>
      <c r="F23" s="51" t="s">
        <v>533</v>
      </c>
    </row>
    <row r="24" spans="1:6" x14ac:dyDescent="0.25">
      <c r="A24" s="51">
        <v>11</v>
      </c>
      <c r="B24" s="51">
        <v>2014</v>
      </c>
      <c r="C24" s="51">
        <v>1</v>
      </c>
      <c r="D24" s="51">
        <f ca="1">+'Table 1'!B25</f>
        <v>6.3</v>
      </c>
      <c r="E24" s="51" t="s">
        <v>489</v>
      </c>
      <c r="F24" s="51" t="s">
        <v>533</v>
      </c>
    </row>
    <row r="25" spans="1:6" x14ac:dyDescent="0.25">
      <c r="A25" s="51">
        <v>11</v>
      </c>
      <c r="B25" s="51">
        <v>2014</v>
      </c>
      <c r="C25" s="51">
        <v>1</v>
      </c>
      <c r="D25" s="51">
        <f ca="1">+'Table 1'!B26</f>
        <v>3.6</v>
      </c>
      <c r="E25" s="51" t="s">
        <v>490</v>
      </c>
      <c r="F25" s="51" t="s">
        <v>533</v>
      </c>
    </row>
    <row r="26" spans="1:6" x14ac:dyDescent="0.25">
      <c r="A26" s="51">
        <v>11</v>
      </c>
      <c r="B26" s="51">
        <v>2014</v>
      </c>
      <c r="C26" s="51">
        <v>1</v>
      </c>
      <c r="D26" s="51">
        <f ca="1">+'Table 1'!B27</f>
        <v>7.2</v>
      </c>
      <c r="E26" s="51" t="s">
        <v>491</v>
      </c>
      <c r="F26" s="51" t="s">
        <v>533</v>
      </c>
    </row>
    <row r="27" spans="1:6" x14ac:dyDescent="0.25">
      <c r="A27" s="51">
        <v>11</v>
      </c>
      <c r="B27" s="51">
        <v>2014</v>
      </c>
      <c r="C27" s="51">
        <v>1</v>
      </c>
      <c r="D27" s="51">
        <f ca="1">+'Table 1'!B28</f>
        <v>5.4</v>
      </c>
      <c r="E27" s="51" t="s">
        <v>492</v>
      </c>
      <c r="F27" s="51" t="s">
        <v>533</v>
      </c>
    </row>
    <row r="28" spans="1:6" x14ac:dyDescent="0.25">
      <c r="A28" s="51">
        <v>11</v>
      </c>
      <c r="B28" s="51">
        <v>2014</v>
      </c>
      <c r="C28" s="51">
        <v>1</v>
      </c>
      <c r="D28" s="51">
        <f ca="1">+'Table 1'!B29</f>
        <v>4.2</v>
      </c>
      <c r="E28" s="51" t="s">
        <v>493</v>
      </c>
      <c r="F28" s="51" t="s">
        <v>533</v>
      </c>
    </row>
    <row r="29" spans="1:6" x14ac:dyDescent="0.25">
      <c r="A29" s="51">
        <v>11</v>
      </c>
      <c r="B29" s="51">
        <v>2014</v>
      </c>
      <c r="C29" s="51">
        <v>1</v>
      </c>
      <c r="D29" s="51">
        <f ca="1">+'Table 1'!B30</f>
        <v>2.9</v>
      </c>
      <c r="E29" s="51" t="s">
        <v>494</v>
      </c>
      <c r="F29" s="51" t="s">
        <v>533</v>
      </c>
    </row>
    <row r="30" spans="1:6" x14ac:dyDescent="0.25">
      <c r="A30" s="51">
        <v>11</v>
      </c>
      <c r="B30" s="51">
        <v>2014</v>
      </c>
      <c r="C30" s="51">
        <v>1</v>
      </c>
      <c r="D30" s="51">
        <f ca="1">+'Table 1'!B31</f>
        <v>6.8</v>
      </c>
      <c r="E30" s="51" t="s">
        <v>495</v>
      </c>
      <c r="F30" s="51" t="s">
        <v>533</v>
      </c>
    </row>
    <row r="31" spans="1:6" x14ac:dyDescent="0.25">
      <c r="A31" s="51">
        <v>11</v>
      </c>
      <c r="B31" s="51">
        <v>2014</v>
      </c>
      <c r="C31" s="51">
        <v>1</v>
      </c>
      <c r="D31" s="51">
        <f ca="1">+'Table 1'!B32</f>
        <v>4</v>
      </c>
      <c r="E31" s="51" t="s">
        <v>496</v>
      </c>
      <c r="F31" s="51" t="s">
        <v>533</v>
      </c>
    </row>
    <row r="32" spans="1:6" x14ac:dyDescent="0.25">
      <c r="A32" s="51">
        <v>11</v>
      </c>
      <c r="B32" s="51">
        <v>2014</v>
      </c>
      <c r="C32" s="51">
        <v>1</v>
      </c>
      <c r="D32" s="51">
        <f ca="1">+'Table 1'!B33</f>
        <v>6.2</v>
      </c>
      <c r="E32" s="51" t="s">
        <v>497</v>
      </c>
      <c r="F32" s="51" t="s">
        <v>533</v>
      </c>
    </row>
    <row r="33" spans="1:9" x14ac:dyDescent="0.25">
      <c r="A33" s="51">
        <v>11</v>
      </c>
      <c r="B33" s="51">
        <v>2014</v>
      </c>
      <c r="C33" s="51">
        <v>1</v>
      </c>
      <c r="D33" s="51">
        <f ca="1">+'Table 1'!B34</f>
        <v>6.1</v>
      </c>
      <c r="E33" s="51" t="s">
        <v>472</v>
      </c>
      <c r="F33" s="51" t="s">
        <v>533</v>
      </c>
    </row>
    <row r="34" spans="1:9" x14ac:dyDescent="0.25">
      <c r="A34" s="51">
        <v>11</v>
      </c>
      <c r="B34" s="51">
        <v>2014</v>
      </c>
      <c r="C34" s="51">
        <v>1</v>
      </c>
      <c r="D34" s="51">
        <f ca="1">+'Table 1'!B35</f>
        <v>5.8</v>
      </c>
      <c r="E34" s="51" t="s">
        <v>498</v>
      </c>
      <c r="F34" s="51" t="s">
        <v>533</v>
      </c>
    </row>
    <row r="35" spans="1:9" x14ac:dyDescent="0.25">
      <c r="A35" s="51">
        <v>11</v>
      </c>
      <c r="B35" s="51">
        <v>2014</v>
      </c>
      <c r="C35" s="51">
        <v>1</v>
      </c>
      <c r="D35" s="51">
        <f ca="1">+'Table 1'!B36</f>
        <v>5.5</v>
      </c>
      <c r="E35" s="51" t="s">
        <v>474</v>
      </c>
      <c r="F35" s="51" t="s">
        <v>533</v>
      </c>
    </row>
    <row r="36" spans="1:9" x14ac:dyDescent="0.25">
      <c r="A36" s="51">
        <v>11</v>
      </c>
      <c r="B36" s="51">
        <v>2014</v>
      </c>
      <c r="C36" s="51">
        <v>1</v>
      </c>
      <c r="D36" s="51">
        <f ca="1">+'Table 1'!B37</f>
        <v>2.8</v>
      </c>
      <c r="E36" s="51" t="s">
        <v>473</v>
      </c>
      <c r="F36" s="51" t="s">
        <v>533</v>
      </c>
    </row>
    <row r="37" spans="1:9" x14ac:dyDescent="0.25">
      <c r="A37" s="51">
        <v>11</v>
      </c>
      <c r="B37" s="51">
        <v>2014</v>
      </c>
      <c r="C37" s="51">
        <v>1</v>
      </c>
      <c r="D37" s="51">
        <f ca="1">+'Table 1'!B38</f>
        <v>4.8</v>
      </c>
      <c r="E37" s="51" t="s">
        <v>499</v>
      </c>
      <c r="F37" s="51" t="s">
        <v>533</v>
      </c>
    </row>
    <row r="38" spans="1:9" x14ac:dyDescent="0.25">
      <c r="A38" s="51">
        <v>11</v>
      </c>
      <c r="B38" s="51">
        <v>2014</v>
      </c>
      <c r="C38" s="51">
        <v>1</v>
      </c>
      <c r="D38" s="51">
        <f ca="1">+'Table 1'!B39</f>
        <v>4.2</v>
      </c>
      <c r="E38" s="51" t="s">
        <v>500</v>
      </c>
      <c r="F38" s="51" t="s">
        <v>533</v>
      </c>
    </row>
    <row r="39" spans="1:9" x14ac:dyDescent="0.25">
      <c r="A39" s="51">
        <v>11</v>
      </c>
      <c r="B39" s="51">
        <v>2014</v>
      </c>
      <c r="C39" s="51">
        <v>1</v>
      </c>
      <c r="D39" s="51">
        <f ca="1">+'Table 1'!B40</f>
        <v>6.7</v>
      </c>
      <c r="E39" s="51" t="s">
        <v>501</v>
      </c>
      <c r="F39" s="51" t="s">
        <v>533</v>
      </c>
    </row>
    <row r="40" spans="1:9" x14ac:dyDescent="0.25">
      <c r="A40" s="51">
        <v>11</v>
      </c>
      <c r="B40" s="51">
        <v>2014</v>
      </c>
      <c r="C40" s="51">
        <v>1</v>
      </c>
      <c r="D40" s="51">
        <f ca="1">+'Table 1'!B41</f>
        <v>4.8</v>
      </c>
      <c r="E40" s="51" t="s">
        <v>502</v>
      </c>
      <c r="F40" s="51" t="s">
        <v>533</v>
      </c>
    </row>
    <row r="41" spans="1:9" x14ac:dyDescent="0.25">
      <c r="A41" s="51">
        <v>11</v>
      </c>
      <c r="B41" s="51">
        <v>2014</v>
      </c>
      <c r="C41" s="51">
        <v>1</v>
      </c>
      <c r="D41" s="51">
        <f ca="1">+'Table 1'!B42</f>
        <v>6.8</v>
      </c>
      <c r="E41" s="51" t="s">
        <v>503</v>
      </c>
      <c r="F41" s="51" t="s">
        <v>533</v>
      </c>
      <c r="I41" s="51" t="s">
        <v>715</v>
      </c>
    </row>
    <row r="42" spans="1:9" x14ac:dyDescent="0.25">
      <c r="A42" s="51">
        <v>11</v>
      </c>
      <c r="B42" s="51">
        <v>2014</v>
      </c>
      <c r="C42" s="51">
        <v>1</v>
      </c>
      <c r="D42" s="51">
        <f ca="1">+'Table 1'!B43</f>
        <v>6.5</v>
      </c>
      <c r="E42" s="51" t="s">
        <v>504</v>
      </c>
      <c r="F42" s="51" t="s">
        <v>533</v>
      </c>
    </row>
    <row r="43" spans="1:9" x14ac:dyDescent="0.25">
      <c r="A43" s="51">
        <v>11</v>
      </c>
      <c r="B43" s="51">
        <v>2014</v>
      </c>
      <c r="C43" s="51">
        <v>1</v>
      </c>
      <c r="D43" s="51">
        <f ca="1">+'Table 1'!B44</f>
        <v>3.3</v>
      </c>
      <c r="E43" s="51" t="s">
        <v>505</v>
      </c>
      <c r="F43" s="51" t="s">
        <v>533</v>
      </c>
    </row>
    <row r="44" spans="1:9" x14ac:dyDescent="0.25">
      <c r="A44" s="51">
        <v>11</v>
      </c>
      <c r="B44" s="51">
        <v>2014</v>
      </c>
      <c r="C44" s="51">
        <v>1</v>
      </c>
      <c r="D44" s="51">
        <f ca="1">+'Table 1'!B45</f>
        <v>6.6</v>
      </c>
      <c r="E44" s="51" t="s">
        <v>506</v>
      </c>
      <c r="F44" s="51" t="s">
        <v>533</v>
      </c>
    </row>
    <row r="45" spans="1:9" x14ac:dyDescent="0.25">
      <c r="A45" s="51">
        <v>11</v>
      </c>
      <c r="B45" s="51">
        <v>2014</v>
      </c>
      <c r="C45" s="51">
        <v>1</v>
      </c>
      <c r="D45" s="51">
        <f ca="1">+'Table 1'!B46</f>
        <v>4.5999999999999996</v>
      </c>
      <c r="E45" s="51" t="s">
        <v>507</v>
      </c>
      <c r="F45" s="51" t="s">
        <v>533</v>
      </c>
    </row>
    <row r="46" spans="1:9" x14ac:dyDescent="0.25">
      <c r="A46" s="51">
        <v>11</v>
      </c>
      <c r="B46" s="51">
        <v>2014</v>
      </c>
      <c r="C46" s="51">
        <v>1</v>
      </c>
      <c r="D46" s="51">
        <f ca="1">+'Table 1'!B47</f>
        <v>3.5</v>
      </c>
      <c r="E46" s="51" t="s">
        <v>508</v>
      </c>
      <c r="F46" s="51" t="s">
        <v>533</v>
      </c>
    </row>
    <row r="47" spans="1:9" x14ac:dyDescent="0.25">
      <c r="A47" s="51">
        <v>11</v>
      </c>
      <c r="B47" s="51">
        <v>2014</v>
      </c>
      <c r="C47" s="51">
        <v>1</v>
      </c>
      <c r="D47" s="51">
        <f ca="1">+'Table 1'!B48</f>
        <v>4.2</v>
      </c>
      <c r="E47" s="51" t="s">
        <v>509</v>
      </c>
      <c r="F47" s="51" t="s">
        <v>533</v>
      </c>
    </row>
    <row r="48" spans="1:9" x14ac:dyDescent="0.25">
      <c r="A48" s="51">
        <v>11</v>
      </c>
      <c r="B48" s="51">
        <v>2014</v>
      </c>
      <c r="C48" s="51">
        <v>1</v>
      </c>
      <c r="D48" s="51">
        <f ca="1">+'Table 1'!B49</f>
        <v>4.8</v>
      </c>
      <c r="E48" s="51" t="s">
        <v>510</v>
      </c>
      <c r="F48" s="51" t="s">
        <v>533</v>
      </c>
    </row>
    <row r="49" spans="1:10" x14ac:dyDescent="0.25">
      <c r="A49" s="51">
        <v>11</v>
      </c>
      <c r="B49" s="51">
        <v>2014</v>
      </c>
      <c r="C49" s="51">
        <v>1</v>
      </c>
      <c r="D49" s="51">
        <f ca="1">+'Table 1'!B50</f>
        <v>6.3</v>
      </c>
      <c r="E49" s="51" t="s">
        <v>511</v>
      </c>
      <c r="F49" s="51" t="s">
        <v>533</v>
      </c>
    </row>
    <row r="50" spans="1:10" x14ac:dyDescent="0.25">
      <c r="A50" s="51">
        <v>11</v>
      </c>
      <c r="B50" s="51">
        <v>2014</v>
      </c>
      <c r="C50" s="51">
        <v>1</v>
      </c>
      <c r="D50" s="51">
        <f ca="1">+'Table 1'!B51</f>
        <v>6</v>
      </c>
      <c r="E50" s="51" t="s">
        <v>512</v>
      </c>
      <c r="F50" s="51" t="s">
        <v>533</v>
      </c>
    </row>
    <row r="51" spans="1:10" x14ac:dyDescent="0.25">
      <c r="A51" s="51">
        <v>11</v>
      </c>
      <c r="B51" s="51">
        <v>2014</v>
      </c>
      <c r="C51" s="51">
        <v>1</v>
      </c>
      <c r="D51" s="51">
        <f ca="1">+'Table 1'!B52</f>
        <v>5.2</v>
      </c>
      <c r="E51" s="51" t="s">
        <v>513</v>
      </c>
      <c r="F51" s="51" t="s">
        <v>533</v>
      </c>
    </row>
    <row r="52" spans="1:10" x14ac:dyDescent="0.25">
      <c r="A52" s="51">
        <v>11</v>
      </c>
      <c r="B52" s="51">
        <v>2014</v>
      </c>
      <c r="C52" s="51">
        <v>1</v>
      </c>
      <c r="D52" s="51">
        <f ca="1">+'Table 1'!B53</f>
        <v>4.2</v>
      </c>
      <c r="E52" s="51" t="s">
        <v>514</v>
      </c>
      <c r="F52" s="51" t="s">
        <v>533</v>
      </c>
      <c r="G52" s="51" t="s">
        <v>715</v>
      </c>
    </row>
    <row r="53" spans="1:10" x14ac:dyDescent="0.25">
      <c r="A53" s="51">
        <v>11</v>
      </c>
      <c r="B53" s="51">
        <v>2014</v>
      </c>
      <c r="C53" s="51">
        <v>1</v>
      </c>
      <c r="D53" s="51">
        <f ca="1">+'Table 1'!B54</f>
        <v>5.6</v>
      </c>
      <c r="E53" s="51" t="s">
        <v>608</v>
      </c>
      <c r="F53" s="51" t="s">
        <v>533</v>
      </c>
    </row>
    <row r="54" spans="1:10" x14ac:dyDescent="0.25">
      <c r="A54" s="51">
        <v>11</v>
      </c>
      <c r="B54" s="51">
        <v>2014</v>
      </c>
      <c r="C54" s="51">
        <v>1</v>
      </c>
      <c r="D54" s="52">
        <f>+'Table 1'!D3</f>
        <v>738.05</v>
      </c>
      <c r="E54" s="51" t="s">
        <v>465</v>
      </c>
      <c r="F54" s="51" t="s">
        <v>683</v>
      </c>
      <c r="G54" s="51" t="s">
        <v>724</v>
      </c>
    </row>
    <row r="55" spans="1:10" x14ac:dyDescent="0.25">
      <c r="A55" s="51">
        <v>11</v>
      </c>
      <c r="B55" s="51">
        <v>2014</v>
      </c>
      <c r="C55" s="51">
        <v>1</v>
      </c>
      <c r="D55" s="52">
        <f>+'Table 1'!D4</f>
        <v>922.71</v>
      </c>
      <c r="E55" s="51" t="s">
        <v>466</v>
      </c>
      <c r="F55" s="51" t="s">
        <v>683</v>
      </c>
    </row>
    <row r="56" spans="1:10" x14ac:dyDescent="0.25">
      <c r="A56" s="51">
        <v>11</v>
      </c>
      <c r="B56" s="51">
        <v>2014</v>
      </c>
      <c r="C56" s="51">
        <v>1</v>
      </c>
      <c r="D56" s="52">
        <f>+'Table 1'!D5</f>
        <v>780.75</v>
      </c>
      <c r="E56" s="51" t="s">
        <v>476</v>
      </c>
      <c r="F56" s="51" t="s">
        <v>683</v>
      </c>
      <c r="J56" s="51" t="s">
        <v>715</v>
      </c>
    </row>
    <row r="57" spans="1:10" x14ac:dyDescent="0.25">
      <c r="A57" s="51">
        <v>11</v>
      </c>
      <c r="B57" s="51">
        <v>2014</v>
      </c>
      <c r="C57" s="51">
        <v>1</v>
      </c>
      <c r="D57" s="52">
        <f>+'Table 1'!D6</f>
        <v>673.03</v>
      </c>
      <c r="E57" s="51" t="s">
        <v>475</v>
      </c>
      <c r="F57" s="51" t="s">
        <v>683</v>
      </c>
    </row>
    <row r="58" spans="1:10" x14ac:dyDescent="0.25">
      <c r="A58" s="51">
        <v>11</v>
      </c>
      <c r="B58" s="51">
        <v>2014</v>
      </c>
      <c r="C58" s="51">
        <v>1</v>
      </c>
      <c r="D58" s="52">
        <f>+'Table 1'!D7</f>
        <v>954.23</v>
      </c>
      <c r="E58" s="51" t="s">
        <v>467</v>
      </c>
      <c r="F58" s="51" t="s">
        <v>683</v>
      </c>
    </row>
    <row r="59" spans="1:10" x14ac:dyDescent="0.25">
      <c r="A59" s="51">
        <v>11</v>
      </c>
      <c r="B59" s="51">
        <v>2014</v>
      </c>
      <c r="C59" s="51">
        <v>1</v>
      </c>
      <c r="D59" s="52">
        <f>+'Table 1'!D8</f>
        <v>898.54</v>
      </c>
      <c r="E59" s="51" t="s">
        <v>477</v>
      </c>
      <c r="F59" s="51" t="s">
        <v>683</v>
      </c>
    </row>
    <row r="60" spans="1:10" x14ac:dyDescent="0.25">
      <c r="A60" s="51">
        <v>11</v>
      </c>
      <c r="B60" s="51">
        <v>2014</v>
      </c>
      <c r="C60" s="51">
        <v>1</v>
      </c>
      <c r="D60" s="52">
        <f>+'Table 1'!D9</f>
        <v>960.6</v>
      </c>
      <c r="E60" s="51" t="s">
        <v>468</v>
      </c>
      <c r="F60" s="51" t="s">
        <v>683</v>
      </c>
    </row>
    <row r="61" spans="1:10" x14ac:dyDescent="0.25">
      <c r="A61" s="51">
        <v>11</v>
      </c>
      <c r="B61" s="51">
        <v>2014</v>
      </c>
      <c r="C61" s="51">
        <v>1</v>
      </c>
      <c r="D61" s="52">
        <f>+'Table 1'!D10</f>
        <v>727.04</v>
      </c>
      <c r="E61" s="51" t="s">
        <v>469</v>
      </c>
      <c r="F61" s="51" t="s">
        <v>683</v>
      </c>
    </row>
    <row r="62" spans="1:10" x14ac:dyDescent="0.25">
      <c r="A62" s="51">
        <v>11</v>
      </c>
      <c r="B62" s="51">
        <v>2014</v>
      </c>
      <c r="C62" s="51">
        <v>1</v>
      </c>
      <c r="D62" s="52">
        <f>+'Table 1'!D11</f>
        <v>1379.89</v>
      </c>
      <c r="E62" s="51" t="s">
        <v>600</v>
      </c>
      <c r="F62" s="51" t="s">
        <v>683</v>
      </c>
    </row>
    <row r="63" spans="1:10" x14ac:dyDescent="0.25">
      <c r="A63" s="51">
        <v>11</v>
      </c>
      <c r="B63" s="51">
        <v>2014</v>
      </c>
      <c r="C63" s="51">
        <v>1</v>
      </c>
      <c r="D63" s="52">
        <f>+'Table 1'!D12</f>
        <v>762.45</v>
      </c>
      <c r="E63" s="51" t="s">
        <v>470</v>
      </c>
      <c r="F63" s="51" t="s">
        <v>683</v>
      </c>
    </row>
    <row r="64" spans="1:10" x14ac:dyDescent="0.25">
      <c r="A64" s="51">
        <v>11</v>
      </c>
      <c r="B64" s="51">
        <v>2014</v>
      </c>
      <c r="C64" s="51">
        <v>1</v>
      </c>
      <c r="D64" s="52">
        <f>+'Table 1'!D13</f>
        <v>832.83</v>
      </c>
      <c r="E64" s="51" t="s">
        <v>471</v>
      </c>
      <c r="F64" s="51" t="s">
        <v>683</v>
      </c>
    </row>
    <row r="65" spans="1:6" x14ac:dyDescent="0.25">
      <c r="A65" s="51">
        <v>11</v>
      </c>
      <c r="B65" s="51">
        <v>2014</v>
      </c>
      <c r="C65" s="51">
        <v>1</v>
      </c>
      <c r="D65" s="52">
        <f>+'Table 1'!D14</f>
        <v>810.03</v>
      </c>
      <c r="E65" s="51" t="s">
        <v>478</v>
      </c>
      <c r="F65" s="51" t="s">
        <v>683</v>
      </c>
    </row>
    <row r="66" spans="1:6" x14ac:dyDescent="0.25">
      <c r="A66" s="51">
        <v>11</v>
      </c>
      <c r="B66" s="51">
        <v>2014</v>
      </c>
      <c r="C66" s="51">
        <v>1</v>
      </c>
      <c r="D66" s="52">
        <f>+'Table 1'!D15</f>
        <v>724.61</v>
      </c>
      <c r="E66" s="51" t="s">
        <v>479</v>
      </c>
      <c r="F66" s="51" t="s">
        <v>683</v>
      </c>
    </row>
    <row r="67" spans="1:6" x14ac:dyDescent="0.25">
      <c r="A67" s="51">
        <v>11</v>
      </c>
      <c r="B67" s="51">
        <v>2014</v>
      </c>
      <c r="C67" s="51">
        <v>1</v>
      </c>
      <c r="D67" s="52">
        <f>+'Table 1'!D16</f>
        <v>880.64</v>
      </c>
      <c r="E67" s="51" t="s">
        <v>480</v>
      </c>
      <c r="F67" s="51" t="s">
        <v>683</v>
      </c>
    </row>
    <row r="68" spans="1:6" x14ac:dyDescent="0.25">
      <c r="A68" s="51">
        <v>11</v>
      </c>
      <c r="B68" s="51">
        <v>2014</v>
      </c>
      <c r="C68" s="51">
        <v>1</v>
      </c>
      <c r="D68" s="52">
        <f>+'Table 1'!D17</f>
        <v>803.58</v>
      </c>
      <c r="E68" s="51" t="s">
        <v>481</v>
      </c>
      <c r="F68" s="51" t="s">
        <v>683</v>
      </c>
    </row>
    <row r="69" spans="1:6" x14ac:dyDescent="0.25">
      <c r="A69" s="51">
        <v>11</v>
      </c>
      <c r="B69" s="51">
        <v>2014</v>
      </c>
      <c r="C69" s="51">
        <v>1</v>
      </c>
      <c r="D69" s="52">
        <f>+'Table 1'!D18</f>
        <v>768.85</v>
      </c>
      <c r="E69" s="51" t="s">
        <v>482</v>
      </c>
      <c r="F69" s="51" t="s">
        <v>683</v>
      </c>
    </row>
    <row r="70" spans="1:6" x14ac:dyDescent="0.25">
      <c r="A70" s="51">
        <v>11</v>
      </c>
      <c r="B70" s="51">
        <v>2014</v>
      </c>
      <c r="C70" s="51">
        <v>1</v>
      </c>
      <c r="D70" s="52">
        <f>+'Table 1'!D19</f>
        <v>772.8</v>
      </c>
      <c r="E70" s="51" t="s">
        <v>483</v>
      </c>
      <c r="F70" s="51" t="s">
        <v>683</v>
      </c>
    </row>
    <row r="71" spans="1:6" x14ac:dyDescent="0.25">
      <c r="A71" s="51">
        <v>11</v>
      </c>
      <c r="B71" s="51">
        <v>2014</v>
      </c>
      <c r="C71" s="51">
        <v>1</v>
      </c>
      <c r="D71" s="52">
        <f>+'Table 1'!D20</f>
        <v>740.89</v>
      </c>
      <c r="E71" s="51" t="s">
        <v>484</v>
      </c>
      <c r="F71" s="51" t="s">
        <v>683</v>
      </c>
    </row>
    <row r="72" spans="1:6" x14ac:dyDescent="0.25">
      <c r="A72" s="51">
        <v>11</v>
      </c>
      <c r="B72" s="51">
        <v>2014</v>
      </c>
      <c r="C72" s="51">
        <v>1</v>
      </c>
      <c r="D72" s="52">
        <f>+'Table 1'!D21</f>
        <v>804.83</v>
      </c>
      <c r="E72" s="51" t="s">
        <v>485</v>
      </c>
      <c r="F72" s="51" t="s">
        <v>683</v>
      </c>
    </row>
    <row r="73" spans="1:6" x14ac:dyDescent="0.25">
      <c r="A73" s="51">
        <v>11</v>
      </c>
      <c r="B73" s="51">
        <v>2014</v>
      </c>
      <c r="C73" s="51">
        <v>1</v>
      </c>
      <c r="D73" s="52">
        <f>+'Table 1'!D22</f>
        <v>740.43</v>
      </c>
      <c r="E73" s="51" t="s">
        <v>486</v>
      </c>
      <c r="F73" s="51" t="s">
        <v>683</v>
      </c>
    </row>
    <row r="74" spans="1:6" x14ac:dyDescent="0.25">
      <c r="A74" s="51">
        <v>11</v>
      </c>
      <c r="B74" s="51">
        <v>2014</v>
      </c>
      <c r="C74" s="51">
        <v>1</v>
      </c>
      <c r="D74" s="52">
        <f>+'Table 1'!D23</f>
        <v>924.05</v>
      </c>
      <c r="E74" s="51" t="s">
        <v>487</v>
      </c>
      <c r="F74" s="51" t="s">
        <v>683</v>
      </c>
    </row>
    <row r="75" spans="1:6" x14ac:dyDescent="0.25">
      <c r="A75" s="51">
        <v>11</v>
      </c>
      <c r="B75" s="51">
        <v>2014</v>
      </c>
      <c r="C75" s="51">
        <v>1</v>
      </c>
      <c r="D75" s="52">
        <f>+'Table 1'!D24</f>
        <v>999.98</v>
      </c>
      <c r="E75" s="51" t="s">
        <v>488</v>
      </c>
      <c r="F75" s="51" t="s">
        <v>683</v>
      </c>
    </row>
    <row r="76" spans="1:6" x14ac:dyDescent="0.25">
      <c r="A76" s="51">
        <v>11</v>
      </c>
      <c r="B76" s="51">
        <v>2014</v>
      </c>
      <c r="C76" s="51">
        <v>1</v>
      </c>
      <c r="D76" s="52">
        <f>+'Table 1'!D25</f>
        <v>815.71</v>
      </c>
      <c r="E76" s="51" t="s">
        <v>489</v>
      </c>
      <c r="F76" s="51" t="s">
        <v>683</v>
      </c>
    </row>
    <row r="77" spans="1:6" x14ac:dyDescent="0.25">
      <c r="A77" s="51">
        <v>11</v>
      </c>
      <c r="B77" s="51">
        <v>2014</v>
      </c>
      <c r="C77" s="51">
        <v>1</v>
      </c>
      <c r="D77" s="52">
        <f>+'Table 1'!D26</f>
        <v>877.73</v>
      </c>
      <c r="E77" s="51" t="s">
        <v>490</v>
      </c>
      <c r="F77" s="51" t="s">
        <v>683</v>
      </c>
    </row>
    <row r="78" spans="1:6" x14ac:dyDescent="0.25">
      <c r="A78" s="51">
        <v>11</v>
      </c>
      <c r="B78" s="51">
        <v>2014</v>
      </c>
      <c r="C78" s="51">
        <v>1</v>
      </c>
      <c r="D78" s="52">
        <f>+'Table 1'!D27</f>
        <v>692.37</v>
      </c>
      <c r="E78" s="51" t="s">
        <v>491</v>
      </c>
      <c r="F78" s="51" t="s">
        <v>683</v>
      </c>
    </row>
    <row r="79" spans="1:6" x14ac:dyDescent="0.25">
      <c r="A79" s="51">
        <v>11</v>
      </c>
      <c r="B79" s="51">
        <v>2014</v>
      </c>
      <c r="C79" s="51">
        <v>1</v>
      </c>
      <c r="D79" s="52">
        <f>+'Table 1'!D28</f>
        <v>746.79</v>
      </c>
      <c r="E79" s="51" t="s">
        <v>492</v>
      </c>
      <c r="F79" s="51" t="s">
        <v>683</v>
      </c>
    </row>
    <row r="80" spans="1:6" x14ac:dyDescent="0.25">
      <c r="A80" s="51">
        <v>11</v>
      </c>
      <c r="B80" s="51">
        <v>2014</v>
      </c>
      <c r="C80" s="51">
        <v>1</v>
      </c>
      <c r="D80" s="52">
        <f>+'Table 1'!D29</f>
        <v>698.1</v>
      </c>
      <c r="E80" s="51" t="s">
        <v>493</v>
      </c>
      <c r="F80" s="51" t="s">
        <v>683</v>
      </c>
    </row>
    <row r="81" spans="1:10" x14ac:dyDescent="0.25">
      <c r="A81" s="51">
        <v>11</v>
      </c>
      <c r="B81" s="51">
        <v>2014</v>
      </c>
      <c r="C81" s="51">
        <v>1</v>
      </c>
      <c r="D81" s="52">
        <f>+'Table 1'!D30</f>
        <v>740.72</v>
      </c>
      <c r="E81" s="51" t="s">
        <v>494</v>
      </c>
      <c r="F81" s="51" t="s">
        <v>683</v>
      </c>
    </row>
    <row r="82" spans="1:10" x14ac:dyDescent="0.25">
      <c r="A82" s="51">
        <v>11</v>
      </c>
      <c r="B82" s="51">
        <v>2014</v>
      </c>
      <c r="C82" s="51">
        <v>1</v>
      </c>
      <c r="D82" s="52">
        <f>+'Table 1'!D31</f>
        <v>711.81</v>
      </c>
      <c r="E82" s="51" t="s">
        <v>495</v>
      </c>
      <c r="F82" s="51" t="s">
        <v>683</v>
      </c>
    </row>
    <row r="83" spans="1:10" x14ac:dyDescent="0.25">
      <c r="A83" s="51">
        <v>11</v>
      </c>
      <c r="B83" s="51">
        <v>2014</v>
      </c>
      <c r="C83" s="51">
        <v>1</v>
      </c>
      <c r="D83" s="52">
        <f>+'Table 1'!D32</f>
        <v>807.76</v>
      </c>
      <c r="E83" s="51" t="s">
        <v>496</v>
      </c>
      <c r="F83" s="51" t="s">
        <v>683</v>
      </c>
    </row>
    <row r="84" spans="1:10" x14ac:dyDescent="0.25">
      <c r="A84" s="51">
        <v>11</v>
      </c>
      <c r="B84" s="51">
        <v>2014</v>
      </c>
      <c r="C84" s="51">
        <v>1</v>
      </c>
      <c r="D84" s="52">
        <f>+'Table 1'!D33</f>
        <v>921.05</v>
      </c>
      <c r="E84" s="51" t="s">
        <v>497</v>
      </c>
      <c r="F84" s="51" t="s">
        <v>683</v>
      </c>
    </row>
    <row r="85" spans="1:10" x14ac:dyDescent="0.25">
      <c r="A85" s="51">
        <v>11</v>
      </c>
      <c r="B85" s="51">
        <v>2014</v>
      </c>
      <c r="C85" s="51">
        <v>1</v>
      </c>
      <c r="D85" s="52">
        <f>+'Table 1'!D34</f>
        <v>707.88</v>
      </c>
      <c r="E85" s="51" t="s">
        <v>472</v>
      </c>
      <c r="F85" s="51" t="s">
        <v>683</v>
      </c>
    </row>
    <row r="86" spans="1:10" x14ac:dyDescent="0.25">
      <c r="A86" s="51">
        <v>11</v>
      </c>
      <c r="B86" s="51">
        <v>2014</v>
      </c>
      <c r="C86" s="51">
        <v>1</v>
      </c>
      <c r="D86" s="52">
        <f>+'Table 1'!D35</f>
        <v>955.06</v>
      </c>
      <c r="E86" s="51" t="s">
        <v>498</v>
      </c>
      <c r="F86" s="51" t="s">
        <v>683</v>
      </c>
    </row>
    <row r="87" spans="1:10" x14ac:dyDescent="0.25">
      <c r="A87" s="51">
        <v>11</v>
      </c>
      <c r="B87" s="51">
        <v>2014</v>
      </c>
      <c r="C87" s="51">
        <v>1</v>
      </c>
      <c r="D87" s="52">
        <f>+'Table 1'!D36</f>
        <v>760.73</v>
      </c>
      <c r="E87" s="51" t="s">
        <v>474</v>
      </c>
      <c r="F87" s="51" t="s">
        <v>683</v>
      </c>
    </row>
    <row r="88" spans="1:10" x14ac:dyDescent="0.25">
      <c r="A88" s="51">
        <v>11</v>
      </c>
      <c r="B88" s="51">
        <v>2014</v>
      </c>
      <c r="C88" s="51">
        <v>1</v>
      </c>
      <c r="D88" s="52">
        <f>+'Table 1'!D37</f>
        <v>891.07</v>
      </c>
      <c r="E88" s="51" t="s">
        <v>473</v>
      </c>
      <c r="F88" s="51" t="s">
        <v>683</v>
      </c>
    </row>
    <row r="89" spans="1:10" x14ac:dyDescent="0.25">
      <c r="A89" s="51">
        <v>11</v>
      </c>
      <c r="B89" s="51">
        <v>2014</v>
      </c>
      <c r="C89" s="51">
        <v>1</v>
      </c>
      <c r="D89" s="52">
        <f>+'Table 1'!D38</f>
        <v>765.4</v>
      </c>
      <c r="E89" s="51" t="s">
        <v>499</v>
      </c>
      <c r="F89" s="51" t="s">
        <v>683</v>
      </c>
      <c r="J89" s="51" t="s">
        <v>715</v>
      </c>
    </row>
    <row r="90" spans="1:10" x14ac:dyDescent="0.25">
      <c r="A90" s="51">
        <v>11</v>
      </c>
      <c r="B90" s="51">
        <v>2014</v>
      </c>
      <c r="C90" s="51">
        <v>1</v>
      </c>
      <c r="D90" s="52">
        <f>+'Table 1'!D39</f>
        <v>764.54</v>
      </c>
      <c r="E90" s="51" t="s">
        <v>500</v>
      </c>
      <c r="F90" s="51" t="s">
        <v>683</v>
      </c>
    </row>
    <row r="91" spans="1:10" x14ac:dyDescent="0.25">
      <c r="A91" s="51">
        <v>11</v>
      </c>
      <c r="B91" s="51">
        <v>2014</v>
      </c>
      <c r="C91" s="51">
        <v>1</v>
      </c>
      <c r="D91" s="52">
        <f>+'Table 1'!D40</f>
        <v>771.89</v>
      </c>
      <c r="E91" s="51" t="s">
        <v>501</v>
      </c>
      <c r="F91" s="51" t="s">
        <v>683</v>
      </c>
    </row>
    <row r="92" spans="1:10" x14ac:dyDescent="0.25">
      <c r="A92" s="51">
        <v>11</v>
      </c>
      <c r="B92" s="51">
        <v>2014</v>
      </c>
      <c r="C92" s="51">
        <v>1</v>
      </c>
      <c r="D92" s="52">
        <f>+'Table 1'!D41</f>
        <v>801.74</v>
      </c>
      <c r="E92" s="51" t="s">
        <v>502</v>
      </c>
      <c r="F92" s="51" t="s">
        <v>683</v>
      </c>
    </row>
    <row r="93" spans="1:10" x14ac:dyDescent="0.25">
      <c r="A93" s="51">
        <v>11</v>
      </c>
      <c r="B93" s="51">
        <v>2014</v>
      </c>
      <c r="C93" s="51">
        <v>1</v>
      </c>
      <c r="D93" s="52">
        <f>+'Table 1'!D42</f>
        <v>819.89</v>
      </c>
      <c r="E93" s="51" t="s">
        <v>503</v>
      </c>
      <c r="F93" s="51" t="s">
        <v>683</v>
      </c>
    </row>
    <row r="94" spans="1:10" x14ac:dyDescent="0.25">
      <c r="A94" s="51">
        <v>11</v>
      </c>
      <c r="B94" s="51">
        <v>2014</v>
      </c>
      <c r="C94" s="51">
        <v>1</v>
      </c>
      <c r="D94" s="52">
        <f>+'Table 1'!D43</f>
        <v>742.98</v>
      </c>
      <c r="E94" s="51" t="s">
        <v>504</v>
      </c>
      <c r="F94" s="51" t="s">
        <v>683</v>
      </c>
    </row>
    <row r="95" spans="1:10" x14ac:dyDescent="0.25">
      <c r="A95" s="51">
        <v>11</v>
      </c>
      <c r="B95" s="51">
        <v>2014</v>
      </c>
      <c r="C95" s="51">
        <v>1</v>
      </c>
      <c r="D95" s="52">
        <f>+'Table 1'!D44</f>
        <v>698.36</v>
      </c>
      <c r="E95" s="51" t="s">
        <v>505</v>
      </c>
      <c r="F95" s="51" t="s">
        <v>683</v>
      </c>
    </row>
    <row r="96" spans="1:10" x14ac:dyDescent="0.25">
      <c r="A96" s="51">
        <v>11</v>
      </c>
      <c r="B96" s="51">
        <v>2014</v>
      </c>
      <c r="C96" s="51">
        <v>1</v>
      </c>
      <c r="D96" s="52">
        <f>+'Table 1'!D45</f>
        <v>725.06</v>
      </c>
      <c r="E96" s="51" t="s">
        <v>506</v>
      </c>
      <c r="F96" s="51" t="s">
        <v>683</v>
      </c>
    </row>
    <row r="97" spans="1:7" x14ac:dyDescent="0.25">
      <c r="A97" s="51">
        <v>11</v>
      </c>
      <c r="B97" s="51">
        <v>2014</v>
      </c>
      <c r="C97" s="51">
        <v>1</v>
      </c>
      <c r="D97" s="52">
        <f>+'Table 1'!D46</f>
        <v>883.52</v>
      </c>
      <c r="E97" s="51" t="s">
        <v>507</v>
      </c>
      <c r="F97" s="51" t="s">
        <v>683</v>
      </c>
    </row>
    <row r="98" spans="1:7" x14ac:dyDescent="0.25">
      <c r="A98" s="51">
        <v>11</v>
      </c>
      <c r="B98" s="51">
        <v>2014</v>
      </c>
      <c r="C98" s="51">
        <v>1</v>
      </c>
      <c r="D98" s="52">
        <f>+'Table 1'!D47</f>
        <v>830.27</v>
      </c>
      <c r="E98" s="51" t="s">
        <v>508</v>
      </c>
      <c r="F98" s="51" t="s">
        <v>683</v>
      </c>
    </row>
    <row r="99" spans="1:7" x14ac:dyDescent="0.25">
      <c r="A99" s="51">
        <v>11</v>
      </c>
      <c r="B99" s="51">
        <v>2014</v>
      </c>
      <c r="C99" s="51">
        <v>1</v>
      </c>
      <c r="D99" s="52">
        <f>+'Table 1'!D48</f>
        <v>763.55</v>
      </c>
      <c r="E99" s="51" t="s">
        <v>509</v>
      </c>
      <c r="F99" s="51" t="s">
        <v>683</v>
      </c>
    </row>
    <row r="100" spans="1:7" x14ac:dyDescent="0.25">
      <c r="A100" s="51">
        <v>11</v>
      </c>
      <c r="B100" s="51">
        <v>2014</v>
      </c>
      <c r="C100" s="51">
        <v>1</v>
      </c>
      <c r="D100" s="52">
        <f>+'Table 1'!D49</f>
        <v>893.09</v>
      </c>
      <c r="E100" s="51" t="s">
        <v>510</v>
      </c>
      <c r="F100" s="51" t="s">
        <v>683</v>
      </c>
    </row>
    <row r="101" spans="1:7" x14ac:dyDescent="0.25">
      <c r="A101" s="51">
        <v>11</v>
      </c>
      <c r="B101" s="51">
        <v>2014</v>
      </c>
      <c r="C101" s="51">
        <v>1</v>
      </c>
      <c r="D101" s="52">
        <f>+'Table 1'!D50</f>
        <v>983.78</v>
      </c>
      <c r="E101" s="51" t="s">
        <v>511</v>
      </c>
      <c r="F101" s="51" t="s">
        <v>683</v>
      </c>
    </row>
    <row r="102" spans="1:7" x14ac:dyDescent="0.25">
      <c r="A102" s="51">
        <v>11</v>
      </c>
      <c r="B102" s="51">
        <v>2014</v>
      </c>
      <c r="C102" s="51">
        <v>1</v>
      </c>
      <c r="D102" s="52">
        <f>+'Table 1'!D51</f>
        <v>719.2</v>
      </c>
      <c r="E102" s="51" t="s">
        <v>512</v>
      </c>
      <c r="F102" s="51" t="s">
        <v>683</v>
      </c>
    </row>
    <row r="103" spans="1:7" x14ac:dyDescent="0.25">
      <c r="A103" s="51">
        <v>11</v>
      </c>
      <c r="B103" s="51">
        <v>2014</v>
      </c>
      <c r="C103" s="51">
        <v>1</v>
      </c>
      <c r="D103" s="52">
        <f>+'Table 1'!D52</f>
        <v>786.48</v>
      </c>
      <c r="E103" s="51" t="s">
        <v>513</v>
      </c>
      <c r="F103" s="51" t="s">
        <v>683</v>
      </c>
    </row>
    <row r="104" spans="1:7" x14ac:dyDescent="0.25">
      <c r="A104" s="51">
        <v>11</v>
      </c>
      <c r="B104" s="51">
        <v>2014</v>
      </c>
      <c r="C104" s="51">
        <v>1</v>
      </c>
      <c r="D104" s="52">
        <f>+'Table 1'!D53</f>
        <v>816.66</v>
      </c>
      <c r="E104" s="51" t="s">
        <v>514</v>
      </c>
      <c r="F104" s="51" t="s">
        <v>683</v>
      </c>
    </row>
    <row r="105" spans="1:7" x14ac:dyDescent="0.25">
      <c r="A105" s="51">
        <v>11</v>
      </c>
      <c r="B105" s="51">
        <v>2014</v>
      </c>
      <c r="C105" s="51">
        <v>1</v>
      </c>
      <c r="D105" s="52">
        <f>+'Table 1'!D54</f>
        <v>849.78</v>
      </c>
      <c r="E105" s="51" t="s">
        <v>608</v>
      </c>
      <c r="F105" s="51" t="s">
        <v>683</v>
      </c>
    </row>
    <row r="106" spans="1:7" x14ac:dyDescent="0.25">
      <c r="A106" s="51">
        <v>11</v>
      </c>
      <c r="B106" s="51">
        <v>2014</v>
      </c>
      <c r="C106" s="51">
        <v>1</v>
      </c>
      <c r="D106" s="51">
        <f>+'Table 1'!E3</f>
        <v>-1.3722066004963729</v>
      </c>
      <c r="E106" s="51" t="s">
        <v>465</v>
      </c>
      <c r="F106" s="51" t="s">
        <v>684</v>
      </c>
      <c r="G106" s="51" t="s">
        <v>723</v>
      </c>
    </row>
    <row r="107" spans="1:7" x14ac:dyDescent="0.25">
      <c r="A107" s="51">
        <v>11</v>
      </c>
      <c r="B107" s="51">
        <v>2014</v>
      </c>
      <c r="C107" s="51">
        <v>1</v>
      </c>
      <c r="D107" s="51">
        <f>+'Table 1'!E4</f>
        <v>-3.6505587152962482</v>
      </c>
      <c r="E107" s="51" t="s">
        <v>466</v>
      </c>
      <c r="F107" s="51" t="s">
        <v>684</v>
      </c>
    </row>
    <row r="108" spans="1:7" x14ac:dyDescent="0.25">
      <c r="A108" s="51">
        <v>11</v>
      </c>
      <c r="B108" s="51">
        <v>2014</v>
      </c>
      <c r="C108" s="51">
        <v>1</v>
      </c>
      <c r="D108" s="51">
        <f>+'Table 1'!E5</f>
        <v>-5.4795593797115743</v>
      </c>
      <c r="E108" s="51" t="s">
        <v>476</v>
      </c>
      <c r="F108" s="51" t="s">
        <v>684</v>
      </c>
    </row>
    <row r="109" spans="1:7" x14ac:dyDescent="0.25">
      <c r="A109" s="51">
        <v>11</v>
      </c>
      <c r="B109" s="51">
        <v>2014</v>
      </c>
      <c r="C109" s="51">
        <v>1</v>
      </c>
      <c r="D109" s="51">
        <f>+'Table 1'!E6</f>
        <v>-3.9172623435155041</v>
      </c>
      <c r="E109" s="51" t="s">
        <v>475</v>
      </c>
      <c r="F109" s="51" t="s">
        <v>684</v>
      </c>
    </row>
    <row r="110" spans="1:7" x14ac:dyDescent="0.25">
      <c r="A110" s="51">
        <v>11</v>
      </c>
      <c r="B110" s="51">
        <v>2014</v>
      </c>
      <c r="C110" s="51">
        <v>1</v>
      </c>
      <c r="D110" s="51">
        <f>+'Table 1'!E7</f>
        <v>-1.8767988215761422</v>
      </c>
      <c r="E110" s="51" t="s">
        <v>467</v>
      </c>
      <c r="F110" s="51" t="s">
        <v>684</v>
      </c>
    </row>
    <row r="111" spans="1:7" x14ac:dyDescent="0.25">
      <c r="A111" s="51">
        <v>11</v>
      </c>
      <c r="B111" s="51">
        <v>2014</v>
      </c>
      <c r="C111" s="51">
        <v>1</v>
      </c>
      <c r="D111" s="51">
        <f>+'Table 1'!E8</f>
        <v>-3.0996130557125467</v>
      </c>
      <c r="E111" s="51" t="s">
        <v>477</v>
      </c>
      <c r="F111" s="51" t="s">
        <v>684</v>
      </c>
    </row>
    <row r="112" spans="1:7" x14ac:dyDescent="0.25">
      <c r="A112" s="51">
        <v>11</v>
      </c>
      <c r="B112" s="51">
        <v>2014</v>
      </c>
      <c r="C112" s="51">
        <v>1</v>
      </c>
      <c r="D112" s="51">
        <f>+'Table 1'!E9</f>
        <v>1.2293016977169557</v>
      </c>
      <c r="E112" s="51" t="s">
        <v>468</v>
      </c>
      <c r="F112" s="51" t="s">
        <v>684</v>
      </c>
    </row>
    <row r="113" spans="1:6" x14ac:dyDescent="0.25">
      <c r="A113" s="51">
        <v>11</v>
      </c>
      <c r="B113" s="51">
        <v>2014</v>
      </c>
      <c r="C113" s="51">
        <v>1</v>
      </c>
      <c r="D113" s="51">
        <f>+'Table 1'!E10</f>
        <v>0.73026957985498075</v>
      </c>
      <c r="E113" s="51" t="s">
        <v>469</v>
      </c>
      <c r="F113" s="51" t="s">
        <v>684</v>
      </c>
    </row>
    <row r="114" spans="1:6" x14ac:dyDescent="0.25">
      <c r="A114" s="51">
        <v>11</v>
      </c>
      <c r="B114" s="51">
        <v>2014</v>
      </c>
      <c r="C114" s="51">
        <v>1</v>
      </c>
      <c r="D114" s="51">
        <f>+'Table 1'!E11</f>
        <v>-5.9117602093718418</v>
      </c>
      <c r="E114" s="51" t="s">
        <v>600</v>
      </c>
      <c r="F114" s="51" t="s">
        <v>684</v>
      </c>
    </row>
    <row r="115" spans="1:6" x14ac:dyDescent="0.25">
      <c r="A115" s="51">
        <v>11</v>
      </c>
      <c r="B115" s="51">
        <v>2014</v>
      </c>
      <c r="C115" s="51">
        <v>1</v>
      </c>
      <c r="D115" s="51">
        <f>+'Table 1'!E12</f>
        <v>-1.5718548009988065</v>
      </c>
      <c r="E115" s="51" t="s">
        <v>470</v>
      </c>
      <c r="F115" s="51" t="s">
        <v>684</v>
      </c>
    </row>
    <row r="116" spans="1:6" x14ac:dyDescent="0.25">
      <c r="A116" s="51">
        <v>11</v>
      </c>
      <c r="B116" s="51">
        <v>2014</v>
      </c>
      <c r="C116" s="51">
        <v>1</v>
      </c>
      <c r="D116" s="51">
        <f>+'Table 1'!E13</f>
        <v>0.97076831068663161</v>
      </c>
      <c r="E116" s="51" t="s">
        <v>471</v>
      </c>
      <c r="F116" s="51" t="s">
        <v>684</v>
      </c>
    </row>
    <row r="117" spans="1:6" x14ac:dyDescent="0.25">
      <c r="A117" s="51">
        <v>11</v>
      </c>
      <c r="B117" s="51">
        <v>2014</v>
      </c>
      <c r="C117" s="51">
        <v>1</v>
      </c>
      <c r="D117" s="51">
        <f>+'Table 1'!E14</f>
        <v>-0.304044384823976</v>
      </c>
      <c r="E117" s="51" t="s">
        <v>478</v>
      </c>
      <c r="F117" s="51" t="s">
        <v>684</v>
      </c>
    </row>
    <row r="118" spans="1:6" x14ac:dyDescent="0.25">
      <c r="A118" s="51">
        <v>11</v>
      </c>
      <c r="B118" s="51">
        <v>2014</v>
      </c>
      <c r="C118" s="51">
        <v>1</v>
      </c>
      <c r="D118" s="51">
        <f>+'Table 1'!E15</f>
        <v>-0.38237351248503471</v>
      </c>
      <c r="E118" s="51" t="s">
        <v>479</v>
      </c>
      <c r="F118" s="51" t="s">
        <v>684</v>
      </c>
    </row>
    <row r="119" spans="1:6" x14ac:dyDescent="0.25">
      <c r="A119" s="51">
        <v>11</v>
      </c>
      <c r="B119" s="51">
        <v>2014</v>
      </c>
      <c r="C119" s="51">
        <v>1</v>
      </c>
      <c r="D119" s="51">
        <f>+'Table 1'!E16</f>
        <v>-0.27064847931833613</v>
      </c>
      <c r="E119" s="51" t="s">
        <v>480</v>
      </c>
      <c r="F119" s="51" t="s">
        <v>684</v>
      </c>
    </row>
    <row r="120" spans="1:6" x14ac:dyDescent="0.25">
      <c r="A120" s="51">
        <v>11</v>
      </c>
      <c r="B120" s="51">
        <v>2014</v>
      </c>
      <c r="C120" s="51">
        <v>1</v>
      </c>
      <c r="D120" s="51">
        <f>+'Table 1'!E17</f>
        <v>1.0960341673413643</v>
      </c>
      <c r="E120" s="51" t="s">
        <v>481</v>
      </c>
      <c r="F120" s="51" t="s">
        <v>684</v>
      </c>
    </row>
    <row r="121" spans="1:6" x14ac:dyDescent="0.25">
      <c r="A121" s="51">
        <v>11</v>
      </c>
      <c r="B121" s="51">
        <v>2014</v>
      </c>
      <c r="C121" s="51">
        <v>1</v>
      </c>
      <c r="D121" s="51">
        <f>+'Table 1'!E18</f>
        <v>-1.2887598253941812</v>
      </c>
      <c r="E121" s="51" t="s">
        <v>482</v>
      </c>
      <c r="F121" s="51" t="s">
        <v>684</v>
      </c>
    </row>
    <row r="122" spans="1:6" x14ac:dyDescent="0.25">
      <c r="A122" s="51">
        <v>11</v>
      </c>
      <c r="B122" s="51">
        <v>2014</v>
      </c>
      <c r="C122" s="51">
        <v>1</v>
      </c>
      <c r="D122" s="51">
        <f>+'Table 1'!E19</f>
        <v>1.5675769261896066</v>
      </c>
      <c r="E122" s="51" t="s">
        <v>483</v>
      </c>
      <c r="F122" s="51" t="s">
        <v>684</v>
      </c>
    </row>
    <row r="123" spans="1:6" x14ac:dyDescent="0.25">
      <c r="A123" s="51">
        <v>11</v>
      </c>
      <c r="B123" s="51">
        <v>2014</v>
      </c>
      <c r="C123" s="51">
        <v>1</v>
      </c>
      <c r="D123" s="51">
        <f>+'Table 1'!E20</f>
        <v>2.6649305368423359</v>
      </c>
      <c r="E123" s="51" t="s">
        <v>484</v>
      </c>
      <c r="F123" s="51" t="s">
        <v>684</v>
      </c>
    </row>
    <row r="124" spans="1:6" x14ac:dyDescent="0.25">
      <c r="A124" s="51">
        <v>11</v>
      </c>
      <c r="B124" s="51">
        <v>2014</v>
      </c>
      <c r="C124" s="51">
        <v>1</v>
      </c>
      <c r="D124" s="51">
        <f>+'Table 1'!E21</f>
        <v>-0.46265066935234911</v>
      </c>
      <c r="E124" s="51" t="s">
        <v>485</v>
      </c>
      <c r="F124" s="51" t="s">
        <v>684</v>
      </c>
    </row>
    <row r="125" spans="1:6" x14ac:dyDescent="0.25">
      <c r="A125" s="51">
        <v>11</v>
      </c>
      <c r="B125" s="51">
        <v>2014</v>
      </c>
      <c r="C125" s="51">
        <v>1</v>
      </c>
      <c r="D125" s="51">
        <f>+'Table 1'!E22</f>
        <v>2.1150214991726868</v>
      </c>
      <c r="E125" s="51" t="s">
        <v>486</v>
      </c>
      <c r="F125" s="51" t="s">
        <v>684</v>
      </c>
    </row>
    <row r="126" spans="1:6" x14ac:dyDescent="0.25">
      <c r="A126" s="51">
        <v>11</v>
      </c>
      <c r="B126" s="51">
        <v>2014</v>
      </c>
      <c r="C126" s="51">
        <v>1</v>
      </c>
      <c r="D126" s="51">
        <f>+'Table 1'!E23</f>
        <v>-1.7723680330025249</v>
      </c>
      <c r="E126" s="51" t="s">
        <v>487</v>
      </c>
      <c r="F126" s="51" t="s">
        <v>684</v>
      </c>
    </row>
    <row r="127" spans="1:6" x14ac:dyDescent="0.25">
      <c r="A127" s="51">
        <v>11</v>
      </c>
      <c r="B127" s="51">
        <v>2014</v>
      </c>
      <c r="C127" s="51">
        <v>1</v>
      </c>
      <c r="D127" s="51">
        <f>+'Table 1'!E24</f>
        <v>9.3996812612240355E-2</v>
      </c>
      <c r="E127" s="51" t="s">
        <v>488</v>
      </c>
      <c r="F127" s="51" t="s">
        <v>684</v>
      </c>
    </row>
    <row r="128" spans="1:6" x14ac:dyDescent="0.25">
      <c r="A128" s="51">
        <v>11</v>
      </c>
      <c r="B128" s="51">
        <v>2014</v>
      </c>
      <c r="C128" s="51">
        <v>1</v>
      </c>
      <c r="D128" s="51">
        <f>+'Table 1'!E25</f>
        <v>0.26199609628982934</v>
      </c>
      <c r="E128" s="51" t="s">
        <v>489</v>
      </c>
      <c r="F128" s="51" t="s">
        <v>684</v>
      </c>
    </row>
    <row r="129" spans="1:6" x14ac:dyDescent="0.25">
      <c r="A129" s="51">
        <v>11</v>
      </c>
      <c r="B129" s="51">
        <v>2014</v>
      </c>
      <c r="C129" s="51">
        <v>1</v>
      </c>
      <c r="D129" s="51">
        <f>+'Table 1'!E26</f>
        <v>-1.2268260014422716</v>
      </c>
      <c r="E129" s="51" t="s">
        <v>490</v>
      </c>
      <c r="F129" s="51" t="s">
        <v>684</v>
      </c>
    </row>
    <row r="130" spans="1:6" x14ac:dyDescent="0.25">
      <c r="A130" s="51">
        <v>11</v>
      </c>
      <c r="B130" s="51">
        <v>2014</v>
      </c>
      <c r="C130" s="51">
        <v>1</v>
      </c>
      <c r="D130" s="51">
        <f>+'Table 1'!E27</f>
        <v>-3.5697515966857218</v>
      </c>
      <c r="E130" s="51" t="s">
        <v>491</v>
      </c>
      <c r="F130" s="51" t="s">
        <v>684</v>
      </c>
    </row>
    <row r="131" spans="1:6" x14ac:dyDescent="0.25">
      <c r="A131" s="51">
        <v>11</v>
      </c>
      <c r="B131" s="51">
        <v>2014</v>
      </c>
      <c r="C131" s="51">
        <v>1</v>
      </c>
      <c r="D131" s="51">
        <f>+'Table 1'!E28</f>
        <v>-2.9890578145212565</v>
      </c>
      <c r="E131" s="51" t="s">
        <v>492</v>
      </c>
      <c r="F131" s="51" t="s">
        <v>684</v>
      </c>
    </row>
    <row r="132" spans="1:6" x14ac:dyDescent="0.25">
      <c r="A132" s="51">
        <v>11</v>
      </c>
      <c r="B132" s="51">
        <v>2014</v>
      </c>
      <c r="C132" s="51">
        <v>1</v>
      </c>
      <c r="D132" s="51">
        <f>+'Table 1'!E29</f>
        <v>-1.3274984280267854</v>
      </c>
      <c r="E132" s="51" t="s">
        <v>493</v>
      </c>
      <c r="F132" s="51" t="s">
        <v>684</v>
      </c>
    </row>
    <row r="133" spans="1:6" x14ac:dyDescent="0.25">
      <c r="A133" s="51">
        <v>11</v>
      </c>
      <c r="B133" s="51">
        <v>2014</v>
      </c>
      <c r="C133" s="51">
        <v>1</v>
      </c>
      <c r="D133" s="51">
        <f>+'Table 1'!E30</f>
        <v>2.0784202585273137</v>
      </c>
      <c r="E133" s="51" t="s">
        <v>494</v>
      </c>
      <c r="F133" s="51" t="s">
        <v>684</v>
      </c>
    </row>
    <row r="134" spans="1:6" x14ac:dyDescent="0.25">
      <c r="A134" s="51">
        <v>11</v>
      </c>
      <c r="B134" s="51">
        <v>2014</v>
      </c>
      <c r="C134" s="51">
        <v>1</v>
      </c>
      <c r="D134" s="51">
        <f>+'Table 1'!E31</f>
        <v>1.8196752880567546</v>
      </c>
      <c r="E134" s="51" t="s">
        <v>495</v>
      </c>
      <c r="F134" s="51" t="s">
        <v>684</v>
      </c>
    </row>
    <row r="135" spans="1:6" x14ac:dyDescent="0.25">
      <c r="A135" s="51">
        <v>11</v>
      </c>
      <c r="B135" s="51">
        <v>2014</v>
      </c>
      <c r="C135" s="51">
        <v>1</v>
      </c>
      <c r="D135" s="51">
        <f>+'Table 1'!E32</f>
        <v>-2.521159302878262</v>
      </c>
      <c r="E135" s="51" t="s">
        <v>496</v>
      </c>
      <c r="F135" s="51" t="s">
        <v>684</v>
      </c>
    </row>
    <row r="136" spans="1:6" x14ac:dyDescent="0.25">
      <c r="A136" s="51">
        <v>11</v>
      </c>
      <c r="B136" s="51">
        <v>2014</v>
      </c>
      <c r="C136" s="51">
        <v>1</v>
      </c>
      <c r="D136" s="51">
        <f>+'Table 1'!E33</f>
        <v>0.72775919535104094</v>
      </c>
      <c r="E136" s="51" t="s">
        <v>497</v>
      </c>
      <c r="F136" s="51" t="s">
        <v>684</v>
      </c>
    </row>
    <row r="137" spans="1:6" x14ac:dyDescent="0.25">
      <c r="A137" s="51">
        <v>11</v>
      </c>
      <c r="B137" s="51">
        <v>2014</v>
      </c>
      <c r="C137" s="51">
        <v>1</v>
      </c>
      <c r="D137" s="51">
        <f>+'Table 1'!E34</f>
        <v>-2.698546916982314</v>
      </c>
      <c r="E137" s="51" t="s">
        <v>472</v>
      </c>
      <c r="F137" s="51" t="s">
        <v>684</v>
      </c>
    </row>
    <row r="138" spans="1:6" x14ac:dyDescent="0.25">
      <c r="A138" s="51">
        <v>11</v>
      </c>
      <c r="B138" s="51">
        <v>2014</v>
      </c>
      <c r="C138" s="51">
        <v>1</v>
      </c>
      <c r="D138" s="51">
        <f>+'Table 1'!E35</f>
        <v>-0.5644485421179013</v>
      </c>
      <c r="E138" s="51" t="s">
        <v>498</v>
      </c>
      <c r="F138" s="51" t="s">
        <v>684</v>
      </c>
    </row>
    <row r="139" spans="1:6" x14ac:dyDescent="0.25">
      <c r="A139" s="51">
        <v>11</v>
      </c>
      <c r="B139" s="51">
        <v>2014</v>
      </c>
      <c r="C139" s="51">
        <v>1</v>
      </c>
      <c r="D139" s="51">
        <f>+'Table 1'!E36</f>
        <v>-0.41963372524294051</v>
      </c>
      <c r="E139" s="51" t="s">
        <v>474</v>
      </c>
      <c r="F139" s="51" t="s">
        <v>684</v>
      </c>
    </row>
    <row r="140" spans="1:6" x14ac:dyDescent="0.25">
      <c r="A140" s="51">
        <v>11</v>
      </c>
      <c r="B140" s="51">
        <v>2014</v>
      </c>
      <c r="C140" s="51">
        <v>1</v>
      </c>
      <c r="D140" s="51">
        <f>+'Table 1'!E37</f>
        <v>0.69794783807495264</v>
      </c>
      <c r="E140" s="51" t="s">
        <v>473</v>
      </c>
      <c r="F140" s="51" t="s">
        <v>684</v>
      </c>
    </row>
    <row r="141" spans="1:6" x14ac:dyDescent="0.25">
      <c r="A141" s="51">
        <v>11</v>
      </c>
      <c r="B141" s="51">
        <v>2014</v>
      </c>
      <c r="C141" s="51">
        <v>1</v>
      </c>
      <c r="D141" s="51">
        <f>+'Table 1'!E38</f>
        <v>-1.3488553700264139</v>
      </c>
      <c r="E141" s="51" t="s">
        <v>499</v>
      </c>
      <c r="F141" s="51" t="s">
        <v>684</v>
      </c>
    </row>
    <row r="142" spans="1:6" x14ac:dyDescent="0.25">
      <c r="A142" s="51">
        <v>11</v>
      </c>
      <c r="B142" s="51">
        <v>2014</v>
      </c>
      <c r="C142" s="51">
        <v>1</v>
      </c>
      <c r="D142" s="51">
        <f>+'Table 1'!E39</f>
        <v>-6.5885538781484954E-2</v>
      </c>
      <c r="E142" s="51" t="s">
        <v>500</v>
      </c>
      <c r="F142" s="51" t="s">
        <v>684</v>
      </c>
    </row>
    <row r="143" spans="1:6" x14ac:dyDescent="0.25">
      <c r="A143" s="51">
        <v>11</v>
      </c>
      <c r="B143" s="51">
        <v>2014</v>
      </c>
      <c r="C143" s="51">
        <v>1</v>
      </c>
      <c r="D143" s="51">
        <f>+'Table 1'!E40</f>
        <v>-2.6340781477459552</v>
      </c>
      <c r="E143" s="51" t="s">
        <v>501</v>
      </c>
      <c r="F143" s="51" t="s">
        <v>684</v>
      </c>
    </row>
    <row r="144" spans="1:6" x14ac:dyDescent="0.25">
      <c r="A144" s="51">
        <v>11</v>
      </c>
      <c r="B144" s="51">
        <v>2014</v>
      </c>
      <c r="C144" s="51">
        <v>1</v>
      </c>
      <c r="D144" s="51">
        <f>+'Table 1'!E41</f>
        <v>-0.20187017758982462</v>
      </c>
      <c r="E144" s="51" t="s">
        <v>502</v>
      </c>
      <c r="F144" s="51" t="s">
        <v>684</v>
      </c>
    </row>
    <row r="145" spans="1:8" x14ac:dyDescent="0.25">
      <c r="A145" s="51">
        <v>11</v>
      </c>
      <c r="B145" s="51">
        <v>2014</v>
      </c>
      <c r="C145" s="51">
        <v>1</v>
      </c>
      <c r="D145" s="51">
        <f>+'Table 1'!E42</f>
        <v>-3.7604631559029489</v>
      </c>
      <c r="E145" s="51" t="s">
        <v>503</v>
      </c>
      <c r="F145" s="51" t="s">
        <v>684</v>
      </c>
    </row>
    <row r="146" spans="1:8" x14ac:dyDescent="0.25">
      <c r="A146" s="51">
        <v>11</v>
      </c>
      <c r="B146" s="51">
        <v>2014</v>
      </c>
      <c r="C146" s="51">
        <v>1</v>
      </c>
      <c r="D146" s="51">
        <f>+'Table 1'!E43</f>
        <v>-0.19738428434742383</v>
      </c>
      <c r="E146" s="51" t="s">
        <v>504</v>
      </c>
      <c r="F146" s="51" t="s">
        <v>684</v>
      </c>
    </row>
    <row r="147" spans="1:8" x14ac:dyDescent="0.25">
      <c r="A147" s="51">
        <v>11</v>
      </c>
      <c r="B147" s="51">
        <v>2014</v>
      </c>
      <c r="C147" s="51">
        <v>1</v>
      </c>
      <c r="D147" s="51">
        <f>+'Table 1'!E44</f>
        <v>-0.61276768763560696</v>
      </c>
      <c r="E147" s="51" t="s">
        <v>505</v>
      </c>
      <c r="F147" s="51" t="s">
        <v>684</v>
      </c>
    </row>
    <row r="148" spans="1:8" x14ac:dyDescent="0.25">
      <c r="A148" s="51">
        <v>11</v>
      </c>
      <c r="B148" s="51">
        <v>2014</v>
      </c>
      <c r="C148" s="51">
        <v>1</v>
      </c>
      <c r="D148" s="51">
        <f>+'Table 1'!E45</f>
        <v>-2.5742046436048382</v>
      </c>
      <c r="E148" s="51" t="s">
        <v>506</v>
      </c>
      <c r="F148" s="51" t="s">
        <v>684</v>
      </c>
    </row>
    <row r="149" spans="1:8" x14ac:dyDescent="0.25">
      <c r="A149" s="51">
        <v>11</v>
      </c>
      <c r="B149" s="51">
        <v>2014</v>
      </c>
      <c r="C149" s="51">
        <v>1</v>
      </c>
      <c r="D149" s="51">
        <f>+'Table 1'!E46</f>
        <v>2.5358294318116537</v>
      </c>
      <c r="E149" s="51" t="s">
        <v>507</v>
      </c>
      <c r="F149" s="51" t="s">
        <v>684</v>
      </c>
    </row>
    <row r="150" spans="1:8" x14ac:dyDescent="0.25">
      <c r="A150" s="51">
        <v>11</v>
      </c>
      <c r="B150" s="51">
        <v>2014</v>
      </c>
      <c r="C150" s="51">
        <v>1</v>
      </c>
      <c r="D150" s="51">
        <f>+'Table 1'!E47</f>
        <v>-0.32583534585157725</v>
      </c>
      <c r="E150" s="51" t="s">
        <v>508</v>
      </c>
      <c r="F150" s="51" t="s">
        <v>684</v>
      </c>
    </row>
    <row r="151" spans="1:8" x14ac:dyDescent="0.25">
      <c r="A151" s="51">
        <v>11</v>
      </c>
      <c r="B151" s="51">
        <v>2014</v>
      </c>
      <c r="C151" s="51">
        <v>1</v>
      </c>
      <c r="D151" s="51">
        <f>+'Table 1'!E48</f>
        <v>-1.2950447852379199</v>
      </c>
      <c r="E151" s="51" t="s">
        <v>509</v>
      </c>
      <c r="F151" s="51" t="s">
        <v>684</v>
      </c>
    </row>
    <row r="152" spans="1:8" x14ac:dyDescent="0.25">
      <c r="A152" s="51">
        <v>11</v>
      </c>
      <c r="B152" s="51">
        <v>2014</v>
      </c>
      <c r="C152" s="51">
        <v>1</v>
      </c>
      <c r="D152" s="51">
        <f>+'Table 1'!E49</f>
        <v>-1.0886066399361516</v>
      </c>
      <c r="E152" s="51" t="s">
        <v>510</v>
      </c>
      <c r="F152" s="51" t="s">
        <v>684</v>
      </c>
    </row>
    <row r="153" spans="1:8" x14ac:dyDescent="0.25">
      <c r="A153" s="51">
        <v>11</v>
      </c>
      <c r="B153" s="51">
        <v>2014</v>
      </c>
      <c r="C153" s="51">
        <v>1</v>
      </c>
      <c r="D153" s="51">
        <f>+'Table 1'!E50</f>
        <v>0.89212694978910712</v>
      </c>
      <c r="E153" s="51" t="s">
        <v>511</v>
      </c>
      <c r="F153" s="51" t="s">
        <v>684</v>
      </c>
    </row>
    <row r="154" spans="1:8" x14ac:dyDescent="0.25">
      <c r="A154" s="51">
        <v>11</v>
      </c>
      <c r="B154" s="51">
        <v>2014</v>
      </c>
      <c r="C154" s="51">
        <v>1</v>
      </c>
      <c r="D154" s="51">
        <f>+'Table 1'!E51</f>
        <v>1.3704679268848663</v>
      </c>
      <c r="E154" s="51" t="s">
        <v>512</v>
      </c>
      <c r="F154" s="51" t="s">
        <v>684</v>
      </c>
    </row>
    <row r="155" spans="1:8" x14ac:dyDescent="0.25">
      <c r="A155" s="51">
        <v>11</v>
      </c>
      <c r="B155" s="51">
        <v>2014</v>
      </c>
      <c r="C155" s="51">
        <v>1</v>
      </c>
      <c r="D155" s="51">
        <f>+'Table 1'!E52</f>
        <v>-0.67756678452599584</v>
      </c>
      <c r="E155" s="51" t="s">
        <v>513</v>
      </c>
      <c r="F155" s="51" t="s">
        <v>684</v>
      </c>
    </row>
    <row r="156" spans="1:8" x14ac:dyDescent="0.25">
      <c r="A156" s="51">
        <v>11</v>
      </c>
      <c r="B156" s="51">
        <v>2014</v>
      </c>
      <c r="C156" s="51">
        <v>1</v>
      </c>
      <c r="D156" s="51">
        <f>+'Table 1'!E53</f>
        <v>-1.8849525298083925</v>
      </c>
      <c r="E156" s="51" t="s">
        <v>514</v>
      </c>
      <c r="F156" s="51" t="s">
        <v>684</v>
      </c>
      <c r="H156" s="51" t="s">
        <v>715</v>
      </c>
    </row>
    <row r="157" spans="1:8" x14ac:dyDescent="0.25">
      <c r="A157" s="51">
        <v>11</v>
      </c>
      <c r="B157" s="51">
        <v>2014</v>
      </c>
      <c r="C157" s="51">
        <v>1</v>
      </c>
      <c r="D157" s="51">
        <f>+'Table 1'!E54</f>
        <v>2.2501837934174596E-2</v>
      </c>
      <c r="E157" s="51" t="s">
        <v>608</v>
      </c>
      <c r="F157" s="51" t="s">
        <v>684</v>
      </c>
    </row>
    <row r="158" spans="1:8" x14ac:dyDescent="0.25">
      <c r="A158" s="51">
        <v>11</v>
      </c>
      <c r="B158" s="51">
        <v>2014</v>
      </c>
      <c r="C158" s="51">
        <v>1</v>
      </c>
      <c r="D158" s="51">
        <f ca="1">+'Table 1'!G3</f>
        <v>0.68801270177296647</v>
      </c>
      <c r="E158" s="51" t="s">
        <v>465</v>
      </c>
      <c r="F158" s="51" t="s">
        <v>677</v>
      </c>
      <c r="G158" s="51" t="s">
        <v>722</v>
      </c>
    </row>
    <row r="159" spans="1:8" x14ac:dyDescent="0.25">
      <c r="A159" s="51">
        <v>11</v>
      </c>
      <c r="B159" s="51">
        <v>2014</v>
      </c>
      <c r="C159" s="51">
        <v>1</v>
      </c>
      <c r="D159" s="51">
        <f ca="1">+'Table 1'!G4</f>
        <v>-1.200480192076836</v>
      </c>
      <c r="E159" s="51" t="s">
        <v>466</v>
      </c>
      <c r="F159" s="51" t="s">
        <v>677</v>
      </c>
    </row>
    <row r="160" spans="1:8" x14ac:dyDescent="0.25">
      <c r="A160" s="51">
        <v>11</v>
      </c>
      <c r="B160" s="51">
        <v>2014</v>
      </c>
      <c r="C160" s="51">
        <v>1</v>
      </c>
      <c r="D160" s="51">
        <f ca="1">+'Table 1'!G5</f>
        <v>0.76299475441108378</v>
      </c>
      <c r="E160" s="51" t="s">
        <v>476</v>
      </c>
      <c r="F160" s="51" t="s">
        <v>677</v>
      </c>
    </row>
    <row r="161" spans="1:6" x14ac:dyDescent="0.25">
      <c r="A161" s="51">
        <v>11</v>
      </c>
      <c r="B161" s="51">
        <v>2014</v>
      </c>
      <c r="C161" s="51">
        <v>1</v>
      </c>
      <c r="D161" s="51">
        <f ca="1">+'Table 1'!G6</f>
        <v>0</v>
      </c>
      <c r="E161" s="51" t="s">
        <v>475</v>
      </c>
      <c r="F161" s="51" t="s">
        <v>677</v>
      </c>
    </row>
    <row r="162" spans="1:6" x14ac:dyDescent="0.25">
      <c r="A162" s="51">
        <v>11</v>
      </c>
      <c r="B162" s="51">
        <v>2014</v>
      </c>
      <c r="C162" s="51">
        <v>1</v>
      </c>
      <c r="D162" s="51">
        <f ca="1">+'Table 1'!G7</f>
        <v>-0.15001875234403883</v>
      </c>
      <c r="E162" s="51" t="s">
        <v>467</v>
      </c>
      <c r="F162" s="51" t="s">
        <v>677</v>
      </c>
    </row>
    <row r="163" spans="1:6" x14ac:dyDescent="0.25">
      <c r="A163" s="51">
        <v>11</v>
      </c>
      <c r="B163" s="51">
        <v>2014</v>
      </c>
      <c r="C163" s="51">
        <v>1</v>
      </c>
      <c r="D163" s="51">
        <f ca="1">+'Table 1'!G8</f>
        <v>1.5996122152205361</v>
      </c>
      <c r="E163" s="51" t="s">
        <v>477</v>
      </c>
      <c r="F163" s="51" t="s">
        <v>677</v>
      </c>
    </row>
    <row r="164" spans="1:6" x14ac:dyDescent="0.25">
      <c r="A164" s="51">
        <v>11</v>
      </c>
      <c r="B164" s="51">
        <v>2014</v>
      </c>
      <c r="C164" s="51">
        <v>1</v>
      </c>
      <c r="D164" s="51">
        <f ca="1">+'Table 1'!G9</f>
        <v>0.41305245766212195</v>
      </c>
      <c r="E164" s="51" t="s">
        <v>468</v>
      </c>
      <c r="F164" s="51" t="s">
        <v>677</v>
      </c>
    </row>
    <row r="165" spans="1:6" x14ac:dyDescent="0.25">
      <c r="A165" s="51">
        <v>11</v>
      </c>
      <c r="B165" s="51">
        <v>2014</v>
      </c>
      <c r="C165" s="51">
        <v>1</v>
      </c>
      <c r="D165" s="51">
        <f ca="1">+'Table 1'!G10</f>
        <v>2.0000000000000018</v>
      </c>
      <c r="E165" s="51" t="s">
        <v>469</v>
      </c>
      <c r="F165" s="51" t="s">
        <v>677</v>
      </c>
    </row>
    <row r="166" spans="1:6" x14ac:dyDescent="0.25">
      <c r="A166" s="51">
        <v>11</v>
      </c>
      <c r="B166" s="51">
        <v>2014</v>
      </c>
      <c r="C166" s="51">
        <v>1</v>
      </c>
      <c r="D166" s="51">
        <f ca="1">+'Table 1'!G11</f>
        <v>0.67482075073808101</v>
      </c>
      <c r="E166" s="51" t="s">
        <v>600</v>
      </c>
      <c r="F166" s="51" t="s">
        <v>677</v>
      </c>
    </row>
    <row r="167" spans="1:6" x14ac:dyDescent="0.25">
      <c r="A167" s="51">
        <v>11</v>
      </c>
      <c r="B167" s="51">
        <v>2014</v>
      </c>
      <c r="C167" s="51">
        <v>1</v>
      </c>
      <c r="D167" s="51">
        <f ca="1">+'Table 1'!G12</f>
        <v>0.43919846280537911</v>
      </c>
      <c r="E167" s="51" t="s">
        <v>470</v>
      </c>
      <c r="F167" s="51" t="s">
        <v>677</v>
      </c>
    </row>
    <row r="168" spans="1:6" x14ac:dyDescent="0.25">
      <c r="A168" s="51">
        <v>11</v>
      </c>
      <c r="B168" s="51">
        <v>2014</v>
      </c>
      <c r="C168" s="51">
        <v>1</v>
      </c>
      <c r="D168" s="51">
        <f ca="1">+'Table 1'!G13</f>
        <v>0.23467292461132327</v>
      </c>
      <c r="E168" s="51" t="s">
        <v>471</v>
      </c>
      <c r="F168" s="51" t="s">
        <v>677</v>
      </c>
    </row>
    <row r="169" spans="1:6" x14ac:dyDescent="0.25">
      <c r="A169" s="51">
        <v>11</v>
      </c>
      <c r="B169" s="51">
        <v>2014</v>
      </c>
      <c r="C169" s="51">
        <v>1</v>
      </c>
      <c r="D169" s="51">
        <f ca="1">+'Table 1'!G14</f>
        <v>2.244582043343657</v>
      </c>
      <c r="E169" s="51" t="s">
        <v>478</v>
      </c>
      <c r="F169" s="51" t="s">
        <v>677</v>
      </c>
    </row>
    <row r="170" spans="1:6" x14ac:dyDescent="0.25">
      <c r="A170" s="51">
        <v>11</v>
      </c>
      <c r="B170" s="51">
        <v>2014</v>
      </c>
      <c r="C170" s="51">
        <v>1</v>
      </c>
      <c r="D170" s="51">
        <f ca="1">+'Table 1'!G15</f>
        <v>0.82918739635158278</v>
      </c>
      <c r="E170" s="51" t="s">
        <v>479</v>
      </c>
      <c r="F170" s="51" t="s">
        <v>677</v>
      </c>
    </row>
    <row r="171" spans="1:6" x14ac:dyDescent="0.25">
      <c r="A171" s="51">
        <v>11</v>
      </c>
      <c r="B171" s="51">
        <v>2014</v>
      </c>
      <c r="C171" s="51">
        <v>1</v>
      </c>
      <c r="D171" s="51">
        <f ca="1">+'Table 1'!G16</f>
        <v>-9.4764273868763738E-2</v>
      </c>
      <c r="E171" s="51" t="s">
        <v>480</v>
      </c>
      <c r="F171" s="51" t="s">
        <v>677</v>
      </c>
    </row>
    <row r="172" spans="1:6" x14ac:dyDescent="0.25">
      <c r="A172" s="51">
        <v>11</v>
      </c>
      <c r="B172" s="51">
        <v>2014</v>
      </c>
      <c r="C172" s="51">
        <v>1</v>
      </c>
      <c r="D172" s="51">
        <f ca="1">+'Table 1'!G17</f>
        <v>1.6103059581320522</v>
      </c>
      <c r="E172" s="51" t="s">
        <v>481</v>
      </c>
      <c r="F172" s="51" t="s">
        <v>677</v>
      </c>
    </row>
    <row r="173" spans="1:6" x14ac:dyDescent="0.25">
      <c r="A173" s="51">
        <v>11</v>
      </c>
      <c r="B173" s="51">
        <v>2014</v>
      </c>
      <c r="C173" s="51">
        <v>1</v>
      </c>
      <c r="D173" s="51">
        <f ca="1">+'Table 1'!G18</f>
        <v>2.0144431774990368</v>
      </c>
      <c r="E173" s="51" t="s">
        <v>482</v>
      </c>
      <c r="F173" s="51" t="s">
        <v>677</v>
      </c>
    </row>
    <row r="174" spans="1:6" x14ac:dyDescent="0.25">
      <c r="A174" s="51">
        <v>11</v>
      </c>
      <c r="B174" s="51">
        <v>2014</v>
      </c>
      <c r="C174" s="51">
        <v>1</v>
      </c>
      <c r="D174" s="51">
        <f ca="1">+'Table 1'!G19</f>
        <v>-3.7907505686129994E-2</v>
      </c>
      <c r="E174" s="51" t="s">
        <v>483</v>
      </c>
      <c r="F174" s="51" t="s">
        <v>677</v>
      </c>
    </row>
    <row r="175" spans="1:6" x14ac:dyDescent="0.25">
      <c r="A175" s="51">
        <v>11</v>
      </c>
      <c r="B175" s="51">
        <v>2014</v>
      </c>
      <c r="C175" s="51">
        <v>1</v>
      </c>
      <c r="D175" s="51">
        <f ca="1">+'Table 1'!G20</f>
        <v>0.43949604453559221</v>
      </c>
      <c r="E175" s="51" t="s">
        <v>484</v>
      </c>
      <c r="F175" s="51" t="s">
        <v>677</v>
      </c>
    </row>
    <row r="176" spans="1:6" x14ac:dyDescent="0.25">
      <c r="A176" s="51">
        <v>11</v>
      </c>
      <c r="B176" s="51">
        <v>2014</v>
      </c>
      <c r="C176" s="51">
        <v>1</v>
      </c>
      <c r="D176" s="51">
        <f ca="1">+'Table 1'!G21</f>
        <v>-1.6307513104251492</v>
      </c>
      <c r="E176" s="51" t="s">
        <v>485</v>
      </c>
      <c r="F176" s="51" t="s">
        <v>677</v>
      </c>
    </row>
    <row r="177" spans="1:7" x14ac:dyDescent="0.25">
      <c r="A177" s="51">
        <v>11</v>
      </c>
      <c r="B177" s="51">
        <v>2014</v>
      </c>
      <c r="C177" s="51">
        <v>1</v>
      </c>
      <c r="D177" s="51">
        <f ca="1">+'Table 1'!G22</f>
        <v>-0.38722168441431837</v>
      </c>
      <c r="E177" s="51" t="s">
        <v>486</v>
      </c>
      <c r="F177" s="51" t="s">
        <v>677</v>
      </c>
    </row>
    <row r="178" spans="1:7" x14ac:dyDescent="0.25">
      <c r="A178" s="51">
        <v>11</v>
      </c>
      <c r="B178" s="51">
        <v>2014</v>
      </c>
      <c r="C178" s="51">
        <v>1</v>
      </c>
      <c r="D178" s="51">
        <f ca="1">+'Table 1'!G23</f>
        <v>-0.46884157061926057</v>
      </c>
      <c r="E178" s="51" t="s">
        <v>487</v>
      </c>
      <c r="F178" s="51" t="s">
        <v>677</v>
      </c>
    </row>
    <row r="179" spans="1:7" x14ac:dyDescent="0.25">
      <c r="A179" s="51">
        <v>11</v>
      </c>
      <c r="B179" s="51">
        <v>2014</v>
      </c>
      <c r="C179" s="51">
        <v>1</v>
      </c>
      <c r="D179" s="51">
        <f ca="1">+'Table 1'!G24</f>
        <v>0.57636887608067955</v>
      </c>
      <c r="E179" s="51" t="s">
        <v>488</v>
      </c>
      <c r="F179" s="51" t="s">
        <v>677</v>
      </c>
    </row>
    <row r="180" spans="1:7" x14ac:dyDescent="0.25">
      <c r="A180" s="51">
        <v>11</v>
      </c>
      <c r="B180" s="51">
        <v>2014</v>
      </c>
      <c r="C180" s="51">
        <v>1</v>
      </c>
      <c r="D180" s="51">
        <f ca="1">+'Table 1'!G25</f>
        <v>-0.8464919420478445</v>
      </c>
      <c r="E180" s="51" t="s">
        <v>489</v>
      </c>
      <c r="F180" s="51" t="s">
        <v>677</v>
      </c>
    </row>
    <row r="181" spans="1:7" x14ac:dyDescent="0.25">
      <c r="A181" s="51">
        <v>11</v>
      </c>
      <c r="B181" s="51">
        <v>2014</v>
      </c>
      <c r="C181" s="51">
        <v>1</v>
      </c>
      <c r="D181" s="51">
        <f ca="1">+'Table 1'!G26</f>
        <v>2.3663038334120756E-2</v>
      </c>
      <c r="E181" s="51" t="s">
        <v>490</v>
      </c>
      <c r="F181" s="51" t="s">
        <v>677</v>
      </c>
    </row>
    <row r="182" spans="1:7" x14ac:dyDescent="0.25">
      <c r="A182" s="51">
        <v>11</v>
      </c>
      <c r="B182" s="51">
        <v>2014</v>
      </c>
      <c r="C182" s="51">
        <v>1</v>
      </c>
      <c r="D182" s="51">
        <f ca="1">+'Table 1'!G27</f>
        <v>0.28443722064201982</v>
      </c>
      <c r="E182" s="51" t="s">
        <v>491</v>
      </c>
      <c r="F182" s="51" t="s">
        <v>677</v>
      </c>
    </row>
    <row r="183" spans="1:7" x14ac:dyDescent="0.25">
      <c r="A183" s="51">
        <v>11</v>
      </c>
      <c r="B183" s="51">
        <v>2014</v>
      </c>
      <c r="C183" s="51">
        <v>1</v>
      </c>
      <c r="D183" s="51">
        <f ca="1">+'Table 1'!G28</f>
        <v>1.5095967220185358</v>
      </c>
      <c r="E183" s="51" t="s">
        <v>492</v>
      </c>
      <c r="F183" s="51" t="s">
        <v>677</v>
      </c>
    </row>
    <row r="184" spans="1:7" x14ac:dyDescent="0.25">
      <c r="A184" s="51">
        <v>11</v>
      </c>
      <c r="B184" s="51">
        <v>2014</v>
      </c>
      <c r="C184" s="51">
        <v>1</v>
      </c>
      <c r="D184" s="51">
        <f ca="1">+'Table 1'!G29</f>
        <v>-0.33149171270717703</v>
      </c>
      <c r="E184" s="51" t="s">
        <v>493</v>
      </c>
      <c r="F184" s="51" t="s">
        <v>677</v>
      </c>
    </row>
    <row r="185" spans="1:7" x14ac:dyDescent="0.25">
      <c r="A185" s="51">
        <v>11</v>
      </c>
      <c r="B185" s="51">
        <v>2014</v>
      </c>
      <c r="C185" s="51">
        <v>1</v>
      </c>
      <c r="D185" s="51">
        <f ca="1">+'Table 1'!G30</f>
        <v>0.6444053895723556</v>
      </c>
      <c r="E185" s="51" t="s">
        <v>494</v>
      </c>
      <c r="F185" s="51" t="s">
        <v>677</v>
      </c>
    </row>
    <row r="186" spans="1:7" x14ac:dyDescent="0.25">
      <c r="A186" s="51">
        <v>11</v>
      </c>
      <c r="B186" s="51">
        <v>2014</v>
      </c>
      <c r="C186" s="51">
        <v>1</v>
      </c>
      <c r="D186" s="51">
        <f ca="1">+'Table 1'!G31</f>
        <v>0.90791180285343387</v>
      </c>
      <c r="E186" s="51" t="s">
        <v>495</v>
      </c>
      <c r="F186" s="51" t="s">
        <v>677</v>
      </c>
    </row>
    <row r="187" spans="1:7" x14ac:dyDescent="0.25">
      <c r="A187" s="51">
        <v>11</v>
      </c>
      <c r="B187" s="51">
        <v>2014</v>
      </c>
      <c r="C187" s="51">
        <v>1</v>
      </c>
      <c r="D187" s="51">
        <f ca="1">+'Table 1'!G32</f>
        <v>-0.21299254526091493</v>
      </c>
      <c r="E187" s="51" t="s">
        <v>496</v>
      </c>
      <c r="F187" s="51" t="s">
        <v>677</v>
      </c>
    </row>
    <row r="188" spans="1:7" x14ac:dyDescent="0.25">
      <c r="A188" s="51">
        <v>11</v>
      </c>
      <c r="B188" s="51">
        <v>2014</v>
      </c>
      <c r="C188" s="51">
        <v>1</v>
      </c>
      <c r="D188" s="51">
        <f ca="1">+'Table 1'!G33</f>
        <v>-0.15941335883946639</v>
      </c>
      <c r="E188" s="51" t="s">
        <v>497</v>
      </c>
      <c r="F188" s="51" t="s">
        <v>677</v>
      </c>
    </row>
    <row r="189" spans="1:7" x14ac:dyDescent="0.25">
      <c r="A189" s="51">
        <v>11</v>
      </c>
      <c r="B189" s="51">
        <v>2014</v>
      </c>
      <c r="C189" s="51">
        <v>1</v>
      </c>
      <c r="D189" s="51">
        <f ca="1">+'Table 1'!G34</f>
        <v>-0.15408320493065508</v>
      </c>
      <c r="E189" s="51" t="s">
        <v>472</v>
      </c>
      <c r="F189" s="51" t="s">
        <v>677</v>
      </c>
    </row>
    <row r="190" spans="1:7" x14ac:dyDescent="0.25">
      <c r="A190" s="51">
        <v>11</v>
      </c>
      <c r="B190" s="51">
        <v>2014</v>
      </c>
      <c r="C190" s="51">
        <v>1</v>
      </c>
      <c r="D190" s="51">
        <f ca="1">+'Table 1'!G35</f>
        <v>-0.61362241767232151</v>
      </c>
      <c r="E190" s="51" t="s">
        <v>498</v>
      </c>
      <c r="F190" s="51" t="s">
        <v>677</v>
      </c>
    </row>
    <row r="191" spans="1:7" x14ac:dyDescent="0.25">
      <c r="A191" s="51">
        <v>11</v>
      </c>
      <c r="B191" s="51">
        <v>2014</v>
      </c>
      <c r="C191" s="51">
        <v>1</v>
      </c>
      <c r="D191" s="51">
        <f ca="1">+'Table 1'!G36</f>
        <v>-0.72059823249489563</v>
      </c>
      <c r="E191" s="51" t="s">
        <v>474</v>
      </c>
      <c r="F191" s="51" t="s">
        <v>677</v>
      </c>
    </row>
    <row r="192" spans="1:7" x14ac:dyDescent="0.25">
      <c r="A192" s="51">
        <v>11</v>
      </c>
      <c r="B192" s="51">
        <v>2014</v>
      </c>
      <c r="C192" s="51">
        <v>1</v>
      </c>
      <c r="D192" s="51">
        <f ca="1">+'Table 1'!G37</f>
        <v>0.24067388688326918</v>
      </c>
      <c r="E192" s="51" t="s">
        <v>473</v>
      </c>
      <c r="F192" s="51" t="s">
        <v>677</v>
      </c>
      <c r="G192" s="51" t="s">
        <v>715</v>
      </c>
    </row>
    <row r="193" spans="1:6" x14ac:dyDescent="0.25">
      <c r="A193" s="51">
        <v>11</v>
      </c>
      <c r="B193" s="51">
        <v>2014</v>
      </c>
      <c r="C193" s="51">
        <v>1</v>
      </c>
      <c r="D193" s="51">
        <f ca="1">+'Table 1'!G38</f>
        <v>1.3027618551331166E-2</v>
      </c>
      <c r="E193" s="51" t="s">
        <v>499</v>
      </c>
      <c r="F193" s="51" t="s">
        <v>677</v>
      </c>
    </row>
    <row r="194" spans="1:6" x14ac:dyDescent="0.25">
      <c r="A194" s="51">
        <v>11</v>
      </c>
      <c r="B194" s="51">
        <v>2014</v>
      </c>
      <c r="C194" s="51">
        <v>1</v>
      </c>
      <c r="D194" s="51">
        <f ca="1">+'Table 1'!G39</f>
        <v>0.67681895093061328</v>
      </c>
      <c r="E194" s="51" t="s">
        <v>500</v>
      </c>
      <c r="F194" s="51" t="s">
        <v>677</v>
      </c>
    </row>
    <row r="195" spans="1:6" x14ac:dyDescent="0.25">
      <c r="A195" s="51">
        <v>11</v>
      </c>
      <c r="B195" s="51">
        <v>2014</v>
      </c>
      <c r="C195" s="51">
        <v>1</v>
      </c>
      <c r="D195" s="51">
        <f ca="1">+'Table 1'!G40</f>
        <v>2.5969645868465285</v>
      </c>
      <c r="E195" s="51" t="s">
        <v>501</v>
      </c>
      <c r="F195" s="51" t="s">
        <v>677</v>
      </c>
    </row>
    <row r="196" spans="1:6" x14ac:dyDescent="0.25">
      <c r="A196" s="51">
        <v>11</v>
      </c>
      <c r="B196" s="51">
        <v>2014</v>
      </c>
      <c r="C196" s="51">
        <v>1</v>
      </c>
      <c r="D196" s="51">
        <f ca="1">+'Table 1'!G41</f>
        <v>-0.44873538210496999</v>
      </c>
      <c r="E196" s="51" t="s">
        <v>502</v>
      </c>
      <c r="F196" s="51" t="s">
        <v>677</v>
      </c>
    </row>
    <row r="197" spans="1:6" x14ac:dyDescent="0.25">
      <c r="A197" s="51">
        <v>11</v>
      </c>
      <c r="B197" s="51">
        <v>2014</v>
      </c>
      <c r="C197" s="51">
        <v>1</v>
      </c>
      <c r="D197" s="51">
        <f ca="1">+'Table 1'!G42</f>
        <v>-0.49099836333879043</v>
      </c>
      <c r="E197" s="51" t="s">
        <v>503</v>
      </c>
      <c r="F197" s="51" t="s">
        <v>677</v>
      </c>
    </row>
    <row r="198" spans="1:6" x14ac:dyDescent="0.25">
      <c r="A198" s="51">
        <v>11</v>
      </c>
      <c r="B198" s="51">
        <v>2014</v>
      </c>
      <c r="C198" s="51">
        <v>1</v>
      </c>
      <c r="D198" s="51">
        <f ca="1">+'Table 1'!G43</f>
        <v>0.97493036211699913</v>
      </c>
      <c r="E198" s="51" t="s">
        <v>504</v>
      </c>
      <c r="F198" s="51" t="s">
        <v>677</v>
      </c>
    </row>
    <row r="199" spans="1:6" x14ac:dyDescent="0.25">
      <c r="A199" s="51">
        <v>11</v>
      </c>
      <c r="B199" s="51">
        <v>2014</v>
      </c>
      <c r="C199" s="51">
        <v>1</v>
      </c>
      <c r="D199" s="51">
        <f ca="1">+'Table 1'!G44</f>
        <v>1.2787723785166349</v>
      </c>
      <c r="E199" s="51" t="s">
        <v>505</v>
      </c>
      <c r="F199" s="51" t="s">
        <v>677</v>
      </c>
    </row>
    <row r="200" spans="1:6" x14ac:dyDescent="0.25">
      <c r="A200" s="51">
        <v>11</v>
      </c>
      <c r="B200" s="51">
        <v>2014</v>
      </c>
      <c r="C200" s="51">
        <v>1</v>
      </c>
      <c r="D200" s="51">
        <f ca="1">+'Table 1'!G45</f>
        <v>0.16420361247946325</v>
      </c>
      <c r="E200" s="51" t="s">
        <v>506</v>
      </c>
      <c r="F200" s="51" t="s">
        <v>677</v>
      </c>
    </row>
    <row r="201" spans="1:6" x14ac:dyDescent="0.25">
      <c r="A201" s="51">
        <v>11</v>
      </c>
      <c r="B201" s="51">
        <v>2014</v>
      </c>
      <c r="C201" s="51">
        <v>1</v>
      </c>
      <c r="D201" s="51">
        <f ca="1">+'Table 1'!G46</f>
        <v>2.0617998809459248</v>
      </c>
      <c r="E201" s="51" t="s">
        <v>507</v>
      </c>
      <c r="F201" s="51" t="s">
        <v>677</v>
      </c>
    </row>
    <row r="202" spans="1:6" x14ac:dyDescent="0.25">
      <c r="A202" s="51">
        <v>11</v>
      </c>
      <c r="B202" s="51">
        <v>2014</v>
      </c>
      <c r="C202" s="51">
        <v>1</v>
      </c>
      <c r="D202" s="51">
        <f ca="1">+'Table 1'!G47</f>
        <v>2.907986111111116</v>
      </c>
      <c r="E202" s="51" t="s">
        <v>508</v>
      </c>
      <c r="F202" s="51" t="s">
        <v>677</v>
      </c>
    </row>
    <row r="203" spans="1:6" x14ac:dyDescent="0.25">
      <c r="A203" s="51">
        <v>11</v>
      </c>
      <c r="B203" s="51">
        <v>2014</v>
      </c>
      <c r="C203" s="51">
        <v>1</v>
      </c>
      <c r="D203" s="51">
        <f ca="1">+'Table 1'!G48</f>
        <v>1.5817223198594021</v>
      </c>
      <c r="E203" s="51" t="s">
        <v>509</v>
      </c>
      <c r="F203" s="51" t="s">
        <v>677</v>
      </c>
    </row>
    <row r="204" spans="1:6" x14ac:dyDescent="0.25">
      <c r="A204" s="51">
        <v>11</v>
      </c>
      <c r="B204" s="51">
        <v>2014</v>
      </c>
      <c r="C204" s="51">
        <v>1</v>
      </c>
      <c r="D204" s="51">
        <f ca="1">+'Table 1'!G49</f>
        <v>5.5609620464358578E-2</v>
      </c>
      <c r="E204" s="51" t="s">
        <v>510</v>
      </c>
      <c r="F204" s="51" t="s">
        <v>677</v>
      </c>
    </row>
    <row r="205" spans="1:6" x14ac:dyDescent="0.25">
      <c r="A205" s="51">
        <v>11</v>
      </c>
      <c r="B205" s="51">
        <v>2014</v>
      </c>
      <c r="C205" s="51">
        <v>1</v>
      </c>
      <c r="D205" s="51">
        <f ca="1">+'Table 1'!G50</f>
        <v>1.3333333333333197</v>
      </c>
      <c r="E205" s="51" t="s">
        <v>511</v>
      </c>
      <c r="F205" s="51" t="s">
        <v>677</v>
      </c>
    </row>
    <row r="206" spans="1:6" x14ac:dyDescent="0.25">
      <c r="A206" s="51">
        <v>11</v>
      </c>
      <c r="B206" s="51">
        <v>2014</v>
      </c>
      <c r="C206" s="51">
        <v>1</v>
      </c>
      <c r="D206" s="51">
        <f ca="1">+'Table 1'!G51</f>
        <v>0</v>
      </c>
      <c r="E206" s="51" t="s">
        <v>512</v>
      </c>
      <c r="F206" s="51" t="s">
        <v>677</v>
      </c>
    </row>
    <row r="207" spans="1:6" x14ac:dyDescent="0.25">
      <c r="A207" s="51">
        <v>11</v>
      </c>
      <c r="B207" s="51">
        <v>2014</v>
      </c>
      <c r="C207" s="51">
        <v>1</v>
      </c>
      <c r="D207" s="51">
        <f ca="1">+'Table 1'!G52</f>
        <v>-0.21047708138447474</v>
      </c>
      <c r="E207" s="51" t="s">
        <v>513</v>
      </c>
      <c r="F207" s="51" t="s">
        <v>677</v>
      </c>
    </row>
    <row r="208" spans="1:6" x14ac:dyDescent="0.25">
      <c r="A208" s="51">
        <v>11</v>
      </c>
      <c r="B208" s="51">
        <v>2014</v>
      </c>
      <c r="C208" s="51">
        <v>1</v>
      </c>
      <c r="D208" s="51">
        <f ca="1">+'Table 1'!G53</f>
        <v>0.13736263736265908</v>
      </c>
      <c r="E208" s="51" t="s">
        <v>514</v>
      </c>
      <c r="F208" s="51" t="s">
        <v>677</v>
      </c>
    </row>
    <row r="209" spans="1:7" x14ac:dyDescent="0.25">
      <c r="A209" s="51">
        <v>11</v>
      </c>
      <c r="B209" s="51">
        <v>2014</v>
      </c>
      <c r="C209" s="51">
        <v>1</v>
      </c>
      <c r="D209" s="51">
        <f ca="1">+'Table 1'!G54</f>
        <v>0.43677953890490784</v>
      </c>
      <c r="E209" s="51" t="s">
        <v>608</v>
      </c>
      <c r="F209" s="51" t="s">
        <v>677</v>
      </c>
    </row>
    <row r="210" spans="1:7" x14ac:dyDescent="0.25">
      <c r="A210" s="107">
        <v>7</v>
      </c>
      <c r="B210" s="51">
        <v>2014</v>
      </c>
      <c r="C210" s="51">
        <v>1</v>
      </c>
      <c r="D210" s="51">
        <f>+'Table 2'!E3</f>
        <v>6.066445182724145E-2</v>
      </c>
      <c r="E210" s="51" t="s">
        <v>465</v>
      </c>
      <c r="F210" s="51" t="s">
        <v>678</v>
      </c>
      <c r="G210" s="51" t="s">
        <v>721</v>
      </c>
    </row>
    <row r="211" spans="1:7" x14ac:dyDescent="0.25">
      <c r="A211" s="107">
        <v>7</v>
      </c>
      <c r="B211" s="51">
        <v>2014</v>
      </c>
      <c r="C211" s="51">
        <v>1</v>
      </c>
      <c r="D211" s="51">
        <f>+'Table 2'!E4</f>
        <v>-45.84908799358589</v>
      </c>
      <c r="E211" s="51" t="s">
        <v>466</v>
      </c>
      <c r="F211" s="51" t="s">
        <v>678</v>
      </c>
    </row>
    <row r="212" spans="1:7" x14ac:dyDescent="0.25">
      <c r="A212" s="107">
        <v>7</v>
      </c>
      <c r="B212" s="51">
        <v>2014</v>
      </c>
      <c r="C212" s="51">
        <v>1</v>
      </c>
      <c r="D212" s="51">
        <f>+'Table 2'!E5</f>
        <v>4.8725782290279573</v>
      </c>
      <c r="E212" s="51" t="s">
        <v>476</v>
      </c>
      <c r="F212" s="51" t="s">
        <v>678</v>
      </c>
    </row>
    <row r="213" spans="1:7" x14ac:dyDescent="0.25">
      <c r="A213" s="107">
        <v>7</v>
      </c>
      <c r="B213" s="51">
        <v>2014</v>
      </c>
      <c r="C213" s="51">
        <v>1</v>
      </c>
      <c r="D213" s="51">
        <f>+'Table 2'!E6</f>
        <v>2.5965260261407996</v>
      </c>
      <c r="E213" s="51" t="s">
        <v>475</v>
      </c>
      <c r="F213" s="51" t="s">
        <v>678</v>
      </c>
    </row>
    <row r="214" spans="1:7" x14ac:dyDescent="0.25">
      <c r="A214" s="107">
        <v>7</v>
      </c>
      <c r="B214" s="51">
        <v>2014</v>
      </c>
      <c r="C214" s="51">
        <v>1</v>
      </c>
      <c r="D214" s="51">
        <f>+'Table 2'!E7</f>
        <v>2.6960998009212922</v>
      </c>
      <c r="E214" s="51" t="s">
        <v>467</v>
      </c>
      <c r="F214" s="51" t="s">
        <v>678</v>
      </c>
    </row>
    <row r="215" spans="1:7" x14ac:dyDescent="0.25">
      <c r="A215" s="107">
        <v>7</v>
      </c>
      <c r="B215" s="51">
        <v>2014</v>
      </c>
      <c r="C215" s="51">
        <v>1</v>
      </c>
      <c r="D215" s="51">
        <f>+'Table 2'!E8</f>
        <v>6.5100953053300437</v>
      </c>
      <c r="E215" s="51" t="s">
        <v>477</v>
      </c>
      <c r="F215" s="51" t="s">
        <v>678</v>
      </c>
    </row>
    <row r="216" spans="1:7" x14ac:dyDescent="0.25">
      <c r="A216" s="107">
        <v>7</v>
      </c>
      <c r="B216" s="51">
        <v>2014</v>
      </c>
      <c r="C216" s="51">
        <v>1</v>
      </c>
      <c r="D216" s="51">
        <f>+'Table 2'!E9</f>
        <v>-2.0237252475247547</v>
      </c>
      <c r="E216" s="51" t="s">
        <v>468</v>
      </c>
      <c r="F216" s="51" t="s">
        <v>678</v>
      </c>
    </row>
    <row r="217" spans="1:7" x14ac:dyDescent="0.25">
      <c r="A217" s="107">
        <v>7</v>
      </c>
      <c r="B217" s="51">
        <v>2014</v>
      </c>
      <c r="C217" s="51">
        <v>1</v>
      </c>
      <c r="D217" s="51">
        <f>+'Table 2'!E10</f>
        <v>-9.2336779107725757</v>
      </c>
      <c r="E217" s="51" t="s">
        <v>469</v>
      </c>
      <c r="F217" s="51" t="s">
        <v>678</v>
      </c>
    </row>
    <row r="218" spans="1:7" x14ac:dyDescent="0.25">
      <c r="A218" s="107">
        <v>7</v>
      </c>
      <c r="B218" s="51">
        <v>2014</v>
      </c>
      <c r="C218" s="51">
        <v>1</v>
      </c>
      <c r="D218" s="51">
        <f>+'Table 2'!E11</f>
        <v>-0.11479346781940736</v>
      </c>
      <c r="E218" s="51" t="s">
        <v>600</v>
      </c>
      <c r="F218" s="51" t="s">
        <v>678</v>
      </c>
    </row>
    <row r="219" spans="1:7" x14ac:dyDescent="0.25">
      <c r="A219" s="107">
        <v>7</v>
      </c>
      <c r="B219" s="51">
        <v>2014</v>
      </c>
      <c r="C219" s="51">
        <v>1</v>
      </c>
      <c r="D219" s="51">
        <f>+'Table 2'!E12</f>
        <v>5.1880072312612935</v>
      </c>
      <c r="E219" s="51" t="s">
        <v>470</v>
      </c>
      <c r="F219" s="51" t="s">
        <v>678</v>
      </c>
    </row>
    <row r="220" spans="1:7" x14ac:dyDescent="0.25">
      <c r="A220" s="107">
        <v>7</v>
      </c>
      <c r="B220" s="51">
        <v>2014</v>
      </c>
      <c r="C220" s="51">
        <v>1</v>
      </c>
      <c r="D220" s="51">
        <f>+'Table 2'!E13</f>
        <v>4.8609615931721084</v>
      </c>
      <c r="E220" s="51" t="s">
        <v>471</v>
      </c>
      <c r="F220" s="51" t="s">
        <v>678</v>
      </c>
    </row>
    <row r="221" spans="1:7" x14ac:dyDescent="0.25">
      <c r="A221" s="107">
        <v>7</v>
      </c>
      <c r="B221" s="51">
        <v>2014</v>
      </c>
      <c r="C221" s="51">
        <v>1</v>
      </c>
      <c r="D221" s="51">
        <f>+'Table 2'!E14</f>
        <v>0.6173662551440362</v>
      </c>
      <c r="E221" s="51" t="s">
        <v>478</v>
      </c>
      <c r="F221" s="51" t="s">
        <v>678</v>
      </c>
    </row>
    <row r="222" spans="1:7" x14ac:dyDescent="0.25">
      <c r="A222" s="107">
        <v>7</v>
      </c>
      <c r="B222" s="51">
        <v>2014</v>
      </c>
      <c r="C222" s="51">
        <v>1</v>
      </c>
      <c r="D222" s="51">
        <f>+'Table 2'!E15</f>
        <v>4.9174931129476684</v>
      </c>
      <c r="E222" s="51" t="s">
        <v>479</v>
      </c>
      <c r="F222" s="51" t="s">
        <v>678</v>
      </c>
    </row>
    <row r="223" spans="1:7" x14ac:dyDescent="0.25">
      <c r="A223" s="107">
        <v>7</v>
      </c>
      <c r="B223" s="51">
        <v>2014</v>
      </c>
      <c r="C223" s="51">
        <v>1</v>
      </c>
      <c r="D223" s="51">
        <f>+'Table 2'!E16</f>
        <v>-0.85441906653425104</v>
      </c>
      <c r="E223" s="51" t="s">
        <v>480</v>
      </c>
      <c r="F223" s="51" t="s">
        <v>678</v>
      </c>
    </row>
    <row r="224" spans="1:7" x14ac:dyDescent="0.25">
      <c r="A224" s="107">
        <v>7</v>
      </c>
      <c r="B224" s="51">
        <v>2014</v>
      </c>
      <c r="C224" s="51">
        <v>1</v>
      </c>
      <c r="D224" s="51">
        <f>+'Table 2'!E17</f>
        <v>-0.32073199527746787</v>
      </c>
      <c r="E224" s="51" t="s">
        <v>481</v>
      </c>
      <c r="F224" s="51" t="s">
        <v>678</v>
      </c>
    </row>
    <row r="225" spans="1:6" x14ac:dyDescent="0.25">
      <c r="A225" s="107">
        <v>7</v>
      </c>
      <c r="B225" s="51">
        <v>2014</v>
      </c>
      <c r="C225" s="51">
        <v>1</v>
      </c>
      <c r="D225" s="51">
        <f>+'Table 2'!E18</f>
        <v>-1.6623192083227489</v>
      </c>
      <c r="E225" s="51" t="s">
        <v>482</v>
      </c>
      <c r="F225" s="51" t="s">
        <v>678</v>
      </c>
    </row>
    <row r="226" spans="1:6" x14ac:dyDescent="0.25">
      <c r="A226" s="107">
        <v>7</v>
      </c>
      <c r="B226" s="51">
        <v>2014</v>
      </c>
      <c r="C226" s="51">
        <v>1</v>
      </c>
      <c r="D226" s="51">
        <f>+'Table 2'!E19</f>
        <v>-2.7533298443019771</v>
      </c>
      <c r="E226" s="51" t="s">
        <v>483</v>
      </c>
      <c r="F226" s="51" t="s">
        <v>678</v>
      </c>
    </row>
    <row r="227" spans="1:6" x14ac:dyDescent="0.25">
      <c r="A227" s="107">
        <v>7</v>
      </c>
      <c r="B227" s="51">
        <v>2014</v>
      </c>
      <c r="C227" s="51">
        <v>1</v>
      </c>
      <c r="D227" s="51">
        <f>+'Table 2'!E20</f>
        <v>1.1976059438635112</v>
      </c>
      <c r="E227" s="51" t="s">
        <v>484</v>
      </c>
      <c r="F227" s="51" t="s">
        <v>678</v>
      </c>
    </row>
    <row r="228" spans="1:6" x14ac:dyDescent="0.25">
      <c r="A228" s="107">
        <v>7</v>
      </c>
      <c r="B228" s="51">
        <v>2014</v>
      </c>
      <c r="C228" s="51">
        <v>1</v>
      </c>
      <c r="D228" s="51">
        <f>+'Table 2'!E21</f>
        <v>6.7721580675919046</v>
      </c>
      <c r="E228" s="51" t="s">
        <v>485</v>
      </c>
      <c r="F228" s="51" t="s">
        <v>678</v>
      </c>
    </row>
    <row r="229" spans="1:6" x14ac:dyDescent="0.25">
      <c r="A229" s="107">
        <v>7</v>
      </c>
      <c r="B229" s="51">
        <v>2014</v>
      </c>
      <c r="C229" s="51">
        <v>1</v>
      </c>
      <c r="D229" s="51">
        <f>+'Table 2'!E22</f>
        <v>0.12954779033915731</v>
      </c>
      <c r="E229" s="51" t="s">
        <v>486</v>
      </c>
      <c r="F229" s="51" t="s">
        <v>678</v>
      </c>
    </row>
    <row r="230" spans="1:6" x14ac:dyDescent="0.25">
      <c r="A230" s="107">
        <v>7</v>
      </c>
      <c r="B230" s="51">
        <v>2014</v>
      </c>
      <c r="C230" s="51">
        <v>1</v>
      </c>
      <c r="D230" s="51">
        <f>+'Table 2'!E23</f>
        <v>1.4075963045005135</v>
      </c>
      <c r="E230" s="51" t="s">
        <v>487</v>
      </c>
      <c r="F230" s="51" t="s">
        <v>678</v>
      </c>
    </row>
    <row r="231" spans="1:6" x14ac:dyDescent="0.25">
      <c r="A231" s="107">
        <v>7</v>
      </c>
      <c r="B231" s="51">
        <v>2014</v>
      </c>
      <c r="C231" s="51">
        <v>1</v>
      </c>
      <c r="D231" s="51">
        <f>+'Table 2'!E24</f>
        <v>2.8484764428251985</v>
      </c>
      <c r="E231" s="51" t="s">
        <v>488</v>
      </c>
      <c r="F231" s="51" t="s">
        <v>678</v>
      </c>
    </row>
    <row r="232" spans="1:6" x14ac:dyDescent="0.25">
      <c r="A232" s="107">
        <v>7</v>
      </c>
      <c r="B232" s="51">
        <v>2014</v>
      </c>
      <c r="C232" s="51">
        <v>1</v>
      </c>
      <c r="D232" s="51">
        <f>+'Table 2'!E25</f>
        <v>-0.18345765158805927</v>
      </c>
      <c r="E232" s="51" t="s">
        <v>489</v>
      </c>
      <c r="F232" s="51" t="s">
        <v>678</v>
      </c>
    </row>
    <row r="233" spans="1:6" x14ac:dyDescent="0.25">
      <c r="A233" s="107">
        <v>7</v>
      </c>
      <c r="B233" s="51">
        <v>2014</v>
      </c>
      <c r="C233" s="51">
        <v>1</v>
      </c>
      <c r="D233" s="51">
        <f>+'Table 2'!E26</f>
        <v>3.1059147478426752</v>
      </c>
      <c r="E233" s="51" t="s">
        <v>490</v>
      </c>
      <c r="F233" s="51" t="s">
        <v>678</v>
      </c>
    </row>
    <row r="234" spans="1:6" x14ac:dyDescent="0.25">
      <c r="A234" s="107">
        <v>7</v>
      </c>
      <c r="B234" s="51">
        <v>2014</v>
      </c>
      <c r="C234" s="51">
        <v>1</v>
      </c>
      <c r="D234" s="51">
        <f>+'Table 2'!E27</f>
        <v>2.2433067675266871</v>
      </c>
      <c r="E234" s="51" t="s">
        <v>491</v>
      </c>
      <c r="F234" s="51" t="s">
        <v>678</v>
      </c>
    </row>
    <row r="235" spans="1:6" x14ac:dyDescent="0.25">
      <c r="A235" s="107">
        <v>7</v>
      </c>
      <c r="B235" s="51">
        <v>2014</v>
      </c>
      <c r="C235" s="51">
        <v>1</v>
      </c>
      <c r="D235" s="51">
        <f>+'Table 2'!E28</f>
        <v>0.42527394839164678</v>
      </c>
      <c r="E235" s="51" t="s">
        <v>492</v>
      </c>
      <c r="F235" s="51" t="s">
        <v>678</v>
      </c>
    </row>
    <row r="236" spans="1:6" x14ac:dyDescent="0.25">
      <c r="A236" s="107">
        <v>7</v>
      </c>
      <c r="B236" s="51">
        <v>2014</v>
      </c>
      <c r="C236" s="51">
        <v>1</v>
      </c>
      <c r="D236" s="51">
        <f>+'Table 2'!E29</f>
        <v>0.51228464419474928</v>
      </c>
      <c r="E236" s="51" t="s">
        <v>493</v>
      </c>
      <c r="F236" s="51" t="s">
        <v>678</v>
      </c>
    </row>
    <row r="237" spans="1:6" x14ac:dyDescent="0.25">
      <c r="A237" s="107">
        <v>7</v>
      </c>
      <c r="B237" s="51">
        <v>2014</v>
      </c>
      <c r="C237" s="51">
        <v>1</v>
      </c>
      <c r="D237" s="51">
        <f>+'Table 2'!E30</f>
        <v>5.4454161385720345</v>
      </c>
      <c r="E237" s="51" t="s">
        <v>494</v>
      </c>
      <c r="F237" s="51" t="s">
        <v>678</v>
      </c>
    </row>
    <row r="238" spans="1:6" x14ac:dyDescent="0.25">
      <c r="A238" s="107">
        <v>7</v>
      </c>
      <c r="B238" s="51">
        <v>2014</v>
      </c>
      <c r="C238" s="51">
        <v>1</v>
      </c>
      <c r="D238" s="51">
        <f>+'Table 2'!E31</f>
        <v>0.704719387755115</v>
      </c>
      <c r="E238" s="51" t="s">
        <v>495</v>
      </c>
      <c r="F238" s="51" t="s">
        <v>678</v>
      </c>
    </row>
    <row r="239" spans="1:6" x14ac:dyDescent="0.25">
      <c r="A239" s="107">
        <v>7</v>
      </c>
      <c r="B239" s="51">
        <v>2014</v>
      </c>
      <c r="C239" s="51">
        <v>1</v>
      </c>
      <c r="D239" s="51">
        <f>+'Table 2'!E32</f>
        <v>-4.2794404408647786</v>
      </c>
      <c r="E239" s="51" t="s">
        <v>496</v>
      </c>
      <c r="F239" s="51" t="s">
        <v>678</v>
      </c>
    </row>
    <row r="240" spans="1:6" x14ac:dyDescent="0.25">
      <c r="A240" s="107">
        <v>7</v>
      </c>
      <c r="B240" s="51">
        <v>2014</v>
      </c>
      <c r="C240" s="51">
        <v>1</v>
      </c>
      <c r="D240" s="51">
        <f>+'Table 2'!E33</f>
        <v>1.9534582866456152</v>
      </c>
      <c r="E240" s="51" t="s">
        <v>497</v>
      </c>
      <c r="F240" s="51" t="s">
        <v>678</v>
      </c>
    </row>
    <row r="241" spans="1:6" x14ac:dyDescent="0.25">
      <c r="A241" s="107">
        <v>7</v>
      </c>
      <c r="B241" s="51">
        <v>2014</v>
      </c>
      <c r="C241" s="51">
        <v>1</v>
      </c>
      <c r="D241" s="51">
        <f>+'Table 2'!E34</f>
        <v>2.3994604003481301</v>
      </c>
      <c r="E241" s="51" t="s">
        <v>472</v>
      </c>
      <c r="F241" s="51" t="s">
        <v>678</v>
      </c>
    </row>
    <row r="242" spans="1:6" x14ac:dyDescent="0.25">
      <c r="A242" s="107">
        <v>7</v>
      </c>
      <c r="B242" s="51">
        <v>2014</v>
      </c>
      <c r="C242" s="51">
        <v>1</v>
      </c>
      <c r="D242" s="51">
        <f>+'Table 2'!E35</f>
        <v>-1.7391562059563603</v>
      </c>
      <c r="E242" s="51" t="s">
        <v>498</v>
      </c>
      <c r="F242" s="51" t="s">
        <v>678</v>
      </c>
    </row>
    <row r="243" spans="1:6" x14ac:dyDescent="0.25">
      <c r="A243" s="107">
        <v>7</v>
      </c>
      <c r="B243" s="51">
        <v>2014</v>
      </c>
      <c r="C243" s="51">
        <v>1</v>
      </c>
      <c r="D243" s="51">
        <f>+'Table 2'!E36</f>
        <v>-3.5545029044255938</v>
      </c>
      <c r="E243" s="51" t="s">
        <v>474</v>
      </c>
      <c r="F243" s="51" t="s">
        <v>678</v>
      </c>
    </row>
    <row r="244" spans="1:6" x14ac:dyDescent="0.25">
      <c r="A244" s="107">
        <v>7</v>
      </c>
      <c r="B244" s="51">
        <v>2014</v>
      </c>
      <c r="C244" s="51">
        <v>1</v>
      </c>
      <c r="D244" s="51">
        <f>+'Table 2'!E37</f>
        <v>14.481010638297874</v>
      </c>
      <c r="E244" s="51" t="s">
        <v>473</v>
      </c>
      <c r="F244" s="51" t="s">
        <v>678</v>
      </c>
    </row>
    <row r="245" spans="1:6" x14ac:dyDescent="0.25">
      <c r="A245" s="107">
        <v>7</v>
      </c>
      <c r="B245" s="51">
        <v>2014</v>
      </c>
      <c r="C245" s="51">
        <v>1</v>
      </c>
      <c r="D245" s="51">
        <f>+'Table 2'!E38</f>
        <v>-1.9780067116515698</v>
      </c>
      <c r="E245" s="51" t="s">
        <v>499</v>
      </c>
      <c r="F245" s="51" t="s">
        <v>678</v>
      </c>
    </row>
    <row r="246" spans="1:6" x14ac:dyDescent="0.25">
      <c r="A246" s="107">
        <v>7</v>
      </c>
      <c r="B246" s="51">
        <v>2014</v>
      </c>
      <c r="C246" s="51">
        <v>1</v>
      </c>
      <c r="D246" s="51">
        <f>+'Table 2'!E39</f>
        <v>5.0444726517424376</v>
      </c>
      <c r="E246" s="51" t="s">
        <v>500</v>
      </c>
      <c r="F246" s="51" t="s">
        <v>678</v>
      </c>
    </row>
    <row r="247" spans="1:6" x14ac:dyDescent="0.25">
      <c r="A247" s="107">
        <v>7</v>
      </c>
      <c r="B247" s="51">
        <v>2014</v>
      </c>
      <c r="C247" s="51">
        <v>1</v>
      </c>
      <c r="D247" s="51">
        <f>+'Table 2'!E40</f>
        <v>4.4681518669609233E-2</v>
      </c>
      <c r="E247" s="51" t="s">
        <v>501</v>
      </c>
      <c r="F247" s="51" t="s">
        <v>678</v>
      </c>
    </row>
    <row r="248" spans="1:6" x14ac:dyDescent="0.25">
      <c r="A248" s="107">
        <v>7</v>
      </c>
      <c r="B248" s="51">
        <v>2014</v>
      </c>
      <c r="C248" s="51">
        <v>1</v>
      </c>
      <c r="D248" s="51">
        <f>+'Table 2'!E41</f>
        <v>1.5293706704238463</v>
      </c>
      <c r="E248" s="51" t="s">
        <v>502</v>
      </c>
      <c r="F248" s="51" t="s">
        <v>678</v>
      </c>
    </row>
    <row r="249" spans="1:6" x14ac:dyDescent="0.25">
      <c r="A249" s="107">
        <v>7</v>
      </c>
      <c r="B249" s="51">
        <v>2014</v>
      </c>
      <c r="C249" s="51">
        <v>1</v>
      </c>
      <c r="D249" s="51">
        <f>+'Table 2'!E42</f>
        <v>0.20890087660148104</v>
      </c>
      <c r="E249" s="51" t="s">
        <v>503</v>
      </c>
      <c r="F249" s="51" t="s">
        <v>678</v>
      </c>
    </row>
    <row r="250" spans="1:6" x14ac:dyDescent="0.25">
      <c r="A250" s="107">
        <v>7</v>
      </c>
      <c r="B250" s="51">
        <v>2014</v>
      </c>
      <c r="C250" s="51">
        <v>1</v>
      </c>
      <c r="D250" s="51">
        <f>+'Table 2'!E43</f>
        <v>6.763706654170587</v>
      </c>
      <c r="E250" s="51" t="s">
        <v>504</v>
      </c>
      <c r="F250" s="51" t="s">
        <v>678</v>
      </c>
    </row>
    <row r="251" spans="1:6" x14ac:dyDescent="0.25">
      <c r="A251" s="107">
        <v>7</v>
      </c>
      <c r="B251" s="51">
        <v>2014</v>
      </c>
      <c r="C251" s="51">
        <v>1</v>
      </c>
      <c r="D251" s="51">
        <f>+'Table 2'!E44</f>
        <v>4.9788961038961022</v>
      </c>
      <c r="E251" s="51" t="s">
        <v>505</v>
      </c>
      <c r="F251" s="51" t="s">
        <v>678</v>
      </c>
    </row>
    <row r="252" spans="1:6" x14ac:dyDescent="0.25">
      <c r="A252" s="107">
        <v>7</v>
      </c>
      <c r="B252" s="51">
        <v>2014</v>
      </c>
      <c r="C252" s="51">
        <v>1</v>
      </c>
      <c r="D252" s="51">
        <f>+'Table 2'!E45</f>
        <v>1.490050960407685</v>
      </c>
      <c r="E252" s="51" t="s">
        <v>506</v>
      </c>
      <c r="F252" s="51" t="s">
        <v>678</v>
      </c>
    </row>
    <row r="253" spans="1:6" x14ac:dyDescent="0.25">
      <c r="A253" s="107">
        <v>7</v>
      </c>
      <c r="B253" s="51">
        <v>2014</v>
      </c>
      <c r="C253" s="51">
        <v>1</v>
      </c>
      <c r="D253" s="51">
        <f>+'Table 2'!E46</f>
        <v>7.4679197122635932</v>
      </c>
      <c r="E253" s="51" t="s">
        <v>507</v>
      </c>
      <c r="F253" s="51" t="s">
        <v>678</v>
      </c>
    </row>
    <row r="254" spans="1:6" x14ac:dyDescent="0.25">
      <c r="A254" s="107">
        <v>7</v>
      </c>
      <c r="B254" s="51">
        <v>2014</v>
      </c>
      <c r="C254" s="51">
        <v>1</v>
      </c>
      <c r="D254" s="51">
        <f>+'Table 2'!E47</f>
        <v>-0.70960960960960717</v>
      </c>
      <c r="E254" s="51" t="s">
        <v>508</v>
      </c>
      <c r="F254" s="51" t="s">
        <v>678</v>
      </c>
    </row>
    <row r="255" spans="1:6" x14ac:dyDescent="0.25">
      <c r="A255" s="107">
        <v>7</v>
      </c>
      <c r="B255" s="51">
        <v>2014</v>
      </c>
      <c r="C255" s="51">
        <v>1</v>
      </c>
      <c r="D255" s="51">
        <f>+'Table 2'!E48</f>
        <v>3.221455805892548</v>
      </c>
      <c r="E255" s="51" t="s">
        <v>509</v>
      </c>
      <c r="F255" s="51" t="s">
        <v>678</v>
      </c>
    </row>
    <row r="256" spans="1:6" x14ac:dyDescent="0.25">
      <c r="A256" s="107">
        <v>7</v>
      </c>
      <c r="B256" s="51">
        <v>2014</v>
      </c>
      <c r="C256" s="51">
        <v>1</v>
      </c>
      <c r="D256" s="51">
        <f>+'Table 2'!E49</f>
        <v>0.66605442176870255</v>
      </c>
      <c r="E256" s="51" t="s">
        <v>510</v>
      </c>
      <c r="F256" s="51" t="s">
        <v>678</v>
      </c>
    </row>
    <row r="257" spans="1:7" x14ac:dyDescent="0.25">
      <c r="A257" s="107">
        <v>7</v>
      </c>
      <c r="B257" s="51">
        <v>2014</v>
      </c>
      <c r="C257" s="51">
        <v>1</v>
      </c>
      <c r="D257" s="51">
        <f>+'Table 2'!E50</f>
        <v>0.20389793362554087</v>
      </c>
      <c r="E257" s="51" t="s">
        <v>511</v>
      </c>
      <c r="F257" s="51" t="s">
        <v>678</v>
      </c>
    </row>
    <row r="258" spans="1:7" x14ac:dyDescent="0.25">
      <c r="A258" s="107">
        <v>7</v>
      </c>
      <c r="B258" s="51">
        <v>2014</v>
      </c>
      <c r="C258" s="51">
        <v>1</v>
      </c>
      <c r="D258" s="51">
        <f>+'Table 2'!E51</f>
        <v>1.2107413569975911</v>
      </c>
      <c r="E258" s="51" t="s">
        <v>512</v>
      </c>
      <c r="F258" s="51" t="s">
        <v>678</v>
      </c>
    </row>
    <row r="259" spans="1:7" x14ac:dyDescent="0.25">
      <c r="A259" s="107">
        <v>7</v>
      </c>
      <c r="B259" s="51">
        <v>2014</v>
      </c>
      <c r="C259" s="51">
        <v>1</v>
      </c>
      <c r="D259" s="51">
        <f>+'Table 2'!E52</f>
        <v>-2.7227958271236918</v>
      </c>
      <c r="E259" s="51" t="s">
        <v>513</v>
      </c>
      <c r="F259" s="51" t="s">
        <v>678</v>
      </c>
    </row>
    <row r="260" spans="1:7" x14ac:dyDescent="0.25">
      <c r="A260" s="107">
        <v>7</v>
      </c>
      <c r="B260" s="51">
        <v>2014</v>
      </c>
      <c r="C260" s="51">
        <v>1</v>
      </c>
      <c r="D260" s="51">
        <f>+'Table 2'!E53</f>
        <v>6.459255856683499</v>
      </c>
      <c r="E260" s="51" t="s">
        <v>514</v>
      </c>
      <c r="F260" s="51" t="s">
        <v>678</v>
      </c>
    </row>
    <row r="261" spans="1:7" x14ac:dyDescent="0.25">
      <c r="A261" s="107">
        <v>7</v>
      </c>
      <c r="B261" s="51">
        <v>2014</v>
      </c>
      <c r="C261" s="51">
        <v>1</v>
      </c>
      <c r="D261" s="51">
        <f>+'Table 2'!E54</f>
        <v>1.6239252562738393</v>
      </c>
      <c r="E261" s="51" t="s">
        <v>608</v>
      </c>
      <c r="F261" s="51" t="s">
        <v>678</v>
      </c>
    </row>
    <row r="262" spans="1:7" x14ac:dyDescent="0.25">
      <c r="A262" s="107">
        <v>7</v>
      </c>
      <c r="B262" s="51">
        <v>2014</v>
      </c>
      <c r="C262" s="51">
        <v>1</v>
      </c>
      <c r="D262" s="53">
        <f>+'Table 3'!C3</f>
        <v>1.6432176994952252</v>
      </c>
      <c r="E262" s="51" t="s">
        <v>465</v>
      </c>
      <c r="F262" s="51" t="s">
        <v>679</v>
      </c>
      <c r="G262" s="51" t="s">
        <v>720</v>
      </c>
    </row>
    <row r="263" spans="1:7" x14ac:dyDescent="0.25">
      <c r="A263" s="107">
        <v>7</v>
      </c>
      <c r="B263" s="51">
        <v>2014</v>
      </c>
      <c r="C263" s="51">
        <v>1</v>
      </c>
      <c r="D263" s="53">
        <f>+'Table 3'!C4</f>
        <v>2.3601625313391494</v>
      </c>
      <c r="E263" s="51" t="s">
        <v>466</v>
      </c>
      <c r="F263" s="51" t="s">
        <v>679</v>
      </c>
      <c r="G263" s="51" t="s">
        <v>715</v>
      </c>
    </row>
    <row r="264" spans="1:7" x14ac:dyDescent="0.25">
      <c r="A264" s="107">
        <v>7</v>
      </c>
      <c r="B264" s="51">
        <v>2014</v>
      </c>
      <c r="C264" s="51">
        <v>1</v>
      </c>
      <c r="D264" s="53">
        <f>+'Table 3'!C5</f>
        <v>6.568623055194367</v>
      </c>
      <c r="E264" s="51" t="s">
        <v>476</v>
      </c>
      <c r="F264" s="51" t="s">
        <v>679</v>
      </c>
    </row>
    <row r="265" spans="1:7" x14ac:dyDescent="0.25">
      <c r="A265" s="107">
        <v>7</v>
      </c>
      <c r="B265" s="51">
        <v>2014</v>
      </c>
      <c r="C265" s="51">
        <v>1</v>
      </c>
      <c r="D265" s="53">
        <f>+'Table 3'!C6</f>
        <v>1.9154662023112223</v>
      </c>
      <c r="E265" s="51" t="s">
        <v>475</v>
      </c>
      <c r="F265" s="51" t="s">
        <v>679</v>
      </c>
    </row>
    <row r="266" spans="1:7" x14ac:dyDescent="0.25">
      <c r="A266" s="107">
        <v>7</v>
      </c>
      <c r="B266" s="51">
        <v>2014</v>
      </c>
      <c r="C266" s="51">
        <v>1</v>
      </c>
      <c r="D266" s="53">
        <f>+'Table 3'!C7</f>
        <v>8.1166549543218558</v>
      </c>
      <c r="E266" s="51" t="s">
        <v>467</v>
      </c>
      <c r="F266" s="51" t="s">
        <v>679</v>
      </c>
    </row>
    <row r="267" spans="1:7" x14ac:dyDescent="0.25">
      <c r="A267" s="107">
        <v>7</v>
      </c>
      <c r="B267" s="51">
        <v>2014</v>
      </c>
      <c r="C267" s="51">
        <v>1</v>
      </c>
      <c r="D267" s="53">
        <f>+'Table 3'!C8</f>
        <v>6.9630900155028375</v>
      </c>
      <c r="E267" s="51" t="s">
        <v>477</v>
      </c>
      <c r="F267" s="51" t="s">
        <v>679</v>
      </c>
    </row>
    <row r="268" spans="1:7" x14ac:dyDescent="0.25">
      <c r="A268" s="107">
        <v>7</v>
      </c>
      <c r="B268" s="51">
        <v>2014</v>
      </c>
      <c r="C268" s="51">
        <v>1</v>
      </c>
      <c r="D268" s="53">
        <f>+'Table 3'!C9</f>
        <v>-1.270883054892602</v>
      </c>
      <c r="E268" s="51" t="s">
        <v>468</v>
      </c>
      <c r="F268" s="51" t="s">
        <v>679</v>
      </c>
    </row>
    <row r="269" spans="1:7" x14ac:dyDescent="0.25">
      <c r="A269" s="107">
        <v>7</v>
      </c>
      <c r="B269" s="51">
        <v>2014</v>
      </c>
      <c r="C269" s="51">
        <v>1</v>
      </c>
      <c r="D269" s="53">
        <f>+'Table 3'!C10</f>
        <v>2.1742675436198233E-2</v>
      </c>
      <c r="E269" s="51" t="s">
        <v>469</v>
      </c>
      <c r="F269" s="51" t="s">
        <v>679</v>
      </c>
    </row>
    <row r="270" spans="1:7" x14ac:dyDescent="0.25">
      <c r="A270" s="107">
        <v>7</v>
      </c>
      <c r="B270" s="51">
        <v>2014</v>
      </c>
      <c r="C270" s="51">
        <v>1</v>
      </c>
      <c r="D270" s="53">
        <f>+'Table 3'!C11</f>
        <v>4.8384831460674294</v>
      </c>
      <c r="E270" s="51" t="s">
        <v>600</v>
      </c>
      <c r="F270" s="51" t="s">
        <v>679</v>
      </c>
    </row>
    <row r="271" spans="1:7" x14ac:dyDescent="0.25">
      <c r="A271" s="107">
        <v>7</v>
      </c>
      <c r="B271" s="51">
        <v>2014</v>
      </c>
      <c r="C271" s="51">
        <v>1</v>
      </c>
      <c r="D271" s="53">
        <f>+'Table 3'!C12</f>
        <v>7.8544812708374101</v>
      </c>
      <c r="E271" s="51" t="s">
        <v>470</v>
      </c>
      <c r="F271" s="51" t="s">
        <v>679</v>
      </c>
    </row>
    <row r="272" spans="1:7" x14ac:dyDescent="0.25">
      <c r="A272" s="107">
        <v>7</v>
      </c>
      <c r="B272" s="51">
        <v>2014</v>
      </c>
      <c r="C272" s="51">
        <v>1</v>
      </c>
      <c r="D272" s="53">
        <f>+'Table 3'!C13</f>
        <v>6.6643745344106442</v>
      </c>
      <c r="E272" s="51" t="s">
        <v>471</v>
      </c>
      <c r="F272" s="51" t="s">
        <v>679</v>
      </c>
    </row>
    <row r="273" spans="1:6" x14ac:dyDescent="0.25">
      <c r="A273" s="107">
        <v>7</v>
      </c>
      <c r="B273" s="51">
        <v>2014</v>
      </c>
      <c r="C273" s="51">
        <v>1</v>
      </c>
      <c r="D273" s="53">
        <f>+'Table 3'!C14</f>
        <v>8.1374501992031778</v>
      </c>
      <c r="E273" s="51" t="s">
        <v>478</v>
      </c>
      <c r="F273" s="51" t="s">
        <v>679</v>
      </c>
    </row>
    <row r="274" spans="1:6" x14ac:dyDescent="0.25">
      <c r="A274" s="107">
        <v>7</v>
      </c>
      <c r="B274" s="51">
        <v>2014</v>
      </c>
      <c r="C274" s="51">
        <v>1</v>
      </c>
      <c r="D274" s="53">
        <f>+'Table 3'!C15</f>
        <v>3.7660691653087275</v>
      </c>
      <c r="E274" s="51" t="s">
        <v>479</v>
      </c>
      <c r="F274" s="51" t="s">
        <v>679</v>
      </c>
    </row>
    <row r="275" spans="1:6" x14ac:dyDescent="0.25">
      <c r="A275" s="107">
        <v>7</v>
      </c>
      <c r="B275" s="51">
        <v>2014</v>
      </c>
      <c r="C275" s="51">
        <v>1</v>
      </c>
      <c r="D275" s="53">
        <f>+'Table 3'!C16</f>
        <v>3.5543130990415284</v>
      </c>
      <c r="E275" s="51" t="s">
        <v>480</v>
      </c>
      <c r="F275" s="51" t="s">
        <v>679</v>
      </c>
    </row>
    <row r="276" spans="1:6" x14ac:dyDescent="0.25">
      <c r="A276" s="107">
        <v>7</v>
      </c>
      <c r="B276" s="51">
        <v>2014</v>
      </c>
      <c r="C276" s="51">
        <v>1</v>
      </c>
      <c r="D276" s="53">
        <f>+'Table 3'!C17</f>
        <v>2.6686567164179165</v>
      </c>
      <c r="E276" s="51" t="s">
        <v>481</v>
      </c>
      <c r="F276" s="51" t="s">
        <v>679</v>
      </c>
    </row>
    <row r="277" spans="1:6" x14ac:dyDescent="0.25">
      <c r="A277" s="107">
        <v>7</v>
      </c>
      <c r="B277" s="51">
        <v>2014</v>
      </c>
      <c r="C277" s="51">
        <v>1</v>
      </c>
      <c r="D277" s="53">
        <f>+'Table 3'!C18</f>
        <v>3.3985782452040203</v>
      </c>
      <c r="E277" s="51" t="s">
        <v>482</v>
      </c>
      <c r="F277" s="51" t="s">
        <v>679</v>
      </c>
    </row>
    <row r="278" spans="1:6" x14ac:dyDescent="0.25">
      <c r="A278" s="107">
        <v>7</v>
      </c>
      <c r="B278" s="51">
        <v>2014</v>
      </c>
      <c r="C278" s="51">
        <v>1</v>
      </c>
      <c r="D278" s="53">
        <f>+'Table 3'!C19</f>
        <v>3.1856796116504826</v>
      </c>
      <c r="E278" s="51" t="s">
        <v>483</v>
      </c>
      <c r="F278" s="51" t="s">
        <v>679</v>
      </c>
    </row>
    <row r="279" spans="1:6" x14ac:dyDescent="0.25">
      <c r="A279" s="107">
        <v>7</v>
      </c>
      <c r="B279" s="51">
        <v>2014</v>
      </c>
      <c r="C279" s="51">
        <v>1</v>
      </c>
      <c r="D279" s="53">
        <f>+'Table 3'!C20</f>
        <v>1.7063797079169829</v>
      </c>
      <c r="E279" s="51" t="s">
        <v>484</v>
      </c>
      <c r="F279" s="51" t="s">
        <v>679</v>
      </c>
    </row>
    <row r="280" spans="1:6" x14ac:dyDescent="0.25">
      <c r="A280" s="107">
        <v>7</v>
      </c>
      <c r="B280" s="51">
        <v>2014</v>
      </c>
      <c r="C280" s="51">
        <v>1</v>
      </c>
      <c r="D280" s="53">
        <f>+'Table 3'!C21</f>
        <v>4.1604010025062754</v>
      </c>
      <c r="E280" s="51" t="s">
        <v>485</v>
      </c>
      <c r="F280" s="51" t="s">
        <v>679</v>
      </c>
    </row>
    <row r="281" spans="1:6" x14ac:dyDescent="0.25">
      <c r="A281" s="107">
        <v>7</v>
      </c>
      <c r="B281" s="51">
        <v>2014</v>
      </c>
      <c r="C281" s="51">
        <v>1</v>
      </c>
      <c r="D281" s="53">
        <f>+'Table 3'!C22</f>
        <v>2.962532674992735</v>
      </c>
      <c r="E281" s="51" t="s">
        <v>486</v>
      </c>
      <c r="F281" s="51" t="s">
        <v>679</v>
      </c>
    </row>
    <row r="282" spans="1:6" x14ac:dyDescent="0.25">
      <c r="A282" s="107">
        <v>7</v>
      </c>
      <c r="B282" s="51">
        <v>2014</v>
      </c>
      <c r="C282" s="51">
        <v>1</v>
      </c>
      <c r="D282" s="53">
        <f>+'Table 3'!C23</f>
        <v>0.37796976241901703</v>
      </c>
      <c r="E282" s="51" t="s">
        <v>487</v>
      </c>
      <c r="F282" s="51" t="s">
        <v>679</v>
      </c>
    </row>
    <row r="283" spans="1:6" x14ac:dyDescent="0.25">
      <c r="A283" s="107">
        <v>7</v>
      </c>
      <c r="B283" s="51">
        <v>2014</v>
      </c>
      <c r="C283" s="51">
        <v>1</v>
      </c>
      <c r="D283" s="53">
        <f>+'Table 3'!C24</f>
        <v>4.6890748937288951</v>
      </c>
      <c r="E283" s="51" t="s">
        <v>488</v>
      </c>
      <c r="F283" s="51" t="s">
        <v>679</v>
      </c>
    </row>
    <row r="284" spans="1:6" x14ac:dyDescent="0.25">
      <c r="A284" s="107">
        <v>7</v>
      </c>
      <c r="B284" s="51">
        <v>2014</v>
      </c>
      <c r="C284" s="51">
        <v>1</v>
      </c>
      <c r="D284" s="53">
        <f>+'Table 3'!C25</f>
        <v>6.3089411483824964</v>
      </c>
      <c r="E284" s="51" t="s">
        <v>489</v>
      </c>
      <c r="F284" s="51" t="s">
        <v>679</v>
      </c>
    </row>
    <row r="285" spans="1:6" x14ac:dyDescent="0.25">
      <c r="A285" s="107">
        <v>7</v>
      </c>
      <c r="B285" s="51">
        <v>2014</v>
      </c>
      <c r="C285" s="51">
        <v>1</v>
      </c>
      <c r="D285" s="53">
        <f>+'Table 3'!C26</f>
        <v>2.6543591555516333</v>
      </c>
      <c r="E285" s="51" t="s">
        <v>490</v>
      </c>
      <c r="F285" s="51" t="s">
        <v>679</v>
      </c>
    </row>
    <row r="286" spans="1:6" x14ac:dyDescent="0.25">
      <c r="A286" s="107">
        <v>7</v>
      </c>
      <c r="B286" s="51">
        <v>2014</v>
      </c>
      <c r="C286" s="51">
        <v>1</v>
      </c>
      <c r="D286" s="53">
        <f>+'Table 3'!C27</f>
        <v>3.1220223081665832</v>
      </c>
      <c r="E286" s="51" t="s">
        <v>491</v>
      </c>
      <c r="F286" s="51" t="s">
        <v>679</v>
      </c>
    </row>
    <row r="287" spans="1:6" x14ac:dyDescent="0.25">
      <c r="A287" s="107">
        <v>7</v>
      </c>
      <c r="B287" s="51">
        <v>2014</v>
      </c>
      <c r="C287" s="51">
        <v>1</v>
      </c>
      <c r="D287" s="53">
        <f>+'Table 3'!C28</f>
        <v>2.8353898661065857</v>
      </c>
      <c r="E287" s="51" t="s">
        <v>492</v>
      </c>
      <c r="F287" s="51" t="s">
        <v>679</v>
      </c>
    </row>
    <row r="288" spans="1:6" x14ac:dyDescent="0.25">
      <c r="A288" s="107">
        <v>7</v>
      </c>
      <c r="B288" s="51">
        <v>2014</v>
      </c>
      <c r="C288" s="51">
        <v>1</v>
      </c>
      <c r="D288" s="53">
        <f>+'Table 3'!C29</f>
        <v>6.1531608921128633</v>
      </c>
      <c r="E288" s="51" t="s">
        <v>493</v>
      </c>
      <c r="F288" s="51" t="s">
        <v>679</v>
      </c>
    </row>
    <row r="289" spans="1:6" x14ac:dyDescent="0.25">
      <c r="A289" s="107">
        <v>7</v>
      </c>
      <c r="B289" s="51">
        <v>2014</v>
      </c>
      <c r="C289" s="51">
        <v>1</v>
      </c>
      <c r="D289" s="53">
        <f>+'Table 3'!C30</f>
        <v>4.7755121809463841</v>
      </c>
      <c r="E289" s="51" t="s">
        <v>494</v>
      </c>
      <c r="F289" s="51" t="s">
        <v>679</v>
      </c>
    </row>
    <row r="290" spans="1:6" x14ac:dyDescent="0.25">
      <c r="A290" s="107">
        <v>7</v>
      </c>
      <c r="B290" s="51">
        <v>2014</v>
      </c>
      <c r="C290" s="51">
        <v>1</v>
      </c>
      <c r="D290" s="53">
        <f>+'Table 3'!C31</f>
        <v>10.3494623655914</v>
      </c>
      <c r="E290" s="51" t="s">
        <v>495</v>
      </c>
      <c r="F290" s="51" t="s">
        <v>679</v>
      </c>
    </row>
    <row r="291" spans="1:6" x14ac:dyDescent="0.25">
      <c r="A291" s="107">
        <v>7</v>
      </c>
      <c r="B291" s="51">
        <v>2014</v>
      </c>
      <c r="C291" s="51">
        <v>1</v>
      </c>
      <c r="D291" s="53">
        <f>+'Table 3'!C32</f>
        <v>3.5371552027332553</v>
      </c>
      <c r="E291" s="51" t="s">
        <v>496</v>
      </c>
      <c r="F291" s="51" t="s">
        <v>679</v>
      </c>
    </row>
    <row r="292" spans="1:6" x14ac:dyDescent="0.25">
      <c r="A292" s="107">
        <v>7</v>
      </c>
      <c r="B292" s="51">
        <v>2014</v>
      </c>
      <c r="C292" s="51">
        <v>1</v>
      </c>
      <c r="D292" s="53">
        <f>+'Table 3'!C33</f>
        <v>1.9469525959368017</v>
      </c>
      <c r="E292" s="51" t="s">
        <v>497</v>
      </c>
      <c r="F292" s="51" t="s">
        <v>679</v>
      </c>
    </row>
    <row r="293" spans="1:6" x14ac:dyDescent="0.25">
      <c r="A293" s="107">
        <v>7</v>
      </c>
      <c r="B293" s="51">
        <v>2014</v>
      </c>
      <c r="C293" s="51">
        <v>1</v>
      </c>
      <c r="D293" s="53">
        <f>+'Table 3'!C34</f>
        <v>1.2387868432294002</v>
      </c>
      <c r="E293" s="51" t="s">
        <v>472</v>
      </c>
      <c r="F293" s="51" t="s">
        <v>679</v>
      </c>
    </row>
    <row r="294" spans="1:6" x14ac:dyDescent="0.25">
      <c r="A294" s="107">
        <v>7</v>
      </c>
      <c r="B294" s="51">
        <v>2014</v>
      </c>
      <c r="C294" s="51">
        <v>1</v>
      </c>
      <c r="D294" s="53">
        <f>+'Table 3'!C35</f>
        <v>1.5481817304909828</v>
      </c>
      <c r="E294" s="51" t="s">
        <v>498</v>
      </c>
      <c r="F294" s="51" t="s">
        <v>679</v>
      </c>
    </row>
    <row r="295" spans="1:6" x14ac:dyDescent="0.25">
      <c r="A295" s="107">
        <v>7</v>
      </c>
      <c r="B295" s="51">
        <v>2014</v>
      </c>
      <c r="C295" s="51">
        <v>1</v>
      </c>
      <c r="D295" s="53">
        <f>+'Table 3'!C36</f>
        <v>2.7776308131844951</v>
      </c>
      <c r="E295" s="51" t="s">
        <v>474</v>
      </c>
      <c r="F295" s="51" t="s">
        <v>679</v>
      </c>
    </row>
    <row r="296" spans="1:6" x14ac:dyDescent="0.25">
      <c r="A296" s="107">
        <v>7</v>
      </c>
      <c r="B296" s="51">
        <v>2014</v>
      </c>
      <c r="C296" s="51">
        <v>1</v>
      </c>
      <c r="D296" s="53">
        <f>+'Table 3'!C37</f>
        <v>8.0759568494162881</v>
      </c>
      <c r="E296" s="51" t="s">
        <v>473</v>
      </c>
      <c r="F296" s="51" t="s">
        <v>679</v>
      </c>
    </row>
    <row r="297" spans="1:6" x14ac:dyDescent="0.25">
      <c r="A297" s="107">
        <v>7</v>
      </c>
      <c r="B297" s="51">
        <v>2014</v>
      </c>
      <c r="C297" s="51">
        <v>1</v>
      </c>
      <c r="D297" s="53">
        <f>+'Table 3'!C38</f>
        <v>3.9656353109630782</v>
      </c>
      <c r="E297" s="51" t="s">
        <v>499</v>
      </c>
      <c r="F297" s="51" t="s">
        <v>679</v>
      </c>
    </row>
    <row r="298" spans="1:6" x14ac:dyDescent="0.25">
      <c r="A298" s="107">
        <v>7</v>
      </c>
      <c r="B298" s="51">
        <v>2014</v>
      </c>
      <c r="C298" s="51">
        <v>1</v>
      </c>
      <c r="D298" s="53">
        <f>+'Table 3'!C39</f>
        <v>3.2454856027330337</v>
      </c>
      <c r="E298" s="51" t="s">
        <v>500</v>
      </c>
      <c r="F298" s="51" t="s">
        <v>679</v>
      </c>
    </row>
    <row r="299" spans="1:6" x14ac:dyDescent="0.25">
      <c r="A299" s="107">
        <v>7</v>
      </c>
      <c r="B299" s="51">
        <v>2014</v>
      </c>
      <c r="C299" s="51">
        <v>1</v>
      </c>
      <c r="D299" s="53">
        <f>+'Table 3'!C40</f>
        <v>6.9780238676617312</v>
      </c>
      <c r="E299" s="51" t="s">
        <v>501</v>
      </c>
      <c r="F299" s="51" t="s">
        <v>679</v>
      </c>
    </row>
    <row r="300" spans="1:6" x14ac:dyDescent="0.25">
      <c r="A300" s="107">
        <v>7</v>
      </c>
      <c r="B300" s="51">
        <v>2014</v>
      </c>
      <c r="C300" s="51">
        <v>1</v>
      </c>
      <c r="D300" s="53">
        <f>+'Table 3'!C41</f>
        <v>1.7312661498708026</v>
      </c>
      <c r="E300" s="51" t="s">
        <v>502</v>
      </c>
      <c r="F300" s="51" t="s">
        <v>679</v>
      </c>
    </row>
    <row r="301" spans="1:6" x14ac:dyDescent="0.25">
      <c r="A301" s="107">
        <v>7</v>
      </c>
      <c r="B301" s="51">
        <v>2014</v>
      </c>
      <c r="C301" s="51">
        <v>1</v>
      </c>
      <c r="D301" s="53">
        <f>+'Table 3'!C42</f>
        <v>2.1798511059932579</v>
      </c>
      <c r="E301" s="51" t="s">
        <v>503</v>
      </c>
      <c r="F301" s="51" t="s">
        <v>679</v>
      </c>
    </row>
    <row r="302" spans="1:6" x14ac:dyDescent="0.25">
      <c r="A302" s="107">
        <v>7</v>
      </c>
      <c r="B302" s="51">
        <v>2014</v>
      </c>
      <c r="C302" s="51">
        <v>1</v>
      </c>
      <c r="D302" s="53">
        <f>+'Table 3'!C43</f>
        <v>3.5784548306481812</v>
      </c>
      <c r="E302" s="51" t="s">
        <v>504</v>
      </c>
      <c r="F302" s="51" t="s">
        <v>679</v>
      </c>
    </row>
    <row r="303" spans="1:6" x14ac:dyDescent="0.25">
      <c r="A303" s="107">
        <v>7</v>
      </c>
      <c r="B303" s="51">
        <v>2014</v>
      </c>
      <c r="C303" s="51">
        <v>1</v>
      </c>
      <c r="D303" s="53">
        <f>+'Table 3'!C44</f>
        <v>2.5976707689766343</v>
      </c>
      <c r="E303" s="51" t="s">
        <v>505</v>
      </c>
      <c r="F303" s="51" t="s">
        <v>679</v>
      </c>
    </row>
    <row r="304" spans="1:6" x14ac:dyDescent="0.25">
      <c r="A304" s="107">
        <v>7</v>
      </c>
      <c r="B304" s="51">
        <v>2014</v>
      </c>
      <c r="C304" s="51">
        <v>1</v>
      </c>
      <c r="D304" s="53">
        <f>+'Table 3'!C45</f>
        <v>5.1253481894150354</v>
      </c>
      <c r="E304" s="51" t="s">
        <v>506</v>
      </c>
      <c r="F304" s="51" t="s">
        <v>679</v>
      </c>
    </row>
    <row r="305" spans="1:8" x14ac:dyDescent="0.25">
      <c r="A305" s="107">
        <v>7</v>
      </c>
      <c r="B305" s="51">
        <v>2014</v>
      </c>
      <c r="C305" s="51">
        <v>1</v>
      </c>
      <c r="D305" s="53">
        <f>+'Table 3'!C46</f>
        <v>7.1158392434988338</v>
      </c>
      <c r="E305" s="51" t="s">
        <v>507</v>
      </c>
      <c r="F305" s="51" t="s">
        <v>679</v>
      </c>
    </row>
    <row r="306" spans="1:8" x14ac:dyDescent="0.25">
      <c r="A306" s="107">
        <v>7</v>
      </c>
      <c r="B306" s="51">
        <v>2014</v>
      </c>
      <c r="C306" s="51">
        <v>1</v>
      </c>
      <c r="D306" s="53">
        <f>+'Table 3'!C47</f>
        <v>3.4599185492011575</v>
      </c>
      <c r="E306" s="51" t="s">
        <v>508</v>
      </c>
      <c r="F306" s="51" t="s">
        <v>679</v>
      </c>
      <c r="H306" s="51" t="s">
        <v>715</v>
      </c>
    </row>
    <row r="307" spans="1:8" x14ac:dyDescent="0.25">
      <c r="A307" s="107">
        <v>7</v>
      </c>
      <c r="B307" s="51">
        <v>2014</v>
      </c>
      <c r="C307" s="51">
        <v>1</v>
      </c>
      <c r="D307" s="53">
        <f>+'Table 3'!C48</f>
        <v>0.17285680915672952</v>
      </c>
      <c r="E307" s="51" t="s">
        <v>509</v>
      </c>
      <c r="F307" s="51" t="s">
        <v>679</v>
      </c>
    </row>
    <row r="308" spans="1:8" x14ac:dyDescent="0.25">
      <c r="A308" s="107">
        <v>7</v>
      </c>
      <c r="B308" s="51">
        <v>2014</v>
      </c>
      <c r="C308" s="51">
        <v>1</v>
      </c>
      <c r="D308" s="53">
        <f>+'Table 3'!C49</f>
        <v>0.92389110642687733</v>
      </c>
      <c r="E308" s="51" t="s">
        <v>510</v>
      </c>
      <c r="F308" s="51" t="s">
        <v>679</v>
      </c>
    </row>
    <row r="309" spans="1:8" x14ac:dyDescent="0.25">
      <c r="A309" s="107">
        <v>7</v>
      </c>
      <c r="B309" s="51">
        <v>2014</v>
      </c>
      <c r="C309" s="51">
        <v>1</v>
      </c>
      <c r="D309" s="53">
        <f>+'Table 3'!C50</f>
        <v>4.9518970471867041</v>
      </c>
      <c r="E309" s="51" t="s">
        <v>511</v>
      </c>
      <c r="F309" s="51" t="s">
        <v>679</v>
      </c>
    </row>
    <row r="310" spans="1:8" x14ac:dyDescent="0.25">
      <c r="A310" s="107">
        <v>7</v>
      </c>
      <c r="B310" s="51">
        <v>2014</v>
      </c>
      <c r="C310" s="51">
        <v>1</v>
      </c>
      <c r="D310" s="53">
        <f>+'Table 3'!C51</f>
        <v>5.0836256418077319</v>
      </c>
      <c r="E310" s="51" t="s">
        <v>512</v>
      </c>
      <c r="F310" s="51" t="s">
        <v>679</v>
      </c>
    </row>
    <row r="311" spans="1:8" x14ac:dyDescent="0.25">
      <c r="A311" s="107">
        <v>7</v>
      </c>
      <c r="B311" s="51">
        <v>2014</v>
      </c>
      <c r="C311" s="51">
        <v>1</v>
      </c>
      <c r="D311" s="53">
        <f>+'Table 3'!C52</f>
        <v>2.8415090717097025</v>
      </c>
      <c r="E311" s="51" t="s">
        <v>513</v>
      </c>
      <c r="F311" s="51" t="s">
        <v>679</v>
      </c>
    </row>
    <row r="312" spans="1:8" x14ac:dyDescent="0.25">
      <c r="A312" s="107">
        <v>7</v>
      </c>
      <c r="B312" s="51">
        <v>2014</v>
      </c>
      <c r="C312" s="51">
        <v>1</v>
      </c>
      <c r="D312" s="53">
        <f>+'Table 3'!C53</f>
        <v>3.6451602213606327</v>
      </c>
      <c r="E312" s="51" t="s">
        <v>514</v>
      </c>
      <c r="F312" s="51" t="s">
        <v>679</v>
      </c>
    </row>
    <row r="313" spans="1:8" x14ac:dyDescent="0.25">
      <c r="A313" s="107">
        <v>7</v>
      </c>
      <c r="B313" s="51">
        <v>2014</v>
      </c>
      <c r="C313" s="51">
        <v>1</v>
      </c>
      <c r="D313" s="53">
        <f>+'Table 3'!C54</f>
        <v>4.5486076702011768</v>
      </c>
      <c r="E313" s="51" t="s">
        <v>608</v>
      </c>
      <c r="F313" s="51" t="s">
        <v>679</v>
      </c>
    </row>
    <row r="314" spans="1:8" x14ac:dyDescent="0.25">
      <c r="A314" s="51">
        <v>8</v>
      </c>
      <c r="B314" s="51">
        <v>2014</v>
      </c>
      <c r="C314" s="51">
        <v>1</v>
      </c>
      <c r="D314" s="54" t="e">
        <f>+#REF!</f>
        <v>#REF!</v>
      </c>
      <c r="E314" s="51" t="s">
        <v>465</v>
      </c>
      <c r="F314" s="51" t="s">
        <v>680</v>
      </c>
      <c r="G314" s="51" t="s">
        <v>717</v>
      </c>
    </row>
    <row r="315" spans="1:8" x14ac:dyDescent="0.25">
      <c r="A315" s="51">
        <v>8</v>
      </c>
      <c r="B315" s="51">
        <v>2014</v>
      </c>
      <c r="C315" s="51">
        <v>1</v>
      </c>
      <c r="D315" s="54" t="e">
        <f>+#REF!</f>
        <v>#REF!</v>
      </c>
      <c r="E315" s="51" t="s">
        <v>466</v>
      </c>
      <c r="F315" s="51" t="s">
        <v>680</v>
      </c>
    </row>
    <row r="316" spans="1:8" x14ac:dyDescent="0.25">
      <c r="A316" s="51">
        <v>8</v>
      </c>
      <c r="B316" s="51">
        <v>2014</v>
      </c>
      <c r="C316" s="51">
        <v>1</v>
      </c>
      <c r="D316" s="54" t="e">
        <f>+#REF!</f>
        <v>#REF!</v>
      </c>
      <c r="E316" s="51" t="s">
        <v>476</v>
      </c>
      <c r="F316" s="51" t="s">
        <v>680</v>
      </c>
    </row>
    <row r="317" spans="1:8" x14ac:dyDescent="0.25">
      <c r="A317" s="51">
        <v>8</v>
      </c>
      <c r="B317" s="51">
        <v>2014</v>
      </c>
      <c r="C317" s="51">
        <v>1</v>
      </c>
      <c r="D317" s="54" t="e">
        <f>+#REF!</f>
        <v>#REF!</v>
      </c>
      <c r="E317" s="51" t="s">
        <v>475</v>
      </c>
      <c r="F317" s="51" t="s">
        <v>680</v>
      </c>
    </row>
    <row r="318" spans="1:8" x14ac:dyDescent="0.25">
      <c r="A318" s="51">
        <v>8</v>
      </c>
      <c r="B318" s="51">
        <v>2014</v>
      </c>
      <c r="C318" s="51">
        <v>1</v>
      </c>
      <c r="D318" s="54" t="e">
        <f>+#REF!</f>
        <v>#REF!</v>
      </c>
      <c r="E318" s="51" t="s">
        <v>467</v>
      </c>
      <c r="F318" s="51" t="s">
        <v>680</v>
      </c>
    </row>
    <row r="319" spans="1:8" x14ac:dyDescent="0.25">
      <c r="A319" s="51">
        <v>8</v>
      </c>
      <c r="B319" s="51">
        <v>2014</v>
      </c>
      <c r="C319" s="51">
        <v>1</v>
      </c>
      <c r="D319" s="54" t="e">
        <f>+#REF!</f>
        <v>#REF!</v>
      </c>
      <c r="E319" s="51" t="s">
        <v>477</v>
      </c>
      <c r="F319" s="51" t="s">
        <v>680</v>
      </c>
    </row>
    <row r="320" spans="1:8" x14ac:dyDescent="0.25">
      <c r="A320" s="51">
        <v>8</v>
      </c>
      <c r="B320" s="51">
        <v>2014</v>
      </c>
      <c r="C320" s="51">
        <v>1</v>
      </c>
      <c r="D320" s="54" t="e">
        <f>+#REF!</f>
        <v>#REF!</v>
      </c>
      <c r="E320" s="51" t="s">
        <v>468</v>
      </c>
      <c r="F320" s="51" t="s">
        <v>680</v>
      </c>
    </row>
    <row r="321" spans="1:9" x14ac:dyDescent="0.25">
      <c r="A321" s="51">
        <v>8</v>
      </c>
      <c r="B321" s="51">
        <v>2014</v>
      </c>
      <c r="C321" s="51">
        <v>1</v>
      </c>
      <c r="D321" s="54" t="e">
        <f>+#REF!</f>
        <v>#REF!</v>
      </c>
      <c r="E321" s="51" t="s">
        <v>469</v>
      </c>
      <c r="F321" s="51" t="s">
        <v>680</v>
      </c>
    </row>
    <row r="322" spans="1:9" x14ac:dyDescent="0.25">
      <c r="A322" s="51">
        <v>8</v>
      </c>
      <c r="B322" s="51">
        <v>2014</v>
      </c>
      <c r="C322" s="51">
        <v>1</v>
      </c>
      <c r="D322" s="54" t="e">
        <f>+#REF!</f>
        <v>#REF!</v>
      </c>
      <c r="E322" s="51" t="s">
        <v>470</v>
      </c>
      <c r="F322" s="51" t="s">
        <v>680</v>
      </c>
    </row>
    <row r="323" spans="1:9" x14ac:dyDescent="0.25">
      <c r="A323" s="51">
        <v>8</v>
      </c>
      <c r="B323" s="51">
        <v>2014</v>
      </c>
      <c r="C323" s="51">
        <v>1</v>
      </c>
      <c r="D323" s="54" t="e">
        <f>+#REF!</f>
        <v>#REF!</v>
      </c>
      <c r="E323" s="51" t="s">
        <v>471</v>
      </c>
      <c r="F323" s="51" t="s">
        <v>680</v>
      </c>
    </row>
    <row r="324" spans="1:9" x14ac:dyDescent="0.25">
      <c r="A324" s="51">
        <v>8</v>
      </c>
      <c r="B324" s="51">
        <v>2014</v>
      </c>
      <c r="C324" s="51">
        <v>1</v>
      </c>
      <c r="D324" s="54" t="e">
        <f>+#REF!</f>
        <v>#REF!</v>
      </c>
      <c r="E324" s="51" t="s">
        <v>478</v>
      </c>
      <c r="F324" s="51" t="s">
        <v>680</v>
      </c>
      <c r="I324" s="51" t="s">
        <v>715</v>
      </c>
    </row>
    <row r="325" spans="1:9" x14ac:dyDescent="0.25">
      <c r="A325" s="51">
        <v>8</v>
      </c>
      <c r="B325" s="51">
        <v>2014</v>
      </c>
      <c r="C325" s="51">
        <v>1</v>
      </c>
      <c r="D325" s="54" t="e">
        <f>+#REF!</f>
        <v>#REF!</v>
      </c>
      <c r="E325" s="51" t="s">
        <v>479</v>
      </c>
      <c r="F325" s="51" t="s">
        <v>680</v>
      </c>
    </row>
    <row r="326" spans="1:9" x14ac:dyDescent="0.25">
      <c r="A326" s="51">
        <v>8</v>
      </c>
      <c r="B326" s="51">
        <v>2014</v>
      </c>
      <c r="C326" s="51">
        <v>1</v>
      </c>
      <c r="D326" s="54" t="e">
        <f>+#REF!</f>
        <v>#REF!</v>
      </c>
      <c r="E326" s="51" t="s">
        <v>480</v>
      </c>
      <c r="F326" s="51" t="s">
        <v>680</v>
      </c>
    </row>
    <row r="327" spans="1:9" x14ac:dyDescent="0.25">
      <c r="A327" s="51">
        <v>8</v>
      </c>
      <c r="B327" s="51">
        <v>2014</v>
      </c>
      <c r="C327" s="51">
        <v>1</v>
      </c>
      <c r="D327" s="54" t="e">
        <f>+#REF!</f>
        <v>#REF!</v>
      </c>
      <c r="E327" s="51" t="s">
        <v>481</v>
      </c>
      <c r="F327" s="51" t="s">
        <v>680</v>
      </c>
    </row>
    <row r="328" spans="1:9" x14ac:dyDescent="0.25">
      <c r="A328" s="51">
        <v>8</v>
      </c>
      <c r="B328" s="51">
        <v>2014</v>
      </c>
      <c r="C328" s="51">
        <v>1</v>
      </c>
      <c r="D328" s="54" t="e">
        <f>+#REF!</f>
        <v>#REF!</v>
      </c>
      <c r="E328" s="51" t="s">
        <v>482</v>
      </c>
      <c r="F328" s="51" t="s">
        <v>680</v>
      </c>
    </row>
    <row r="329" spans="1:9" x14ac:dyDescent="0.25">
      <c r="A329" s="51">
        <v>8</v>
      </c>
      <c r="B329" s="51">
        <v>2014</v>
      </c>
      <c r="C329" s="51">
        <v>1</v>
      </c>
      <c r="D329" s="54" t="e">
        <f>+#REF!</f>
        <v>#REF!</v>
      </c>
      <c r="E329" s="51" t="s">
        <v>483</v>
      </c>
      <c r="F329" s="51" t="s">
        <v>680</v>
      </c>
    </row>
    <row r="330" spans="1:9" x14ac:dyDescent="0.25">
      <c r="A330" s="51">
        <v>8</v>
      </c>
      <c r="B330" s="51">
        <v>2014</v>
      </c>
      <c r="C330" s="51">
        <v>1</v>
      </c>
      <c r="D330" s="54" t="e">
        <f>+#REF!</f>
        <v>#REF!</v>
      </c>
      <c r="E330" s="51" t="s">
        <v>484</v>
      </c>
      <c r="F330" s="51" t="s">
        <v>680</v>
      </c>
    </row>
    <row r="331" spans="1:9" x14ac:dyDescent="0.25">
      <c r="A331" s="51">
        <v>8</v>
      </c>
      <c r="B331" s="51">
        <v>2014</v>
      </c>
      <c r="C331" s="51">
        <v>1</v>
      </c>
      <c r="D331" s="54" t="e">
        <f>+#REF!</f>
        <v>#REF!</v>
      </c>
      <c r="E331" s="51" t="s">
        <v>485</v>
      </c>
      <c r="F331" s="51" t="s">
        <v>680</v>
      </c>
    </row>
    <row r="332" spans="1:9" x14ac:dyDescent="0.25">
      <c r="A332" s="51">
        <v>8</v>
      </c>
      <c r="B332" s="51">
        <v>2014</v>
      </c>
      <c r="C332" s="51">
        <v>1</v>
      </c>
      <c r="D332" s="54" t="e">
        <f>+#REF!</f>
        <v>#REF!</v>
      </c>
      <c r="E332" s="51" t="s">
        <v>486</v>
      </c>
      <c r="F332" s="51" t="s">
        <v>680</v>
      </c>
    </row>
    <row r="333" spans="1:9" x14ac:dyDescent="0.25">
      <c r="A333" s="51">
        <v>8</v>
      </c>
      <c r="B333" s="51">
        <v>2014</v>
      </c>
      <c r="C333" s="51">
        <v>1</v>
      </c>
      <c r="D333" s="54" t="e">
        <f>+#REF!</f>
        <v>#REF!</v>
      </c>
      <c r="E333" s="51" t="s">
        <v>487</v>
      </c>
      <c r="F333" s="51" t="s">
        <v>680</v>
      </c>
    </row>
    <row r="334" spans="1:9" x14ac:dyDescent="0.25">
      <c r="A334" s="51">
        <v>8</v>
      </c>
      <c r="B334" s="51">
        <v>2014</v>
      </c>
      <c r="C334" s="51">
        <v>1</v>
      </c>
      <c r="D334" s="54" t="e">
        <f>+#REF!</f>
        <v>#REF!</v>
      </c>
      <c r="E334" s="51" t="s">
        <v>488</v>
      </c>
      <c r="F334" s="51" t="s">
        <v>680</v>
      </c>
    </row>
    <row r="335" spans="1:9" x14ac:dyDescent="0.25">
      <c r="A335" s="51">
        <v>8</v>
      </c>
      <c r="B335" s="51">
        <v>2014</v>
      </c>
      <c r="C335" s="51">
        <v>1</v>
      </c>
      <c r="D335" s="54" t="e">
        <f>+#REF!</f>
        <v>#REF!</v>
      </c>
      <c r="E335" s="51" t="s">
        <v>489</v>
      </c>
      <c r="F335" s="51" t="s">
        <v>680</v>
      </c>
    </row>
    <row r="336" spans="1:9" x14ac:dyDescent="0.25">
      <c r="A336" s="51">
        <v>8</v>
      </c>
      <c r="B336" s="51">
        <v>2014</v>
      </c>
      <c r="C336" s="51">
        <v>1</v>
      </c>
      <c r="D336" s="54" t="e">
        <f>+#REF!</f>
        <v>#REF!</v>
      </c>
      <c r="E336" s="51" t="s">
        <v>490</v>
      </c>
      <c r="F336" s="51" t="s">
        <v>680</v>
      </c>
    </row>
    <row r="337" spans="1:6" x14ac:dyDescent="0.25">
      <c r="A337" s="51">
        <v>8</v>
      </c>
      <c r="B337" s="51">
        <v>2014</v>
      </c>
      <c r="C337" s="51">
        <v>1</v>
      </c>
      <c r="D337" s="54" t="e">
        <f>+#REF!</f>
        <v>#REF!</v>
      </c>
      <c r="E337" s="51" t="s">
        <v>491</v>
      </c>
      <c r="F337" s="51" t="s">
        <v>680</v>
      </c>
    </row>
    <row r="338" spans="1:6" x14ac:dyDescent="0.25">
      <c r="A338" s="51">
        <v>8</v>
      </c>
      <c r="B338" s="51">
        <v>2014</v>
      </c>
      <c r="C338" s="51">
        <v>1</v>
      </c>
      <c r="D338" s="54" t="e">
        <f>+#REF!</f>
        <v>#REF!</v>
      </c>
      <c r="E338" s="51" t="s">
        <v>492</v>
      </c>
      <c r="F338" s="51" t="s">
        <v>680</v>
      </c>
    </row>
    <row r="339" spans="1:6" x14ac:dyDescent="0.25">
      <c r="A339" s="51">
        <v>8</v>
      </c>
      <c r="B339" s="51">
        <v>2014</v>
      </c>
      <c r="C339" s="51">
        <v>1</v>
      </c>
      <c r="D339" s="54" t="e">
        <f>+#REF!</f>
        <v>#REF!</v>
      </c>
      <c r="E339" s="51" t="s">
        <v>493</v>
      </c>
      <c r="F339" s="51" t="s">
        <v>680</v>
      </c>
    </row>
    <row r="340" spans="1:6" x14ac:dyDescent="0.25">
      <c r="A340" s="51">
        <v>8</v>
      </c>
      <c r="B340" s="51">
        <v>2014</v>
      </c>
      <c r="C340" s="51">
        <v>1</v>
      </c>
      <c r="D340" s="54" t="e">
        <f>+#REF!</f>
        <v>#REF!</v>
      </c>
      <c r="E340" s="51" t="s">
        <v>494</v>
      </c>
      <c r="F340" s="51" t="s">
        <v>680</v>
      </c>
    </row>
    <row r="341" spans="1:6" x14ac:dyDescent="0.25">
      <c r="A341" s="51">
        <v>8</v>
      </c>
      <c r="B341" s="51">
        <v>2014</v>
      </c>
      <c r="C341" s="51">
        <v>1</v>
      </c>
      <c r="D341" s="54" t="e">
        <f>+#REF!</f>
        <v>#REF!</v>
      </c>
      <c r="E341" s="51" t="s">
        <v>495</v>
      </c>
      <c r="F341" s="51" t="s">
        <v>680</v>
      </c>
    </row>
    <row r="342" spans="1:6" x14ac:dyDescent="0.25">
      <c r="A342" s="51">
        <v>8</v>
      </c>
      <c r="B342" s="51">
        <v>2014</v>
      </c>
      <c r="C342" s="51">
        <v>1</v>
      </c>
      <c r="D342" s="54" t="e">
        <f>+#REF!</f>
        <v>#REF!</v>
      </c>
      <c r="E342" s="51" t="s">
        <v>496</v>
      </c>
      <c r="F342" s="51" t="s">
        <v>680</v>
      </c>
    </row>
    <row r="343" spans="1:6" x14ac:dyDescent="0.25">
      <c r="A343" s="51">
        <v>8</v>
      </c>
      <c r="B343" s="51">
        <v>2014</v>
      </c>
      <c r="C343" s="51">
        <v>1</v>
      </c>
      <c r="D343" s="54" t="e">
        <f>+#REF!</f>
        <v>#REF!</v>
      </c>
      <c r="E343" s="51" t="s">
        <v>497</v>
      </c>
      <c r="F343" s="51" t="s">
        <v>680</v>
      </c>
    </row>
    <row r="344" spans="1:6" x14ac:dyDescent="0.25">
      <c r="A344" s="51">
        <v>8</v>
      </c>
      <c r="B344" s="51">
        <v>2014</v>
      </c>
      <c r="C344" s="51">
        <v>1</v>
      </c>
      <c r="D344" s="54" t="e">
        <f>+#REF!</f>
        <v>#REF!</v>
      </c>
      <c r="E344" s="51" t="s">
        <v>472</v>
      </c>
      <c r="F344" s="51" t="s">
        <v>680</v>
      </c>
    </row>
    <row r="345" spans="1:6" x14ac:dyDescent="0.25">
      <c r="A345" s="51">
        <v>8</v>
      </c>
      <c r="B345" s="51">
        <v>2014</v>
      </c>
      <c r="C345" s="51">
        <v>1</v>
      </c>
      <c r="D345" s="54" t="e">
        <f>+#REF!</f>
        <v>#REF!</v>
      </c>
      <c r="E345" s="51" t="s">
        <v>498</v>
      </c>
      <c r="F345" s="51" t="s">
        <v>680</v>
      </c>
    </row>
    <row r="346" spans="1:6" x14ac:dyDescent="0.25">
      <c r="A346" s="51">
        <v>8</v>
      </c>
      <c r="B346" s="51">
        <v>2014</v>
      </c>
      <c r="C346" s="51">
        <v>1</v>
      </c>
      <c r="D346" s="54" t="e">
        <f>+#REF!</f>
        <v>#REF!</v>
      </c>
      <c r="E346" s="51" t="s">
        <v>474</v>
      </c>
      <c r="F346" s="51" t="s">
        <v>680</v>
      </c>
    </row>
    <row r="347" spans="1:6" x14ac:dyDescent="0.25">
      <c r="A347" s="51">
        <v>8</v>
      </c>
      <c r="B347" s="51">
        <v>2014</v>
      </c>
      <c r="C347" s="51">
        <v>1</v>
      </c>
      <c r="D347" s="54" t="e">
        <f>+#REF!</f>
        <v>#REF!</v>
      </c>
      <c r="E347" s="51" t="s">
        <v>473</v>
      </c>
      <c r="F347" s="51" t="s">
        <v>680</v>
      </c>
    </row>
    <row r="348" spans="1:6" x14ac:dyDescent="0.25">
      <c r="A348" s="51">
        <v>8</v>
      </c>
      <c r="B348" s="51">
        <v>2014</v>
      </c>
      <c r="C348" s="51">
        <v>1</v>
      </c>
      <c r="D348" s="54" t="e">
        <f>+#REF!</f>
        <v>#REF!</v>
      </c>
      <c r="E348" s="51" t="s">
        <v>499</v>
      </c>
      <c r="F348" s="51" t="s">
        <v>680</v>
      </c>
    </row>
    <row r="349" spans="1:6" x14ac:dyDescent="0.25">
      <c r="A349" s="51">
        <v>8</v>
      </c>
      <c r="B349" s="51">
        <v>2014</v>
      </c>
      <c r="C349" s="51">
        <v>1</v>
      </c>
      <c r="D349" s="54" t="e">
        <f>+#REF!</f>
        <v>#REF!</v>
      </c>
      <c r="E349" s="51" t="s">
        <v>500</v>
      </c>
      <c r="F349" s="51" t="s">
        <v>680</v>
      </c>
    </row>
    <row r="350" spans="1:6" x14ac:dyDescent="0.25">
      <c r="A350" s="51">
        <v>8</v>
      </c>
      <c r="B350" s="51">
        <v>2014</v>
      </c>
      <c r="C350" s="51">
        <v>1</v>
      </c>
      <c r="D350" s="54" t="e">
        <f>+#REF!</f>
        <v>#REF!</v>
      </c>
      <c r="E350" s="51" t="s">
        <v>501</v>
      </c>
      <c r="F350" s="51" t="s">
        <v>680</v>
      </c>
    </row>
    <row r="351" spans="1:6" x14ac:dyDescent="0.25">
      <c r="A351" s="51">
        <v>8</v>
      </c>
      <c r="B351" s="51">
        <v>2014</v>
      </c>
      <c r="C351" s="51">
        <v>1</v>
      </c>
      <c r="D351" s="54" t="e">
        <f>+#REF!</f>
        <v>#REF!</v>
      </c>
      <c r="E351" s="51" t="s">
        <v>502</v>
      </c>
      <c r="F351" s="51" t="s">
        <v>680</v>
      </c>
    </row>
    <row r="352" spans="1:6" x14ac:dyDescent="0.25">
      <c r="A352" s="51">
        <v>8</v>
      </c>
      <c r="B352" s="51">
        <v>2014</v>
      </c>
      <c r="C352" s="51">
        <v>1</v>
      </c>
      <c r="D352" s="54" t="e">
        <f>+#REF!</f>
        <v>#REF!</v>
      </c>
      <c r="E352" s="51" t="s">
        <v>503</v>
      </c>
      <c r="F352" s="51" t="s">
        <v>680</v>
      </c>
    </row>
    <row r="353" spans="1:7" x14ac:dyDescent="0.25">
      <c r="A353" s="51">
        <v>8</v>
      </c>
      <c r="B353" s="51">
        <v>2014</v>
      </c>
      <c r="C353" s="51">
        <v>1</v>
      </c>
      <c r="D353" s="54" t="e">
        <f>+#REF!</f>
        <v>#REF!</v>
      </c>
      <c r="E353" s="51" t="s">
        <v>504</v>
      </c>
      <c r="F353" s="51" t="s">
        <v>680</v>
      </c>
    </row>
    <row r="354" spans="1:7" x14ac:dyDescent="0.25">
      <c r="A354" s="51">
        <v>8</v>
      </c>
      <c r="B354" s="51">
        <v>2014</v>
      </c>
      <c r="C354" s="51">
        <v>1</v>
      </c>
      <c r="D354" s="54" t="e">
        <f>+#REF!</f>
        <v>#REF!</v>
      </c>
      <c r="E354" s="51" t="s">
        <v>505</v>
      </c>
      <c r="F354" s="51" t="s">
        <v>680</v>
      </c>
    </row>
    <row r="355" spans="1:7" x14ac:dyDescent="0.25">
      <c r="A355" s="51">
        <v>8</v>
      </c>
      <c r="B355" s="51">
        <v>2014</v>
      </c>
      <c r="C355" s="51">
        <v>1</v>
      </c>
      <c r="D355" s="54" t="e">
        <f>+#REF!</f>
        <v>#REF!</v>
      </c>
      <c r="E355" s="51" t="s">
        <v>506</v>
      </c>
      <c r="F355" s="51" t="s">
        <v>680</v>
      </c>
    </row>
    <row r="356" spans="1:7" x14ac:dyDescent="0.25">
      <c r="A356" s="51">
        <v>8</v>
      </c>
      <c r="B356" s="51">
        <v>2014</v>
      </c>
      <c r="C356" s="51">
        <v>1</v>
      </c>
      <c r="D356" s="54" t="e">
        <f>+#REF!</f>
        <v>#REF!</v>
      </c>
      <c r="E356" s="51" t="s">
        <v>507</v>
      </c>
      <c r="F356" s="51" t="s">
        <v>680</v>
      </c>
    </row>
    <row r="357" spans="1:7" x14ac:dyDescent="0.25">
      <c r="A357" s="51">
        <v>8</v>
      </c>
      <c r="B357" s="51">
        <v>2014</v>
      </c>
      <c r="C357" s="51">
        <v>1</v>
      </c>
      <c r="D357" s="54" t="e">
        <f>+#REF!</f>
        <v>#REF!</v>
      </c>
      <c r="E357" s="51" t="s">
        <v>508</v>
      </c>
      <c r="F357" s="51" t="s">
        <v>680</v>
      </c>
    </row>
    <row r="358" spans="1:7" x14ac:dyDescent="0.25">
      <c r="A358" s="51">
        <v>8</v>
      </c>
      <c r="B358" s="51">
        <v>2014</v>
      </c>
      <c r="C358" s="51">
        <v>1</v>
      </c>
      <c r="D358" s="54" t="e">
        <f>+#REF!</f>
        <v>#REF!</v>
      </c>
      <c r="E358" s="51" t="s">
        <v>509</v>
      </c>
      <c r="F358" s="51" t="s">
        <v>680</v>
      </c>
    </row>
    <row r="359" spans="1:7" x14ac:dyDescent="0.25">
      <c r="A359" s="51">
        <v>8</v>
      </c>
      <c r="B359" s="51">
        <v>2014</v>
      </c>
      <c r="C359" s="51">
        <v>1</v>
      </c>
      <c r="D359" s="54" t="e">
        <f>+#REF!</f>
        <v>#REF!</v>
      </c>
      <c r="E359" s="51" t="s">
        <v>510</v>
      </c>
      <c r="F359" s="51" t="s">
        <v>680</v>
      </c>
    </row>
    <row r="360" spans="1:7" x14ac:dyDescent="0.25">
      <c r="A360" s="51">
        <v>8</v>
      </c>
      <c r="B360" s="51">
        <v>2014</v>
      </c>
      <c r="C360" s="51">
        <v>1</v>
      </c>
      <c r="D360" s="54" t="e">
        <f>+#REF!</f>
        <v>#REF!</v>
      </c>
      <c r="E360" s="51" t="s">
        <v>511</v>
      </c>
      <c r="F360" s="51" t="s">
        <v>680</v>
      </c>
    </row>
    <row r="361" spans="1:7" x14ac:dyDescent="0.25">
      <c r="A361" s="51">
        <v>8</v>
      </c>
      <c r="B361" s="51">
        <v>2014</v>
      </c>
      <c r="C361" s="51">
        <v>1</v>
      </c>
      <c r="D361" s="54" t="e">
        <f>+#REF!</f>
        <v>#REF!</v>
      </c>
      <c r="E361" s="51" t="s">
        <v>512</v>
      </c>
      <c r="F361" s="51" t="s">
        <v>680</v>
      </c>
    </row>
    <row r="362" spans="1:7" x14ac:dyDescent="0.25">
      <c r="A362" s="51">
        <v>8</v>
      </c>
      <c r="B362" s="51">
        <v>2014</v>
      </c>
      <c r="C362" s="51">
        <v>1</v>
      </c>
      <c r="D362" s="54" t="e">
        <f>+#REF!</f>
        <v>#REF!</v>
      </c>
      <c r="E362" s="51" t="s">
        <v>513</v>
      </c>
      <c r="F362" s="51" t="s">
        <v>680</v>
      </c>
    </row>
    <row r="363" spans="1:7" x14ac:dyDescent="0.25">
      <c r="A363" s="51">
        <v>8</v>
      </c>
      <c r="B363" s="51">
        <v>2014</v>
      </c>
      <c r="C363" s="51">
        <v>1</v>
      </c>
      <c r="D363" s="54" t="e">
        <f>+#REF!</f>
        <v>#REF!</v>
      </c>
      <c r="E363" s="51" t="s">
        <v>514</v>
      </c>
      <c r="F363" s="51" t="s">
        <v>680</v>
      </c>
      <c r="G363" s="51" t="s">
        <v>715</v>
      </c>
    </row>
    <row r="364" spans="1:7" x14ac:dyDescent="0.25">
      <c r="A364" s="51">
        <v>8</v>
      </c>
      <c r="B364" s="51">
        <v>2014</v>
      </c>
      <c r="C364" s="51">
        <v>1</v>
      </c>
      <c r="D364" s="54" t="e">
        <f>+#REF!</f>
        <v>#REF!</v>
      </c>
      <c r="E364" s="51" t="s">
        <v>608</v>
      </c>
      <c r="F364" s="51" t="s">
        <v>680</v>
      </c>
    </row>
    <row r="365" spans="1:7" x14ac:dyDescent="0.25">
      <c r="A365" s="51">
        <v>8</v>
      </c>
      <c r="B365" s="51">
        <v>2014</v>
      </c>
      <c r="C365" s="51">
        <v>1</v>
      </c>
      <c r="D365" s="51" t="e">
        <f>+#REF!</f>
        <v>#REF!</v>
      </c>
      <c r="E365" s="51" t="s">
        <v>465</v>
      </c>
      <c r="F365" s="51" t="s">
        <v>681</v>
      </c>
      <c r="G365" s="51" t="s">
        <v>719</v>
      </c>
    </row>
    <row r="366" spans="1:7" x14ac:dyDescent="0.25">
      <c r="A366" s="51">
        <v>8</v>
      </c>
      <c r="B366" s="51">
        <v>2014</v>
      </c>
      <c r="C366" s="51">
        <v>1</v>
      </c>
      <c r="D366" s="51" t="e">
        <f>+#REF!</f>
        <v>#REF!</v>
      </c>
      <c r="E366" s="51" t="s">
        <v>466</v>
      </c>
      <c r="F366" s="51" t="s">
        <v>681</v>
      </c>
    </row>
    <row r="367" spans="1:7" x14ac:dyDescent="0.25">
      <c r="A367" s="51">
        <v>8</v>
      </c>
      <c r="B367" s="51">
        <v>2014</v>
      </c>
      <c r="C367" s="51">
        <v>1</v>
      </c>
      <c r="D367" s="51" t="e">
        <f>+#REF!</f>
        <v>#REF!</v>
      </c>
      <c r="E367" s="51" t="s">
        <v>476</v>
      </c>
      <c r="F367" s="51" t="s">
        <v>681</v>
      </c>
    </row>
    <row r="368" spans="1:7" x14ac:dyDescent="0.25">
      <c r="A368" s="51">
        <v>8</v>
      </c>
      <c r="B368" s="51">
        <v>2014</v>
      </c>
      <c r="C368" s="51">
        <v>1</v>
      </c>
      <c r="D368" s="51" t="e">
        <f>+#REF!</f>
        <v>#REF!</v>
      </c>
      <c r="E368" s="51" t="s">
        <v>475</v>
      </c>
      <c r="F368" s="51" t="s">
        <v>681</v>
      </c>
    </row>
    <row r="369" spans="1:6" x14ac:dyDescent="0.25">
      <c r="A369" s="51">
        <v>8</v>
      </c>
      <c r="B369" s="51">
        <v>2014</v>
      </c>
      <c r="C369" s="51">
        <v>1</v>
      </c>
      <c r="D369" s="51" t="e">
        <f>+#REF!</f>
        <v>#REF!</v>
      </c>
      <c r="E369" s="51" t="s">
        <v>467</v>
      </c>
      <c r="F369" s="51" t="s">
        <v>681</v>
      </c>
    </row>
    <row r="370" spans="1:6" x14ac:dyDescent="0.25">
      <c r="A370" s="51">
        <v>8</v>
      </c>
      <c r="B370" s="51">
        <v>2014</v>
      </c>
      <c r="C370" s="51">
        <v>1</v>
      </c>
      <c r="D370" s="51" t="e">
        <f>+#REF!</f>
        <v>#REF!</v>
      </c>
      <c r="E370" s="51" t="s">
        <v>477</v>
      </c>
      <c r="F370" s="51" t="s">
        <v>681</v>
      </c>
    </row>
    <row r="371" spans="1:6" x14ac:dyDescent="0.25">
      <c r="A371" s="51">
        <v>8</v>
      </c>
      <c r="B371" s="51">
        <v>2014</v>
      </c>
      <c r="C371" s="51">
        <v>1</v>
      </c>
      <c r="D371" s="51" t="e">
        <f>+#REF!</f>
        <v>#REF!</v>
      </c>
      <c r="E371" s="51" t="s">
        <v>468</v>
      </c>
      <c r="F371" s="51" t="s">
        <v>681</v>
      </c>
    </row>
    <row r="372" spans="1:6" x14ac:dyDescent="0.25">
      <c r="A372" s="51">
        <v>8</v>
      </c>
      <c r="B372" s="51">
        <v>2014</v>
      </c>
      <c r="C372" s="51">
        <v>1</v>
      </c>
      <c r="D372" s="51" t="e">
        <f>+#REF!</f>
        <v>#REF!</v>
      </c>
      <c r="E372" s="51" t="s">
        <v>469</v>
      </c>
      <c r="F372" s="51" t="s">
        <v>681</v>
      </c>
    </row>
    <row r="373" spans="1:6" x14ac:dyDescent="0.25">
      <c r="A373" s="51">
        <v>8</v>
      </c>
      <c r="B373" s="51">
        <v>2014</v>
      </c>
      <c r="C373" s="51">
        <v>1</v>
      </c>
      <c r="D373" s="51" t="e">
        <f>+#REF!</f>
        <v>#REF!</v>
      </c>
      <c r="E373" s="51" t="s">
        <v>470</v>
      </c>
      <c r="F373" s="51" t="s">
        <v>681</v>
      </c>
    </row>
    <row r="374" spans="1:6" x14ac:dyDescent="0.25">
      <c r="A374" s="51">
        <v>8</v>
      </c>
      <c r="B374" s="51">
        <v>2014</v>
      </c>
      <c r="C374" s="51">
        <v>1</v>
      </c>
      <c r="D374" s="51" t="e">
        <f>+#REF!</f>
        <v>#REF!</v>
      </c>
      <c r="E374" s="51" t="s">
        <v>471</v>
      </c>
      <c r="F374" s="51" t="s">
        <v>681</v>
      </c>
    </row>
    <row r="375" spans="1:6" x14ac:dyDescent="0.25">
      <c r="A375" s="51">
        <v>8</v>
      </c>
      <c r="B375" s="51">
        <v>2014</v>
      </c>
      <c r="C375" s="51">
        <v>1</v>
      </c>
      <c r="D375" s="51" t="e">
        <f>+#REF!</f>
        <v>#REF!</v>
      </c>
      <c r="E375" s="51" t="s">
        <v>478</v>
      </c>
      <c r="F375" s="51" t="s">
        <v>681</v>
      </c>
    </row>
    <row r="376" spans="1:6" x14ac:dyDescent="0.25">
      <c r="A376" s="51">
        <v>8</v>
      </c>
      <c r="B376" s="51">
        <v>2014</v>
      </c>
      <c r="C376" s="51">
        <v>1</v>
      </c>
      <c r="D376" s="51" t="e">
        <f>+#REF!</f>
        <v>#REF!</v>
      </c>
      <c r="E376" s="51" t="s">
        <v>479</v>
      </c>
      <c r="F376" s="51" t="s">
        <v>681</v>
      </c>
    </row>
    <row r="377" spans="1:6" x14ac:dyDescent="0.25">
      <c r="A377" s="51">
        <v>8</v>
      </c>
      <c r="B377" s="51">
        <v>2014</v>
      </c>
      <c r="C377" s="51">
        <v>1</v>
      </c>
      <c r="D377" s="51" t="e">
        <f>+#REF!</f>
        <v>#REF!</v>
      </c>
      <c r="E377" s="51" t="s">
        <v>480</v>
      </c>
      <c r="F377" s="51" t="s">
        <v>681</v>
      </c>
    </row>
    <row r="378" spans="1:6" x14ac:dyDescent="0.25">
      <c r="A378" s="51">
        <v>8</v>
      </c>
      <c r="B378" s="51">
        <v>2014</v>
      </c>
      <c r="C378" s="51">
        <v>1</v>
      </c>
      <c r="D378" s="51" t="e">
        <f>+#REF!</f>
        <v>#REF!</v>
      </c>
      <c r="E378" s="51" t="s">
        <v>481</v>
      </c>
      <c r="F378" s="51" t="s">
        <v>681</v>
      </c>
    </row>
    <row r="379" spans="1:6" x14ac:dyDescent="0.25">
      <c r="A379" s="51">
        <v>8</v>
      </c>
      <c r="B379" s="51">
        <v>2014</v>
      </c>
      <c r="C379" s="51">
        <v>1</v>
      </c>
      <c r="D379" s="51" t="e">
        <f>+#REF!</f>
        <v>#REF!</v>
      </c>
      <c r="E379" s="51" t="s">
        <v>482</v>
      </c>
      <c r="F379" s="51" t="s">
        <v>681</v>
      </c>
    </row>
    <row r="380" spans="1:6" x14ac:dyDescent="0.25">
      <c r="A380" s="51">
        <v>8</v>
      </c>
      <c r="B380" s="51">
        <v>2014</v>
      </c>
      <c r="C380" s="51">
        <v>1</v>
      </c>
      <c r="D380" s="51" t="e">
        <f>+#REF!</f>
        <v>#REF!</v>
      </c>
      <c r="E380" s="51" t="s">
        <v>483</v>
      </c>
      <c r="F380" s="51" t="s">
        <v>681</v>
      </c>
    </row>
    <row r="381" spans="1:6" x14ac:dyDescent="0.25">
      <c r="A381" s="51">
        <v>8</v>
      </c>
      <c r="B381" s="51">
        <v>2014</v>
      </c>
      <c r="C381" s="51">
        <v>1</v>
      </c>
      <c r="D381" s="51" t="e">
        <f>+#REF!</f>
        <v>#REF!</v>
      </c>
      <c r="E381" s="51" t="s">
        <v>484</v>
      </c>
      <c r="F381" s="51" t="s">
        <v>681</v>
      </c>
    </row>
    <row r="382" spans="1:6" x14ac:dyDescent="0.25">
      <c r="A382" s="51">
        <v>8</v>
      </c>
      <c r="B382" s="51">
        <v>2014</v>
      </c>
      <c r="C382" s="51">
        <v>1</v>
      </c>
      <c r="D382" s="51" t="e">
        <f>+#REF!</f>
        <v>#REF!</v>
      </c>
      <c r="E382" s="51" t="s">
        <v>485</v>
      </c>
      <c r="F382" s="51" t="s">
        <v>681</v>
      </c>
    </row>
    <row r="383" spans="1:6" x14ac:dyDescent="0.25">
      <c r="A383" s="51">
        <v>8</v>
      </c>
      <c r="B383" s="51">
        <v>2014</v>
      </c>
      <c r="C383" s="51">
        <v>1</v>
      </c>
      <c r="D383" s="51" t="e">
        <f>+#REF!</f>
        <v>#REF!</v>
      </c>
      <c r="E383" s="51" t="s">
        <v>486</v>
      </c>
      <c r="F383" s="51" t="s">
        <v>681</v>
      </c>
    </row>
    <row r="384" spans="1:6" x14ac:dyDescent="0.25">
      <c r="A384" s="51">
        <v>8</v>
      </c>
      <c r="B384" s="51">
        <v>2014</v>
      </c>
      <c r="C384" s="51">
        <v>1</v>
      </c>
      <c r="D384" s="51" t="e">
        <f>+#REF!</f>
        <v>#REF!</v>
      </c>
      <c r="E384" s="51" t="s">
        <v>487</v>
      </c>
      <c r="F384" s="51" t="s">
        <v>681</v>
      </c>
    </row>
    <row r="385" spans="1:6" x14ac:dyDescent="0.25">
      <c r="A385" s="51">
        <v>8</v>
      </c>
      <c r="B385" s="51">
        <v>2014</v>
      </c>
      <c r="C385" s="51">
        <v>1</v>
      </c>
      <c r="D385" s="51" t="e">
        <f>+#REF!</f>
        <v>#REF!</v>
      </c>
      <c r="E385" s="51" t="s">
        <v>488</v>
      </c>
      <c r="F385" s="51" t="s">
        <v>681</v>
      </c>
    </row>
    <row r="386" spans="1:6" x14ac:dyDescent="0.25">
      <c r="A386" s="51">
        <v>8</v>
      </c>
      <c r="B386" s="51">
        <v>2014</v>
      </c>
      <c r="C386" s="51">
        <v>1</v>
      </c>
      <c r="D386" s="51" t="e">
        <f>+#REF!</f>
        <v>#REF!</v>
      </c>
      <c r="E386" s="51" t="s">
        <v>489</v>
      </c>
      <c r="F386" s="51" t="s">
        <v>681</v>
      </c>
    </row>
    <row r="387" spans="1:6" x14ac:dyDescent="0.25">
      <c r="A387" s="51">
        <v>8</v>
      </c>
      <c r="B387" s="51">
        <v>2014</v>
      </c>
      <c r="C387" s="51">
        <v>1</v>
      </c>
      <c r="D387" s="51" t="e">
        <f>+#REF!</f>
        <v>#REF!</v>
      </c>
      <c r="E387" s="51" t="s">
        <v>490</v>
      </c>
      <c r="F387" s="51" t="s">
        <v>681</v>
      </c>
    </row>
    <row r="388" spans="1:6" x14ac:dyDescent="0.25">
      <c r="A388" s="51">
        <v>8</v>
      </c>
      <c r="B388" s="51">
        <v>2014</v>
      </c>
      <c r="C388" s="51">
        <v>1</v>
      </c>
      <c r="D388" s="51" t="e">
        <f>+#REF!</f>
        <v>#REF!</v>
      </c>
      <c r="E388" s="51" t="s">
        <v>491</v>
      </c>
      <c r="F388" s="51" t="s">
        <v>681</v>
      </c>
    </row>
    <row r="389" spans="1:6" x14ac:dyDescent="0.25">
      <c r="A389" s="51">
        <v>8</v>
      </c>
      <c r="B389" s="51">
        <v>2014</v>
      </c>
      <c r="C389" s="51">
        <v>1</v>
      </c>
      <c r="D389" s="51" t="e">
        <f>+#REF!</f>
        <v>#REF!</v>
      </c>
      <c r="E389" s="51" t="s">
        <v>492</v>
      </c>
      <c r="F389" s="51" t="s">
        <v>681</v>
      </c>
    </row>
    <row r="390" spans="1:6" x14ac:dyDescent="0.25">
      <c r="A390" s="51">
        <v>8</v>
      </c>
      <c r="B390" s="51">
        <v>2014</v>
      </c>
      <c r="C390" s="51">
        <v>1</v>
      </c>
      <c r="D390" s="51" t="e">
        <f>+#REF!</f>
        <v>#REF!</v>
      </c>
      <c r="E390" s="51" t="s">
        <v>493</v>
      </c>
      <c r="F390" s="51" t="s">
        <v>681</v>
      </c>
    </row>
    <row r="391" spans="1:6" x14ac:dyDescent="0.25">
      <c r="A391" s="51">
        <v>8</v>
      </c>
      <c r="B391" s="51">
        <v>2014</v>
      </c>
      <c r="C391" s="51">
        <v>1</v>
      </c>
      <c r="D391" s="51" t="e">
        <f>+#REF!</f>
        <v>#REF!</v>
      </c>
      <c r="E391" s="51" t="s">
        <v>494</v>
      </c>
      <c r="F391" s="51" t="s">
        <v>681</v>
      </c>
    </row>
    <row r="392" spans="1:6" x14ac:dyDescent="0.25">
      <c r="A392" s="51">
        <v>8</v>
      </c>
      <c r="B392" s="51">
        <v>2014</v>
      </c>
      <c r="C392" s="51">
        <v>1</v>
      </c>
      <c r="D392" s="51" t="e">
        <f>+#REF!</f>
        <v>#REF!</v>
      </c>
      <c r="E392" s="51" t="s">
        <v>495</v>
      </c>
      <c r="F392" s="51" t="s">
        <v>681</v>
      </c>
    </row>
    <row r="393" spans="1:6" x14ac:dyDescent="0.25">
      <c r="A393" s="51">
        <v>8</v>
      </c>
      <c r="B393" s="51">
        <v>2014</v>
      </c>
      <c r="C393" s="51">
        <v>1</v>
      </c>
      <c r="D393" s="51" t="e">
        <f>+#REF!</f>
        <v>#REF!</v>
      </c>
      <c r="E393" s="51" t="s">
        <v>496</v>
      </c>
      <c r="F393" s="51" t="s">
        <v>681</v>
      </c>
    </row>
    <row r="394" spans="1:6" x14ac:dyDescent="0.25">
      <c r="A394" s="51">
        <v>8</v>
      </c>
      <c r="B394" s="51">
        <v>2014</v>
      </c>
      <c r="C394" s="51">
        <v>1</v>
      </c>
      <c r="D394" s="51" t="e">
        <f>+#REF!</f>
        <v>#REF!</v>
      </c>
      <c r="E394" s="51" t="s">
        <v>497</v>
      </c>
      <c r="F394" s="51" t="s">
        <v>681</v>
      </c>
    </row>
    <row r="395" spans="1:6" x14ac:dyDescent="0.25">
      <c r="A395" s="51">
        <v>8</v>
      </c>
      <c r="B395" s="51">
        <v>2014</v>
      </c>
      <c r="C395" s="51">
        <v>1</v>
      </c>
      <c r="D395" s="51" t="e">
        <f>+#REF!</f>
        <v>#REF!</v>
      </c>
      <c r="E395" s="51" t="s">
        <v>472</v>
      </c>
      <c r="F395" s="51" t="s">
        <v>681</v>
      </c>
    </row>
    <row r="396" spans="1:6" x14ac:dyDescent="0.25">
      <c r="A396" s="51">
        <v>8</v>
      </c>
      <c r="B396" s="51">
        <v>2014</v>
      </c>
      <c r="C396" s="51">
        <v>1</v>
      </c>
      <c r="D396" s="51" t="e">
        <f>+#REF!</f>
        <v>#REF!</v>
      </c>
      <c r="E396" s="51" t="s">
        <v>498</v>
      </c>
      <c r="F396" s="51" t="s">
        <v>681</v>
      </c>
    </row>
    <row r="397" spans="1:6" x14ac:dyDescent="0.25">
      <c r="A397" s="51">
        <v>8</v>
      </c>
      <c r="B397" s="51">
        <v>2014</v>
      </c>
      <c r="C397" s="51">
        <v>1</v>
      </c>
      <c r="D397" s="51" t="e">
        <f>+#REF!</f>
        <v>#REF!</v>
      </c>
      <c r="E397" s="51" t="s">
        <v>474</v>
      </c>
      <c r="F397" s="51" t="s">
        <v>681</v>
      </c>
    </row>
    <row r="398" spans="1:6" x14ac:dyDescent="0.25">
      <c r="A398" s="51">
        <v>8</v>
      </c>
      <c r="B398" s="51">
        <v>2014</v>
      </c>
      <c r="C398" s="51">
        <v>1</v>
      </c>
      <c r="D398" s="51" t="e">
        <f>+#REF!</f>
        <v>#REF!</v>
      </c>
      <c r="E398" s="51" t="s">
        <v>473</v>
      </c>
      <c r="F398" s="51" t="s">
        <v>681</v>
      </c>
    </row>
    <row r="399" spans="1:6" x14ac:dyDescent="0.25">
      <c r="A399" s="51">
        <v>8</v>
      </c>
      <c r="B399" s="51">
        <v>2014</v>
      </c>
      <c r="C399" s="51">
        <v>1</v>
      </c>
      <c r="D399" s="51" t="e">
        <f>+#REF!</f>
        <v>#REF!</v>
      </c>
      <c r="E399" s="51" t="s">
        <v>499</v>
      </c>
      <c r="F399" s="51" t="s">
        <v>681</v>
      </c>
    </row>
    <row r="400" spans="1:6" x14ac:dyDescent="0.25">
      <c r="A400" s="51">
        <v>8</v>
      </c>
      <c r="B400" s="51">
        <v>2014</v>
      </c>
      <c r="C400" s="51">
        <v>1</v>
      </c>
      <c r="D400" s="51" t="e">
        <f>+#REF!</f>
        <v>#REF!</v>
      </c>
      <c r="E400" s="51" t="s">
        <v>500</v>
      </c>
      <c r="F400" s="51" t="s">
        <v>681</v>
      </c>
    </row>
    <row r="401" spans="1:7" x14ac:dyDescent="0.25">
      <c r="A401" s="51">
        <v>8</v>
      </c>
      <c r="B401" s="51">
        <v>2014</v>
      </c>
      <c r="C401" s="51">
        <v>1</v>
      </c>
      <c r="D401" s="51" t="e">
        <f>+#REF!</f>
        <v>#REF!</v>
      </c>
      <c r="E401" s="51" t="s">
        <v>501</v>
      </c>
      <c r="F401" s="51" t="s">
        <v>681</v>
      </c>
    </row>
    <row r="402" spans="1:7" x14ac:dyDescent="0.25">
      <c r="A402" s="51">
        <v>8</v>
      </c>
      <c r="B402" s="51">
        <v>2014</v>
      </c>
      <c r="C402" s="51">
        <v>1</v>
      </c>
      <c r="D402" s="51" t="e">
        <f>+#REF!</f>
        <v>#REF!</v>
      </c>
      <c r="E402" s="51" t="s">
        <v>502</v>
      </c>
      <c r="F402" s="51" t="s">
        <v>681</v>
      </c>
    </row>
    <row r="403" spans="1:7" x14ac:dyDescent="0.25">
      <c r="A403" s="51">
        <v>8</v>
      </c>
      <c r="B403" s="51">
        <v>2014</v>
      </c>
      <c r="C403" s="51">
        <v>1</v>
      </c>
      <c r="D403" s="51" t="e">
        <f>+#REF!</f>
        <v>#REF!</v>
      </c>
      <c r="E403" s="51" t="s">
        <v>503</v>
      </c>
      <c r="F403" s="51" t="s">
        <v>681</v>
      </c>
    </row>
    <row r="404" spans="1:7" x14ac:dyDescent="0.25">
      <c r="A404" s="51">
        <v>8</v>
      </c>
      <c r="B404" s="51">
        <v>2014</v>
      </c>
      <c r="C404" s="51">
        <v>1</v>
      </c>
      <c r="D404" s="51" t="e">
        <f>+#REF!</f>
        <v>#REF!</v>
      </c>
      <c r="E404" s="51" t="s">
        <v>504</v>
      </c>
      <c r="F404" s="51" t="s">
        <v>681</v>
      </c>
    </row>
    <row r="405" spans="1:7" x14ac:dyDescent="0.25">
      <c r="A405" s="51">
        <v>8</v>
      </c>
      <c r="B405" s="51">
        <v>2014</v>
      </c>
      <c r="C405" s="51">
        <v>1</v>
      </c>
      <c r="D405" s="51" t="e">
        <f>+#REF!</f>
        <v>#REF!</v>
      </c>
      <c r="E405" s="51" t="s">
        <v>505</v>
      </c>
      <c r="F405" s="51" t="s">
        <v>681</v>
      </c>
    </row>
    <row r="406" spans="1:7" x14ac:dyDescent="0.25">
      <c r="A406" s="51">
        <v>8</v>
      </c>
      <c r="B406" s="51">
        <v>2014</v>
      </c>
      <c r="C406" s="51">
        <v>1</v>
      </c>
      <c r="D406" s="51" t="e">
        <f>+#REF!</f>
        <v>#REF!</v>
      </c>
      <c r="E406" s="51" t="s">
        <v>506</v>
      </c>
      <c r="F406" s="51" t="s">
        <v>681</v>
      </c>
    </row>
    <row r="407" spans="1:7" x14ac:dyDescent="0.25">
      <c r="A407" s="51">
        <v>8</v>
      </c>
      <c r="B407" s="51">
        <v>2014</v>
      </c>
      <c r="C407" s="51">
        <v>1</v>
      </c>
      <c r="D407" s="51" t="e">
        <f>+#REF!</f>
        <v>#REF!</v>
      </c>
      <c r="E407" s="51" t="s">
        <v>507</v>
      </c>
      <c r="F407" s="51" t="s">
        <v>681</v>
      </c>
    </row>
    <row r="408" spans="1:7" x14ac:dyDescent="0.25">
      <c r="A408" s="51">
        <v>8</v>
      </c>
      <c r="B408" s="51">
        <v>2014</v>
      </c>
      <c r="C408" s="51">
        <v>1</v>
      </c>
      <c r="D408" s="51" t="e">
        <f>+#REF!</f>
        <v>#REF!</v>
      </c>
      <c r="E408" s="51" t="s">
        <v>508</v>
      </c>
      <c r="F408" s="51" t="s">
        <v>681</v>
      </c>
    </row>
    <row r="409" spans="1:7" x14ac:dyDescent="0.25">
      <c r="A409" s="51">
        <v>8</v>
      </c>
      <c r="B409" s="51">
        <v>2014</v>
      </c>
      <c r="C409" s="51">
        <v>1</v>
      </c>
      <c r="D409" s="51" t="e">
        <f>+#REF!</f>
        <v>#REF!</v>
      </c>
      <c r="E409" s="51" t="s">
        <v>509</v>
      </c>
      <c r="F409" s="51" t="s">
        <v>681</v>
      </c>
    </row>
    <row r="410" spans="1:7" x14ac:dyDescent="0.25">
      <c r="A410" s="51">
        <v>8</v>
      </c>
      <c r="B410" s="51">
        <v>2014</v>
      </c>
      <c r="C410" s="51">
        <v>1</v>
      </c>
      <c r="D410" s="51" t="e">
        <f>+#REF!</f>
        <v>#REF!</v>
      </c>
      <c r="E410" s="51" t="s">
        <v>510</v>
      </c>
      <c r="F410" s="51" t="s">
        <v>681</v>
      </c>
    </row>
    <row r="411" spans="1:7" x14ac:dyDescent="0.25">
      <c r="A411" s="51">
        <v>8</v>
      </c>
      <c r="B411" s="51">
        <v>2014</v>
      </c>
      <c r="C411" s="51">
        <v>1</v>
      </c>
      <c r="D411" s="51" t="e">
        <f>+#REF!</f>
        <v>#REF!</v>
      </c>
      <c r="E411" s="51" t="s">
        <v>511</v>
      </c>
      <c r="F411" s="51" t="s">
        <v>681</v>
      </c>
    </row>
    <row r="412" spans="1:7" x14ac:dyDescent="0.25">
      <c r="A412" s="51">
        <v>8</v>
      </c>
      <c r="B412" s="51">
        <v>2014</v>
      </c>
      <c r="C412" s="51">
        <v>1</v>
      </c>
      <c r="D412" s="51" t="e">
        <f>+#REF!</f>
        <v>#REF!</v>
      </c>
      <c r="E412" s="51" t="s">
        <v>512</v>
      </c>
      <c r="F412" s="51" t="s">
        <v>681</v>
      </c>
    </row>
    <row r="413" spans="1:7" x14ac:dyDescent="0.25">
      <c r="A413" s="51">
        <v>8</v>
      </c>
      <c r="B413" s="51">
        <v>2014</v>
      </c>
      <c r="C413" s="51">
        <v>1</v>
      </c>
      <c r="D413" s="51" t="e">
        <f>+#REF!</f>
        <v>#REF!</v>
      </c>
      <c r="E413" s="51" t="s">
        <v>513</v>
      </c>
      <c r="F413" s="51" t="s">
        <v>681</v>
      </c>
    </row>
    <row r="414" spans="1:7" x14ac:dyDescent="0.25">
      <c r="A414" s="51">
        <v>8</v>
      </c>
      <c r="B414" s="51">
        <v>2014</v>
      </c>
      <c r="C414" s="51">
        <v>1</v>
      </c>
      <c r="D414" s="51" t="e">
        <f>+#REF!</f>
        <v>#REF!</v>
      </c>
      <c r="E414" s="51" t="s">
        <v>514</v>
      </c>
      <c r="F414" s="51" t="s">
        <v>681</v>
      </c>
      <c r="G414" s="51" t="s">
        <v>715</v>
      </c>
    </row>
    <row r="415" spans="1:7" x14ac:dyDescent="0.25">
      <c r="A415" s="51">
        <v>8</v>
      </c>
      <c r="B415" s="51">
        <v>2014</v>
      </c>
      <c r="C415" s="51">
        <v>1</v>
      </c>
      <c r="D415" s="51" t="e">
        <f>+#REF!</f>
        <v>#REF!</v>
      </c>
      <c r="E415" s="51" t="s">
        <v>608</v>
      </c>
      <c r="F415" s="51" t="s">
        <v>681</v>
      </c>
    </row>
    <row r="416" spans="1:7" x14ac:dyDescent="0.25">
      <c r="A416" s="51">
        <v>11</v>
      </c>
      <c r="B416" s="51">
        <v>2014</v>
      </c>
      <c r="C416" s="51">
        <v>1</v>
      </c>
      <c r="D416" s="51">
        <f ca="1">+'Table 1'!F3</f>
        <v>1.6563362675139359</v>
      </c>
      <c r="E416" s="51" t="s">
        <v>465</v>
      </c>
      <c r="F416" s="51" t="s">
        <v>682</v>
      </c>
      <c r="G416" s="51" t="s">
        <v>718</v>
      </c>
    </row>
    <row r="417" spans="1:7" x14ac:dyDescent="0.25">
      <c r="A417" s="51">
        <v>11</v>
      </c>
      <c r="B417" s="51">
        <v>2014</v>
      </c>
      <c r="C417" s="51">
        <v>1</v>
      </c>
      <c r="D417" s="51">
        <f ca="1">+'Table 1'!F4</f>
        <v>0.68578553615958882</v>
      </c>
      <c r="E417" s="51" t="s">
        <v>466</v>
      </c>
      <c r="F417" s="51" t="s">
        <v>682</v>
      </c>
    </row>
    <row r="418" spans="1:7" x14ac:dyDescent="0.25">
      <c r="A418" s="51">
        <v>11</v>
      </c>
      <c r="B418" s="51">
        <v>2014</v>
      </c>
      <c r="C418" s="51">
        <v>1</v>
      </c>
      <c r="D418" s="51">
        <f ca="1">+'Table 1'!F5</f>
        <v>2.4567259178762679</v>
      </c>
      <c r="E418" s="51" t="s">
        <v>476</v>
      </c>
      <c r="F418" s="51" t="s">
        <v>682</v>
      </c>
    </row>
    <row r="419" spans="1:7" x14ac:dyDescent="0.25">
      <c r="A419" s="51">
        <v>11</v>
      </c>
      <c r="B419" s="51">
        <v>2014</v>
      </c>
      <c r="C419" s="51">
        <v>1</v>
      </c>
      <c r="D419" s="51">
        <f ca="1">+'Table 1'!F6</f>
        <v>1.9031578947368288</v>
      </c>
      <c r="E419" s="51" t="s">
        <v>475</v>
      </c>
      <c r="F419" s="51" t="s">
        <v>682</v>
      </c>
    </row>
    <row r="420" spans="1:7" x14ac:dyDescent="0.25">
      <c r="A420" s="51">
        <v>11</v>
      </c>
      <c r="B420" s="51">
        <v>2014</v>
      </c>
      <c r="C420" s="51">
        <v>1</v>
      </c>
      <c r="D420" s="51">
        <f ca="1">+'Table 1'!F7</f>
        <v>2.0833333333333481</v>
      </c>
      <c r="E420" s="51" t="s">
        <v>467</v>
      </c>
      <c r="F420" s="51" t="s">
        <v>682</v>
      </c>
    </row>
    <row r="421" spans="1:7" x14ac:dyDescent="0.25">
      <c r="A421" s="51">
        <v>11</v>
      </c>
      <c r="B421" s="51">
        <v>2014</v>
      </c>
      <c r="C421" s="51">
        <v>1</v>
      </c>
      <c r="D421" s="51">
        <f ca="1">+'Table 1'!F8</f>
        <v>2.5922110035029977</v>
      </c>
      <c r="E421" s="51" t="s">
        <v>477</v>
      </c>
      <c r="F421" s="51" t="s">
        <v>682</v>
      </c>
    </row>
    <row r="422" spans="1:7" x14ac:dyDescent="0.25">
      <c r="A422" s="51">
        <v>11</v>
      </c>
      <c r="B422" s="51">
        <v>2014</v>
      </c>
      <c r="C422" s="51">
        <v>1</v>
      </c>
      <c r="D422" s="51">
        <f ca="1">+'Table 1'!F9</f>
        <v>1.5822031881989052</v>
      </c>
      <c r="E422" s="51" t="s">
        <v>468</v>
      </c>
      <c r="F422" s="51" t="s">
        <v>682</v>
      </c>
    </row>
    <row r="423" spans="1:7" x14ac:dyDescent="0.25">
      <c r="A423" s="51">
        <v>11</v>
      </c>
      <c r="B423" s="51">
        <v>2014</v>
      </c>
      <c r="C423" s="51">
        <v>1</v>
      </c>
      <c r="D423" s="51">
        <f ca="1">+'Table 1'!F10</f>
        <v>2.6841018582243636</v>
      </c>
      <c r="E423" s="51" t="s">
        <v>469</v>
      </c>
      <c r="F423" s="51" t="s">
        <v>682</v>
      </c>
    </row>
    <row r="424" spans="1:7" x14ac:dyDescent="0.25">
      <c r="A424" s="51">
        <v>11</v>
      </c>
      <c r="B424" s="51">
        <v>2014</v>
      </c>
      <c r="C424" s="51">
        <v>1</v>
      </c>
      <c r="D424" s="51">
        <f ca="1">+'Table 1'!F11</f>
        <v>1.9503072401816812</v>
      </c>
      <c r="E424" s="51" t="s">
        <v>600</v>
      </c>
      <c r="F424" s="51" t="s">
        <v>682</v>
      </c>
    </row>
    <row r="425" spans="1:7" x14ac:dyDescent="0.25">
      <c r="A425" s="51">
        <v>11</v>
      </c>
      <c r="B425" s="51">
        <v>2014</v>
      </c>
      <c r="C425" s="51">
        <v>1</v>
      </c>
      <c r="D425" s="51">
        <f ca="1">+'Table 1'!F12</f>
        <v>2.9961244801524511</v>
      </c>
      <c r="E425" s="51" t="s">
        <v>470</v>
      </c>
      <c r="F425" s="51" t="s">
        <v>682</v>
      </c>
    </row>
    <row r="426" spans="1:7" x14ac:dyDescent="0.25">
      <c r="A426" s="51">
        <v>11</v>
      </c>
      <c r="B426" s="51">
        <v>2014</v>
      </c>
      <c r="C426" s="51">
        <v>1</v>
      </c>
      <c r="D426" s="51">
        <f ca="1">+'Table 1'!F13</f>
        <v>2.6466415537400367</v>
      </c>
      <c r="E426" s="51" t="s">
        <v>471</v>
      </c>
      <c r="F426" s="51" t="s">
        <v>682</v>
      </c>
    </row>
    <row r="427" spans="1:7" x14ac:dyDescent="0.25">
      <c r="A427" s="51">
        <v>11</v>
      </c>
      <c r="B427" s="51">
        <v>2014</v>
      </c>
      <c r="C427" s="51">
        <v>1</v>
      </c>
      <c r="D427" s="51">
        <f ca="1">+'Table 1'!F14</f>
        <v>1.4873417721518845</v>
      </c>
      <c r="E427" s="51" t="s">
        <v>478</v>
      </c>
      <c r="F427" s="51" t="s">
        <v>682</v>
      </c>
    </row>
    <row r="428" spans="1:7" x14ac:dyDescent="0.25">
      <c r="A428" s="51">
        <v>11</v>
      </c>
      <c r="B428" s="51">
        <v>2014</v>
      </c>
      <c r="C428" s="51">
        <v>1</v>
      </c>
      <c r="D428" s="51">
        <f ca="1">+'Table 1'!F15</f>
        <v>1.4873962736809077</v>
      </c>
      <c r="E428" s="51" t="s">
        <v>479</v>
      </c>
      <c r="F428" s="51" t="s">
        <v>682</v>
      </c>
      <c r="G428" s="51" t="s">
        <v>715</v>
      </c>
    </row>
    <row r="429" spans="1:7" x14ac:dyDescent="0.25">
      <c r="A429" s="51">
        <v>11</v>
      </c>
      <c r="B429" s="51">
        <v>2014</v>
      </c>
      <c r="C429" s="51">
        <v>1</v>
      </c>
      <c r="D429" s="51">
        <f ca="1">+'Table 1'!F16</f>
        <v>0.88865388551544466</v>
      </c>
      <c r="E429" s="51" t="s">
        <v>480</v>
      </c>
      <c r="F429" s="51" t="s">
        <v>682</v>
      </c>
    </row>
    <row r="430" spans="1:7" x14ac:dyDescent="0.25">
      <c r="A430" s="51">
        <v>11</v>
      </c>
      <c r="B430" s="51">
        <v>2014</v>
      </c>
      <c r="C430" s="51">
        <v>1</v>
      </c>
      <c r="D430" s="51">
        <f ca="1">+'Table 1'!F17</f>
        <v>1.9593370462323012</v>
      </c>
      <c r="E430" s="51" t="s">
        <v>481</v>
      </c>
      <c r="F430" s="51" t="s">
        <v>682</v>
      </c>
    </row>
    <row r="431" spans="1:7" x14ac:dyDescent="0.25">
      <c r="A431" s="51">
        <v>11</v>
      </c>
      <c r="B431" s="51">
        <v>2014</v>
      </c>
      <c r="C431" s="51">
        <v>1</v>
      </c>
      <c r="D431" s="51">
        <f ca="1">+'Table 1'!F18</f>
        <v>1.0456335119086058</v>
      </c>
      <c r="E431" s="51" t="s">
        <v>482</v>
      </c>
      <c r="F431" s="51" t="s">
        <v>682</v>
      </c>
    </row>
    <row r="432" spans="1:7" x14ac:dyDescent="0.25">
      <c r="A432" s="51">
        <v>11</v>
      </c>
      <c r="B432" s="51">
        <v>2014</v>
      </c>
      <c r="C432" s="51">
        <v>1</v>
      </c>
      <c r="D432" s="51">
        <f ca="1">+'Table 1'!F19</f>
        <v>0.90517241379308722</v>
      </c>
      <c r="E432" s="51" t="s">
        <v>483</v>
      </c>
      <c r="F432" s="51" t="s">
        <v>682</v>
      </c>
    </row>
    <row r="433" spans="1:8" x14ac:dyDescent="0.25">
      <c r="A433" s="51">
        <v>11</v>
      </c>
      <c r="B433" s="51">
        <v>2014</v>
      </c>
      <c r="C433" s="51">
        <v>1</v>
      </c>
      <c r="D433" s="51">
        <f ca="1">+'Table 1'!F20</f>
        <v>1.7671461666936228</v>
      </c>
      <c r="E433" s="51" t="s">
        <v>484</v>
      </c>
      <c r="F433" s="51" t="s">
        <v>682</v>
      </c>
    </row>
    <row r="434" spans="1:8" x14ac:dyDescent="0.25">
      <c r="A434" s="51">
        <v>11</v>
      </c>
      <c r="B434" s="51">
        <v>2014</v>
      </c>
      <c r="C434" s="51">
        <v>1</v>
      </c>
      <c r="D434" s="51">
        <f ca="1">+'Table 1'!F21</f>
        <v>1.4785558762468787</v>
      </c>
      <c r="E434" s="51" t="s">
        <v>485</v>
      </c>
      <c r="F434" s="51" t="s">
        <v>682</v>
      </c>
    </row>
    <row r="435" spans="1:8" x14ac:dyDescent="0.25">
      <c r="A435" s="51">
        <v>11</v>
      </c>
      <c r="B435" s="51">
        <v>2014</v>
      </c>
      <c r="C435" s="51">
        <v>1</v>
      </c>
      <c r="D435" s="51">
        <f ca="1">+'Table 1'!F22</f>
        <v>0.87574355584929542</v>
      </c>
      <c r="E435" s="51" t="s">
        <v>486</v>
      </c>
      <c r="F435" s="51" t="s">
        <v>682</v>
      </c>
    </row>
    <row r="436" spans="1:8" x14ac:dyDescent="0.25">
      <c r="A436" s="51">
        <v>11</v>
      </c>
      <c r="B436" s="51">
        <v>2014</v>
      </c>
      <c r="C436" s="51">
        <v>1</v>
      </c>
      <c r="D436" s="51">
        <f ca="1">+'Table 1'!F23</f>
        <v>0.75902052025325073</v>
      </c>
      <c r="E436" s="51" t="s">
        <v>487</v>
      </c>
      <c r="F436" s="51" t="s">
        <v>682</v>
      </c>
      <c r="H436" s="51" t="s">
        <v>715</v>
      </c>
    </row>
    <row r="437" spans="1:8" x14ac:dyDescent="0.25">
      <c r="A437" s="51">
        <v>11</v>
      </c>
      <c r="B437" s="51">
        <v>2014</v>
      </c>
      <c r="C437" s="51">
        <v>1</v>
      </c>
      <c r="D437" s="51">
        <f ca="1">+'Table 1'!F24</f>
        <v>1.8249786595237349</v>
      </c>
      <c r="E437" s="51" t="s">
        <v>488</v>
      </c>
      <c r="F437" s="51" t="s">
        <v>682</v>
      </c>
    </row>
    <row r="438" spans="1:8" x14ac:dyDescent="0.25">
      <c r="A438" s="51">
        <v>11</v>
      </c>
      <c r="B438" s="51">
        <v>2014</v>
      </c>
      <c r="C438" s="51">
        <v>1</v>
      </c>
      <c r="D438" s="51">
        <f ca="1">+'Table 1'!F25</f>
        <v>1.0544603431218658</v>
      </c>
      <c r="E438" s="51" t="s">
        <v>489</v>
      </c>
      <c r="F438" s="51" t="s">
        <v>682</v>
      </c>
    </row>
    <row r="439" spans="1:8" x14ac:dyDescent="0.25">
      <c r="A439" s="51">
        <v>11</v>
      </c>
      <c r="B439" s="51">
        <v>2014</v>
      </c>
      <c r="C439" s="51">
        <v>1</v>
      </c>
      <c r="D439" s="51">
        <f ca="1">+'Table 1'!F26</f>
        <v>1.1853908586074491</v>
      </c>
      <c r="E439" s="51" t="s">
        <v>490</v>
      </c>
      <c r="F439" s="51" t="s">
        <v>682</v>
      </c>
    </row>
    <row r="440" spans="1:8" x14ac:dyDescent="0.25">
      <c r="A440" s="51">
        <v>11</v>
      </c>
      <c r="B440" s="51">
        <v>2014</v>
      </c>
      <c r="C440" s="51">
        <v>1</v>
      </c>
      <c r="D440" s="51">
        <f ca="1">+'Table 1'!F27</f>
        <v>8.8888888888805084E-3</v>
      </c>
      <c r="E440" s="51" t="s">
        <v>491</v>
      </c>
      <c r="F440" s="51" t="s">
        <v>682</v>
      </c>
    </row>
    <row r="441" spans="1:8" x14ac:dyDescent="0.25">
      <c r="A441" s="51">
        <v>11</v>
      </c>
      <c r="B441" s="51">
        <v>2014</v>
      </c>
      <c r="C441" s="51">
        <v>1</v>
      </c>
      <c r="D441" s="51">
        <f ca="1">+'Table 1'!F28</f>
        <v>1.634601475480979</v>
      </c>
      <c r="E441" s="51" t="s">
        <v>492</v>
      </c>
      <c r="F441" s="51" t="s">
        <v>682</v>
      </c>
    </row>
    <row r="442" spans="1:8" x14ac:dyDescent="0.25">
      <c r="A442" s="51">
        <v>11</v>
      </c>
      <c r="B442" s="51">
        <v>2014</v>
      </c>
      <c r="C442" s="51">
        <v>1</v>
      </c>
      <c r="D442" s="51">
        <f ca="1">+'Table 1'!F29</f>
        <v>1.626922219745941</v>
      </c>
      <c r="E442" s="51" t="s">
        <v>493</v>
      </c>
      <c r="F442" s="51" t="s">
        <v>682</v>
      </c>
    </row>
    <row r="443" spans="1:8" x14ac:dyDescent="0.25">
      <c r="A443" s="51">
        <v>11</v>
      </c>
      <c r="B443" s="51">
        <v>2014</v>
      </c>
      <c r="C443" s="51">
        <v>1</v>
      </c>
      <c r="D443" s="51">
        <f ca="1">+'Table 1'!F30</f>
        <v>0.76088059247234607</v>
      </c>
      <c r="E443" s="51" t="s">
        <v>494</v>
      </c>
      <c r="F443" s="51" t="s">
        <v>682</v>
      </c>
    </row>
    <row r="444" spans="1:8" x14ac:dyDescent="0.25">
      <c r="A444" s="51">
        <v>11</v>
      </c>
      <c r="B444" s="51">
        <v>2014</v>
      </c>
      <c r="C444" s="51">
        <v>1</v>
      </c>
      <c r="D444" s="51">
        <f ca="1">+'Table 1'!F31</f>
        <v>2.3023855041143682</v>
      </c>
      <c r="E444" s="51" t="s">
        <v>495</v>
      </c>
      <c r="F444" s="51" t="s">
        <v>682</v>
      </c>
    </row>
    <row r="445" spans="1:8" x14ac:dyDescent="0.25">
      <c r="A445" s="51">
        <v>11</v>
      </c>
      <c r="B445" s="51">
        <v>2014</v>
      </c>
      <c r="C445" s="51">
        <v>1</v>
      </c>
      <c r="D445" s="51">
        <f ca="1">+'Table 1'!F32</f>
        <v>1.2956964368348034</v>
      </c>
      <c r="E445" s="51" t="s">
        <v>496</v>
      </c>
      <c r="F445" s="51" t="s">
        <v>682</v>
      </c>
    </row>
    <row r="446" spans="1:8" x14ac:dyDescent="0.25">
      <c r="A446" s="51">
        <v>11</v>
      </c>
      <c r="B446" s="51">
        <v>2014</v>
      </c>
      <c r="C446" s="51">
        <v>1</v>
      </c>
      <c r="D446" s="51">
        <f ca="1">+'Table 1'!F33</f>
        <v>0.72193053311793154</v>
      </c>
      <c r="E446" s="51" t="s">
        <v>497</v>
      </c>
      <c r="F446" s="51" t="s">
        <v>682</v>
      </c>
    </row>
    <row r="447" spans="1:8" x14ac:dyDescent="0.25">
      <c r="A447" s="51">
        <v>11</v>
      </c>
      <c r="B447" s="51">
        <v>2014</v>
      </c>
      <c r="C447" s="51">
        <v>1</v>
      </c>
      <c r="D447" s="51">
        <f ca="1">+'Table 1'!F34</f>
        <v>1.6564417177914015</v>
      </c>
      <c r="E447" s="51" t="s">
        <v>472</v>
      </c>
      <c r="F447" s="51" t="s">
        <v>682</v>
      </c>
    </row>
    <row r="448" spans="1:8" x14ac:dyDescent="0.25">
      <c r="A448" s="51">
        <v>11</v>
      </c>
      <c r="B448" s="51">
        <v>2014</v>
      </c>
      <c r="C448" s="51">
        <v>1</v>
      </c>
      <c r="D448" s="51">
        <f ca="1">+'Table 1'!F35</f>
        <v>1.163034946325725</v>
      </c>
      <c r="E448" s="51" t="s">
        <v>498</v>
      </c>
      <c r="F448" s="51" t="s">
        <v>682</v>
      </c>
    </row>
    <row r="449" spans="1:6" x14ac:dyDescent="0.25">
      <c r="A449" s="51">
        <v>11</v>
      </c>
      <c r="B449" s="51">
        <v>2014</v>
      </c>
      <c r="C449" s="51">
        <v>1</v>
      </c>
      <c r="D449" s="51">
        <f ca="1">+'Table 1'!F36</f>
        <v>2.797168896645319</v>
      </c>
      <c r="E449" s="51" t="s">
        <v>474</v>
      </c>
      <c r="F449" s="51" t="s">
        <v>682</v>
      </c>
    </row>
    <row r="450" spans="1:6" x14ac:dyDescent="0.25">
      <c r="A450" s="51">
        <v>11</v>
      </c>
      <c r="B450" s="51">
        <v>2014</v>
      </c>
      <c r="C450" s="51">
        <v>1</v>
      </c>
      <c r="D450" s="51">
        <f ca="1">+'Table 1'!F37</f>
        <v>5.3964757709251021</v>
      </c>
      <c r="E450" s="51" t="s">
        <v>473</v>
      </c>
      <c r="F450" s="51" t="s">
        <v>682</v>
      </c>
    </row>
    <row r="451" spans="1:6" x14ac:dyDescent="0.25">
      <c r="A451" s="51">
        <v>11</v>
      </c>
      <c r="B451" s="51">
        <v>2014</v>
      </c>
      <c r="C451" s="51">
        <v>1</v>
      </c>
      <c r="D451" s="51">
        <f ca="1">+'Table 1'!F38</f>
        <v>1.1393696621570637</v>
      </c>
      <c r="E451" s="51" t="s">
        <v>499</v>
      </c>
      <c r="F451" s="51" t="s">
        <v>682</v>
      </c>
    </row>
    <row r="452" spans="1:6" x14ac:dyDescent="0.25">
      <c r="A452" s="51">
        <v>11</v>
      </c>
      <c r="B452" s="51">
        <v>2014</v>
      </c>
      <c r="C452" s="51">
        <v>1</v>
      </c>
      <c r="D452" s="51">
        <f ca="1">+'Table 1'!F39</f>
        <v>2.2231619645985523</v>
      </c>
      <c r="E452" s="51" t="s">
        <v>500</v>
      </c>
      <c r="F452" s="51" t="s">
        <v>682</v>
      </c>
    </row>
    <row r="453" spans="1:6" x14ac:dyDescent="0.25">
      <c r="A453" s="51">
        <v>11</v>
      </c>
      <c r="B453" s="51">
        <v>2014</v>
      </c>
      <c r="C453" s="51">
        <v>1</v>
      </c>
      <c r="D453" s="51">
        <f ca="1">+'Table 1'!F40</f>
        <v>2.9855123467652067</v>
      </c>
      <c r="E453" s="51" t="s">
        <v>501</v>
      </c>
      <c r="F453" s="51" t="s">
        <v>682</v>
      </c>
    </row>
    <row r="454" spans="1:6" x14ac:dyDescent="0.25">
      <c r="A454" s="51">
        <v>11</v>
      </c>
      <c r="B454" s="51">
        <v>2014</v>
      </c>
      <c r="C454" s="51">
        <v>1</v>
      </c>
      <c r="D454" s="51">
        <f ca="1">+'Table 1'!F41</f>
        <v>0.94534915815622789</v>
      </c>
      <c r="E454" s="51" t="s">
        <v>502</v>
      </c>
      <c r="F454" s="51" t="s">
        <v>682</v>
      </c>
    </row>
    <row r="455" spans="1:6" x14ac:dyDescent="0.25">
      <c r="A455" s="51">
        <v>11</v>
      </c>
      <c r="B455" s="51">
        <v>2014</v>
      </c>
      <c r="C455" s="51">
        <v>1</v>
      </c>
      <c r="D455" s="51">
        <f ca="1">+'Table 1'!F42</f>
        <v>1.6701902748414321</v>
      </c>
      <c r="E455" s="51" t="s">
        <v>503</v>
      </c>
      <c r="F455" s="51" t="s">
        <v>682</v>
      </c>
    </row>
    <row r="456" spans="1:6" x14ac:dyDescent="0.25">
      <c r="A456" s="51">
        <v>11</v>
      </c>
      <c r="B456" s="51">
        <v>2014</v>
      </c>
      <c r="C456" s="51">
        <v>1</v>
      </c>
      <c r="D456" s="51">
        <f ca="1">+'Table 1'!F43</f>
        <v>2.4126455906821942</v>
      </c>
      <c r="E456" s="51" t="s">
        <v>504</v>
      </c>
      <c r="F456" s="51" t="s">
        <v>682</v>
      </c>
    </row>
    <row r="457" spans="1:6" x14ac:dyDescent="0.25">
      <c r="A457" s="51">
        <v>11</v>
      </c>
      <c r="B457" s="51">
        <v>2014</v>
      </c>
      <c r="C457" s="51">
        <v>1</v>
      </c>
      <c r="D457" s="51">
        <f ca="1">+'Table 1'!F44</f>
        <v>0.79269757386499773</v>
      </c>
      <c r="E457" s="51" t="s">
        <v>505</v>
      </c>
      <c r="F457" s="51" t="s">
        <v>682</v>
      </c>
    </row>
    <row r="458" spans="1:6" x14ac:dyDescent="0.25">
      <c r="A458" s="51">
        <v>11</v>
      </c>
      <c r="B458" s="51">
        <v>2014</v>
      </c>
      <c r="C458" s="51">
        <v>1</v>
      </c>
      <c r="D458" s="51">
        <f ca="1">+'Table 1'!F45</f>
        <v>2.4051175755843035</v>
      </c>
      <c r="E458" s="51" t="s">
        <v>506</v>
      </c>
      <c r="F458" s="51" t="s">
        <v>682</v>
      </c>
    </row>
    <row r="459" spans="1:6" x14ac:dyDescent="0.25">
      <c r="A459" s="51">
        <v>11</v>
      </c>
      <c r="B459" s="51">
        <v>2014</v>
      </c>
      <c r="C459" s="51">
        <v>1</v>
      </c>
      <c r="D459" s="51">
        <f ca="1">+'Table 1'!F46</f>
        <v>4.0440853604988058</v>
      </c>
      <c r="E459" s="51" t="s">
        <v>507</v>
      </c>
      <c r="F459" s="51" t="s">
        <v>682</v>
      </c>
    </row>
    <row r="460" spans="1:6" x14ac:dyDescent="0.25">
      <c r="A460" s="51">
        <v>11</v>
      </c>
      <c r="B460" s="51">
        <v>2014</v>
      </c>
      <c r="C460" s="51">
        <v>1</v>
      </c>
      <c r="D460" s="51">
        <f ca="1">+'Table 1'!F47</f>
        <v>3.852583586626146</v>
      </c>
      <c r="E460" s="51" t="s">
        <v>508</v>
      </c>
      <c r="F460" s="51" t="s">
        <v>682</v>
      </c>
    </row>
    <row r="461" spans="1:6" x14ac:dyDescent="0.25">
      <c r="A461" s="51">
        <v>11</v>
      </c>
      <c r="B461" s="51">
        <v>2014</v>
      </c>
      <c r="C461" s="51">
        <v>1</v>
      </c>
      <c r="D461" s="51">
        <f ca="1">+'Table 1'!F48</f>
        <v>1.1464968152866239</v>
      </c>
      <c r="E461" s="51" t="s">
        <v>509</v>
      </c>
      <c r="F461" s="51" t="s">
        <v>682</v>
      </c>
    </row>
    <row r="462" spans="1:6" x14ac:dyDescent="0.25">
      <c r="A462" s="51">
        <v>11</v>
      </c>
      <c r="B462" s="51">
        <v>2014</v>
      </c>
      <c r="C462" s="51">
        <v>1</v>
      </c>
      <c r="D462" s="51">
        <f ca="1">+'Table 1'!F49</f>
        <v>0.75819617995931399</v>
      </c>
      <c r="E462" s="51" t="s">
        <v>510</v>
      </c>
      <c r="F462" s="51" t="s">
        <v>682</v>
      </c>
    </row>
    <row r="463" spans="1:6" x14ac:dyDescent="0.25">
      <c r="A463" s="51">
        <v>11</v>
      </c>
      <c r="B463" s="51">
        <v>2014</v>
      </c>
      <c r="C463" s="51">
        <v>1</v>
      </c>
      <c r="D463" s="51">
        <f ca="1">+'Table 1'!F50</f>
        <v>2.7482181335985345</v>
      </c>
      <c r="E463" s="51" t="s">
        <v>511</v>
      </c>
      <c r="F463" s="51" t="s">
        <v>682</v>
      </c>
    </row>
    <row r="464" spans="1:6" x14ac:dyDescent="0.25">
      <c r="A464" s="51">
        <v>11</v>
      </c>
      <c r="B464" s="51">
        <v>2014</v>
      </c>
      <c r="C464" s="51">
        <v>1</v>
      </c>
      <c r="D464" s="51">
        <f ca="1">+'Table 1'!F51</f>
        <v>1.0388261264770771</v>
      </c>
      <c r="E464" s="51" t="s">
        <v>512</v>
      </c>
      <c r="F464" s="51" t="s">
        <v>682</v>
      </c>
    </row>
    <row r="465" spans="1:6" x14ac:dyDescent="0.25">
      <c r="A465" s="51">
        <v>11</v>
      </c>
      <c r="B465" s="51">
        <v>2014</v>
      </c>
      <c r="C465" s="51">
        <v>1</v>
      </c>
      <c r="D465" s="51">
        <f ca="1">+'Table 1'!F52</f>
        <v>1.8580192813321572</v>
      </c>
      <c r="E465" s="51" t="s">
        <v>513</v>
      </c>
      <c r="F465" s="51" t="s">
        <v>682</v>
      </c>
    </row>
    <row r="466" spans="1:6" x14ac:dyDescent="0.25">
      <c r="A466" s="51">
        <v>11</v>
      </c>
      <c r="B466" s="51">
        <v>2014</v>
      </c>
      <c r="C466" s="51">
        <v>1</v>
      </c>
      <c r="D466" s="51">
        <f ca="1">+'Table 1'!F53</f>
        <v>1.4827586206896504</v>
      </c>
      <c r="E466" s="51" t="s">
        <v>514</v>
      </c>
      <c r="F466" s="51" t="s">
        <v>682</v>
      </c>
    </row>
    <row r="467" spans="1:6" x14ac:dyDescent="0.25">
      <c r="A467" s="51">
        <v>11</v>
      </c>
      <c r="B467" s="51">
        <v>2014</v>
      </c>
      <c r="C467" s="51">
        <v>1</v>
      </c>
      <c r="D467" s="51">
        <f ca="1">+'Table 1'!F54</f>
        <v>2.1602817695940413</v>
      </c>
      <c r="E467" s="51" t="s">
        <v>608</v>
      </c>
      <c r="F467" s="51" t="s">
        <v>682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D61"/>
  <sheetViews>
    <sheetView workbookViewId="0">
      <selection activeCell="I2" sqref="I2"/>
    </sheetView>
  </sheetViews>
  <sheetFormatPr defaultRowHeight="15.75" x14ac:dyDescent="0.25"/>
  <cols>
    <col min="14" max="15" width="9.875" customWidth="1"/>
    <col min="16" max="16" width="11.625" customWidth="1"/>
    <col min="25" max="25" width="14.375" bestFit="1" customWidth="1"/>
    <col min="27" max="27" width="11.125" bestFit="1" customWidth="1"/>
    <col min="28" max="28" width="10.125" bestFit="1" customWidth="1"/>
  </cols>
  <sheetData>
    <row r="1" spans="1:30" x14ac:dyDescent="0.25">
      <c r="A1" t="s">
        <v>524</v>
      </c>
      <c r="B1" t="s">
        <v>607</v>
      </c>
      <c r="C1" t="s">
        <v>709</v>
      </c>
      <c r="D1" t="s">
        <v>530</v>
      </c>
      <c r="E1" t="s">
        <v>529</v>
      </c>
      <c r="F1" t="s">
        <v>531</v>
      </c>
      <c r="G1" t="s">
        <v>532</v>
      </c>
      <c r="H1" t="s">
        <v>609</v>
      </c>
      <c r="I1" t="s">
        <v>533</v>
      </c>
      <c r="J1" t="s">
        <v>535</v>
      </c>
      <c r="K1" t="s">
        <v>534</v>
      </c>
      <c r="L1" t="s">
        <v>536</v>
      </c>
      <c r="M1" t="s">
        <v>537</v>
      </c>
      <c r="N1" t="s">
        <v>667</v>
      </c>
      <c r="O1" t="s">
        <v>668</v>
      </c>
      <c r="P1" t="s">
        <v>820</v>
      </c>
      <c r="Q1" t="s">
        <v>833</v>
      </c>
      <c r="R1" t="s">
        <v>834</v>
      </c>
      <c r="S1" t="s">
        <v>835</v>
      </c>
      <c r="T1" t="s">
        <v>836</v>
      </c>
      <c r="U1" t="s">
        <v>829</v>
      </c>
      <c r="V1" t="s">
        <v>830</v>
      </c>
      <c r="W1" t="s">
        <v>831</v>
      </c>
      <c r="X1" t="s">
        <v>832</v>
      </c>
      <c r="Y1" t="s">
        <v>762</v>
      </c>
      <c r="Z1" t="s">
        <v>533</v>
      </c>
      <c r="AA1" t="s">
        <v>682</v>
      </c>
      <c r="AB1" t="s">
        <v>763</v>
      </c>
    </row>
    <row r="2" spans="1:30" x14ac:dyDescent="0.25">
      <c r="A2">
        <v>103</v>
      </c>
      <c r="B2">
        <f>+A2</f>
        <v>103</v>
      </c>
      <c r="C2">
        <f>+B2-12</f>
        <v>91</v>
      </c>
      <c r="D2">
        <f>+A2</f>
        <v>103</v>
      </c>
      <c r="E2">
        <f>+A2</f>
        <v>103</v>
      </c>
      <c r="F2">
        <f>+A2</f>
        <v>103</v>
      </c>
      <c r="G2">
        <f>+A2</f>
        <v>103</v>
      </c>
      <c r="H2">
        <f>+A2</f>
        <v>103</v>
      </c>
      <c r="I2">
        <f>+A2</f>
        <v>103</v>
      </c>
      <c r="J2">
        <f>+$A$2</f>
        <v>103</v>
      </c>
      <c r="K2">
        <f>+$A$2</f>
        <v>103</v>
      </c>
      <c r="L2">
        <f>+$A$2</f>
        <v>103</v>
      </c>
      <c r="M2">
        <f>+$A$2</f>
        <v>103</v>
      </c>
      <c r="N2">
        <v>98</v>
      </c>
      <c r="O2">
        <v>98</v>
      </c>
      <c r="P2">
        <v>103</v>
      </c>
      <c r="Z2">
        <v>84</v>
      </c>
      <c r="AA2">
        <v>19</v>
      </c>
      <c r="AB2">
        <v>19</v>
      </c>
    </row>
    <row r="3" spans="1:30" x14ac:dyDescent="0.25">
      <c r="B3" t="s">
        <v>528</v>
      </c>
      <c r="C3" t="s">
        <v>528</v>
      </c>
      <c r="D3" t="s">
        <v>528</v>
      </c>
      <c r="E3" t="s">
        <v>528</v>
      </c>
      <c r="F3" t="s">
        <v>527</v>
      </c>
      <c r="G3" t="s">
        <v>527</v>
      </c>
      <c r="H3" t="s">
        <v>527</v>
      </c>
      <c r="I3" t="s">
        <v>526</v>
      </c>
      <c r="J3" t="s">
        <v>526</v>
      </c>
      <c r="K3" t="s">
        <v>525</v>
      </c>
      <c r="L3" t="s">
        <v>538</v>
      </c>
      <c r="M3" t="s">
        <v>539</v>
      </c>
      <c r="N3">
        <v>3</v>
      </c>
      <c r="O3">
        <v>7</v>
      </c>
      <c r="P3" t="s">
        <v>821</v>
      </c>
      <c r="Z3" t="s">
        <v>526</v>
      </c>
      <c r="AA3" t="s">
        <v>538</v>
      </c>
      <c r="AB3" t="s">
        <v>539</v>
      </c>
    </row>
    <row r="4" spans="1:30" x14ac:dyDescent="0.25">
      <c r="A4" t="s">
        <v>466</v>
      </c>
      <c r="B4">
        <f ca="1">INDIRECT($A4&amp;"!"&amp;B$3&amp;$B$2)</f>
        <v>0</v>
      </c>
      <c r="C4">
        <f ca="1">INDIRECT($A4&amp;"!"&amp;C$3&amp;C$2)</f>
        <v>109.95</v>
      </c>
      <c r="D4" s="2">
        <f ca="1">+INDIRECT($A4&amp;"!"&amp;D$3&amp;$D$2)/INDIRECT($A4&amp;"!"&amp;D$3&amp;$D$2-3)-1</f>
        <v>-1</v>
      </c>
      <c r="E4" s="2">
        <f ca="1">+B4/C4-1</f>
        <v>-1</v>
      </c>
      <c r="F4">
        <f ca="1">INDIRECT($A4&amp;"!"&amp;F$3&amp;$B$2)</f>
        <v>0</v>
      </c>
      <c r="G4" s="41">
        <f ca="1">+INDIRECT($A4&amp;"!"&amp;G$3&amp;$G$2)-INDIRECT($A4&amp;"!"&amp;G$3&amp;$G$2-3)</f>
        <v>1.64</v>
      </c>
      <c r="H4" s="41">
        <f ca="1">+INDIRECT($A4&amp;"!"&amp;H$3&amp;$E$2)-INDIRECT($A4&amp;"!"&amp;H$3&amp;$E$2-12)</f>
        <v>-0.62</v>
      </c>
      <c r="I4" s="3">
        <f t="shared" ref="I4:I35" ca="1" si="0">+INDIRECT($A4&amp;"!"&amp;I$3&amp;$I$2)</f>
        <v>6.3</v>
      </c>
      <c r="J4" s="16">
        <f t="shared" ref="J4:J35" ca="1" si="1">+INDIRECT($A4&amp;"!"&amp;J$3&amp;$J$2)-INDIRECT($A4&amp;"!"&amp;J$3&amp;$J$2-12)</f>
        <v>-0.10000000000000053</v>
      </c>
      <c r="K4" s="4">
        <f ca="1">+SUM(INDIRECT($A4&amp;"!"&amp;K$3&amp;$K$2-11):INDIRECT($A4&amp;"!"&amp;K$3&amp;$K$2))/SUM(INDIRECT($A4&amp;"!"&amp;K$3&amp;$K$2-23):INDIRECT($A4&amp;"!"&amp;K$3&amp;$K$2-12))-1</f>
        <v>7.7413479052823364E-2</v>
      </c>
      <c r="L4" s="2">
        <f t="shared" ref="L4:L35" ca="1" si="2">+INDIRECT($A4&amp;"!"&amp;L$3&amp;$L$2)/INDIRECT($A4&amp;"!"&amp;L$3&amp;$L$2-12)-1</f>
        <v>6.8578553615958882E-3</v>
      </c>
      <c r="M4" s="2">
        <f t="shared" ref="M4:M35" ca="1" si="3">+INDIRECT($A4&amp;"!"&amp;M$3&amp;$M$2)/INDIRECT($A4&amp;"!"&amp;M$3&amp;$M$2-12)-1</f>
        <v>-1.200480192076836E-2</v>
      </c>
      <c r="N4" s="28">
        <f>VLOOKUP($A4,'BLS Data Series'!$C$5:$O$55,$N$3,FALSE)</f>
        <v>922.71</v>
      </c>
      <c r="O4" s="63">
        <f>VLOOKUP($A4,'BLS Data Series'!$C$5:$O$55,$O$3,FALSE)</f>
        <v>-3.6505587152962482E-2</v>
      </c>
      <c r="P4" s="16" t="e">
        <f ca="1">(INDIRECT($A4&amp;"!"&amp;P$3&amp;$P$2)/INDIRECT($A4&amp;"!"&amp;P$3&amp;$P$2-1)-1)*100</f>
        <v>#DIV/0!</v>
      </c>
      <c r="Q4" s="16" t="e">
        <f t="shared" ref="Q4:Q35" si="4">VLOOKUP($A4,salestax,3,FALSE)*100</f>
        <v>#N/A</v>
      </c>
      <c r="R4" s="16" t="e">
        <f t="shared" ref="R4:R35" si="5">VLOOKUP($A4,PIT,3,FALSE)*100</f>
        <v>#N/A</v>
      </c>
      <c r="S4" s="16">
        <f t="shared" ref="S4:S35" si="6">VLOOKUP($A4,CIT,3,FALSE)*100</f>
        <v>-20.666416510318953</v>
      </c>
      <c r="T4" s="16">
        <f t="shared" ref="T4:T35" si="7">VLOOKUP($A4,TotTax,3,FALSE)*100</f>
        <v>-45.84908799358589</v>
      </c>
      <c r="U4" s="16" t="e">
        <f t="shared" ref="U4:U35" si="8">VLOOKUP($A4,salestax,2,FALSE)</f>
        <v>#N/A</v>
      </c>
      <c r="V4" s="16" t="e">
        <f t="shared" ref="V4:V35" si="9">VLOOKUP($A4,PIT,2,FALSE)</f>
        <v>#N/A</v>
      </c>
      <c r="W4" s="16">
        <f t="shared" ref="W4:W35" si="10">VLOOKUP($A4,CIT,2,FALSE)</f>
        <v>-22.344322344322343</v>
      </c>
      <c r="X4" s="16">
        <f t="shared" ref="X4:X35" si="11">VLOOKUP($A4,TotTax,2,FALSE)</f>
        <v>-72.741904761904763</v>
      </c>
      <c r="Y4">
        <f ca="1">COUNTIF(Z4:Z54,"&gt;7.99")</f>
        <v>13</v>
      </c>
      <c r="Z4" s="3">
        <f ca="1">+INDIRECT($A4&amp;"!"&amp;Z$3&amp;Z$2)</f>
        <v>6.5</v>
      </c>
      <c r="AA4" s="3">
        <f t="shared" ref="AA4:AB19" ca="1" si="12">+INDIRECT($A4&amp;"!"&amp;AA$3&amp;AA$2)</f>
        <v>303.7</v>
      </c>
      <c r="AB4" s="3">
        <f t="shared" ca="1" si="12"/>
        <v>82.5</v>
      </c>
      <c r="AD4">
        <f ca="1">IF(I4&gt;Z4,1,0)</f>
        <v>0</v>
      </c>
    </row>
    <row r="5" spans="1:30" x14ac:dyDescent="0.25">
      <c r="A5" t="s">
        <v>465</v>
      </c>
      <c r="B5">
        <f t="shared" ref="B5:B55" ca="1" si="13">INDIRECT($A5&amp;"!"&amp;B$3&amp;$B$2)</f>
        <v>0</v>
      </c>
      <c r="C5">
        <f t="shared" ref="C5:C20" ca="1" si="14">INDIRECT($A5&amp;"!"&amp;C$3&amp;C$2)</f>
        <v>133.97999999999999</v>
      </c>
      <c r="D5" s="2">
        <f t="shared" ref="D5:D9" ca="1" si="15">+INDIRECT($A5&amp;"!"&amp;D$3&amp;$D$2)/INDIRECT($A5&amp;"!"&amp;D$3&amp;$D$2-3)-1</f>
        <v>-1</v>
      </c>
      <c r="E5" s="2">
        <f t="shared" ref="E5:E55" ca="1" si="16">+B5/C5-1</f>
        <v>-1</v>
      </c>
      <c r="F5">
        <f t="shared" ref="F5:F55" ca="1" si="17">INDIRECT($A5&amp;"!"&amp;F$3&amp;$B$2)</f>
        <v>0</v>
      </c>
      <c r="G5" s="41">
        <f t="shared" ref="G5:G55" ca="1" si="18">+INDIRECT($A5&amp;"!"&amp;G$3&amp;$G$2)-INDIRECT($A5&amp;"!"&amp;G$3&amp;$G$2-3)</f>
        <v>-3.71</v>
      </c>
      <c r="H5" s="41">
        <f t="shared" ref="H5:H55" ca="1" si="19">+INDIRECT($A5&amp;"!"&amp;H$3&amp;$E$2)-INDIRECT($A5&amp;"!"&amp;H$3&amp;$E$2-12)</f>
        <v>-1.64</v>
      </c>
      <c r="I5" s="3">
        <f t="shared" ca="1" si="0"/>
        <v>5.7</v>
      </c>
      <c r="J5" s="16">
        <f t="shared" ca="1" si="1"/>
        <v>-0.39999999999999947</v>
      </c>
      <c r="K5" s="4">
        <f ca="1">+SUM(INDIRECT($A5&amp;"!"&amp;K$3&amp;$K$2-11):INDIRECT($A5&amp;"!"&amp;K$3&amp;$K$2))/SUM(INDIRECT($A5&amp;"!"&amp;K$3&amp;$K$2-23):INDIRECT($A5&amp;"!"&amp;K$3&amp;$K$2-12))-1</f>
        <v>6.8071904370836656E-2</v>
      </c>
      <c r="L5" s="2">
        <f t="shared" ca="1" si="2"/>
        <v>1.6563362675139359E-2</v>
      </c>
      <c r="M5" s="2">
        <f t="shared" ca="1" si="3"/>
        <v>6.8801270177296647E-3</v>
      </c>
      <c r="N5" s="28">
        <f>VLOOKUP($A5,'BLS Data Series'!$C$5:$O$55,$N$3,FALSE)</f>
        <v>738.05</v>
      </c>
      <c r="O5" s="63">
        <f>VLOOKUP($A5,'BLS Data Series'!$C$5:$O$55,$O$3,FALSE)</f>
        <v>-1.3722066004963729E-2</v>
      </c>
      <c r="P5" s="16" t="e">
        <f t="shared" ref="P5:P54" ca="1" si="20">(INDIRECT($A5&amp;"!"&amp;P$3&amp;$P$2)/INDIRECT($A5&amp;"!"&amp;P$3&amp;$P$2-1)-1)*100</f>
        <v>#DIV/0!</v>
      </c>
      <c r="Q5" s="16">
        <f t="shared" si="4"/>
        <v>2.6285591766723737</v>
      </c>
      <c r="R5" s="16">
        <f t="shared" si="5"/>
        <v>0.14572142410993472</v>
      </c>
      <c r="S5" s="16">
        <f t="shared" si="6"/>
        <v>6.3559055118110219</v>
      </c>
      <c r="T5" s="16">
        <f t="shared" si="7"/>
        <v>6.066445182724145E-2</v>
      </c>
      <c r="U5" s="16">
        <f t="shared" si="8"/>
        <v>4.8455479452054862</v>
      </c>
      <c r="V5" s="16">
        <f t="shared" si="9"/>
        <v>-0.55351213282247569</v>
      </c>
      <c r="W5" s="16">
        <f t="shared" si="10"/>
        <v>8.2191780821917924</v>
      </c>
      <c r="X5" s="16">
        <f t="shared" si="11"/>
        <v>4.1210060549604188</v>
      </c>
      <c r="Z5" s="3">
        <f t="shared" ref="Z5:AB36" ca="1" si="21">+INDIRECT($A5&amp;"!"&amp;Z$3&amp;Z$2)</f>
        <v>6.4</v>
      </c>
      <c r="AA5" s="3">
        <f t="shared" ca="1" si="12"/>
        <v>2026.7</v>
      </c>
      <c r="AB5" s="3">
        <f t="shared" ca="1" si="12"/>
        <v>381.8</v>
      </c>
      <c r="AD5">
        <f t="shared" ref="AD5:AD54" ca="1" si="22">IF(I5&gt;Z5,1,0)</f>
        <v>0</v>
      </c>
    </row>
    <row r="6" spans="1:30" x14ac:dyDescent="0.25">
      <c r="A6" t="s">
        <v>475</v>
      </c>
      <c r="B6">
        <f t="shared" ca="1" si="13"/>
        <v>0</v>
      </c>
      <c r="C6">
        <f t="shared" ca="1" si="14"/>
        <v>144.52000000000001</v>
      </c>
      <c r="D6" s="2">
        <f t="shared" ca="1" si="15"/>
        <v>-1</v>
      </c>
      <c r="E6" s="2">
        <f t="shared" ca="1" si="16"/>
        <v>-1</v>
      </c>
      <c r="F6">
        <f t="shared" ca="1" si="17"/>
        <v>0</v>
      </c>
      <c r="G6" s="41">
        <f t="shared" ca="1" si="18"/>
        <v>-2.74</v>
      </c>
      <c r="H6" s="41">
        <f t="shared" ca="1" si="19"/>
        <v>-2.0099999999999998</v>
      </c>
      <c r="I6" s="3">
        <f t="shared" ca="1" si="0"/>
        <v>5.7</v>
      </c>
      <c r="J6" s="16">
        <f t="shared" ca="1" si="1"/>
        <v>-1.7000000000000002</v>
      </c>
      <c r="K6" s="4">
        <f ca="1">+SUM(INDIRECT($A6&amp;"!"&amp;K$3&amp;$K$2-11):INDIRECT($A6&amp;"!"&amp;K$3&amp;$K$2))/SUM(INDIRECT($A6&amp;"!"&amp;K$3&amp;$K$2-23):INDIRECT($A6&amp;"!"&amp;K$3&amp;$K$2-12))-1</f>
        <v>-2.7397260273972601E-2</v>
      </c>
      <c r="L6" s="2">
        <f t="shared" ca="1" si="2"/>
        <v>1.9031578947368288E-2</v>
      </c>
      <c r="M6" s="2">
        <f t="shared" ca="1" si="3"/>
        <v>0</v>
      </c>
      <c r="N6" s="28">
        <f>VLOOKUP($A6,'BLS Data Series'!$C$5:$O$55,$N$3,FALSE)</f>
        <v>673.03</v>
      </c>
      <c r="O6" s="63">
        <f>VLOOKUP($A6,'BLS Data Series'!$C$5:$O$55,$O$3,FALSE)</f>
        <v>-3.9172623435155041E-2</v>
      </c>
      <c r="P6" s="16" t="e">
        <f t="shared" ca="1" si="20"/>
        <v>#DIV/0!</v>
      </c>
      <c r="Q6" s="16">
        <f t="shared" si="4"/>
        <v>6.8293415216649667</v>
      </c>
      <c r="R6" s="16">
        <f t="shared" si="5"/>
        <v>-1.4557309282224762</v>
      </c>
      <c r="S6" s="16">
        <f t="shared" si="6"/>
        <v>-5.4717026378896865</v>
      </c>
      <c r="T6" s="16">
        <f t="shared" si="7"/>
        <v>2.5965260261407996</v>
      </c>
      <c r="U6" s="16">
        <f t="shared" si="8"/>
        <v>2.0843672456583029E-2</v>
      </c>
      <c r="V6" s="16">
        <f t="shared" si="9"/>
        <v>2.8750746268656702</v>
      </c>
      <c r="W6" s="16">
        <f t="shared" si="10"/>
        <v>-8.270676691729328</v>
      </c>
      <c r="X6" s="16">
        <f t="shared" si="11"/>
        <v>1.8591144606688648</v>
      </c>
      <c r="Z6" s="3">
        <f t="shared" ca="1" si="21"/>
        <v>7.5</v>
      </c>
      <c r="AA6" s="3">
        <f t="shared" ca="1" si="12"/>
        <v>1214.2</v>
      </c>
      <c r="AB6" s="3">
        <f t="shared" ca="1" si="12"/>
        <v>216.1</v>
      </c>
      <c r="AD6">
        <f t="shared" ca="1" si="22"/>
        <v>0</v>
      </c>
    </row>
    <row r="7" spans="1:30" x14ac:dyDescent="0.25">
      <c r="A7" t="s">
        <v>476</v>
      </c>
      <c r="B7">
        <f t="shared" ca="1" si="13"/>
        <v>0</v>
      </c>
      <c r="C7">
        <f t="shared" ca="1" si="14"/>
        <v>186.07</v>
      </c>
      <c r="D7" s="2">
        <f t="shared" ca="1" si="15"/>
        <v>-1</v>
      </c>
      <c r="E7" s="2">
        <f t="shared" ca="1" si="16"/>
        <v>-1</v>
      </c>
      <c r="F7">
        <f t="shared" ca="1" si="17"/>
        <v>0</v>
      </c>
      <c r="G7" s="41">
        <f t="shared" ca="1" si="18"/>
        <v>-2.2000000000000002</v>
      </c>
      <c r="H7" s="41">
        <f t="shared" ca="1" si="19"/>
        <v>-1.67</v>
      </c>
      <c r="I7" s="3">
        <f t="shared" ca="1" si="0"/>
        <v>6.7</v>
      </c>
      <c r="J7" s="16">
        <f t="shared" ca="1" si="1"/>
        <v>-0.89999999999999947</v>
      </c>
      <c r="K7" s="4">
        <f ca="1">+SUM(INDIRECT($A7&amp;"!"&amp;K$3&amp;$K$2-11):INDIRECT($A7&amp;"!"&amp;K$3&amp;$K$2))/SUM(INDIRECT($A7&amp;"!"&amp;K$3&amp;$K$2-23):INDIRECT($A7&amp;"!"&amp;K$3&amp;$K$2-12))-1</f>
        <v>5.3086106172212322E-2</v>
      </c>
      <c r="L7" s="2">
        <f t="shared" ca="1" si="2"/>
        <v>2.4567259178762679E-2</v>
      </c>
      <c r="M7" s="2">
        <f t="shared" ca="1" si="3"/>
        <v>7.6299475441108378E-3</v>
      </c>
      <c r="N7" s="28">
        <f>VLOOKUP($A7,'BLS Data Series'!$C$5:$O$55,$N$3,FALSE)</f>
        <v>780.75</v>
      </c>
      <c r="O7" s="63">
        <f>VLOOKUP($A7,'BLS Data Series'!$C$5:$O$55,$O$3,FALSE)</f>
        <v>-5.4795593797115738E-2</v>
      </c>
      <c r="P7" s="16" t="e">
        <f t="shared" ca="1" si="20"/>
        <v>#DIV/0!</v>
      </c>
      <c r="Q7" s="16">
        <f t="shared" si="4"/>
        <v>11.726004016064252</v>
      </c>
      <c r="R7" s="16">
        <f t="shared" si="5"/>
        <v>0.81570271833428798</v>
      </c>
      <c r="S7" s="16">
        <f t="shared" si="6"/>
        <v>-5.4551612903225859</v>
      </c>
      <c r="T7" s="16">
        <f t="shared" si="7"/>
        <v>4.8725782290279573</v>
      </c>
      <c r="U7" s="16">
        <f t="shared" si="8"/>
        <v>18.570141065830725</v>
      </c>
      <c r="V7" s="16">
        <f t="shared" si="9"/>
        <v>2.4351521511017937</v>
      </c>
      <c r="W7" s="16">
        <f t="shared" si="10"/>
        <v>-17.054263565891471</v>
      </c>
      <c r="X7" s="16">
        <f t="shared" si="11"/>
        <v>8.3222472633612377</v>
      </c>
      <c r="Z7" s="3">
        <f t="shared" ca="1" si="21"/>
        <v>8</v>
      </c>
      <c r="AA7" s="3">
        <f t="shared" ca="1" si="12"/>
        <v>2719.7</v>
      </c>
      <c r="AB7" s="3">
        <f t="shared" ca="1" si="12"/>
        <v>439.2</v>
      </c>
      <c r="AD7">
        <f t="shared" ca="1" si="22"/>
        <v>0</v>
      </c>
    </row>
    <row r="8" spans="1:30" x14ac:dyDescent="0.25">
      <c r="A8" t="s">
        <v>467</v>
      </c>
      <c r="B8">
        <f t="shared" ca="1" si="13"/>
        <v>0</v>
      </c>
      <c r="C8">
        <f t="shared" ca="1" si="14"/>
        <v>160.88999999999999</v>
      </c>
      <c r="D8" s="2">
        <f t="shared" ca="1" si="15"/>
        <v>-1</v>
      </c>
      <c r="E8" s="2">
        <f t="shared" ca="1" si="16"/>
        <v>-1</v>
      </c>
      <c r="F8">
        <f t="shared" ca="1" si="17"/>
        <v>0</v>
      </c>
      <c r="G8" s="41">
        <f t="shared" ca="1" si="18"/>
        <v>-1.86</v>
      </c>
      <c r="H8" s="41">
        <f t="shared" ca="1" si="19"/>
        <v>-1.55</v>
      </c>
      <c r="I8" s="3">
        <f t="shared" ca="1" si="0"/>
        <v>7</v>
      </c>
      <c r="J8" s="16">
        <f t="shared" ca="1" si="1"/>
        <v>-1.3000000000000007</v>
      </c>
      <c r="K8" s="4">
        <f ca="1">+SUM(INDIRECT($A8&amp;"!"&amp;K$3&amp;$K$2-11):INDIRECT($A8&amp;"!"&amp;K$3&amp;$K$2))/SUM(INDIRECT($A8&amp;"!"&amp;K$3&amp;$K$2-23):INDIRECT($A8&amp;"!"&amp;K$3&amp;$K$2-12))-1</f>
        <v>-3.1521319077676191E-2</v>
      </c>
      <c r="L8" s="2">
        <f t="shared" ca="1" si="2"/>
        <v>2.0833333333333481E-2</v>
      </c>
      <c r="M8" s="2">
        <f t="shared" ca="1" si="3"/>
        <v>-1.5001875234403883E-3</v>
      </c>
      <c r="N8" s="28">
        <f>VLOOKUP($A8,'BLS Data Series'!$C$5:$O$55,$N$3,FALSE)</f>
        <v>954.23</v>
      </c>
      <c r="O8" s="63">
        <f>VLOOKUP($A8,'BLS Data Series'!$C$5:$O$55,$O$3,FALSE)</f>
        <v>-1.8767988215761422E-2</v>
      </c>
      <c r="P8" s="16" t="e">
        <f t="shared" ca="1" si="20"/>
        <v>#DIV/0!</v>
      </c>
      <c r="Q8" s="16">
        <f t="shared" si="4"/>
        <v>5.9463004940424335</v>
      </c>
      <c r="R8" s="16">
        <f t="shared" si="5"/>
        <v>-1.5499334411634202</v>
      </c>
      <c r="S8" s="16">
        <f t="shared" si="6"/>
        <v>17.539007463663747</v>
      </c>
      <c r="T8" s="16">
        <f t="shared" si="7"/>
        <v>2.6960998009212922</v>
      </c>
      <c r="U8" s="16">
        <f t="shared" si="8"/>
        <v>3.4607941036614243</v>
      </c>
      <c r="V8" s="16">
        <f t="shared" si="9"/>
        <v>10.812127313559984</v>
      </c>
      <c r="W8" s="16">
        <f t="shared" si="10"/>
        <v>9.014894172981446</v>
      </c>
      <c r="X8" s="16">
        <f t="shared" si="11"/>
        <v>8.6715134351039502</v>
      </c>
      <c r="Z8" s="3">
        <f t="shared" ca="1" si="21"/>
        <v>9</v>
      </c>
      <c r="AA8" s="3">
        <f t="shared" ca="1" si="12"/>
        <v>15594</v>
      </c>
      <c r="AB8" s="3">
        <f t="shared" ca="1" si="12"/>
        <v>2531.5</v>
      </c>
      <c r="AD8">
        <f t="shared" ca="1" si="22"/>
        <v>0</v>
      </c>
    </row>
    <row r="9" spans="1:30" x14ac:dyDescent="0.25">
      <c r="A9" t="s">
        <v>477</v>
      </c>
      <c r="B9">
        <f t="shared" ca="1" si="13"/>
        <v>0</v>
      </c>
      <c r="C9">
        <f t="shared" ca="1" si="14"/>
        <v>180.29</v>
      </c>
      <c r="D9" s="2">
        <f t="shared" ca="1" si="15"/>
        <v>-1</v>
      </c>
      <c r="E9" s="2">
        <f t="shared" ca="1" si="16"/>
        <v>-1</v>
      </c>
      <c r="F9">
        <f t="shared" ca="1" si="17"/>
        <v>0</v>
      </c>
      <c r="G9" s="41">
        <f t="shared" ca="1" si="18"/>
        <v>-1.56</v>
      </c>
      <c r="H9" s="41">
        <f t="shared" ca="1" si="19"/>
        <v>-2.5299999999999998</v>
      </c>
      <c r="I9" s="3">
        <f t="shared" ca="1" si="0"/>
        <v>4</v>
      </c>
      <c r="J9" s="16">
        <f t="shared" ca="1" si="1"/>
        <v>-2.2000000000000002</v>
      </c>
      <c r="K9" s="4">
        <f ca="1">+SUM(INDIRECT($A9&amp;"!"&amp;K$3&amp;$K$2-11):INDIRECT($A9&amp;"!"&amp;K$3&amp;$K$2))/SUM(INDIRECT($A9&amp;"!"&amp;K$3&amp;$K$2-23):INDIRECT($A9&amp;"!"&amp;K$3&amp;$K$2-12))-1</f>
        <v>3.988183161004466E-3</v>
      </c>
      <c r="L9" s="2">
        <f t="shared" ca="1" si="2"/>
        <v>2.5922110035029977E-2</v>
      </c>
      <c r="M9" s="2">
        <f t="shared" ca="1" si="3"/>
        <v>1.5996122152205361E-2</v>
      </c>
      <c r="N9" s="28">
        <f>VLOOKUP($A9,'BLS Data Series'!$C$5:$O$55,$N$3,FALSE)</f>
        <v>898.54</v>
      </c>
      <c r="O9" s="63">
        <f>VLOOKUP($A9,'BLS Data Series'!$C$5:$O$55,$O$3,FALSE)</f>
        <v>-3.0996130557125467E-2</v>
      </c>
      <c r="P9" s="16" t="e">
        <f t="shared" ca="1" si="20"/>
        <v>#DIV/0!</v>
      </c>
      <c r="Q9" s="16">
        <f t="shared" si="4"/>
        <v>9.1075825519771669</v>
      </c>
      <c r="R9" s="16">
        <f t="shared" si="5"/>
        <v>2.960524906266726</v>
      </c>
      <c r="S9" s="16">
        <f t="shared" si="6"/>
        <v>13.610559006211176</v>
      </c>
      <c r="T9" s="16">
        <f t="shared" si="7"/>
        <v>6.5100953053300437</v>
      </c>
      <c r="U9" s="16">
        <f t="shared" si="8"/>
        <v>9.5572741194486888</v>
      </c>
      <c r="V9" s="16">
        <f t="shared" si="9"/>
        <v>9.0417182662538629</v>
      </c>
      <c r="W9" s="16">
        <f t="shared" si="10"/>
        <v>3.2374100719424481</v>
      </c>
      <c r="X9" s="16">
        <f t="shared" si="11"/>
        <v>9.7232876712328711</v>
      </c>
      <c r="Z9" s="3">
        <f t="shared" ca="1" si="21"/>
        <v>6.9</v>
      </c>
      <c r="AA9" s="3">
        <f t="shared" ca="1" si="12"/>
        <v>2372.9</v>
      </c>
      <c r="AB9" s="3">
        <f t="shared" ca="1" si="12"/>
        <v>384</v>
      </c>
      <c r="AD9">
        <f t="shared" ca="1" si="22"/>
        <v>0</v>
      </c>
    </row>
    <row r="10" spans="1:30" x14ac:dyDescent="0.25">
      <c r="A10" t="s">
        <v>468</v>
      </c>
      <c r="B10">
        <f t="shared" ca="1" si="13"/>
        <v>0</v>
      </c>
      <c r="C10">
        <f t="shared" ca="1" si="14"/>
        <v>153.93</v>
      </c>
      <c r="D10" s="2">
        <f t="shared" ref="D10" ca="1" si="23">+INDIRECT($A10&amp;"!"&amp;D$3&amp;$D$2)/INDIRECT($A10&amp;"!"&amp;D$3&amp;$D$2-3)-1</f>
        <v>-1</v>
      </c>
      <c r="E10" s="2">
        <f t="shared" ca="1" si="16"/>
        <v>-1</v>
      </c>
      <c r="F10">
        <f t="shared" ca="1" si="17"/>
        <v>0</v>
      </c>
      <c r="G10" s="41">
        <f t="shared" ca="1" si="18"/>
        <v>-2.71</v>
      </c>
      <c r="H10" s="41">
        <f t="shared" ca="1" si="19"/>
        <v>-1.73</v>
      </c>
      <c r="I10" s="3">
        <f t="shared" ca="1" si="0"/>
        <v>6.4</v>
      </c>
      <c r="J10" s="16">
        <f t="shared" ca="1" si="1"/>
        <v>-1</v>
      </c>
      <c r="K10" s="4">
        <f ca="1">+SUM(INDIRECT($A10&amp;"!"&amp;K$3&amp;$K$2-11):INDIRECT($A10&amp;"!"&amp;K$3&amp;$K$2))/SUM(INDIRECT($A10&amp;"!"&amp;K$3&amp;$K$2-23):INDIRECT($A10&amp;"!"&amp;K$3&amp;$K$2-12))-1</f>
        <v>-5.4364471669218983E-2</v>
      </c>
      <c r="L10" s="2">
        <f t="shared" ca="1" si="2"/>
        <v>1.5822031881989052E-2</v>
      </c>
      <c r="M10" s="2">
        <f t="shared" ca="1" si="3"/>
        <v>4.1305245766212195E-3</v>
      </c>
      <c r="N10" s="28">
        <f>VLOOKUP($A10,'BLS Data Series'!$C$5:$O$55,$N$3,FALSE)</f>
        <v>960.6</v>
      </c>
      <c r="O10" s="63">
        <f>VLOOKUP($A10,'BLS Data Series'!$C$5:$O$55,$O$3,FALSE)</f>
        <v>1.2293016977169557E-2</v>
      </c>
      <c r="P10" s="16" t="e">
        <f t="shared" ca="1" si="20"/>
        <v>#DIV/0!</v>
      </c>
      <c r="Q10" s="16">
        <f t="shared" si="4"/>
        <v>1.7392295995945162</v>
      </c>
      <c r="R10" s="16">
        <f t="shared" si="5"/>
        <v>-1.3607015760040753</v>
      </c>
      <c r="S10" s="16">
        <f t="shared" si="6"/>
        <v>13.539518900343662</v>
      </c>
      <c r="T10" s="16">
        <f t="shared" si="7"/>
        <v>-2.0237252475247547</v>
      </c>
      <c r="U10" s="16">
        <f t="shared" si="8"/>
        <v>5.2998302207130754</v>
      </c>
      <c r="V10" s="16">
        <f t="shared" si="9"/>
        <v>-1.0796905222437148</v>
      </c>
      <c r="W10" s="16">
        <f t="shared" si="10"/>
        <v>-2.8000000000000025</v>
      </c>
      <c r="X10" s="16">
        <f t="shared" si="11"/>
        <v>1.3208786231884151</v>
      </c>
      <c r="Z10" s="3">
        <f t="shared" ca="1" si="21"/>
        <v>7.8</v>
      </c>
      <c r="AA10" s="3">
        <f t="shared" ca="1" si="12"/>
        <v>1730.9</v>
      </c>
      <c r="AB10" s="3">
        <f t="shared" ca="1" si="12"/>
        <v>258</v>
      </c>
      <c r="AD10">
        <f t="shared" ca="1" si="22"/>
        <v>0</v>
      </c>
    </row>
    <row r="11" spans="1:30" x14ac:dyDescent="0.25">
      <c r="A11" t="s">
        <v>600</v>
      </c>
      <c r="D11" s="2"/>
      <c r="E11" s="2"/>
      <c r="F11" s="3"/>
      <c r="G11" s="3"/>
      <c r="H11" s="3"/>
      <c r="I11" s="3">
        <f t="shared" ca="1" si="0"/>
        <v>7.3</v>
      </c>
      <c r="J11" s="16">
        <f t="shared" ca="1" si="1"/>
        <v>-0.29999999999999982</v>
      </c>
      <c r="K11" s="4">
        <f ca="1">+SUM(INDIRECT($A11&amp;"!"&amp;K$3&amp;$K$2-11):INDIRECT($A11&amp;"!"&amp;K$3&amp;$K$2))/SUM(INDIRECT($A11&amp;"!"&amp;K$3&amp;$K$2-23):INDIRECT($A11&amp;"!"&amp;K$3&amp;$K$2-12))-1</f>
        <v>0.24731182795698925</v>
      </c>
      <c r="L11" s="2">
        <f t="shared" ca="1" si="2"/>
        <v>1.9503072401816812E-2</v>
      </c>
      <c r="M11" s="2">
        <f t="shared" ca="1" si="3"/>
        <v>6.7482075073808101E-3</v>
      </c>
      <c r="N11" s="28">
        <f>VLOOKUP($A11,'BLS Data Series'!$C$5:$O$55,$N$3,FALSE)</f>
        <v>1379.89</v>
      </c>
      <c r="O11" s="63">
        <f>VLOOKUP($A11,'BLS Data Series'!$C$5:$O$55,$O$3,FALSE)</f>
        <v>-5.9117602093718413E-2</v>
      </c>
      <c r="P11" s="16" t="e">
        <f t="shared" ca="1" si="20"/>
        <v>#DIV/0!</v>
      </c>
      <c r="Q11" s="16">
        <f t="shared" si="4"/>
        <v>3.5369740376007153</v>
      </c>
      <c r="R11" s="16">
        <f t="shared" si="5"/>
        <v>1.8295427196149072</v>
      </c>
      <c r="S11" s="16">
        <f t="shared" si="6"/>
        <v>-7.3171366594360077</v>
      </c>
      <c r="T11" s="16">
        <f t="shared" si="7"/>
        <v>-0.11479346781940736</v>
      </c>
      <c r="U11" s="16">
        <f t="shared" si="8"/>
        <v>1.5491408934707795</v>
      </c>
      <c r="V11" s="16">
        <f t="shared" si="9"/>
        <v>8.4789340101522725</v>
      </c>
      <c r="W11" s="16">
        <f t="shared" si="10"/>
        <v>0</v>
      </c>
      <c r="X11" s="16">
        <f t="shared" si="11"/>
        <v>-3.2090203685742003</v>
      </c>
      <c r="Z11" s="3">
        <f t="shared" ca="1" si="21"/>
        <v>8.5</v>
      </c>
      <c r="AA11" s="3">
        <f t="shared" ca="1" si="12"/>
        <v>701.8</v>
      </c>
      <c r="AB11" s="3">
        <f t="shared" ca="1" si="12"/>
        <v>232.3</v>
      </c>
      <c r="AD11">
        <f t="shared" ca="1" si="22"/>
        <v>0</v>
      </c>
    </row>
    <row r="12" spans="1:30" x14ac:dyDescent="0.25">
      <c r="A12" t="s">
        <v>469</v>
      </c>
      <c r="B12">
        <f t="shared" ca="1" si="13"/>
        <v>0</v>
      </c>
      <c r="C12">
        <f t="shared" ca="1" si="14"/>
        <v>144.41999999999999</v>
      </c>
      <c r="D12" s="2">
        <f t="shared" ref="D12:D54" ca="1" si="24">+INDIRECT($A12&amp;"!"&amp;D$3&amp;$D$2)/INDIRECT($A12&amp;"!"&amp;D$3&amp;$D$2-3)-1</f>
        <v>-1</v>
      </c>
      <c r="E12" s="2">
        <f t="shared" ca="1" si="16"/>
        <v>-1</v>
      </c>
      <c r="F12">
        <f t="shared" ca="1" si="17"/>
        <v>0</v>
      </c>
      <c r="G12" s="41">
        <f t="shared" ca="1" si="18"/>
        <v>-3.93</v>
      </c>
      <c r="H12" s="41">
        <f t="shared" ca="1" si="19"/>
        <v>-2.12</v>
      </c>
      <c r="I12" s="3">
        <f t="shared" ca="1" si="0"/>
        <v>5.4</v>
      </c>
      <c r="J12" s="16">
        <f t="shared" ca="1" si="1"/>
        <v>-0.79999999999999982</v>
      </c>
      <c r="K12" s="4">
        <f ca="1">+SUM(INDIRECT($A12&amp;"!"&amp;K$3&amp;$K$2-11):INDIRECT($A12&amp;"!"&amp;K$3&amp;$K$2))/SUM(INDIRECT($A12&amp;"!"&amp;K$3&amp;$K$2-23):INDIRECT($A12&amp;"!"&amp;K$3&amp;$K$2-12))-1</f>
        <v>-7.6283826976347724E-2</v>
      </c>
      <c r="L12" s="2">
        <f t="shared" ca="1" si="2"/>
        <v>2.6841018582243636E-2</v>
      </c>
      <c r="M12" s="2">
        <f t="shared" ca="1" si="3"/>
        <v>2.0000000000000018E-2</v>
      </c>
      <c r="N12" s="28">
        <f>VLOOKUP($A12,'BLS Data Series'!$C$5:$O$55,$N$3,FALSE)</f>
        <v>727.04</v>
      </c>
      <c r="O12" s="63">
        <f>VLOOKUP($A12,'BLS Data Series'!$C$5:$O$55,$O$3,FALSE)</f>
        <v>7.3026957985498075E-3</v>
      </c>
      <c r="P12" s="16" t="e">
        <f t="shared" ca="1" si="20"/>
        <v>#DIV/0!</v>
      </c>
      <c r="Q12" s="16" t="e">
        <f t="shared" si="4"/>
        <v>#N/A</v>
      </c>
      <c r="R12" s="16">
        <f t="shared" si="5"/>
        <v>-10.095570934256049</v>
      </c>
      <c r="S12" s="16">
        <f t="shared" si="6"/>
        <v>-12.414332247557013</v>
      </c>
      <c r="T12" s="16">
        <f t="shared" si="7"/>
        <v>-9.2336779107725757</v>
      </c>
      <c r="U12" s="16" t="e">
        <f t="shared" si="8"/>
        <v>#N/A</v>
      </c>
      <c r="V12" s="16">
        <f t="shared" si="9"/>
        <v>-23.320050761421317</v>
      </c>
      <c r="W12" s="16">
        <f t="shared" si="10"/>
        <v>0.87719298245614308</v>
      </c>
      <c r="X12" s="16">
        <f t="shared" si="11"/>
        <v>-20.967141292442491</v>
      </c>
      <c r="Z12" s="3">
        <f t="shared" ca="1" si="21"/>
        <v>6.8</v>
      </c>
      <c r="AA12" s="3">
        <f t="shared" ca="1" si="12"/>
        <v>445.7</v>
      </c>
      <c r="AB12" s="3">
        <f t="shared" ca="1" si="12"/>
        <v>63.7</v>
      </c>
      <c r="AD12">
        <f t="shared" ca="1" si="22"/>
        <v>0</v>
      </c>
    </row>
    <row r="13" spans="1:30" x14ac:dyDescent="0.25">
      <c r="A13" t="s">
        <v>470</v>
      </c>
      <c r="B13">
        <f t="shared" ca="1" si="13"/>
        <v>0</v>
      </c>
      <c r="C13">
        <f t="shared" ca="1" si="14"/>
        <v>151.5</v>
      </c>
      <c r="D13" s="2">
        <f t="shared" ca="1" si="24"/>
        <v>-1</v>
      </c>
      <c r="E13" s="2">
        <f t="shared" ca="1" si="16"/>
        <v>-1</v>
      </c>
      <c r="F13">
        <f t="shared" ca="1" si="17"/>
        <v>0</v>
      </c>
      <c r="G13" s="41">
        <f t="shared" ca="1" si="18"/>
        <v>-2.0699999999999998</v>
      </c>
      <c r="H13" s="41">
        <f t="shared" ca="1" si="19"/>
        <v>-2.11</v>
      </c>
      <c r="I13" s="3">
        <f t="shared" ca="1" si="0"/>
        <v>5.6</v>
      </c>
      <c r="J13" s="16">
        <f t="shared" ca="1" si="1"/>
        <v>-0.70000000000000018</v>
      </c>
      <c r="K13" s="4">
        <f ca="1">+SUM(INDIRECT($A13&amp;"!"&amp;K$3&amp;$K$2-11):INDIRECT($A13&amp;"!"&amp;K$3&amp;$K$2))/SUM(INDIRECT($A13&amp;"!"&amp;K$3&amp;$K$2-23):INDIRECT($A13&amp;"!"&amp;K$3&amp;$K$2-12))-1</f>
        <v>-0.10917774325335172</v>
      </c>
      <c r="L13" s="2">
        <f t="shared" ca="1" si="2"/>
        <v>2.9961244801524511E-2</v>
      </c>
      <c r="M13" s="2">
        <f t="shared" ca="1" si="3"/>
        <v>4.3919846280537911E-3</v>
      </c>
      <c r="N13" s="28">
        <f>VLOOKUP($A13,'BLS Data Series'!$C$5:$O$55,$N$3,FALSE)</f>
        <v>762.45</v>
      </c>
      <c r="O13" s="63">
        <f>VLOOKUP($A13,'BLS Data Series'!$C$5:$O$55,$O$3,FALSE)</f>
        <v>-1.5718548009988065E-2</v>
      </c>
      <c r="P13" s="16" t="e">
        <f t="shared" ca="1" si="20"/>
        <v>#DIV/0!</v>
      </c>
      <c r="Q13" s="16">
        <f t="shared" si="4"/>
        <v>6.2830280480824285</v>
      </c>
      <c r="R13" s="16" t="e">
        <f t="shared" si="5"/>
        <v>#N/A</v>
      </c>
      <c r="S13" s="16">
        <f t="shared" si="6"/>
        <v>-0.15421686746986962</v>
      </c>
      <c r="T13" s="16">
        <f t="shared" si="7"/>
        <v>5.1880072312612935</v>
      </c>
      <c r="U13" s="16">
        <f t="shared" si="8"/>
        <v>8.1814935688231838</v>
      </c>
      <c r="V13" s="16" t="e">
        <f t="shared" si="9"/>
        <v>#N/A</v>
      </c>
      <c r="W13" s="16">
        <f t="shared" si="10"/>
        <v>11.470588235294121</v>
      </c>
      <c r="X13" s="16">
        <f t="shared" si="11"/>
        <v>5.6214948932219233</v>
      </c>
      <c r="Z13" s="3">
        <f t="shared" ca="1" si="21"/>
        <v>7.5</v>
      </c>
      <c r="AA13" s="3">
        <f t="shared" ca="1" si="12"/>
        <v>8032.7</v>
      </c>
      <c r="AB13" s="3">
        <f t="shared" ca="1" si="12"/>
        <v>1149.4000000000001</v>
      </c>
      <c r="AD13">
        <f t="shared" ca="1" si="22"/>
        <v>0</v>
      </c>
    </row>
    <row r="14" spans="1:30" x14ac:dyDescent="0.25">
      <c r="A14" t="s">
        <v>471</v>
      </c>
      <c r="B14">
        <f t="shared" ca="1" si="13"/>
        <v>0</v>
      </c>
      <c r="C14">
        <f t="shared" ca="1" si="14"/>
        <v>168.06</v>
      </c>
      <c r="D14" s="2">
        <f t="shared" ca="1" si="24"/>
        <v>-1</v>
      </c>
      <c r="E14" s="2">
        <f t="shared" ca="1" si="16"/>
        <v>-1</v>
      </c>
      <c r="F14">
        <f t="shared" ca="1" si="17"/>
        <v>0</v>
      </c>
      <c r="G14" s="41">
        <f t="shared" ca="1" si="18"/>
        <v>-4.43</v>
      </c>
      <c r="H14" s="41">
        <f t="shared" ca="1" si="19"/>
        <v>-2.19</v>
      </c>
      <c r="I14" s="3">
        <f t="shared" ca="1" si="0"/>
        <v>6.9</v>
      </c>
      <c r="J14" s="16">
        <f t="shared" ca="1" si="1"/>
        <v>-0.5</v>
      </c>
      <c r="K14" s="4">
        <f ca="1">+SUM(INDIRECT($A14&amp;"!"&amp;K$3&amp;$K$2-11):INDIRECT($A14&amp;"!"&amp;K$3&amp;$K$2))/SUM(INDIRECT($A14&amp;"!"&amp;K$3&amp;$K$2-23):INDIRECT($A14&amp;"!"&amp;K$3&amp;$K$2-12))-1</f>
        <v>-4.815635704211163E-2</v>
      </c>
      <c r="L14" s="2">
        <f t="shared" ca="1" si="2"/>
        <v>2.6466415537400367E-2</v>
      </c>
      <c r="M14" s="2">
        <f t="shared" ca="1" si="3"/>
        <v>2.3467292461132327E-3</v>
      </c>
      <c r="N14" s="28">
        <f>VLOOKUP($A14,'BLS Data Series'!$C$5:$O$55,$N$3,FALSE)</f>
        <v>832.83</v>
      </c>
      <c r="O14" s="63">
        <f>VLOOKUP($A14,'BLS Data Series'!$C$5:$O$55,$O$3,FALSE)</f>
        <v>9.7076831068663161E-3</v>
      </c>
      <c r="P14" s="16" t="e">
        <f t="shared" ca="1" si="20"/>
        <v>#DIV/0!</v>
      </c>
      <c r="Q14" s="16">
        <f t="shared" si="4"/>
        <v>0.71998410806515256</v>
      </c>
      <c r="R14" s="16">
        <f t="shared" si="5"/>
        <v>2.1827710707435388</v>
      </c>
      <c r="S14" s="16">
        <f t="shared" si="6"/>
        <v>16.156900726392266</v>
      </c>
      <c r="T14" s="16">
        <f t="shared" si="7"/>
        <v>4.8609615931721084</v>
      </c>
      <c r="U14" s="16">
        <f t="shared" si="8"/>
        <v>7.1217175887696049</v>
      </c>
      <c r="V14" s="16">
        <f t="shared" si="9"/>
        <v>3.8608194622279157</v>
      </c>
      <c r="W14" s="16">
        <f t="shared" si="10"/>
        <v>4.635761589403975</v>
      </c>
      <c r="X14" s="16">
        <f t="shared" si="11"/>
        <v>4.3083641103628167</v>
      </c>
      <c r="Z14" s="3">
        <f t="shared" ca="1" si="21"/>
        <v>8.4</v>
      </c>
      <c r="AA14" s="3">
        <f t="shared" ca="1" si="12"/>
        <v>4202.1000000000004</v>
      </c>
      <c r="AB14" s="3">
        <f t="shared" ca="1" si="12"/>
        <v>706</v>
      </c>
      <c r="AD14">
        <f t="shared" ca="1" si="22"/>
        <v>0</v>
      </c>
    </row>
    <row r="15" spans="1:30" x14ac:dyDescent="0.25">
      <c r="A15" t="s">
        <v>478</v>
      </c>
      <c r="B15">
        <f t="shared" ca="1" si="13"/>
        <v>0</v>
      </c>
      <c r="C15">
        <f t="shared" ca="1" si="14"/>
        <v>108.27</v>
      </c>
      <c r="D15" s="2">
        <f t="shared" ca="1" si="24"/>
        <v>-1</v>
      </c>
      <c r="E15" s="2">
        <f t="shared" ca="1" si="16"/>
        <v>-1</v>
      </c>
      <c r="F15">
        <f t="shared" ca="1" si="17"/>
        <v>0</v>
      </c>
      <c r="G15" s="41">
        <f t="shared" ca="1" si="18"/>
        <v>-1.63</v>
      </c>
      <c r="H15" s="41">
        <f t="shared" ca="1" si="19"/>
        <v>-0.68</v>
      </c>
      <c r="I15" s="3">
        <f t="shared" ca="1" si="0"/>
        <v>4</v>
      </c>
      <c r="J15" s="16">
        <f t="shared" ca="1" si="1"/>
        <v>-0.70000000000000018</v>
      </c>
      <c r="K15" s="4">
        <f ca="1">+SUM(INDIRECT($A15&amp;"!"&amp;K$3&amp;$K$2-11):INDIRECT($A15&amp;"!"&amp;K$3&amp;$K$2))/SUM(INDIRECT($A15&amp;"!"&amp;K$3&amp;$K$2-23):INDIRECT($A15&amp;"!"&amp;K$3&amp;$K$2-12))-1</f>
        <v>-0.39551661942798244</v>
      </c>
      <c r="L15" s="2">
        <f t="shared" ca="1" si="2"/>
        <v>1.4873417721518845E-2</v>
      </c>
      <c r="M15" s="2">
        <f t="shared" ca="1" si="3"/>
        <v>2.244582043343657E-2</v>
      </c>
      <c r="N15" s="28">
        <f>VLOOKUP($A15,'BLS Data Series'!$C$5:$O$55,$N$3,FALSE)</f>
        <v>810.03</v>
      </c>
      <c r="O15" s="63">
        <f>VLOOKUP($A15,'BLS Data Series'!$C$5:$O$55,$O$3,FALSE)</f>
        <v>-3.04044384823976E-3</v>
      </c>
      <c r="P15" s="16" t="e">
        <f t="shared" ca="1" si="20"/>
        <v>#DIV/0!</v>
      </c>
      <c r="Q15" s="16">
        <f t="shared" si="4"/>
        <v>0.29922779922779696</v>
      </c>
      <c r="R15" s="16">
        <f t="shared" si="5"/>
        <v>-0.21949828962370965</v>
      </c>
      <c r="S15" s="16">
        <f t="shared" si="6"/>
        <v>3.619014084507044</v>
      </c>
      <c r="T15" s="16">
        <f t="shared" si="7"/>
        <v>0.6173662551440362</v>
      </c>
      <c r="U15" s="16">
        <f t="shared" si="8"/>
        <v>5.0583203732503801</v>
      </c>
      <c r="V15" s="16">
        <f t="shared" si="9"/>
        <v>3.9977973568281922</v>
      </c>
      <c r="W15" s="16">
        <f t="shared" si="10"/>
        <v>-30.555555555555557</v>
      </c>
      <c r="X15" s="16">
        <f t="shared" si="11"/>
        <v>4.6985596707818988</v>
      </c>
      <c r="Z15" s="3">
        <f t="shared" ca="1" si="21"/>
        <v>4.7</v>
      </c>
      <c r="AA15" s="3">
        <f t="shared" ca="1" si="12"/>
        <v>637</v>
      </c>
      <c r="AB15" s="3">
        <f t="shared" ca="1" si="12"/>
        <v>126.6</v>
      </c>
      <c r="AD15">
        <f t="shared" ca="1" si="22"/>
        <v>0</v>
      </c>
    </row>
    <row r="16" spans="1:30" x14ac:dyDescent="0.25">
      <c r="A16" t="s">
        <v>482</v>
      </c>
      <c r="B16">
        <f t="shared" ca="1" si="13"/>
        <v>0</v>
      </c>
      <c r="C16">
        <f t="shared" ca="1" si="14"/>
        <v>148.38</v>
      </c>
      <c r="D16" s="2">
        <f t="shared" ca="1" si="24"/>
        <v>-1</v>
      </c>
      <c r="E16" s="2">
        <f t="shared" ca="1" si="16"/>
        <v>-1</v>
      </c>
      <c r="F16">
        <f t="shared" ca="1" si="17"/>
        <v>0</v>
      </c>
      <c r="G16" s="41">
        <f t="shared" ca="1" si="18"/>
        <v>-0.76</v>
      </c>
      <c r="H16" s="41">
        <f t="shared" ca="1" si="19"/>
        <v>-1.05</v>
      </c>
      <c r="I16" s="3">
        <f t="shared" ca="1" si="0"/>
        <v>4.0999999999999996</v>
      </c>
      <c r="J16" s="16">
        <f t="shared" ca="1" si="1"/>
        <v>-0.10000000000000053</v>
      </c>
      <c r="K16" s="4">
        <f ca="1">+SUM(INDIRECT($A16&amp;"!"&amp;K$3&amp;$K$2-11):INDIRECT($A16&amp;"!"&amp;K$3&amp;$K$2))/SUM(INDIRECT($A16&amp;"!"&amp;K$3&amp;$K$2-23):INDIRECT($A16&amp;"!"&amp;K$3&amp;$K$2-12))-1</f>
        <v>-5.612670186162827E-2</v>
      </c>
      <c r="L16" s="2">
        <f t="shared" ca="1" si="2"/>
        <v>1.0456335119086058E-2</v>
      </c>
      <c r="M16" s="2">
        <f t="shared" ca="1" si="3"/>
        <v>2.0144431774990368E-2</v>
      </c>
      <c r="N16" s="28">
        <f>VLOOKUP($A16,'BLS Data Series'!$C$5:$O$55,$N$3,FALSE)</f>
        <v>768.85</v>
      </c>
      <c r="O16" s="63">
        <f>VLOOKUP($A16,'BLS Data Series'!$C$5:$O$55,$O$3,FALSE)</f>
        <v>-1.2887598253941812E-2</v>
      </c>
      <c r="P16" s="16" t="e">
        <f t="shared" ca="1" si="20"/>
        <v>#DIV/0!</v>
      </c>
      <c r="Q16" s="16">
        <f t="shared" si="4"/>
        <v>7.4860677083333327</v>
      </c>
      <c r="R16" s="16">
        <f t="shared" si="5"/>
        <v>-7.900643776824035</v>
      </c>
      <c r="S16" s="16">
        <f t="shared" si="6"/>
        <v>0.52832080200502229</v>
      </c>
      <c r="T16" s="16">
        <f t="shared" si="7"/>
        <v>-1.6623192083227489</v>
      </c>
      <c r="U16" s="16">
        <f t="shared" si="8"/>
        <v>6.8233193277310811</v>
      </c>
      <c r="V16" s="16">
        <f t="shared" si="9"/>
        <v>4.4796387520525283</v>
      </c>
      <c r="W16" s="16">
        <f t="shared" si="10"/>
        <v>-0.61728395061728669</v>
      </c>
      <c r="X16" s="16">
        <f t="shared" si="11"/>
        <v>5.1764401294498441</v>
      </c>
      <c r="Z16" s="3">
        <f t="shared" ca="1" si="21"/>
        <v>4.8</v>
      </c>
      <c r="AA16" s="3">
        <f t="shared" ca="1" si="12"/>
        <v>1538.9</v>
      </c>
      <c r="AB16" s="3">
        <f t="shared" ca="1" si="12"/>
        <v>257.10000000000002</v>
      </c>
      <c r="AD16">
        <f t="shared" ca="1" si="22"/>
        <v>0</v>
      </c>
    </row>
    <row r="17" spans="1:30" x14ac:dyDescent="0.25">
      <c r="A17" t="s">
        <v>479</v>
      </c>
      <c r="B17">
        <f t="shared" ca="1" si="13"/>
        <v>0</v>
      </c>
      <c r="C17">
        <f t="shared" ca="1" si="14"/>
        <v>195.59</v>
      </c>
      <c r="D17" s="2">
        <f t="shared" ca="1" si="24"/>
        <v>-1</v>
      </c>
      <c r="E17" s="2">
        <f t="shared" ca="1" si="16"/>
        <v>-1</v>
      </c>
      <c r="F17">
        <f t="shared" ca="1" si="17"/>
        <v>0</v>
      </c>
      <c r="G17" s="41">
        <f t="shared" ca="1" si="18"/>
        <v>-5.0199999999999996</v>
      </c>
      <c r="H17" s="41">
        <f t="shared" ca="1" si="19"/>
        <v>-1.75</v>
      </c>
      <c r="I17" s="3">
        <f t="shared" ca="1" si="0"/>
        <v>3.7</v>
      </c>
      <c r="J17" s="16">
        <f t="shared" ca="1" si="1"/>
        <v>-1.8999999999999995</v>
      </c>
      <c r="K17" s="4">
        <f ca="1">+SUM(INDIRECT($A17&amp;"!"&amp;K$3&amp;$K$2-11):INDIRECT($A17&amp;"!"&amp;K$3&amp;$K$2))/SUM(INDIRECT($A17&amp;"!"&amp;K$3&amp;$K$2-23):INDIRECT($A17&amp;"!"&amp;K$3&amp;$K$2-12))-1</f>
        <v>-1.0443557850269847E-2</v>
      </c>
      <c r="L17" s="2">
        <f t="shared" ca="1" si="2"/>
        <v>1.4873962736809077E-2</v>
      </c>
      <c r="M17" s="2">
        <f t="shared" ca="1" si="3"/>
        <v>8.2918739635158278E-3</v>
      </c>
      <c r="N17" s="28">
        <f>VLOOKUP($A17,'BLS Data Series'!$C$5:$O$55,$N$3,FALSE)</f>
        <v>724.61</v>
      </c>
      <c r="O17" s="63">
        <f>VLOOKUP($A17,'BLS Data Series'!$C$5:$O$55,$O$3,FALSE)</f>
        <v>-3.8237351248503471E-3</v>
      </c>
      <c r="P17" s="16" t="e">
        <f t="shared" ca="1" si="20"/>
        <v>#DIV/0!</v>
      </c>
      <c r="Q17" s="16">
        <f t="shared" si="4"/>
        <v>6.7222967934377209</v>
      </c>
      <c r="R17" s="16">
        <f t="shared" si="5"/>
        <v>8.4634689178818121</v>
      </c>
      <c r="S17" s="16">
        <f t="shared" si="6"/>
        <v>5.3166666666666584</v>
      </c>
      <c r="T17" s="16">
        <f t="shared" si="7"/>
        <v>4.9174931129476684</v>
      </c>
      <c r="U17" s="16">
        <f t="shared" si="8"/>
        <v>4.3994550408719357</v>
      </c>
      <c r="V17" s="16">
        <f t="shared" si="9"/>
        <v>6.4478260869565096</v>
      </c>
      <c r="W17" s="16">
        <f t="shared" si="10"/>
        <v>-12.631578947368416</v>
      </c>
      <c r="X17" s="16">
        <f t="shared" si="11"/>
        <v>5.6939120631341655</v>
      </c>
      <c r="Z17" s="3">
        <f t="shared" ca="1" si="21"/>
        <v>6.4</v>
      </c>
      <c r="AA17" s="3">
        <f t="shared" ca="1" si="12"/>
        <v>658.3</v>
      </c>
      <c r="AB17" s="3">
        <f t="shared" ca="1" si="12"/>
        <v>118.7</v>
      </c>
      <c r="AD17">
        <f t="shared" ca="1" si="22"/>
        <v>0</v>
      </c>
    </row>
    <row r="18" spans="1:30" x14ac:dyDescent="0.25">
      <c r="A18" t="s">
        <v>480</v>
      </c>
      <c r="B18">
        <f t="shared" ca="1" si="13"/>
        <v>0</v>
      </c>
      <c r="C18">
        <f t="shared" ca="1" si="14"/>
        <v>145.29</v>
      </c>
      <c r="D18" s="2">
        <f t="shared" ca="1" si="24"/>
        <v>-1</v>
      </c>
      <c r="E18" s="2">
        <f t="shared" ca="1" si="16"/>
        <v>-1</v>
      </c>
      <c r="F18">
        <f t="shared" ca="1" si="17"/>
        <v>0</v>
      </c>
      <c r="G18" s="41">
        <f t="shared" ca="1" si="18"/>
        <v>-1.48</v>
      </c>
      <c r="H18" s="41">
        <f t="shared" ca="1" si="19"/>
        <v>-1.41</v>
      </c>
      <c r="I18" s="3">
        <f t="shared" ca="1" si="0"/>
        <v>6.2</v>
      </c>
      <c r="J18" s="16">
        <f t="shared" ca="1" si="1"/>
        <v>-2.7</v>
      </c>
      <c r="K18" s="4">
        <f ca="1">+SUM(INDIRECT($A18&amp;"!"&amp;K$3&amp;$K$2-11):INDIRECT($A18&amp;"!"&amp;K$3&amp;$K$2))/SUM(INDIRECT($A18&amp;"!"&amp;K$3&amp;$K$2-23):INDIRECT($A18&amp;"!"&amp;K$3&amp;$K$2-12))-1</f>
        <v>9.2512077294685913E-2</v>
      </c>
      <c r="L18" s="2">
        <f t="shared" ca="1" si="2"/>
        <v>8.8865388551544466E-3</v>
      </c>
      <c r="M18" s="2">
        <f t="shared" ca="1" si="3"/>
        <v>-9.4764273868763738E-4</v>
      </c>
      <c r="N18" s="28">
        <f>VLOOKUP($A18,'BLS Data Series'!$C$5:$O$55,$N$3,FALSE)</f>
        <v>880.64</v>
      </c>
      <c r="O18" s="63">
        <f>VLOOKUP($A18,'BLS Data Series'!$C$5:$O$55,$O$3,FALSE)</f>
        <v>-2.7064847931833613E-3</v>
      </c>
      <c r="P18" s="16" t="e">
        <f t="shared" ca="1" si="20"/>
        <v>#DIV/0!</v>
      </c>
      <c r="Q18" s="16">
        <f t="shared" si="4"/>
        <v>3.3284085453672674</v>
      </c>
      <c r="R18" s="16">
        <f t="shared" si="5"/>
        <v>-6.3234173435260388</v>
      </c>
      <c r="S18" s="16">
        <f t="shared" si="6"/>
        <v>-10.086497150372642</v>
      </c>
      <c r="T18" s="16">
        <f t="shared" si="7"/>
        <v>-0.85441906653425104</v>
      </c>
      <c r="U18" s="16">
        <f t="shared" si="8"/>
        <v>4.3065528380249241</v>
      </c>
      <c r="V18" s="16">
        <f t="shared" si="9"/>
        <v>-10.35724577445276</v>
      </c>
      <c r="W18" s="16">
        <f t="shared" si="10"/>
        <v>-23.342776203966011</v>
      </c>
      <c r="X18" s="16">
        <f t="shared" si="11"/>
        <v>-2.6990107715981537</v>
      </c>
      <c r="Z18" s="3">
        <f t="shared" ca="1" si="21"/>
        <v>9.1999999999999993</v>
      </c>
      <c r="AA18" s="3">
        <f t="shared" ca="1" si="12"/>
        <v>6036.5</v>
      </c>
      <c r="AB18" s="3">
        <f t="shared" ca="1" si="12"/>
        <v>858.6</v>
      </c>
      <c r="AD18">
        <f t="shared" ca="1" si="22"/>
        <v>0</v>
      </c>
    </row>
    <row r="19" spans="1:30" x14ac:dyDescent="0.25">
      <c r="A19" t="s">
        <v>481</v>
      </c>
      <c r="B19">
        <f t="shared" ca="1" si="13"/>
        <v>0</v>
      </c>
      <c r="C19">
        <f t="shared" ca="1" si="14"/>
        <v>151.91999999999999</v>
      </c>
      <c r="D19" s="2">
        <f t="shared" ca="1" si="24"/>
        <v>-1</v>
      </c>
      <c r="E19" s="2">
        <f t="shared" ca="1" si="16"/>
        <v>-1</v>
      </c>
      <c r="F19">
        <f t="shared" ca="1" si="17"/>
        <v>0</v>
      </c>
      <c r="G19" s="41">
        <f t="shared" ca="1" si="18"/>
        <v>-1.69</v>
      </c>
      <c r="H19" s="41">
        <f t="shared" ca="1" si="19"/>
        <v>-2.06</v>
      </c>
      <c r="I19" s="3">
        <f t="shared" ca="1" si="0"/>
        <v>5.8</v>
      </c>
      <c r="J19" s="16">
        <f t="shared" ca="1" si="1"/>
        <v>-1</v>
      </c>
      <c r="K19" s="4">
        <f ca="1">+SUM(INDIRECT($A19&amp;"!"&amp;K$3&amp;$K$2-11):INDIRECT($A19&amp;"!"&amp;K$3&amp;$K$2))/SUM(INDIRECT($A19&amp;"!"&amp;K$3&amp;$K$2-23):INDIRECT($A19&amp;"!"&amp;K$3&amp;$K$2-12))-1</f>
        <v>-7.3082010582010581E-2</v>
      </c>
      <c r="L19" s="2">
        <f t="shared" ca="1" si="2"/>
        <v>1.9593370462323012E-2</v>
      </c>
      <c r="M19" s="2">
        <f t="shared" ca="1" si="3"/>
        <v>1.6103059581320522E-2</v>
      </c>
      <c r="N19" s="28">
        <f>VLOOKUP($A19,'BLS Data Series'!$C$5:$O$55,$N$3,FALSE)</f>
        <v>803.58</v>
      </c>
      <c r="O19" s="63">
        <f>VLOOKUP($A19,'BLS Data Series'!$C$5:$O$55,$O$3,FALSE)</f>
        <v>1.0960341673413643E-2</v>
      </c>
      <c r="P19" s="16" t="e">
        <f t="shared" ca="1" si="20"/>
        <v>#DIV/0!</v>
      </c>
      <c r="Q19" s="16">
        <f t="shared" si="4"/>
        <v>3.44766695829688</v>
      </c>
      <c r="R19" s="16">
        <f t="shared" si="5"/>
        <v>-3.8627570759519392</v>
      </c>
      <c r="S19" s="16">
        <f t="shared" si="6"/>
        <v>9.9166018158236113</v>
      </c>
      <c r="T19" s="16">
        <f t="shared" si="7"/>
        <v>-0.32073199527746787</v>
      </c>
      <c r="U19" s="16">
        <f t="shared" si="8"/>
        <v>5.135775127768305</v>
      </c>
      <c r="V19" s="16">
        <f t="shared" si="9"/>
        <v>5.4428202923473723</v>
      </c>
      <c r="W19" s="16">
        <f t="shared" si="10"/>
        <v>3.8997214484679743</v>
      </c>
      <c r="X19" s="16">
        <f t="shared" si="11"/>
        <v>1.6577058409570578</v>
      </c>
      <c r="Z19" s="3">
        <f t="shared" ca="1" si="21"/>
        <v>7.7</v>
      </c>
      <c r="AA19" s="3">
        <f t="shared" ca="1" si="12"/>
        <v>3021.6</v>
      </c>
      <c r="AB19" s="3">
        <f t="shared" ca="1" si="12"/>
        <v>446.6</v>
      </c>
      <c r="AD19">
        <f t="shared" ca="1" si="22"/>
        <v>0</v>
      </c>
    </row>
    <row r="20" spans="1:30" x14ac:dyDescent="0.25">
      <c r="A20" t="s">
        <v>483</v>
      </c>
      <c r="B20">
        <f t="shared" ca="1" si="13"/>
        <v>0</v>
      </c>
      <c r="C20">
        <f t="shared" ca="1" si="14"/>
        <v>141.69999999999999</v>
      </c>
      <c r="D20" s="2">
        <f t="shared" ca="1" si="24"/>
        <v>-1</v>
      </c>
      <c r="E20" s="2">
        <f t="shared" ca="1" si="16"/>
        <v>-1</v>
      </c>
      <c r="F20">
        <f t="shared" ca="1" si="17"/>
        <v>0</v>
      </c>
      <c r="G20" s="41">
        <f t="shared" ca="1" si="18"/>
        <v>-1.25</v>
      </c>
      <c r="H20" s="41">
        <f t="shared" ca="1" si="19"/>
        <v>-1.07</v>
      </c>
      <c r="I20" s="3">
        <f t="shared" ca="1" si="0"/>
        <v>4.2</v>
      </c>
      <c r="J20" s="16">
        <f t="shared" ca="1" si="1"/>
        <v>-0.70000000000000018</v>
      </c>
      <c r="K20" s="4">
        <f ca="1">+SUM(INDIRECT($A20&amp;"!"&amp;K$3&amp;$K$2-11):INDIRECT($A20&amp;"!"&amp;K$3&amp;$K$2))/SUM(INDIRECT($A20&amp;"!"&amp;K$3&amp;$K$2-23):INDIRECT($A20&amp;"!"&amp;K$3&amp;$K$2-12))-1</f>
        <v>-7.7560141974497565E-3</v>
      </c>
      <c r="L20" s="2">
        <f t="shared" ca="1" si="2"/>
        <v>9.0517241379308722E-3</v>
      </c>
      <c r="M20" s="2">
        <f t="shared" ca="1" si="3"/>
        <v>-3.7907505686129994E-4</v>
      </c>
      <c r="N20" s="28">
        <f>VLOOKUP($A20,'BLS Data Series'!$C$5:$O$55,$N$3,FALSE)</f>
        <v>772.8</v>
      </c>
      <c r="O20" s="63">
        <f>VLOOKUP($A20,'BLS Data Series'!$C$5:$O$55,$O$3,FALSE)</f>
        <v>1.5675769261896066E-2</v>
      </c>
      <c r="P20" s="16" t="e">
        <f t="shared" ca="1" si="20"/>
        <v>#DIV/0!</v>
      </c>
      <c r="Q20" s="16">
        <f t="shared" si="4"/>
        <v>4.0468589083419326</v>
      </c>
      <c r="R20" s="16">
        <f t="shared" si="5"/>
        <v>-10.442598509052193</v>
      </c>
      <c r="S20" s="16">
        <f t="shared" si="6"/>
        <v>-2.7159420289855185</v>
      </c>
      <c r="T20" s="16">
        <f t="shared" si="7"/>
        <v>-2.7533298443019771</v>
      </c>
      <c r="U20" s="16">
        <f t="shared" si="8"/>
        <v>5.0648395721925032</v>
      </c>
      <c r="V20" s="16">
        <f t="shared" si="9"/>
        <v>4.0808219178082084</v>
      </c>
      <c r="W20" s="16">
        <f t="shared" si="10"/>
        <v>-8.4210526315789522</v>
      </c>
      <c r="X20" s="16">
        <f t="shared" si="11"/>
        <v>4.39948950652298</v>
      </c>
      <c r="Z20" s="3">
        <f t="shared" ca="1" si="21"/>
        <v>5.6</v>
      </c>
      <c r="AA20" s="3">
        <f t="shared" ca="1" si="21"/>
        <v>1402.2</v>
      </c>
      <c r="AB20" s="3">
        <f t="shared" ca="1" si="21"/>
        <v>266.8</v>
      </c>
      <c r="AD20">
        <f t="shared" ca="1" si="22"/>
        <v>0</v>
      </c>
    </row>
    <row r="21" spans="1:30" x14ac:dyDescent="0.25">
      <c r="A21" t="s">
        <v>484</v>
      </c>
      <c r="B21">
        <f t="shared" ca="1" si="13"/>
        <v>0</v>
      </c>
      <c r="C21">
        <f t="shared" ref="C21:C55" ca="1" si="25">INDIRECT($A21&amp;"!"&amp;C$3&amp;C$2)</f>
        <v>144.80000000000001</v>
      </c>
      <c r="D21" s="2">
        <f t="shared" ca="1" si="24"/>
        <v>-1</v>
      </c>
      <c r="E21" s="2">
        <f t="shared" ca="1" si="16"/>
        <v>-1</v>
      </c>
      <c r="F21">
        <f t="shared" ca="1" si="17"/>
        <v>0</v>
      </c>
      <c r="G21" s="41">
        <f t="shared" ca="1" si="18"/>
        <v>-3.98</v>
      </c>
      <c r="H21" s="41">
        <f t="shared" ca="1" si="19"/>
        <v>-1.52</v>
      </c>
      <c r="I21" s="3">
        <f t="shared" ca="1" si="0"/>
        <v>5.7</v>
      </c>
      <c r="J21" s="16">
        <f t="shared" ca="1" si="1"/>
        <v>-2.2000000000000002</v>
      </c>
      <c r="K21" s="4">
        <f ca="1">+SUM(INDIRECT($A21&amp;"!"&amp;K$3&amp;$K$2-11):INDIRECT($A21&amp;"!"&amp;K$3&amp;$K$2))/SUM(INDIRECT($A21&amp;"!"&amp;K$3&amp;$K$2-23):INDIRECT($A21&amp;"!"&amp;K$3&amp;$K$2-12))-1</f>
        <v>-0.13059313215400625</v>
      </c>
      <c r="L21" s="2">
        <f t="shared" ca="1" si="2"/>
        <v>1.7671461666936228E-2</v>
      </c>
      <c r="M21" s="2">
        <f t="shared" ca="1" si="3"/>
        <v>4.3949604453559221E-3</v>
      </c>
      <c r="N21" s="28">
        <f>VLOOKUP($A21,'BLS Data Series'!$C$5:$O$55,$N$3,FALSE)</f>
        <v>740.89</v>
      </c>
      <c r="O21" s="63">
        <f>VLOOKUP($A21,'BLS Data Series'!$C$5:$O$55,$O$3,FALSE)</f>
        <v>2.6649305368423359E-2</v>
      </c>
      <c r="P21" s="16" t="e">
        <f t="shared" ca="1" si="20"/>
        <v>#DIV/0!</v>
      </c>
      <c r="Q21" s="16">
        <f t="shared" si="4"/>
        <v>3.9005923000987153</v>
      </c>
      <c r="R21" s="16">
        <f t="shared" si="5"/>
        <v>1.2353144989339038</v>
      </c>
      <c r="S21" s="16">
        <f t="shared" si="6"/>
        <v>-7.9463556851311896</v>
      </c>
      <c r="T21" s="16">
        <f t="shared" si="7"/>
        <v>1.1976059438635112</v>
      </c>
      <c r="U21" s="16">
        <f t="shared" si="8"/>
        <v>3.4111825192802092</v>
      </c>
      <c r="V21" s="16">
        <f t="shared" si="9"/>
        <v>5.4080558539205237</v>
      </c>
      <c r="W21" s="16">
        <f t="shared" si="10"/>
        <v>4.5643153526971014</v>
      </c>
      <c r="X21" s="16">
        <f t="shared" si="11"/>
        <v>1.1080584707646279</v>
      </c>
      <c r="Z21" s="3">
        <f t="shared" ca="1" si="21"/>
        <v>8.3000000000000007</v>
      </c>
      <c r="AA21" s="3">
        <f t="shared" ca="1" si="21"/>
        <v>1887.6</v>
      </c>
      <c r="AB21" s="3">
        <f t="shared" ca="1" si="21"/>
        <v>327.7</v>
      </c>
      <c r="AD21">
        <f t="shared" ca="1" si="22"/>
        <v>0</v>
      </c>
    </row>
    <row r="22" spans="1:30" x14ac:dyDescent="0.25">
      <c r="A22" t="s">
        <v>485</v>
      </c>
      <c r="B22">
        <f t="shared" ca="1" si="13"/>
        <v>0</v>
      </c>
      <c r="C22">
        <f t="shared" ca="1" si="25"/>
        <v>134.46</v>
      </c>
      <c r="D22" s="2">
        <f t="shared" ca="1" si="24"/>
        <v>-1</v>
      </c>
      <c r="E22" s="2">
        <f t="shared" ca="1" si="16"/>
        <v>-1</v>
      </c>
      <c r="F22">
        <f t="shared" ca="1" si="17"/>
        <v>0</v>
      </c>
      <c r="G22" s="41">
        <f t="shared" ca="1" si="18"/>
        <v>0.3</v>
      </c>
      <c r="H22" s="41">
        <f t="shared" ca="1" si="19"/>
        <v>0.14000000000000001</v>
      </c>
      <c r="I22" s="3">
        <f t="shared" ca="1" si="0"/>
        <v>6.7</v>
      </c>
      <c r="J22" s="16">
        <f t="shared" ca="1" si="1"/>
        <v>1.2999999999999998</v>
      </c>
      <c r="K22" s="4">
        <f ca="1">+SUM(INDIRECT($A22&amp;"!"&amp;K$3&amp;$K$2-11):INDIRECT($A22&amp;"!"&amp;K$3&amp;$K$2))/SUM(INDIRECT($A22&amp;"!"&amp;K$3&amp;$K$2-23):INDIRECT($A22&amp;"!"&amp;K$3&amp;$K$2-12))-1</f>
        <v>-5.9181415929203562E-2</v>
      </c>
      <c r="L22" s="2">
        <f t="shared" ca="1" si="2"/>
        <v>1.4785558762468787E-2</v>
      </c>
      <c r="M22" s="2">
        <f t="shared" ca="1" si="3"/>
        <v>-1.6307513104251492E-2</v>
      </c>
      <c r="N22" s="28">
        <f>VLOOKUP($A22,'BLS Data Series'!$C$5:$O$55,$N$3,FALSE)</f>
        <v>804.83</v>
      </c>
      <c r="O22" s="63">
        <f>VLOOKUP($A22,'BLS Data Series'!$C$5:$O$55,$O$3,FALSE)</f>
        <v>-4.6265066935234911E-3</v>
      </c>
      <c r="P22" s="16" t="e">
        <f t="shared" ca="1" si="20"/>
        <v>#DIV/0!</v>
      </c>
      <c r="Q22" s="16">
        <f t="shared" si="4"/>
        <v>2.0160493827160675</v>
      </c>
      <c r="R22" s="16">
        <f t="shared" si="5"/>
        <v>-1.4278071101724743</v>
      </c>
      <c r="S22" s="16">
        <f t="shared" si="6"/>
        <v>104.37642276422766</v>
      </c>
      <c r="T22" s="16">
        <f t="shared" si="7"/>
        <v>6.7721580675919046</v>
      </c>
      <c r="U22" s="16">
        <f t="shared" si="8"/>
        <v>5.068733509234824</v>
      </c>
      <c r="V22" s="16">
        <f t="shared" si="9"/>
        <v>-2.5640897755610959</v>
      </c>
      <c r="W22" s="16">
        <f t="shared" si="10"/>
        <v>-33.486238532110093</v>
      </c>
      <c r="X22" s="16">
        <f t="shared" si="11"/>
        <v>4.1640388349514668</v>
      </c>
      <c r="Z22" s="3">
        <f t="shared" ca="1" si="21"/>
        <v>6.4</v>
      </c>
      <c r="AA22" s="3">
        <f t="shared" ca="1" si="21"/>
        <v>1953.5</v>
      </c>
      <c r="AB22" s="3">
        <f t="shared" ca="1" si="21"/>
        <v>365.3</v>
      </c>
      <c r="AD22">
        <f t="shared" ca="1" si="22"/>
        <v>1</v>
      </c>
    </row>
    <row r="23" spans="1:30" x14ac:dyDescent="0.25">
      <c r="A23" t="s">
        <v>488</v>
      </c>
      <c r="B23">
        <f t="shared" ca="1" si="13"/>
        <v>0</v>
      </c>
      <c r="C23">
        <f t="shared" ca="1" si="25"/>
        <v>179.23</v>
      </c>
      <c r="D23" s="2">
        <f t="shared" ca="1" si="24"/>
        <v>-1</v>
      </c>
      <c r="E23" s="2">
        <f t="shared" ca="1" si="16"/>
        <v>-1</v>
      </c>
      <c r="F23">
        <f t="shared" ca="1" si="17"/>
        <v>0</v>
      </c>
      <c r="G23" s="41">
        <f t="shared" ca="1" si="18"/>
        <v>-1.21</v>
      </c>
      <c r="H23" s="41">
        <f t="shared" ca="1" si="19"/>
        <v>-3.29</v>
      </c>
      <c r="I23" s="3">
        <f t="shared" ca="1" si="0"/>
        <v>5.5</v>
      </c>
      <c r="J23" s="16">
        <f t="shared" ca="1" si="1"/>
        <v>-1.5999999999999996</v>
      </c>
      <c r="K23" s="4">
        <f ca="1">+SUM(INDIRECT($A23&amp;"!"&amp;K$3&amp;$K$2-11):INDIRECT($A23&amp;"!"&amp;K$3&amp;$K$2))/SUM(INDIRECT($A23&amp;"!"&amp;K$3&amp;$K$2-23):INDIRECT($A23&amp;"!"&amp;K$3&amp;$K$2-12))-1</f>
        <v>-9.9145174252940782E-2</v>
      </c>
      <c r="L23" s="2">
        <f t="shared" ca="1" si="2"/>
        <v>1.8249786595237349E-2</v>
      </c>
      <c r="M23" s="2">
        <f t="shared" ca="1" si="3"/>
        <v>5.7636887608067955E-3</v>
      </c>
      <c r="N23" s="28">
        <f>VLOOKUP($A23,'BLS Data Series'!$C$5:$O$55,$N$3,FALSE)</f>
        <v>999.98</v>
      </c>
      <c r="O23" s="63">
        <f>VLOOKUP($A23,'BLS Data Series'!$C$5:$O$55,$O$3,FALSE)</f>
        <v>9.3996812612240355E-4</v>
      </c>
      <c r="P23" s="16" t="e">
        <f t="shared" ca="1" si="20"/>
        <v>#DIV/0!</v>
      </c>
      <c r="Q23" s="16">
        <f t="shared" si="4"/>
        <v>5.7721040638055499</v>
      </c>
      <c r="R23" s="16">
        <f t="shared" si="5"/>
        <v>1.0102444614209283</v>
      </c>
      <c r="S23" s="16">
        <f t="shared" si="6"/>
        <v>11.801125319693085</v>
      </c>
      <c r="T23" s="16">
        <f t="shared" si="7"/>
        <v>2.8484764428251985</v>
      </c>
      <c r="U23" s="16">
        <f t="shared" si="8"/>
        <v>5.0612696148359504</v>
      </c>
      <c r="V23" s="16">
        <f t="shared" si="9"/>
        <v>3.9934988565828222</v>
      </c>
      <c r="W23" s="16">
        <f t="shared" si="10"/>
        <v>-8.71287128712871</v>
      </c>
      <c r="X23" s="16">
        <f t="shared" si="11"/>
        <v>4.6217769440654699</v>
      </c>
      <c r="Z23" s="3">
        <f t="shared" ca="1" si="21"/>
        <v>7</v>
      </c>
      <c r="AA23" s="3">
        <f t="shared" ca="1" si="21"/>
        <v>3342.1</v>
      </c>
      <c r="AB23" s="3">
        <f t="shared" ca="1" si="21"/>
        <v>443.2</v>
      </c>
      <c r="AD23">
        <f t="shared" ca="1" si="22"/>
        <v>0</v>
      </c>
    </row>
    <row r="24" spans="1:30" x14ac:dyDescent="0.25">
      <c r="A24" t="s">
        <v>487</v>
      </c>
      <c r="B24">
        <f t="shared" ca="1" si="13"/>
        <v>0</v>
      </c>
      <c r="C24">
        <f t="shared" ca="1" si="25"/>
        <v>145.69</v>
      </c>
      <c r="D24" s="2">
        <f t="shared" ca="1" si="24"/>
        <v>-1</v>
      </c>
      <c r="E24" s="2">
        <f t="shared" ca="1" si="16"/>
        <v>-1</v>
      </c>
      <c r="F24">
        <f t="shared" ca="1" si="17"/>
        <v>0</v>
      </c>
      <c r="G24" s="41">
        <f t="shared" ca="1" si="18"/>
        <v>-2.59</v>
      </c>
      <c r="H24" s="41">
        <f t="shared" ca="1" si="19"/>
        <v>-1.89</v>
      </c>
      <c r="I24" s="3">
        <f t="shared" ca="1" si="0"/>
        <v>5.5</v>
      </c>
      <c r="J24" s="16">
        <f t="shared" ca="1" si="1"/>
        <v>-0.59999999999999964</v>
      </c>
      <c r="K24" s="4">
        <f ca="1">+SUM(INDIRECT($A24&amp;"!"&amp;K$3&amp;$K$2-11):INDIRECT($A24&amp;"!"&amp;K$3&amp;$K$2))/SUM(INDIRECT($A24&amp;"!"&amp;K$3&amp;$K$2-23):INDIRECT($A24&amp;"!"&amp;K$3&amp;$K$2-12))-1</f>
        <v>-0.15157339777033341</v>
      </c>
      <c r="L24" s="2">
        <f t="shared" ca="1" si="2"/>
        <v>7.5902052025325073E-3</v>
      </c>
      <c r="M24" s="2">
        <f t="shared" ca="1" si="3"/>
        <v>-4.6884157061926057E-3</v>
      </c>
      <c r="N24" s="28">
        <f>VLOOKUP($A24,'BLS Data Series'!$C$5:$O$55,$N$3,FALSE)</f>
        <v>924.05</v>
      </c>
      <c r="O24" s="63">
        <f>VLOOKUP($A24,'BLS Data Series'!$C$5:$O$55,$O$3,FALSE)</f>
        <v>-1.7723680330025249E-2</v>
      </c>
      <c r="P24" s="16" t="e">
        <f t="shared" ca="1" si="20"/>
        <v>#DIV/0!</v>
      </c>
      <c r="Q24" s="16">
        <f t="shared" si="4"/>
        <v>3.0821290009699354</v>
      </c>
      <c r="R24" s="16">
        <f t="shared" si="5"/>
        <v>-1.1005001282380134</v>
      </c>
      <c r="S24" s="16">
        <f t="shared" si="6"/>
        <v>-4.4475409836065456</v>
      </c>
      <c r="T24" s="16">
        <f t="shared" si="7"/>
        <v>1.4075963045005135</v>
      </c>
      <c r="U24" s="16">
        <f t="shared" si="8"/>
        <v>3.7564028776978287</v>
      </c>
      <c r="V24" s="16">
        <f t="shared" si="9"/>
        <v>5.2718375499334114</v>
      </c>
      <c r="W24" s="16">
        <f t="shared" si="10"/>
        <v>-8.4795321637426859</v>
      </c>
      <c r="X24" s="16">
        <f t="shared" si="11"/>
        <v>2.279113300492619</v>
      </c>
      <c r="Z24" s="3">
        <f t="shared" ca="1" si="21"/>
        <v>6.7</v>
      </c>
      <c r="AA24" s="3">
        <f t="shared" ca="1" si="21"/>
        <v>2638.1</v>
      </c>
      <c r="AB24" s="3">
        <f t="shared" ca="1" si="21"/>
        <v>491.3</v>
      </c>
      <c r="AD24">
        <f t="shared" ca="1" si="22"/>
        <v>0</v>
      </c>
    </row>
    <row r="25" spans="1:30" x14ac:dyDescent="0.25">
      <c r="A25" t="s">
        <v>486</v>
      </c>
      <c r="B25">
        <f t="shared" ca="1" si="13"/>
        <v>0</v>
      </c>
      <c r="C25">
        <f t="shared" ca="1" si="25"/>
        <v>137.84</v>
      </c>
      <c r="D25" s="2">
        <f t="shared" ca="1" si="24"/>
        <v>-1</v>
      </c>
      <c r="E25" s="2">
        <f t="shared" ca="1" si="16"/>
        <v>-1</v>
      </c>
      <c r="F25">
        <f t="shared" ca="1" si="17"/>
        <v>0</v>
      </c>
      <c r="G25" s="41">
        <f t="shared" ca="1" si="18"/>
        <v>-0.64</v>
      </c>
      <c r="H25" s="41">
        <f t="shared" ca="1" si="19"/>
        <v>-1.3</v>
      </c>
      <c r="I25" s="3">
        <f t="shared" ca="1" si="0"/>
        <v>5.5</v>
      </c>
      <c r="J25" s="16">
        <f t="shared" ca="1" si="1"/>
        <v>-0.90000000000000036</v>
      </c>
      <c r="K25" s="4">
        <f ca="1">+SUM(INDIRECT($A25&amp;"!"&amp;K$3&amp;$K$2-11):INDIRECT($A25&amp;"!"&amp;K$3&amp;$K$2))/SUM(INDIRECT($A25&amp;"!"&amp;K$3&amp;$K$2-23):INDIRECT($A25&amp;"!"&amp;K$3&amp;$K$2-12))-1</f>
        <v>-4.1361756283805229E-2</v>
      </c>
      <c r="L25" s="2">
        <f t="shared" ca="1" si="2"/>
        <v>8.7574355584929542E-3</v>
      </c>
      <c r="M25" s="2">
        <f t="shared" ca="1" si="3"/>
        <v>-3.8722168441431837E-3</v>
      </c>
      <c r="N25" s="28">
        <f>VLOOKUP($A25,'BLS Data Series'!$C$5:$O$55,$N$3,FALSE)</f>
        <v>740.43</v>
      </c>
      <c r="O25" s="63">
        <f>VLOOKUP($A25,'BLS Data Series'!$C$5:$O$55,$O$3,FALSE)</f>
        <v>2.1150214991726868E-2</v>
      </c>
      <c r="P25" s="16" t="e">
        <f t="shared" ca="1" si="20"/>
        <v>#DIV/0!</v>
      </c>
      <c r="Q25" s="16">
        <f t="shared" si="4"/>
        <v>12.633363970588229</v>
      </c>
      <c r="R25" s="16">
        <f t="shared" si="5"/>
        <v>-7.1554098360655622</v>
      </c>
      <c r="S25" s="16">
        <f t="shared" si="6"/>
        <v>7.4554285714285795</v>
      </c>
      <c r="T25" s="16">
        <f t="shared" si="7"/>
        <v>0.12954779033915731</v>
      </c>
      <c r="U25" s="16">
        <f t="shared" si="8"/>
        <v>15.176651982378875</v>
      </c>
      <c r="V25" s="16">
        <f t="shared" si="9"/>
        <v>0.28758169934639533</v>
      </c>
      <c r="W25" s="16">
        <f t="shared" si="10"/>
        <v>2.9411764705882248</v>
      </c>
      <c r="X25" s="16">
        <f t="shared" si="11"/>
        <v>6.2630788485606992</v>
      </c>
      <c r="Z25" s="3">
        <f t="shared" ca="1" si="21"/>
        <v>6.7</v>
      </c>
      <c r="AA25" s="3">
        <f t="shared" ca="1" si="21"/>
        <v>625.20000000000005</v>
      </c>
      <c r="AB25" s="3">
        <f t="shared" ca="1" si="21"/>
        <v>108.7</v>
      </c>
      <c r="AD25">
        <f t="shared" ca="1" si="22"/>
        <v>0</v>
      </c>
    </row>
    <row r="26" spans="1:30" x14ac:dyDescent="0.25">
      <c r="A26" t="s">
        <v>489</v>
      </c>
      <c r="B26">
        <f t="shared" ca="1" si="13"/>
        <v>0</v>
      </c>
      <c r="C26">
        <f t="shared" ca="1" si="25"/>
        <v>144.65</v>
      </c>
      <c r="D26" s="2">
        <f t="shared" ca="1" si="24"/>
        <v>-1</v>
      </c>
      <c r="E26" s="2">
        <f t="shared" ca="1" si="16"/>
        <v>-1</v>
      </c>
      <c r="F26">
        <f t="shared" ca="1" si="17"/>
        <v>0</v>
      </c>
      <c r="G26" s="41">
        <f t="shared" ca="1" si="18"/>
        <v>-4.54</v>
      </c>
      <c r="H26" s="41">
        <f t="shared" ca="1" si="19"/>
        <v>-4.22</v>
      </c>
      <c r="I26" s="3">
        <f t="shared" ca="1" si="0"/>
        <v>6.3</v>
      </c>
      <c r="J26" s="16">
        <f t="shared" ca="1" si="1"/>
        <v>-2.0000000000000009</v>
      </c>
      <c r="K26" s="4">
        <f ca="1">+SUM(INDIRECT($A26&amp;"!"&amp;K$3&amp;$K$2-11):INDIRECT($A26&amp;"!"&amp;K$3&amp;$K$2))/SUM(INDIRECT($A26&amp;"!"&amp;K$3&amp;$K$2-23):INDIRECT($A26&amp;"!"&amp;K$3&amp;$K$2-12))-1</f>
        <v>-3.6714089031666397E-3</v>
      </c>
      <c r="L26" s="2">
        <f t="shared" ca="1" si="2"/>
        <v>1.0544603431218658E-2</v>
      </c>
      <c r="M26" s="2">
        <f t="shared" ca="1" si="3"/>
        <v>-8.464919420478445E-3</v>
      </c>
      <c r="N26" s="28">
        <f>VLOOKUP($A26,'BLS Data Series'!$C$5:$O$55,$N$3,FALSE)</f>
        <v>815.71</v>
      </c>
      <c r="O26" s="63">
        <f>VLOOKUP($A26,'BLS Data Series'!$C$5:$O$55,$O$3,FALSE)</f>
        <v>2.6199609628982934E-3</v>
      </c>
      <c r="P26" s="16" t="e">
        <f t="shared" ca="1" si="20"/>
        <v>#DIV/0!</v>
      </c>
      <c r="Q26" s="16">
        <f t="shared" si="4"/>
        <v>-0.56174108197496464</v>
      </c>
      <c r="R26" s="16">
        <f t="shared" si="5"/>
        <v>-1.78125769136106</v>
      </c>
      <c r="S26" s="16">
        <f t="shared" si="6"/>
        <v>-1.5081473214285768</v>
      </c>
      <c r="T26" s="16">
        <f t="shared" si="7"/>
        <v>-0.18345765158805927</v>
      </c>
      <c r="U26" s="16">
        <f t="shared" si="8"/>
        <v>5.0361392148927653</v>
      </c>
      <c r="V26" s="16">
        <f t="shared" si="9"/>
        <v>3.9911312573906121</v>
      </c>
      <c r="W26" s="16">
        <f t="shared" si="10"/>
        <v>-11.340206185567014</v>
      </c>
      <c r="X26" s="16">
        <f t="shared" si="11"/>
        <v>3.8168079096045249</v>
      </c>
      <c r="Z26" s="3">
        <f t="shared" ca="1" si="21"/>
        <v>8.9</v>
      </c>
      <c r="AA26" s="3">
        <f t="shared" ca="1" si="21"/>
        <v>4292.8</v>
      </c>
      <c r="AB26" s="3">
        <f t="shared" ca="1" si="21"/>
        <v>668.4</v>
      </c>
      <c r="AD26">
        <f t="shared" ca="1" si="22"/>
        <v>0</v>
      </c>
    </row>
    <row r="27" spans="1:30" x14ac:dyDescent="0.25">
      <c r="A27" t="s">
        <v>490</v>
      </c>
      <c r="B27">
        <f t="shared" ca="1" si="13"/>
        <v>0</v>
      </c>
      <c r="C27">
        <f t="shared" ca="1" si="25"/>
        <v>161.52000000000001</v>
      </c>
      <c r="D27" s="2">
        <f t="shared" ca="1" si="24"/>
        <v>-1</v>
      </c>
      <c r="E27" s="2">
        <f t="shared" ca="1" si="16"/>
        <v>-1</v>
      </c>
      <c r="F27">
        <f t="shared" ca="1" si="17"/>
        <v>0</v>
      </c>
      <c r="G27" s="41">
        <f t="shared" ca="1" si="18"/>
        <v>-1.35</v>
      </c>
      <c r="H27" s="41">
        <f t="shared" ca="1" si="19"/>
        <v>-1.7</v>
      </c>
      <c r="I27" s="3">
        <f t="shared" ca="1" si="0"/>
        <v>3.6</v>
      </c>
      <c r="J27" s="16">
        <f t="shared" ca="1" si="1"/>
        <v>-1.1000000000000001</v>
      </c>
      <c r="K27" s="4">
        <f ca="1">+SUM(INDIRECT($A27&amp;"!"&amp;K$3&amp;$K$2-11):INDIRECT($A27&amp;"!"&amp;K$3&amp;$K$2))/SUM(INDIRECT($A27&amp;"!"&amp;K$3&amp;$K$2-23):INDIRECT($A27&amp;"!"&amp;K$3&amp;$K$2-12))-1</f>
        <v>-7.3440943474894271E-2</v>
      </c>
      <c r="L27" s="2">
        <f t="shared" ca="1" si="2"/>
        <v>1.1853908586074491E-2</v>
      </c>
      <c r="M27" s="2">
        <f t="shared" ca="1" si="3"/>
        <v>2.3663038334120756E-4</v>
      </c>
      <c r="N27" s="28">
        <f>VLOOKUP($A27,'BLS Data Series'!$C$5:$O$55,$N$3,FALSE)</f>
        <v>877.73</v>
      </c>
      <c r="O27" s="63">
        <f>VLOOKUP($A27,'BLS Data Series'!$C$5:$O$55,$O$3,FALSE)</f>
        <v>-1.2268260014422716E-2</v>
      </c>
      <c r="P27" s="16" t="e">
        <f t="shared" ca="1" si="20"/>
        <v>#DIV/0!</v>
      </c>
      <c r="Q27" s="16">
        <f t="shared" si="4"/>
        <v>-4.6738445559979187</v>
      </c>
      <c r="R27" s="16">
        <f t="shared" si="5"/>
        <v>2.1701349771495293</v>
      </c>
      <c r="S27" s="16">
        <f t="shared" si="6"/>
        <v>10.249428104575165</v>
      </c>
      <c r="T27" s="16">
        <f t="shared" si="7"/>
        <v>3.1059147478426752</v>
      </c>
      <c r="U27" s="16">
        <f t="shared" si="8"/>
        <v>5.0459627329192625</v>
      </c>
      <c r="V27" s="16">
        <f t="shared" si="9"/>
        <v>4.0145146088595762</v>
      </c>
      <c r="W27" s="16">
        <f t="shared" si="10"/>
        <v>-5.2083333333333375</v>
      </c>
      <c r="X27" s="16">
        <f t="shared" si="11"/>
        <v>12.671129788897574</v>
      </c>
      <c r="Z27" s="3">
        <f t="shared" ca="1" si="21"/>
        <v>5.0999999999999996</v>
      </c>
      <c r="AA27" s="3">
        <f t="shared" ca="1" si="21"/>
        <v>2789.1</v>
      </c>
      <c r="AB27" s="3">
        <f t="shared" ca="1" si="21"/>
        <v>425</v>
      </c>
      <c r="AD27">
        <f t="shared" ca="1" si="22"/>
        <v>0</v>
      </c>
    </row>
    <row r="28" spans="1:30" x14ac:dyDescent="0.25">
      <c r="A28" t="s">
        <v>492</v>
      </c>
      <c r="B28">
        <f t="shared" ca="1" si="13"/>
        <v>0</v>
      </c>
      <c r="C28">
        <f t="shared" ca="1" si="25"/>
        <v>137.30000000000001</v>
      </c>
      <c r="D28" s="2">
        <f t="shared" ca="1" si="24"/>
        <v>-1</v>
      </c>
      <c r="E28" s="2">
        <f t="shared" ca="1" si="16"/>
        <v>-1</v>
      </c>
      <c r="F28">
        <f t="shared" ca="1" si="17"/>
        <v>0</v>
      </c>
      <c r="G28" s="41">
        <f t="shared" ca="1" si="18"/>
        <v>-2.0699999999999998</v>
      </c>
      <c r="H28" s="41">
        <f t="shared" ca="1" si="19"/>
        <v>-0.94</v>
      </c>
      <c r="I28" s="3">
        <f t="shared" ca="1" si="0"/>
        <v>5.4</v>
      </c>
      <c r="J28" s="16">
        <f t="shared" ca="1" si="1"/>
        <v>-0.59999999999999964</v>
      </c>
      <c r="K28" s="4">
        <f ca="1">+SUM(INDIRECT($A28&amp;"!"&amp;K$3&amp;$K$2-11):INDIRECT($A28&amp;"!"&amp;K$3&amp;$K$2))/SUM(INDIRECT($A28&amp;"!"&amp;K$3&amp;$K$2-23):INDIRECT($A28&amp;"!"&amp;K$3&amp;$K$2-12))-1</f>
        <v>0.14572064906140625</v>
      </c>
      <c r="L28" s="2">
        <f t="shared" ca="1" si="2"/>
        <v>1.634601475480979E-2</v>
      </c>
      <c r="M28" s="2">
        <f t="shared" ca="1" si="3"/>
        <v>1.5095967220185358E-2</v>
      </c>
      <c r="N28" s="28">
        <f>VLOOKUP($A28,'BLS Data Series'!$C$5:$O$55,$N$3,FALSE)</f>
        <v>746.79</v>
      </c>
      <c r="O28" s="63">
        <f>VLOOKUP($A28,'BLS Data Series'!$C$5:$O$55,$O$3,FALSE)</f>
        <v>-2.9890578145212565E-2</v>
      </c>
      <c r="P28" s="16" t="e">
        <f t="shared" ca="1" si="20"/>
        <v>#DIV/0!</v>
      </c>
      <c r="Q28" s="16">
        <f t="shared" si="4"/>
        <v>3.4811072880825744</v>
      </c>
      <c r="R28" s="16">
        <f t="shared" si="5"/>
        <v>-0.45084589922765872</v>
      </c>
      <c r="S28" s="16">
        <f t="shared" si="6"/>
        <v>-7.9232911392405185</v>
      </c>
      <c r="T28" s="16">
        <f t="shared" si="7"/>
        <v>0.42527394839164678</v>
      </c>
      <c r="U28" s="16">
        <f t="shared" si="8"/>
        <v>2.6695808383233599</v>
      </c>
      <c r="V28" s="16">
        <f t="shared" si="9"/>
        <v>4.0221093750000048</v>
      </c>
      <c r="W28" s="16">
        <f t="shared" si="10"/>
        <v>-14.432989690721653</v>
      </c>
      <c r="X28" s="16">
        <f t="shared" si="11"/>
        <v>2.8285300506879052</v>
      </c>
      <c r="Z28" s="3">
        <f t="shared" ca="1" si="21"/>
        <v>6.7</v>
      </c>
      <c r="AA28" s="3">
        <f t="shared" ca="1" si="21"/>
        <v>2822.3</v>
      </c>
      <c r="AB28" s="3">
        <f t="shared" ca="1" si="21"/>
        <v>453.4</v>
      </c>
      <c r="AD28">
        <f t="shared" ca="1" si="22"/>
        <v>0</v>
      </c>
    </row>
    <row r="29" spans="1:30" x14ac:dyDescent="0.25">
      <c r="A29" t="s">
        <v>491</v>
      </c>
      <c r="B29">
        <f t="shared" ca="1" si="13"/>
        <v>0</v>
      </c>
      <c r="C29">
        <f t="shared" ca="1" si="25"/>
        <v>141.66</v>
      </c>
      <c r="D29" s="2">
        <f t="shared" ca="1" si="24"/>
        <v>-1</v>
      </c>
      <c r="E29" s="2">
        <f t="shared" ca="1" si="16"/>
        <v>-1</v>
      </c>
      <c r="F29">
        <f t="shared" ca="1" si="17"/>
        <v>0</v>
      </c>
      <c r="G29" s="41">
        <f t="shared" ca="1" si="18"/>
        <v>0</v>
      </c>
      <c r="H29" s="41">
        <f t="shared" ca="1" si="19"/>
        <v>-0.98</v>
      </c>
      <c r="I29" s="3">
        <f t="shared" ca="1" si="0"/>
        <v>7.2</v>
      </c>
      <c r="J29" s="16">
        <f t="shared" ca="1" si="1"/>
        <v>-0.59999999999999964</v>
      </c>
      <c r="K29" s="4">
        <f ca="1">+SUM(INDIRECT($A29&amp;"!"&amp;K$3&amp;$K$2-11):INDIRECT($A29&amp;"!"&amp;K$3&amp;$K$2))/SUM(INDIRECT($A29&amp;"!"&amp;K$3&amp;$K$2-23):INDIRECT($A29&amp;"!"&amp;K$3&amp;$K$2-12))-1</f>
        <v>-3.2882718304713232E-2</v>
      </c>
      <c r="L29" s="2">
        <f t="shared" ca="1" si="2"/>
        <v>8.8888888888805084E-5</v>
      </c>
      <c r="M29" s="2">
        <f t="shared" ca="1" si="3"/>
        <v>2.8443722064201982E-3</v>
      </c>
      <c r="N29" s="28">
        <f>VLOOKUP($A29,'BLS Data Series'!$C$5:$O$55,$N$3,FALSE)</f>
        <v>692.37</v>
      </c>
      <c r="O29" s="63">
        <f>VLOOKUP($A29,'BLS Data Series'!$C$5:$O$55,$O$3,FALSE)</f>
        <v>-3.5697515966857218E-2</v>
      </c>
      <c r="P29" s="16" t="e">
        <f t="shared" ca="1" si="20"/>
        <v>#DIV/0!</v>
      </c>
      <c r="Q29" s="16">
        <f t="shared" si="4"/>
        <v>4.8085569940006456</v>
      </c>
      <c r="R29" s="16">
        <f t="shared" si="5"/>
        <v>-1.2120365088419849</v>
      </c>
      <c r="S29" s="16">
        <f t="shared" si="6"/>
        <v>15.594956140350892</v>
      </c>
      <c r="T29" s="16">
        <f t="shared" si="7"/>
        <v>2.2433067675266871</v>
      </c>
      <c r="U29" s="16">
        <f t="shared" si="8"/>
        <v>6.767105263157891</v>
      </c>
      <c r="V29" s="16">
        <f t="shared" si="9"/>
        <v>18.646089385474852</v>
      </c>
      <c r="W29" s="16">
        <f t="shared" si="10"/>
        <v>-5.3846153846153877</v>
      </c>
      <c r="X29" s="16">
        <f t="shared" si="11"/>
        <v>7.5109414758269599</v>
      </c>
      <c r="Z29" s="3">
        <f t="shared" ca="1" si="21"/>
        <v>8.6999999999999993</v>
      </c>
      <c r="AA29" s="3">
        <f t="shared" ca="1" si="21"/>
        <v>1165.3</v>
      </c>
      <c r="AB29" s="3">
        <f t="shared" ca="1" si="21"/>
        <v>245.5</v>
      </c>
      <c r="AD29">
        <f t="shared" ca="1" si="22"/>
        <v>0</v>
      </c>
    </row>
    <row r="30" spans="1:30" x14ac:dyDescent="0.25">
      <c r="A30" t="s">
        <v>493</v>
      </c>
      <c r="B30">
        <f t="shared" ca="1" si="13"/>
        <v>0</v>
      </c>
      <c r="C30">
        <f t="shared" ca="1" si="25"/>
        <v>165.62</v>
      </c>
      <c r="D30" s="2">
        <f t="shared" ca="1" si="24"/>
        <v>-1</v>
      </c>
      <c r="E30" s="2">
        <f t="shared" ca="1" si="16"/>
        <v>-1</v>
      </c>
      <c r="F30">
        <f t="shared" ca="1" si="17"/>
        <v>0</v>
      </c>
      <c r="G30" s="41">
        <f t="shared" ca="1" si="18"/>
        <v>-1.47</v>
      </c>
      <c r="H30" s="41">
        <f t="shared" ca="1" si="19"/>
        <v>-1.33</v>
      </c>
      <c r="I30" s="3">
        <f t="shared" ca="1" si="0"/>
        <v>4.2</v>
      </c>
      <c r="J30" s="16">
        <f t="shared" ca="1" si="1"/>
        <v>-1.2000000000000002</v>
      </c>
      <c r="K30" s="4">
        <f ca="1">+SUM(INDIRECT($A30&amp;"!"&amp;K$3&amp;$K$2-11):INDIRECT($A30&amp;"!"&amp;K$3&amp;$K$2))/SUM(INDIRECT($A30&amp;"!"&amp;K$3&amp;$K$2-23):INDIRECT($A30&amp;"!"&amp;K$3&amp;$K$2-12))-1</f>
        <v>-0.23036120232381918</v>
      </c>
      <c r="L30" s="2">
        <f t="shared" ca="1" si="2"/>
        <v>1.626922219745941E-2</v>
      </c>
      <c r="M30" s="2">
        <f t="shared" ca="1" si="3"/>
        <v>-3.3149171270717703E-3</v>
      </c>
      <c r="N30" s="28">
        <f>VLOOKUP($A30,'BLS Data Series'!$C$5:$O$55,$N$3,FALSE)</f>
        <v>698.1</v>
      </c>
      <c r="O30" s="63">
        <f>VLOOKUP($A30,'BLS Data Series'!$C$5:$O$55,$O$3,FALSE)</f>
        <v>-1.3274984280267854E-2</v>
      </c>
      <c r="P30" s="16" t="e">
        <f t="shared" ca="1" si="20"/>
        <v>#DIV/0!</v>
      </c>
      <c r="Q30" s="16" t="e">
        <f t="shared" si="4"/>
        <v>#N/A</v>
      </c>
      <c r="R30" s="16">
        <f t="shared" si="5"/>
        <v>1.3875234521576019</v>
      </c>
      <c r="S30" s="16">
        <f t="shared" si="6"/>
        <v>-4.8555555555555463</v>
      </c>
      <c r="T30" s="16">
        <f t="shared" si="7"/>
        <v>0.51228464419474928</v>
      </c>
      <c r="U30" s="16" t="e">
        <f t="shared" si="8"/>
        <v>#N/A</v>
      </c>
      <c r="V30" s="16">
        <f t="shared" si="9"/>
        <v>7.0599206349206245</v>
      </c>
      <c r="W30" s="16">
        <f t="shared" si="10"/>
        <v>12.307692307692308</v>
      </c>
      <c r="X30" s="16">
        <f t="shared" si="11"/>
        <v>7.6483870967742007</v>
      </c>
      <c r="Z30" s="3">
        <f t="shared" ca="1" si="21"/>
        <v>5.7</v>
      </c>
      <c r="AA30" s="3">
        <f t="shared" ca="1" si="21"/>
        <v>447.1</v>
      </c>
      <c r="AB30" s="3">
        <f t="shared" ca="1" si="21"/>
        <v>88.7</v>
      </c>
      <c r="AD30">
        <f t="shared" ca="1" si="22"/>
        <v>0</v>
      </c>
    </row>
    <row r="31" spans="1:30" x14ac:dyDescent="0.25">
      <c r="A31" t="s">
        <v>474</v>
      </c>
      <c r="B31">
        <f t="shared" ca="1" si="13"/>
        <v>0</v>
      </c>
      <c r="C31">
        <f t="shared" ca="1" si="25"/>
        <v>157.86000000000001</v>
      </c>
      <c r="D31" s="2">
        <f t="shared" ca="1" si="24"/>
        <v>-1</v>
      </c>
      <c r="E31" s="2">
        <f t="shared" ca="1" si="16"/>
        <v>-1</v>
      </c>
      <c r="F31">
        <f t="shared" ca="1" si="17"/>
        <v>0</v>
      </c>
      <c r="G31" s="41">
        <f t="shared" ca="1" si="18"/>
        <v>-4.8600000000000003</v>
      </c>
      <c r="H31" s="41">
        <f t="shared" ca="1" si="19"/>
        <v>-2.17</v>
      </c>
      <c r="I31" s="3">
        <f t="shared" ca="1" si="0"/>
        <v>5.5</v>
      </c>
      <c r="J31" s="16">
        <f t="shared" ca="1" si="1"/>
        <v>-1.4000000000000004</v>
      </c>
      <c r="K31" s="4">
        <f ca="1">+SUM(INDIRECT($A31&amp;"!"&amp;K$3&amp;$K$2-11):INDIRECT($A31&amp;"!"&amp;K$3&amp;$K$2))/SUM(INDIRECT($A31&amp;"!"&amp;K$3&amp;$K$2-23):INDIRECT($A31&amp;"!"&amp;K$3&amp;$K$2-12))-1</f>
        <v>-6.6773428472968299E-2</v>
      </c>
      <c r="L31" s="2">
        <f t="shared" ca="1" si="2"/>
        <v>2.797168896645319E-2</v>
      </c>
      <c r="M31" s="2">
        <f t="shared" ca="1" si="3"/>
        <v>-7.2059823249489563E-3</v>
      </c>
      <c r="N31" s="28">
        <f>VLOOKUP($A31,'BLS Data Series'!$C$5:$O$55,$N$3,FALSE)</f>
        <v>760.73</v>
      </c>
      <c r="O31" s="63">
        <f>VLOOKUP($A31,'BLS Data Series'!$C$5:$O$55,$O$3,FALSE)</f>
        <v>-4.1963372524294051E-3</v>
      </c>
      <c r="P31" s="16" t="e">
        <f t="shared" ca="1" si="20"/>
        <v>#DIV/0!</v>
      </c>
      <c r="Q31" s="16">
        <f t="shared" si="4"/>
        <v>8.2853771073646989</v>
      </c>
      <c r="R31" s="16">
        <f t="shared" si="5"/>
        <v>-9.9903069466881984</v>
      </c>
      <c r="S31" s="16">
        <f t="shared" si="6"/>
        <v>-4.3004444444444516</v>
      </c>
      <c r="T31" s="16">
        <f t="shared" si="7"/>
        <v>-3.5545029044255938</v>
      </c>
      <c r="U31" s="16">
        <f t="shared" si="8"/>
        <v>17.397916666666681</v>
      </c>
      <c r="V31" s="16">
        <f t="shared" si="9"/>
        <v>-13.069851610568218</v>
      </c>
      <c r="W31" s="16">
        <f t="shared" si="10"/>
        <v>-3.3333333333333326</v>
      </c>
      <c r="X31" s="16">
        <f t="shared" si="11"/>
        <v>-4.8717613056783353</v>
      </c>
      <c r="Z31" s="3">
        <f t="shared" ca="1" si="21"/>
        <v>8.3000000000000007</v>
      </c>
      <c r="AA31" s="3">
        <f t="shared" ca="1" si="21"/>
        <v>4206.3999999999996</v>
      </c>
      <c r="AB31" s="3">
        <f t="shared" ca="1" si="21"/>
        <v>726</v>
      </c>
      <c r="AD31">
        <f t="shared" ca="1" si="22"/>
        <v>0</v>
      </c>
    </row>
    <row r="32" spans="1:30" x14ac:dyDescent="0.25">
      <c r="A32" t="s">
        <v>473</v>
      </c>
      <c r="B32">
        <f t="shared" ca="1" si="13"/>
        <v>0</v>
      </c>
      <c r="C32">
        <f t="shared" ca="1" si="25"/>
        <v>197.55</v>
      </c>
      <c r="D32" s="2">
        <f t="shared" ca="1" si="24"/>
        <v>-1</v>
      </c>
      <c r="E32" s="2">
        <f t="shared" ca="1" si="16"/>
        <v>-1</v>
      </c>
      <c r="F32">
        <f t="shared" ca="1" si="17"/>
        <v>0</v>
      </c>
      <c r="G32" s="41">
        <f t="shared" ca="1" si="18"/>
        <v>-2.66</v>
      </c>
      <c r="H32" s="41">
        <f t="shared" ca="1" si="19"/>
        <v>-3.45</v>
      </c>
      <c r="I32" s="3">
        <f t="shared" ca="1" si="0"/>
        <v>2.8</v>
      </c>
      <c r="J32" s="16">
        <f t="shared" ca="1" si="1"/>
        <v>9.9999999999999645E-2</v>
      </c>
      <c r="K32" s="4">
        <f ca="1">+SUM(INDIRECT($A32&amp;"!"&amp;K$3&amp;$K$2-11):INDIRECT($A32&amp;"!"&amp;K$3&amp;$K$2))/SUM(INDIRECT($A32&amp;"!"&amp;K$3&amp;$K$2-23):INDIRECT($A32&amp;"!"&amp;K$3&amp;$K$2-12))-1</f>
        <v>0.21316274531063639</v>
      </c>
      <c r="L32" s="2">
        <f t="shared" ca="1" si="2"/>
        <v>5.3964757709251021E-2</v>
      </c>
      <c r="M32" s="2">
        <f t="shared" ca="1" si="3"/>
        <v>2.4067388688326918E-3</v>
      </c>
      <c r="N32" s="28">
        <f>VLOOKUP($A32,'BLS Data Series'!$C$5:$O$55,$N$3,FALSE)</f>
        <v>891.07</v>
      </c>
      <c r="O32" s="63">
        <f>VLOOKUP($A32,'BLS Data Series'!$C$5:$O$55,$O$3,FALSE)</f>
        <v>6.9794783807495264E-3</v>
      </c>
      <c r="P32" s="16" t="e">
        <f t="shared" ca="1" si="20"/>
        <v>#DIV/0!</v>
      </c>
      <c r="Q32" s="16">
        <f t="shared" si="4"/>
        <v>12.922981366459618</v>
      </c>
      <c r="R32" s="16">
        <f t="shared" si="5"/>
        <v>-24.441779788838613</v>
      </c>
      <c r="S32" s="16">
        <f t="shared" si="6"/>
        <v>10.237179487179482</v>
      </c>
      <c r="T32" s="16">
        <f t="shared" si="7"/>
        <v>14.481010638297874</v>
      </c>
      <c r="U32" s="16">
        <f t="shared" si="8"/>
        <v>21.595480225988695</v>
      </c>
      <c r="V32" s="16">
        <f t="shared" si="9"/>
        <v>1.6533898305084671</v>
      </c>
      <c r="W32" s="16">
        <f t="shared" si="10"/>
        <v>-0.93457943925233655</v>
      </c>
      <c r="X32" s="16">
        <f t="shared" si="11"/>
        <v>18.807624831309045</v>
      </c>
      <c r="Z32" s="3">
        <f t="shared" ca="1" si="21"/>
        <v>3</v>
      </c>
      <c r="AA32" s="3">
        <f t="shared" ca="1" si="21"/>
        <v>365.6</v>
      </c>
      <c r="AB32" s="3">
        <f t="shared" ca="1" si="21"/>
        <v>78.8</v>
      </c>
      <c r="AD32">
        <f t="shared" ca="1" si="22"/>
        <v>0</v>
      </c>
    </row>
    <row r="33" spans="1:30" x14ac:dyDescent="0.25">
      <c r="A33" t="s">
        <v>494</v>
      </c>
      <c r="B33">
        <f t="shared" ca="1" si="13"/>
        <v>0</v>
      </c>
      <c r="C33">
        <f t="shared" ca="1" si="25"/>
        <v>161.69</v>
      </c>
      <c r="D33" s="2">
        <f t="shared" ca="1" si="24"/>
        <v>-1</v>
      </c>
      <c r="E33" s="2">
        <f t="shared" ca="1" si="16"/>
        <v>-1</v>
      </c>
      <c r="F33">
        <f t="shared" ca="1" si="17"/>
        <v>0</v>
      </c>
      <c r="G33" s="41">
        <f t="shared" ca="1" si="18"/>
        <v>-1.22</v>
      </c>
      <c r="H33" s="41">
        <f t="shared" ca="1" si="19"/>
        <v>-1.19</v>
      </c>
      <c r="I33" s="3">
        <f t="shared" ca="1" si="0"/>
        <v>2.9</v>
      </c>
      <c r="J33" s="16">
        <f t="shared" ca="1" si="1"/>
        <v>-0.70000000000000018</v>
      </c>
      <c r="K33" s="4">
        <f ca="1">+SUM(INDIRECT($A33&amp;"!"&amp;K$3&amp;$K$2-11):INDIRECT($A33&amp;"!"&amp;K$3&amp;$K$2))/SUM(INDIRECT($A33&amp;"!"&amp;K$3&amp;$K$2-23):INDIRECT($A33&amp;"!"&amp;K$3&amp;$K$2-12))-1</f>
        <v>-8.7838689350976717E-2</v>
      </c>
      <c r="L33" s="2">
        <f t="shared" ca="1" si="2"/>
        <v>7.6088059247234607E-3</v>
      </c>
      <c r="M33" s="2">
        <f t="shared" ca="1" si="3"/>
        <v>6.444053895723556E-3</v>
      </c>
      <c r="N33" s="28">
        <f>VLOOKUP($A33,'BLS Data Series'!$C$5:$O$55,$N$3,FALSE)</f>
        <v>740.72</v>
      </c>
      <c r="O33" s="63">
        <f>VLOOKUP($A33,'BLS Data Series'!$C$5:$O$55,$O$3,FALSE)</f>
        <v>2.0784202585273137E-2</v>
      </c>
      <c r="P33" s="16" t="e">
        <f t="shared" ca="1" si="20"/>
        <v>#DIV/0!</v>
      </c>
      <c r="Q33" s="16">
        <f t="shared" si="4"/>
        <v>5.8203539823008743</v>
      </c>
      <c r="R33" s="16">
        <f t="shared" si="5"/>
        <v>2.9864583333333306</v>
      </c>
      <c r="S33" s="16">
        <f t="shared" si="6"/>
        <v>11.440068493150669</v>
      </c>
      <c r="T33" s="16">
        <f t="shared" si="7"/>
        <v>5.4454161385720345</v>
      </c>
      <c r="U33" s="16">
        <f t="shared" si="8"/>
        <v>6.6640449438202243</v>
      </c>
      <c r="V33" s="16">
        <f t="shared" si="9"/>
        <v>10.324536082474211</v>
      </c>
      <c r="W33" s="16">
        <f t="shared" si="10"/>
        <v>6.6666666666666652</v>
      </c>
      <c r="X33" s="16">
        <f t="shared" si="11"/>
        <v>9.3378540772532261</v>
      </c>
      <c r="Z33" s="3">
        <f t="shared" ca="1" si="21"/>
        <v>4</v>
      </c>
      <c r="AA33" s="3">
        <f t="shared" ca="1" si="21"/>
        <v>973.6</v>
      </c>
      <c r="AB33" s="3">
        <f t="shared" ca="1" si="21"/>
        <v>164.1</v>
      </c>
      <c r="AD33">
        <f t="shared" ca="1" si="22"/>
        <v>0</v>
      </c>
    </row>
    <row r="34" spans="1:30" x14ac:dyDescent="0.25">
      <c r="A34" t="s">
        <v>496</v>
      </c>
      <c r="B34">
        <f t="shared" ca="1" si="13"/>
        <v>0</v>
      </c>
      <c r="C34">
        <f t="shared" ca="1" si="25"/>
        <v>190.48</v>
      </c>
      <c r="D34" s="2">
        <f t="shared" ca="1" si="24"/>
        <v>-1</v>
      </c>
      <c r="E34" s="2">
        <f t="shared" ca="1" si="16"/>
        <v>-1</v>
      </c>
      <c r="F34">
        <f t="shared" ca="1" si="17"/>
        <v>0</v>
      </c>
      <c r="G34" s="41">
        <f t="shared" ca="1" si="18"/>
        <v>-1.94</v>
      </c>
      <c r="H34" s="41">
        <f t="shared" ca="1" si="19"/>
        <v>-3.36</v>
      </c>
      <c r="I34" s="3">
        <f t="shared" ca="1" si="0"/>
        <v>4</v>
      </c>
      <c r="J34" s="16">
        <f t="shared" ca="1" si="1"/>
        <v>-1.2000000000000002</v>
      </c>
      <c r="K34" s="4">
        <f ca="1">+SUM(INDIRECT($A34&amp;"!"&amp;K$3&amp;$K$2-11):INDIRECT($A34&amp;"!"&amp;K$3&amp;$K$2))/SUM(INDIRECT($A34&amp;"!"&amp;K$3&amp;$K$2-23):INDIRECT($A34&amp;"!"&amp;K$3&amp;$K$2-12))-1</f>
        <v>0.17699115044247793</v>
      </c>
      <c r="L34" s="2">
        <f t="shared" ca="1" si="2"/>
        <v>1.2956964368348034E-2</v>
      </c>
      <c r="M34" s="2">
        <f t="shared" ca="1" si="3"/>
        <v>-2.1299254526091493E-3</v>
      </c>
      <c r="N34" s="28">
        <f>VLOOKUP($A34,'BLS Data Series'!$C$5:$O$55,$N$3,FALSE)</f>
        <v>807.76</v>
      </c>
      <c r="O34" s="63">
        <f>VLOOKUP($A34,'BLS Data Series'!$C$5:$O$55,$O$3,FALSE)</f>
        <v>-2.521159302878262E-2</v>
      </c>
      <c r="P34" s="16" t="e">
        <f t="shared" ca="1" si="20"/>
        <v>#DIV/0!</v>
      </c>
      <c r="Q34" s="16" t="e">
        <f t="shared" si="4"/>
        <v>#N/A</v>
      </c>
      <c r="R34" s="16">
        <f t="shared" si="5"/>
        <v>-5.7090909090909081</v>
      </c>
      <c r="S34" s="16">
        <f t="shared" si="6"/>
        <v>-5.8225352112676099</v>
      </c>
      <c r="T34" s="16">
        <f t="shared" si="7"/>
        <v>-4.2794404408647786</v>
      </c>
      <c r="U34" s="16" t="e">
        <f t="shared" si="8"/>
        <v>#N/A</v>
      </c>
      <c r="V34" s="16">
        <f t="shared" si="9"/>
        <v>-4.0749999999999957</v>
      </c>
      <c r="W34" s="16">
        <f t="shared" si="10"/>
        <v>-8.6486486486486491</v>
      </c>
      <c r="X34" s="16">
        <f t="shared" si="11"/>
        <v>2.5525423728813612</v>
      </c>
      <c r="Z34" s="3">
        <f t="shared" ca="1" si="21"/>
        <v>5.2</v>
      </c>
      <c r="AA34" s="3">
        <f t="shared" ca="1" si="21"/>
        <v>657.9</v>
      </c>
      <c r="AB34" s="3">
        <f t="shared" ca="1" si="21"/>
        <v>98</v>
      </c>
      <c r="AD34">
        <f t="shared" ca="1" si="22"/>
        <v>0</v>
      </c>
    </row>
    <row r="35" spans="1:30" x14ac:dyDescent="0.25">
      <c r="A35" t="s">
        <v>497</v>
      </c>
      <c r="B35">
        <f t="shared" ca="1" si="13"/>
        <v>0</v>
      </c>
      <c r="C35">
        <f t="shared" ca="1" si="25"/>
        <v>152.66</v>
      </c>
      <c r="D35" s="2">
        <f t="shared" ca="1" si="24"/>
        <v>-1</v>
      </c>
      <c r="E35" s="2">
        <f t="shared" ca="1" si="16"/>
        <v>-1</v>
      </c>
      <c r="F35">
        <f t="shared" ca="1" si="17"/>
        <v>0</v>
      </c>
      <c r="G35" s="41">
        <f t="shared" ca="1" si="18"/>
        <v>-1.22</v>
      </c>
      <c r="H35" s="41">
        <f t="shared" ca="1" si="19"/>
        <v>-0.61</v>
      </c>
      <c r="I35" s="3">
        <f t="shared" ca="1" si="0"/>
        <v>6.2</v>
      </c>
      <c r="J35" s="16">
        <f t="shared" ca="1" si="1"/>
        <v>-1</v>
      </c>
      <c r="K35" s="4">
        <f ca="1">+SUM(INDIRECT($A35&amp;"!"&amp;K$3&amp;$K$2-11):INDIRECT($A35&amp;"!"&amp;K$3&amp;$K$2))/SUM(INDIRECT($A35&amp;"!"&amp;K$3&amp;$K$2-23):INDIRECT($A35&amp;"!"&amp;K$3&amp;$K$2-12))-1</f>
        <v>3.0387220003473825E-3</v>
      </c>
      <c r="L35" s="2">
        <f t="shared" ca="1" si="2"/>
        <v>7.2193053311793154E-3</v>
      </c>
      <c r="M35" s="2">
        <f t="shared" ca="1" si="3"/>
        <v>-1.5941335883946639E-3</v>
      </c>
      <c r="N35" s="28">
        <f>VLOOKUP($A35,'BLS Data Series'!$C$5:$O$55,$N$3,FALSE)</f>
        <v>921.05</v>
      </c>
      <c r="O35" s="63">
        <f>VLOOKUP($A35,'BLS Data Series'!$C$5:$O$55,$O$3,FALSE)</f>
        <v>7.2775919535104094E-3</v>
      </c>
      <c r="P35" s="16" t="e">
        <f t="shared" ca="1" si="20"/>
        <v>#DIV/0!</v>
      </c>
      <c r="Q35" s="16">
        <f t="shared" si="4"/>
        <v>3.8497264579210766</v>
      </c>
      <c r="R35" s="16">
        <f t="shared" si="5"/>
        <v>-0.92214419857924446</v>
      </c>
      <c r="S35" s="16">
        <f t="shared" si="6"/>
        <v>9.1952717631462733</v>
      </c>
      <c r="T35" s="16">
        <f t="shared" si="7"/>
        <v>1.9534582866456152</v>
      </c>
      <c r="U35" s="16">
        <f t="shared" si="8"/>
        <v>2.4067914067914087</v>
      </c>
      <c r="V35" s="16">
        <f t="shared" si="9"/>
        <v>8.2809768637532208</v>
      </c>
      <c r="W35" s="16">
        <f t="shared" si="10"/>
        <v>-8.6001829826166549</v>
      </c>
      <c r="X35" s="16">
        <f t="shared" si="11"/>
        <v>4.5012475247524719</v>
      </c>
      <c r="Z35" s="3">
        <f t="shared" ca="1" si="21"/>
        <v>8.4</v>
      </c>
      <c r="AA35" s="3">
        <f t="shared" ca="1" si="21"/>
        <v>4125.2</v>
      </c>
      <c r="AB35" s="3">
        <f t="shared" ca="1" si="21"/>
        <v>660.8</v>
      </c>
      <c r="AD35">
        <f t="shared" ca="1" si="22"/>
        <v>0</v>
      </c>
    </row>
    <row r="36" spans="1:30" x14ac:dyDescent="0.25">
      <c r="A36" t="s">
        <v>472</v>
      </c>
      <c r="B36">
        <f t="shared" ca="1" si="13"/>
        <v>0</v>
      </c>
      <c r="C36">
        <f t="shared" ca="1" si="25"/>
        <v>158.12</v>
      </c>
      <c r="D36" s="2">
        <f t="shared" ca="1" si="24"/>
        <v>-1</v>
      </c>
      <c r="E36" s="2">
        <f t="shared" ca="1" si="16"/>
        <v>-1</v>
      </c>
      <c r="F36">
        <f t="shared" ca="1" si="17"/>
        <v>0</v>
      </c>
      <c r="G36" s="41">
        <f t="shared" ca="1" si="18"/>
        <v>-1.74</v>
      </c>
      <c r="H36" s="41">
        <f t="shared" ca="1" si="19"/>
        <v>-0.88</v>
      </c>
      <c r="I36" s="3">
        <f t="shared" ref="I36:I55" ca="1" si="26">+INDIRECT($A36&amp;"!"&amp;I$3&amp;$I$2)</f>
        <v>6.1</v>
      </c>
      <c r="J36" s="16">
        <f t="shared" ref="J36:J55" ca="1" si="27">+INDIRECT($A36&amp;"!"&amp;J$3&amp;$J$2)-INDIRECT($A36&amp;"!"&amp;J$3&amp;$J$2-12)</f>
        <v>-0.5</v>
      </c>
      <c r="K36" s="4">
        <f ca="1">+SUM(INDIRECT($A36&amp;"!"&amp;K$3&amp;$K$2-11):INDIRECT($A36&amp;"!"&amp;K$3&amp;$K$2))/SUM(INDIRECT($A36&amp;"!"&amp;K$3&amp;$K$2-23):INDIRECT($A36&amp;"!"&amp;K$3&amp;$K$2-12))-1</f>
        <v>-0.17161916312916914</v>
      </c>
      <c r="L36" s="2">
        <f t="shared" ref="L36:L55" ca="1" si="28">+INDIRECT($A36&amp;"!"&amp;L$3&amp;$L$2)/INDIRECT($A36&amp;"!"&amp;L$3&amp;$L$2-12)-1</f>
        <v>1.6564417177914015E-2</v>
      </c>
      <c r="M36" s="2">
        <f t="shared" ref="M36:M55" ca="1" si="29">+INDIRECT($A36&amp;"!"&amp;M$3&amp;$M$2)/INDIRECT($A36&amp;"!"&amp;M$3&amp;$M$2-12)-1</f>
        <v>-1.5408320493065508E-3</v>
      </c>
      <c r="N36" s="28">
        <f>VLOOKUP($A36,'BLS Data Series'!$C$5:$O$55,$N$3,FALSE)</f>
        <v>707.88</v>
      </c>
      <c r="O36" s="63">
        <f>VLOOKUP($A36,'BLS Data Series'!$C$5:$O$55,$O$3,FALSE)</f>
        <v>-2.698546916982314E-2</v>
      </c>
      <c r="P36" s="16" t="e">
        <f t="shared" ca="1" si="20"/>
        <v>#DIV/0!</v>
      </c>
      <c r="Q36" s="16">
        <f t="shared" ref="Q36:Q54" si="30">VLOOKUP($A36,salestax,3,FALSE)*100</f>
        <v>8.1615267175572335</v>
      </c>
      <c r="R36" s="16">
        <f t="shared" ref="R36:R54" si="31">VLOOKUP($A36,PIT,3,FALSE)*100</f>
        <v>-10.114726027397259</v>
      </c>
      <c r="S36" s="16">
        <f t="shared" ref="S36:S54" si="32">VLOOKUP($A36,CIT,3,FALSE)*100</f>
        <v>-19.579026217228467</v>
      </c>
      <c r="T36" s="16">
        <f t="shared" ref="T36:T54" si="33">VLOOKUP($A36,TotTax,3,FALSE)*100</f>
        <v>2.3994604003481301</v>
      </c>
      <c r="U36" s="16">
        <f t="shared" ref="U36:U54" si="34">VLOOKUP($A36,salestax,2,FALSE)</f>
        <v>4.9461988304093651</v>
      </c>
      <c r="V36" s="16">
        <f t="shared" ref="V36:V54" si="35">VLOOKUP($A36,PIT,2,FALSE)</f>
        <v>3.8735465116279011</v>
      </c>
      <c r="W36" s="16">
        <f t="shared" ref="W36:W54" si="36">VLOOKUP($A36,CIT,2,FALSE)</f>
        <v>-55.555555555555557</v>
      </c>
      <c r="X36" s="16">
        <f t="shared" ref="X36:X54" si="37">VLOOKUP($A36,TotTax,2,FALSE)</f>
        <v>5.2713866471019832</v>
      </c>
      <c r="Z36" s="3">
        <f t="shared" ca="1" si="21"/>
        <v>6.9</v>
      </c>
      <c r="AA36" s="3">
        <f t="shared" ca="1" si="21"/>
        <v>855.3</v>
      </c>
      <c r="AB36" s="3">
        <f t="shared" ca="1" si="21"/>
        <v>199.4</v>
      </c>
      <c r="AD36">
        <f t="shared" ca="1" si="22"/>
        <v>0</v>
      </c>
    </row>
    <row r="37" spans="1:30" x14ac:dyDescent="0.25">
      <c r="A37" t="s">
        <v>495</v>
      </c>
      <c r="B37">
        <f t="shared" ca="1" si="13"/>
        <v>0</v>
      </c>
      <c r="C37">
        <f t="shared" ca="1" si="25"/>
        <v>188.46</v>
      </c>
      <c r="D37" s="2">
        <f t="shared" ca="1" si="24"/>
        <v>-1</v>
      </c>
      <c r="E37" s="2">
        <f t="shared" ca="1" si="16"/>
        <v>-1</v>
      </c>
      <c r="F37">
        <f t="shared" ca="1" si="17"/>
        <v>0</v>
      </c>
      <c r="G37" s="41">
        <f t="shared" ca="1" si="18"/>
        <v>-1.28</v>
      </c>
      <c r="H37" s="41">
        <f t="shared" ca="1" si="19"/>
        <v>-1.93</v>
      </c>
      <c r="I37" s="3">
        <f t="shared" ca="1" si="26"/>
        <v>6.8</v>
      </c>
      <c r="J37" s="16">
        <f t="shared" ca="1" si="27"/>
        <v>-2.2000000000000002</v>
      </c>
      <c r="K37" s="4">
        <f ca="1">+SUM(INDIRECT($A37&amp;"!"&amp;K$3&amp;$K$2-11):INDIRECT($A37&amp;"!"&amp;K$3&amp;$K$2))/SUM(INDIRECT($A37&amp;"!"&amp;K$3&amp;$K$2-23):INDIRECT($A37&amp;"!"&amp;K$3&amp;$K$2-12))-1</f>
        <v>9.6477931341952816E-2</v>
      </c>
      <c r="L37" s="2">
        <f t="shared" ca="1" si="28"/>
        <v>2.3023855041143682E-2</v>
      </c>
      <c r="M37" s="2">
        <f t="shared" ca="1" si="29"/>
        <v>9.0791180285343387E-3</v>
      </c>
      <c r="N37" s="28">
        <f>VLOOKUP($A37,'BLS Data Series'!$C$5:$O$55,$N$3,FALSE)</f>
        <v>711.81</v>
      </c>
      <c r="O37" s="63">
        <f>VLOOKUP($A37,'BLS Data Series'!$C$5:$O$55,$O$3,FALSE)</f>
        <v>1.8196752880567546E-2</v>
      </c>
      <c r="P37" s="16" t="e">
        <f t="shared" ca="1" si="20"/>
        <v>#DIV/0!</v>
      </c>
      <c r="Q37" s="16">
        <f t="shared" si="30"/>
        <v>5.4570763755817042</v>
      </c>
      <c r="R37" s="16" t="e">
        <f t="shared" si="31"/>
        <v>#N/A</v>
      </c>
      <c r="S37" s="16" t="e">
        <f t="shared" si="32"/>
        <v>#N/A</v>
      </c>
      <c r="T37" s="16">
        <f t="shared" si="33"/>
        <v>0.704719387755115</v>
      </c>
      <c r="U37" s="16">
        <f t="shared" si="34"/>
        <v>8.0619205298013252</v>
      </c>
      <c r="V37" s="16" t="e">
        <f t="shared" si="35"/>
        <v>#N/A</v>
      </c>
      <c r="W37" s="16" t="e">
        <f t="shared" si="36"/>
        <v>#N/A</v>
      </c>
      <c r="X37" s="16">
        <f t="shared" si="37"/>
        <v>-0.19406392694063523</v>
      </c>
      <c r="Z37" s="3">
        <f t="shared" ref="Z37:AB55" ca="1" si="38">+INDIRECT($A37&amp;"!"&amp;Z$3&amp;Z$2)</f>
        <v>10.1</v>
      </c>
      <c r="AA37" s="3">
        <f t="shared" ca="1" si="38"/>
        <v>1300.4000000000001</v>
      </c>
      <c r="AB37" s="3">
        <f t="shared" ca="1" si="38"/>
        <v>162.30000000000001</v>
      </c>
      <c r="AD37">
        <f t="shared" ca="1" si="22"/>
        <v>0</v>
      </c>
    </row>
    <row r="38" spans="1:30" x14ac:dyDescent="0.25">
      <c r="A38" t="s">
        <v>498</v>
      </c>
      <c r="B38">
        <f t="shared" ca="1" si="13"/>
        <v>0</v>
      </c>
      <c r="C38">
        <f t="shared" ca="1" si="25"/>
        <v>148.37</v>
      </c>
      <c r="D38" s="2">
        <f t="shared" ca="1" si="24"/>
        <v>-1</v>
      </c>
      <c r="E38" s="2">
        <f t="shared" ca="1" si="16"/>
        <v>-1</v>
      </c>
      <c r="F38">
        <f t="shared" ca="1" si="17"/>
        <v>0</v>
      </c>
      <c r="G38" s="41">
        <f t="shared" ca="1" si="18"/>
        <v>-0.78</v>
      </c>
      <c r="H38" s="41">
        <f t="shared" ca="1" si="19"/>
        <v>-1.25</v>
      </c>
      <c r="I38" s="3">
        <f t="shared" ca="1" si="26"/>
        <v>5.8</v>
      </c>
      <c r="J38" s="16">
        <f t="shared" ca="1" si="27"/>
        <v>-1.2000000000000002</v>
      </c>
      <c r="K38" s="4">
        <f ca="1">+SUM(INDIRECT($A38&amp;"!"&amp;K$3&amp;$K$2-11):INDIRECT($A38&amp;"!"&amp;K$3&amp;$K$2))/SUM(INDIRECT($A38&amp;"!"&amp;K$3&amp;$K$2-23):INDIRECT($A38&amp;"!"&amp;K$3&amp;$K$2-12))-1</f>
        <v>-2.184261267775367E-2</v>
      </c>
      <c r="L38" s="2">
        <f t="shared" ca="1" si="28"/>
        <v>1.163034946325725E-2</v>
      </c>
      <c r="M38" s="2">
        <f t="shared" ca="1" si="29"/>
        <v>-6.1362241767232151E-3</v>
      </c>
      <c r="N38" s="28">
        <f>VLOOKUP($A38,'BLS Data Series'!$C$5:$O$55,$N$3,FALSE)</f>
        <v>955.06</v>
      </c>
      <c r="O38" s="63">
        <f>VLOOKUP($A38,'BLS Data Series'!$C$5:$O$55,$O$3,FALSE)</f>
        <v>-5.644485421179013E-3</v>
      </c>
      <c r="P38" s="16" t="e">
        <f t="shared" ca="1" si="20"/>
        <v>#DIV/0!</v>
      </c>
      <c r="Q38" s="16">
        <f t="shared" si="30"/>
        <v>4.2404666452854345</v>
      </c>
      <c r="R38" s="16">
        <f t="shared" si="31"/>
        <v>-0.97969081396993563</v>
      </c>
      <c r="S38" s="16">
        <f t="shared" si="32"/>
        <v>-12.872385103011085</v>
      </c>
      <c r="T38" s="16">
        <f t="shared" si="33"/>
        <v>-1.7391562059563603</v>
      </c>
      <c r="U38" s="16">
        <f t="shared" si="34"/>
        <v>3.7134758364312237</v>
      </c>
      <c r="V38" s="16">
        <f t="shared" si="35"/>
        <v>5.5287535898908668</v>
      </c>
      <c r="W38" s="16">
        <f t="shared" si="36"/>
        <v>32.863070539419084</v>
      </c>
      <c r="X38" s="16">
        <f t="shared" si="37"/>
        <v>2.2033948957026039</v>
      </c>
      <c r="Z38" s="3">
        <f t="shared" ca="1" si="38"/>
        <v>7.8</v>
      </c>
      <c r="AA38" s="3">
        <f t="shared" ca="1" si="38"/>
        <v>8911.2999999999993</v>
      </c>
      <c r="AB38" s="3">
        <f t="shared" ca="1" si="38"/>
        <v>1531.2</v>
      </c>
      <c r="AD38">
        <f t="shared" ca="1" si="22"/>
        <v>0</v>
      </c>
    </row>
    <row r="39" spans="1:30" x14ac:dyDescent="0.25">
      <c r="A39" t="s">
        <v>499</v>
      </c>
      <c r="B39">
        <f t="shared" ca="1" si="13"/>
        <v>0</v>
      </c>
      <c r="C39">
        <f t="shared" ca="1" si="25"/>
        <v>152.78</v>
      </c>
      <c r="D39" s="2">
        <f t="shared" ca="1" si="24"/>
        <v>-1</v>
      </c>
      <c r="E39" s="2">
        <f t="shared" ca="1" si="16"/>
        <v>-1</v>
      </c>
      <c r="F39">
        <f t="shared" ca="1" si="17"/>
        <v>0</v>
      </c>
      <c r="G39" s="41">
        <f t="shared" ca="1" si="18"/>
        <v>-1.88</v>
      </c>
      <c r="H39" s="41">
        <f t="shared" ca="1" si="19"/>
        <v>-2.34</v>
      </c>
      <c r="I39" s="3">
        <f t="shared" ca="1" si="26"/>
        <v>4.8</v>
      </c>
      <c r="J39" s="16">
        <f t="shared" ca="1" si="27"/>
        <v>-2.2999999999999998</v>
      </c>
      <c r="K39" s="4">
        <f ca="1">+SUM(INDIRECT($A39&amp;"!"&amp;K$3&amp;$K$2-11):INDIRECT($A39&amp;"!"&amp;K$3&amp;$K$2))/SUM(INDIRECT($A39&amp;"!"&amp;K$3&amp;$K$2-23):INDIRECT($A39&amp;"!"&amp;K$3&amp;$K$2-12))-1</f>
        <v>-0.13419378461256803</v>
      </c>
      <c r="L39" s="2">
        <f t="shared" ca="1" si="28"/>
        <v>1.1393696621570637E-2</v>
      </c>
      <c r="M39" s="2">
        <f t="shared" ca="1" si="29"/>
        <v>1.3027618551331166E-4</v>
      </c>
      <c r="N39" s="28">
        <f>VLOOKUP($A39,'BLS Data Series'!$C$5:$O$55,$N$3,FALSE)</f>
        <v>765.4</v>
      </c>
      <c r="O39" s="63">
        <f>VLOOKUP($A39,'BLS Data Series'!$C$5:$O$55,$O$3,FALSE)</f>
        <v>-1.3488553700264139E-2</v>
      </c>
      <c r="P39" s="16" t="e">
        <f t="shared" ca="1" si="20"/>
        <v>#DIV/0!</v>
      </c>
      <c r="Q39" s="16">
        <f t="shared" si="30"/>
        <v>10.560548668503223</v>
      </c>
      <c r="R39" s="16">
        <f t="shared" si="31"/>
        <v>-16.724426559356132</v>
      </c>
      <c r="S39" s="16">
        <f t="shared" si="32"/>
        <v>-97.655760368663593</v>
      </c>
      <c r="T39" s="16">
        <f t="shared" si="33"/>
        <v>-1.9780067116515698</v>
      </c>
      <c r="U39" s="16">
        <f t="shared" si="34"/>
        <v>12.878658262044107</v>
      </c>
      <c r="V39" s="16">
        <f t="shared" si="35"/>
        <v>-6.3989510489510408</v>
      </c>
      <c r="W39" s="16">
        <f t="shared" si="36"/>
        <v>-89.830508474576277</v>
      </c>
      <c r="X39" s="16">
        <f t="shared" si="37"/>
        <v>2.1693298169407349</v>
      </c>
      <c r="Z39" s="3">
        <f t="shared" ca="1" si="38"/>
        <v>7.4</v>
      </c>
      <c r="AA39" s="3">
        <f t="shared" ca="1" si="38"/>
        <v>5470.2</v>
      </c>
      <c r="AB39" s="3">
        <f t="shared" ca="1" si="38"/>
        <v>806.7</v>
      </c>
      <c r="AD39">
        <f t="shared" ca="1" si="22"/>
        <v>0</v>
      </c>
    </row>
    <row r="40" spans="1:30" x14ac:dyDescent="0.25">
      <c r="A40" t="s">
        <v>500</v>
      </c>
      <c r="B40">
        <f t="shared" ca="1" si="13"/>
        <v>0</v>
      </c>
      <c r="C40">
        <f t="shared" ca="1" si="25"/>
        <v>149.6</v>
      </c>
      <c r="D40" s="2">
        <f t="shared" ca="1" si="24"/>
        <v>-1</v>
      </c>
      <c r="E40" s="2">
        <f t="shared" ca="1" si="16"/>
        <v>-1</v>
      </c>
      <c r="F40">
        <f t="shared" ca="1" si="17"/>
        <v>0</v>
      </c>
      <c r="G40" s="41">
        <f t="shared" ca="1" si="18"/>
        <v>-0.39</v>
      </c>
      <c r="H40" s="41">
        <f t="shared" ca="1" si="19"/>
        <v>-1.1299999999999999</v>
      </c>
      <c r="I40" s="3">
        <f t="shared" ca="1" si="26"/>
        <v>4.2</v>
      </c>
      <c r="J40" s="16">
        <f t="shared" ca="1" si="27"/>
        <v>-1.2000000000000002</v>
      </c>
      <c r="K40" s="4">
        <f ca="1">+SUM(INDIRECT($A40&amp;"!"&amp;K$3&amp;$K$2-11):INDIRECT($A40&amp;"!"&amp;K$3&amp;$K$2))/SUM(INDIRECT($A40&amp;"!"&amp;K$3&amp;$K$2-23):INDIRECT($A40&amp;"!"&amp;K$3&amp;$K$2-12))-1</f>
        <v>-6.489409643983779E-2</v>
      </c>
      <c r="L40" s="2">
        <f t="shared" ca="1" si="28"/>
        <v>2.2231619645985523E-2</v>
      </c>
      <c r="M40" s="2">
        <f t="shared" ca="1" si="29"/>
        <v>6.7681895093061328E-3</v>
      </c>
      <c r="N40" s="28">
        <f>VLOOKUP($A40,'BLS Data Series'!$C$5:$O$55,$N$3,FALSE)</f>
        <v>764.54</v>
      </c>
      <c r="O40" s="63">
        <f>VLOOKUP($A40,'BLS Data Series'!$C$5:$O$55,$O$3,FALSE)</f>
        <v>-6.5885538781484954E-4</v>
      </c>
      <c r="P40" s="16" t="e">
        <f t="shared" ca="1" si="20"/>
        <v>#DIV/0!</v>
      </c>
      <c r="Q40" s="16">
        <f t="shared" si="30"/>
        <v>4.3968304278922288</v>
      </c>
      <c r="R40" s="16">
        <f t="shared" si="31"/>
        <v>5.3652711050103052</v>
      </c>
      <c r="S40" s="16">
        <f t="shared" si="32"/>
        <v>-30.470932358318091</v>
      </c>
      <c r="T40" s="16">
        <f t="shared" si="33"/>
        <v>5.0444726517424376</v>
      </c>
      <c r="U40" s="16">
        <f t="shared" si="34"/>
        <v>5.5518518518518523</v>
      </c>
      <c r="V40" s="16">
        <f t="shared" si="35"/>
        <v>15.43361823361824</v>
      </c>
      <c r="W40" s="16">
        <f t="shared" si="36"/>
        <v>-28.712871287128717</v>
      </c>
      <c r="X40" s="16">
        <f t="shared" si="37"/>
        <v>11.857330210772844</v>
      </c>
      <c r="Z40" s="3">
        <f t="shared" ca="1" si="38"/>
        <v>5.4</v>
      </c>
      <c r="AA40" s="3">
        <f t="shared" ca="1" si="38"/>
        <v>1617.9</v>
      </c>
      <c r="AB40" s="3">
        <f t="shared" ca="1" si="38"/>
        <v>340.9</v>
      </c>
      <c r="AD40">
        <f t="shared" ca="1" si="22"/>
        <v>0</v>
      </c>
    </row>
    <row r="41" spans="1:30" x14ac:dyDescent="0.25">
      <c r="A41" t="s">
        <v>501</v>
      </c>
      <c r="B41">
        <f t="shared" ca="1" si="13"/>
        <v>0</v>
      </c>
      <c r="C41">
        <f t="shared" ca="1" si="25"/>
        <v>193.83</v>
      </c>
      <c r="D41" s="2">
        <f t="shared" ca="1" si="24"/>
        <v>-1</v>
      </c>
      <c r="E41" s="2">
        <f t="shared" ca="1" si="16"/>
        <v>-1</v>
      </c>
      <c r="F41">
        <f t="shared" ca="1" si="17"/>
        <v>0</v>
      </c>
      <c r="G41" s="41">
        <f t="shared" ca="1" si="18"/>
        <v>-4.09</v>
      </c>
      <c r="H41" s="41">
        <f t="shared" ca="1" si="19"/>
        <v>-3.47</v>
      </c>
      <c r="I41" s="3">
        <f t="shared" ca="1" si="26"/>
        <v>6.7</v>
      </c>
      <c r="J41" s="16">
        <f t="shared" ca="1" si="27"/>
        <v>-0.39999999999999947</v>
      </c>
      <c r="K41" s="4">
        <f ca="1">+SUM(INDIRECT($A41&amp;"!"&amp;K$3&amp;$K$2-11):INDIRECT($A41&amp;"!"&amp;K$3&amp;$K$2))/SUM(INDIRECT($A41&amp;"!"&amp;K$3&amp;$K$2-23):INDIRECT($A41&amp;"!"&amp;K$3&amp;$K$2-12))-1</f>
        <v>3.5659455687369057E-2</v>
      </c>
      <c r="L41" s="2">
        <f t="shared" ca="1" si="28"/>
        <v>2.9855123467652067E-2</v>
      </c>
      <c r="M41" s="2">
        <f t="shared" ca="1" si="29"/>
        <v>2.5969645868465285E-2</v>
      </c>
      <c r="N41" s="28">
        <f>VLOOKUP($A41,'BLS Data Series'!$C$5:$O$55,$N$3,FALSE)</f>
        <v>771.89</v>
      </c>
      <c r="O41" s="63">
        <f>VLOOKUP($A41,'BLS Data Series'!$C$5:$O$55,$O$3,FALSE)</f>
        <v>-2.6340781477459552E-2</v>
      </c>
      <c r="P41" s="16" t="e">
        <f t="shared" ca="1" si="20"/>
        <v>#DIV/0!</v>
      </c>
      <c r="Q41" s="16" t="e">
        <f t="shared" si="30"/>
        <v>#N/A</v>
      </c>
      <c r="R41" s="16">
        <f t="shared" si="31"/>
        <v>-1.6234573434931954</v>
      </c>
      <c r="S41" s="16">
        <f t="shared" si="32"/>
        <v>11.562179487179481</v>
      </c>
      <c r="T41" s="16">
        <f t="shared" si="33"/>
        <v>4.4681518669609233E-2</v>
      </c>
      <c r="U41" s="16" t="e">
        <f t="shared" si="34"/>
        <v>#N/A</v>
      </c>
      <c r="V41" s="16">
        <f t="shared" si="35"/>
        <v>2.3353345841150785</v>
      </c>
      <c r="W41" s="16">
        <f t="shared" si="36"/>
        <v>-8.3769633507853385</v>
      </c>
      <c r="X41" s="16">
        <f t="shared" si="37"/>
        <v>4.7633827375762827</v>
      </c>
      <c r="Z41" s="3">
        <f t="shared" ca="1" si="38"/>
        <v>7.8</v>
      </c>
      <c r="AA41" s="3">
        <f t="shared" ca="1" si="38"/>
        <v>1751.4</v>
      </c>
      <c r="AB41" s="3">
        <f t="shared" ca="1" si="38"/>
        <v>298.10000000000002</v>
      </c>
      <c r="AD41">
        <f t="shared" ca="1" si="22"/>
        <v>0</v>
      </c>
    </row>
    <row r="42" spans="1:30" x14ac:dyDescent="0.25">
      <c r="A42" t="s">
        <v>502</v>
      </c>
      <c r="B42">
        <f t="shared" ca="1" si="13"/>
        <v>0</v>
      </c>
      <c r="C42">
        <f t="shared" ca="1" si="25"/>
        <v>143.15</v>
      </c>
      <c r="D42" s="2">
        <f t="shared" ca="1" si="24"/>
        <v>-1</v>
      </c>
      <c r="E42" s="2">
        <f t="shared" ca="1" si="16"/>
        <v>-1</v>
      </c>
      <c r="F42">
        <f t="shared" ca="1" si="17"/>
        <v>0</v>
      </c>
      <c r="G42" s="41">
        <f t="shared" ca="1" si="18"/>
        <v>-1.43</v>
      </c>
      <c r="H42" s="41">
        <f t="shared" ca="1" si="19"/>
        <v>-1.74</v>
      </c>
      <c r="I42" s="3">
        <f t="shared" ca="1" si="26"/>
        <v>4.8</v>
      </c>
      <c r="J42" s="16">
        <f t="shared" ca="1" si="27"/>
        <v>-2</v>
      </c>
      <c r="K42" s="4">
        <f ca="1">+SUM(INDIRECT($A42&amp;"!"&amp;K$3&amp;$K$2-11):INDIRECT($A42&amp;"!"&amp;K$3&amp;$K$2))/SUM(INDIRECT($A42&amp;"!"&amp;K$3&amp;$K$2-23):INDIRECT($A42&amp;"!"&amp;K$3&amp;$K$2-12))-1</f>
        <v>-7.2600161333691848E-2</v>
      </c>
      <c r="L42" s="2">
        <f t="shared" ca="1" si="28"/>
        <v>9.4534915815622789E-3</v>
      </c>
      <c r="M42" s="2">
        <f t="shared" ca="1" si="29"/>
        <v>-4.4873538210496999E-3</v>
      </c>
      <c r="N42" s="28">
        <f>VLOOKUP($A42,'BLS Data Series'!$C$5:$O$55,$N$3,FALSE)</f>
        <v>801.74</v>
      </c>
      <c r="O42" s="63">
        <f>VLOOKUP($A42,'BLS Data Series'!$C$5:$O$55,$O$3,FALSE)</f>
        <v>-2.0187017758982462E-3</v>
      </c>
      <c r="P42" s="16" t="e">
        <f t="shared" ca="1" si="20"/>
        <v>#DIV/0!</v>
      </c>
      <c r="Q42" s="16">
        <f t="shared" si="30"/>
        <v>3.5492479587451609</v>
      </c>
      <c r="R42" s="16">
        <f t="shared" si="31"/>
        <v>0.32587670727206586</v>
      </c>
      <c r="S42" s="16">
        <f t="shared" si="32"/>
        <v>10.311050477489747</v>
      </c>
      <c r="T42" s="16">
        <f t="shared" si="33"/>
        <v>1.5293706704238463</v>
      </c>
      <c r="U42" s="16">
        <f t="shared" si="34"/>
        <v>5.9934782608695558</v>
      </c>
      <c r="V42" s="16">
        <f t="shared" si="35"/>
        <v>2.8380556709596938</v>
      </c>
      <c r="W42" s="16">
        <f t="shared" si="36"/>
        <v>-3.0696576151121646</v>
      </c>
      <c r="X42" s="16">
        <f t="shared" si="37"/>
        <v>6.1451509484370836</v>
      </c>
      <c r="Z42" s="3">
        <f t="shared" ca="1" si="38"/>
        <v>7.5</v>
      </c>
      <c r="AA42" s="3">
        <f t="shared" ca="1" si="38"/>
        <v>5867.8</v>
      </c>
      <c r="AB42" s="3">
        <f t="shared" ca="1" si="38"/>
        <v>771.1</v>
      </c>
      <c r="AD42">
        <f t="shared" ca="1" si="22"/>
        <v>0</v>
      </c>
    </row>
    <row r="43" spans="1:30" x14ac:dyDescent="0.25">
      <c r="A43" t="s">
        <v>503</v>
      </c>
      <c r="B43">
        <f t="shared" ca="1" si="13"/>
        <v>0</v>
      </c>
      <c r="C43">
        <f t="shared" ca="1" si="25"/>
        <v>155.83000000000001</v>
      </c>
      <c r="D43" s="2">
        <f t="shared" ca="1" si="24"/>
        <v>-1</v>
      </c>
      <c r="E43" s="2">
        <f t="shared" ca="1" si="16"/>
        <v>-1</v>
      </c>
      <c r="F43">
        <f t="shared" ca="1" si="17"/>
        <v>0</v>
      </c>
      <c r="G43" s="41">
        <f t="shared" ca="1" si="18"/>
        <v>-0.76</v>
      </c>
      <c r="H43" s="41">
        <f t="shared" ca="1" si="19"/>
        <v>-1.53</v>
      </c>
      <c r="I43" s="3">
        <f t="shared" ca="1" si="26"/>
        <v>6.8</v>
      </c>
      <c r="J43" s="16">
        <f t="shared" ca="1" si="27"/>
        <v>-2.5000000000000009</v>
      </c>
      <c r="K43" s="4">
        <f ca="1">+SUM(INDIRECT($A43&amp;"!"&amp;K$3&amp;$K$2-11):INDIRECT($A43&amp;"!"&amp;K$3&amp;$K$2))/SUM(INDIRECT($A43&amp;"!"&amp;K$3&amp;$K$2-23):INDIRECT($A43&amp;"!"&amp;K$3&amp;$K$2-12))-1</f>
        <v>-5.7367829021372274E-2</v>
      </c>
      <c r="L43" s="2">
        <f t="shared" ca="1" si="28"/>
        <v>1.6701902748414321E-2</v>
      </c>
      <c r="M43" s="2">
        <f t="shared" ca="1" si="29"/>
        <v>-4.9099836333879043E-3</v>
      </c>
      <c r="N43" s="28">
        <f>VLOOKUP($A43,'BLS Data Series'!$C$5:$O$55,$N$3,FALSE)</f>
        <v>819.89</v>
      </c>
      <c r="O43" s="63">
        <f>VLOOKUP($A43,'BLS Data Series'!$C$5:$O$55,$O$3,FALSE)</f>
        <v>-3.7604631559029489E-2</v>
      </c>
      <c r="P43" s="16" t="e">
        <f t="shared" ca="1" si="20"/>
        <v>#DIV/0!</v>
      </c>
      <c r="Q43" s="16">
        <f t="shared" si="30"/>
        <v>3.4281879194630882</v>
      </c>
      <c r="R43" s="16">
        <f t="shared" si="31"/>
        <v>-1.947411444141689</v>
      </c>
      <c r="S43" s="16">
        <f t="shared" si="32"/>
        <v>-18.09718309859155</v>
      </c>
      <c r="T43" s="16">
        <f t="shared" si="33"/>
        <v>0.20890087660148104</v>
      </c>
      <c r="U43" s="16">
        <f t="shared" si="34"/>
        <v>3.9379591836734784</v>
      </c>
      <c r="V43" s="16">
        <f t="shared" si="35"/>
        <v>-3.3960431654676215</v>
      </c>
      <c r="W43" s="16">
        <f t="shared" si="36"/>
        <v>-8.5106382978723421</v>
      </c>
      <c r="X43" s="16">
        <f t="shared" si="37"/>
        <v>0.52515644555695129</v>
      </c>
      <c r="Z43" s="3">
        <f t="shared" ca="1" si="38"/>
        <v>9.5</v>
      </c>
      <c r="AA43" s="3">
        <f t="shared" ca="1" si="38"/>
        <v>492.5</v>
      </c>
      <c r="AB43" s="3">
        <f t="shared" ca="1" si="38"/>
        <v>65</v>
      </c>
      <c r="AD43">
        <f t="shared" ca="1" si="22"/>
        <v>0</v>
      </c>
    </row>
    <row r="44" spans="1:30" x14ac:dyDescent="0.25">
      <c r="A44" t="s">
        <v>504</v>
      </c>
      <c r="B44">
        <f t="shared" ca="1" si="13"/>
        <v>0</v>
      </c>
      <c r="C44">
        <f t="shared" ca="1" si="25"/>
        <v>156.87</v>
      </c>
      <c r="D44" s="2">
        <f t="shared" ca="1" si="24"/>
        <v>-1</v>
      </c>
      <c r="E44" s="2">
        <f t="shared" ca="1" si="16"/>
        <v>-1</v>
      </c>
      <c r="F44">
        <f t="shared" ca="1" si="17"/>
        <v>0</v>
      </c>
      <c r="G44" s="41">
        <f t="shared" ca="1" si="18"/>
        <v>-1.05</v>
      </c>
      <c r="H44" s="41">
        <f t="shared" ca="1" si="19"/>
        <v>-2.5499999999999998</v>
      </c>
      <c r="I44" s="3">
        <f t="shared" ca="1" si="26"/>
        <v>6.5</v>
      </c>
      <c r="J44" s="16">
        <f t="shared" ca="1" si="27"/>
        <v>-9.9999999999999645E-2</v>
      </c>
      <c r="K44" s="4">
        <f ca="1">+SUM(INDIRECT($A44&amp;"!"&amp;K$3&amp;$K$2-11):INDIRECT($A44&amp;"!"&amp;K$3&amp;$K$2))/SUM(INDIRECT($A44&amp;"!"&amp;K$3&amp;$K$2-23):INDIRECT($A44&amp;"!"&amp;K$3&amp;$K$2-12))-1</f>
        <v>6.5340179717586544E-2</v>
      </c>
      <c r="L44" s="2">
        <f t="shared" ca="1" si="28"/>
        <v>2.4126455906821942E-2</v>
      </c>
      <c r="M44" s="2">
        <f t="shared" ca="1" si="29"/>
        <v>9.7493036211699913E-3</v>
      </c>
      <c r="N44" s="28">
        <f>VLOOKUP($A44,'BLS Data Series'!$C$5:$O$55,$N$3,FALSE)</f>
        <v>742.98</v>
      </c>
      <c r="O44" s="63">
        <f>VLOOKUP($A44,'BLS Data Series'!$C$5:$O$55,$O$3,FALSE)</f>
        <v>-1.9738428434742383E-3</v>
      </c>
      <c r="P44" s="16" t="e">
        <f t="shared" ca="1" si="20"/>
        <v>#DIV/0!</v>
      </c>
      <c r="Q44" s="16">
        <f t="shared" si="30"/>
        <v>13.951742808798651</v>
      </c>
      <c r="R44" s="16">
        <f t="shared" si="31"/>
        <v>2.5963191990577172</v>
      </c>
      <c r="S44" s="16">
        <f t="shared" si="32"/>
        <v>-1.0068965517241346</v>
      </c>
      <c r="T44" s="16">
        <f t="shared" si="33"/>
        <v>6.763706654170587</v>
      </c>
      <c r="U44" s="16">
        <f t="shared" si="34"/>
        <v>75.933642691415315</v>
      </c>
      <c r="V44" s="16">
        <f t="shared" si="35"/>
        <v>5.8983193277311052</v>
      </c>
      <c r="W44" s="16">
        <f t="shared" si="36"/>
        <v>-17.021276595744684</v>
      </c>
      <c r="X44" s="16">
        <f t="shared" si="37"/>
        <v>25.054972513743134</v>
      </c>
      <c r="Z44" s="3">
        <f t="shared" ca="1" si="38"/>
        <v>7.9</v>
      </c>
      <c r="AA44" s="3">
        <f t="shared" ca="1" si="38"/>
        <v>1956.6</v>
      </c>
      <c r="AB44" s="3">
        <f t="shared" ca="1" si="38"/>
        <v>352</v>
      </c>
      <c r="AD44">
        <f t="shared" ca="1" si="22"/>
        <v>0</v>
      </c>
    </row>
    <row r="45" spans="1:30" x14ac:dyDescent="0.25">
      <c r="A45" t="s">
        <v>505</v>
      </c>
      <c r="B45">
        <f t="shared" ca="1" si="13"/>
        <v>0</v>
      </c>
      <c r="C45">
        <f t="shared" ca="1" si="25"/>
        <v>155.32</v>
      </c>
      <c r="D45" s="2">
        <f t="shared" ca="1" si="24"/>
        <v>-1</v>
      </c>
      <c r="E45" s="2">
        <f t="shared" ca="1" si="16"/>
        <v>-1</v>
      </c>
      <c r="F45">
        <f t="shared" ca="1" si="17"/>
        <v>0</v>
      </c>
      <c r="G45" s="41">
        <f t="shared" ca="1" si="18"/>
        <v>-1.0900000000000001</v>
      </c>
      <c r="H45" s="41">
        <f t="shared" ca="1" si="19"/>
        <v>-0.86</v>
      </c>
      <c r="I45" s="3">
        <f t="shared" ca="1" si="26"/>
        <v>3.3</v>
      </c>
      <c r="J45" s="16">
        <f t="shared" ca="1" si="27"/>
        <v>-0.30000000000000027</v>
      </c>
      <c r="K45" s="4">
        <f ca="1">+SUM(INDIRECT($A45&amp;"!"&amp;K$3&amp;$K$2-11):INDIRECT($A45&amp;"!"&amp;K$3&amp;$K$2))/SUM(INDIRECT($A45&amp;"!"&amp;K$3&amp;$K$2-23):INDIRECT($A45&amp;"!"&amp;K$3&amp;$K$2-12))-1</f>
        <v>-0.14063699155794318</v>
      </c>
      <c r="L45" s="2">
        <f t="shared" ca="1" si="28"/>
        <v>7.9269757386499773E-3</v>
      </c>
      <c r="M45" s="2">
        <f t="shared" ca="1" si="29"/>
        <v>1.2787723785166349E-2</v>
      </c>
      <c r="N45" s="28">
        <f>VLOOKUP($A45,'BLS Data Series'!$C$5:$O$55,$N$3,FALSE)</f>
        <v>698.36</v>
      </c>
      <c r="O45" s="63">
        <f>VLOOKUP($A45,'BLS Data Series'!$C$5:$O$55,$O$3,FALSE)</f>
        <v>-6.1276768763560696E-3</v>
      </c>
      <c r="P45" s="16" t="e">
        <f t="shared" ca="1" si="20"/>
        <v>#DIV/0!</v>
      </c>
      <c r="Q45" s="16">
        <f t="shared" si="30"/>
        <v>6.6956769055745102</v>
      </c>
      <c r="R45" s="16" t="e">
        <f t="shared" si="31"/>
        <v>#N/A</v>
      </c>
      <c r="S45" s="16">
        <f t="shared" si="32"/>
        <v>-20.690625000000008</v>
      </c>
      <c r="T45" s="16">
        <f t="shared" si="33"/>
        <v>4.9788961038961022</v>
      </c>
      <c r="U45" s="16">
        <f t="shared" si="34"/>
        <v>9.3798283261802506</v>
      </c>
      <c r="V45" s="16" t="e">
        <f t="shared" si="35"/>
        <v>#N/A</v>
      </c>
      <c r="W45" s="16">
        <f t="shared" si="36"/>
        <v>-56.25</v>
      </c>
      <c r="X45" s="16">
        <f t="shared" si="37"/>
        <v>6.184210526315792</v>
      </c>
      <c r="Z45" s="3">
        <f t="shared" ca="1" si="38"/>
        <v>3.9</v>
      </c>
      <c r="AA45" s="3">
        <f t="shared" ca="1" si="38"/>
        <v>407.8</v>
      </c>
      <c r="AB45" s="3">
        <f t="shared" ca="1" si="38"/>
        <v>76.3</v>
      </c>
      <c r="AD45">
        <f t="shared" ca="1" si="22"/>
        <v>0</v>
      </c>
    </row>
    <row r="46" spans="1:30" x14ac:dyDescent="0.25">
      <c r="A46" t="s">
        <v>506</v>
      </c>
      <c r="B46">
        <f t="shared" ca="1" si="13"/>
        <v>0</v>
      </c>
      <c r="C46">
        <f t="shared" ca="1" si="25"/>
        <v>154.58000000000001</v>
      </c>
      <c r="D46" s="2">
        <f t="shared" ca="1" si="24"/>
        <v>-1</v>
      </c>
      <c r="E46" s="2">
        <f t="shared" ca="1" si="16"/>
        <v>-1</v>
      </c>
      <c r="F46">
        <f t="shared" ca="1" si="17"/>
        <v>0</v>
      </c>
      <c r="G46" s="41">
        <f t="shared" ca="1" si="18"/>
        <v>-2.4300000000000002</v>
      </c>
      <c r="H46" s="41">
        <f t="shared" ca="1" si="19"/>
        <v>-2.2999999999999998</v>
      </c>
      <c r="I46" s="3">
        <f t="shared" ca="1" si="26"/>
        <v>6.6</v>
      </c>
      <c r="J46" s="16">
        <f t="shared" ca="1" si="27"/>
        <v>-1.1000000000000005</v>
      </c>
      <c r="K46" s="4">
        <f ca="1">+SUM(INDIRECT($A46&amp;"!"&amp;K$3&amp;$K$2-11):INDIRECT($A46&amp;"!"&amp;K$3&amp;$K$2))/SUM(INDIRECT($A46&amp;"!"&amp;K$3&amp;$K$2-23):INDIRECT($A46&amp;"!"&amp;K$3&amp;$K$2-12))-1</f>
        <v>4.8709835554169079E-2</v>
      </c>
      <c r="L46" s="2">
        <f t="shared" ca="1" si="28"/>
        <v>2.4051175755843035E-2</v>
      </c>
      <c r="M46" s="2">
        <f t="shared" ca="1" si="29"/>
        <v>1.6420361247946325E-3</v>
      </c>
      <c r="N46" s="28">
        <f>VLOOKUP($A46,'BLS Data Series'!$C$5:$O$55,$N$3,FALSE)</f>
        <v>725.06</v>
      </c>
      <c r="O46" s="63">
        <f>VLOOKUP($A46,'BLS Data Series'!$C$5:$O$55,$O$3,FALSE)</f>
        <v>-2.5742046436048382E-2</v>
      </c>
      <c r="P46" s="16" t="e">
        <f t="shared" ca="1" si="20"/>
        <v>#DIV/0!</v>
      </c>
      <c r="Q46" s="16">
        <f t="shared" si="30"/>
        <v>3.9231561133831638</v>
      </c>
      <c r="R46" s="16">
        <f t="shared" si="31"/>
        <v>-8.5900763358778605</v>
      </c>
      <c r="S46" s="16">
        <f t="shared" si="32"/>
        <v>-7.65030769230769</v>
      </c>
      <c r="T46" s="16">
        <f t="shared" si="33"/>
        <v>1.490050960407685</v>
      </c>
      <c r="U46" s="16">
        <f t="shared" si="34"/>
        <v>5.0049945115258065</v>
      </c>
      <c r="V46" s="16">
        <f t="shared" si="35"/>
        <v>12.349999999999994</v>
      </c>
      <c r="W46" s="16">
        <f t="shared" si="36"/>
        <v>-3.4862385321100864</v>
      </c>
      <c r="X46" s="16">
        <f t="shared" si="37"/>
        <v>4.5799869195552567</v>
      </c>
      <c r="Z46" s="3">
        <f t="shared" ca="1" si="38"/>
        <v>8.4</v>
      </c>
      <c r="AA46" s="3">
        <f t="shared" ca="1" si="38"/>
        <v>2836.4</v>
      </c>
      <c r="AB46" s="3">
        <f t="shared" ca="1" si="38"/>
        <v>431.1</v>
      </c>
      <c r="AD46">
        <f t="shared" ca="1" si="22"/>
        <v>0</v>
      </c>
    </row>
    <row r="47" spans="1:30" x14ac:dyDescent="0.25">
      <c r="A47" t="s">
        <v>507</v>
      </c>
      <c r="B47">
        <f t="shared" ca="1" si="13"/>
        <v>0</v>
      </c>
      <c r="C47">
        <f t="shared" ca="1" si="25"/>
        <v>183.16</v>
      </c>
      <c r="D47" s="2">
        <f t="shared" ca="1" si="24"/>
        <v>-1</v>
      </c>
      <c r="E47" s="2">
        <f t="shared" ca="1" si="16"/>
        <v>-1</v>
      </c>
      <c r="F47">
        <f t="shared" ca="1" si="17"/>
        <v>0</v>
      </c>
      <c r="G47" s="41">
        <f t="shared" ca="1" si="18"/>
        <v>-2.61</v>
      </c>
      <c r="H47" s="41">
        <f t="shared" ca="1" si="19"/>
        <v>-2.98</v>
      </c>
      <c r="I47" s="3">
        <f t="shared" ca="1" si="26"/>
        <v>4.5999999999999996</v>
      </c>
      <c r="J47" s="16">
        <f t="shared" ca="1" si="27"/>
        <v>-1.4000000000000004</v>
      </c>
      <c r="K47" s="4">
        <f ca="1">+SUM(INDIRECT($A47&amp;"!"&amp;K$3&amp;$K$2-11):INDIRECT($A47&amp;"!"&amp;K$3&amp;$K$2))/SUM(INDIRECT($A47&amp;"!"&amp;K$3&amp;$K$2-23):INDIRECT($A47&amp;"!"&amp;K$3&amp;$K$2-12))-1</f>
        <v>2.3431636120474275E-2</v>
      </c>
      <c r="L47" s="2">
        <f t="shared" ca="1" si="28"/>
        <v>4.0440853604988058E-2</v>
      </c>
      <c r="M47" s="2">
        <f t="shared" ca="1" si="29"/>
        <v>2.0617998809459248E-2</v>
      </c>
      <c r="N47" s="28">
        <f>VLOOKUP($A47,'BLS Data Series'!$C$5:$O$55,$N$3,FALSE)</f>
        <v>883.52</v>
      </c>
      <c r="O47" s="63">
        <f>VLOOKUP($A47,'BLS Data Series'!$C$5:$O$55,$O$3,FALSE)</f>
        <v>2.5358294318116537E-2</v>
      </c>
      <c r="P47" s="16" t="e">
        <f t="shared" ca="1" si="20"/>
        <v>#DIV/0!</v>
      </c>
      <c r="Q47" s="16">
        <f t="shared" si="30"/>
        <v>5.8595093198606785</v>
      </c>
      <c r="R47" s="16" t="e">
        <f t="shared" si="31"/>
        <v>#N/A</v>
      </c>
      <c r="S47" s="16" t="e">
        <f t="shared" si="32"/>
        <v>#N/A</v>
      </c>
      <c r="T47" s="16">
        <f t="shared" si="33"/>
        <v>7.4679197122635932</v>
      </c>
      <c r="U47" s="16">
        <f t="shared" si="34"/>
        <v>7.221095395726751</v>
      </c>
      <c r="V47" s="16" t="e">
        <f t="shared" si="35"/>
        <v>#N/A</v>
      </c>
      <c r="W47" s="16" t="e">
        <f t="shared" si="36"/>
        <v>#N/A</v>
      </c>
      <c r="X47" s="16">
        <f t="shared" si="37"/>
        <v>8.072315673636222</v>
      </c>
      <c r="Z47" s="3">
        <f t="shared" ca="1" si="38"/>
        <v>6.4</v>
      </c>
      <c r="AA47" s="3">
        <f t="shared" ca="1" si="38"/>
        <v>10616.7</v>
      </c>
      <c r="AB47" s="3">
        <f t="shared" ca="1" si="38"/>
        <v>1777.3</v>
      </c>
      <c r="AD47">
        <f t="shared" ca="1" si="22"/>
        <v>0</v>
      </c>
    </row>
    <row r="48" spans="1:30" x14ac:dyDescent="0.25">
      <c r="A48" t="s">
        <v>508</v>
      </c>
      <c r="B48">
        <f t="shared" ca="1" si="13"/>
        <v>0</v>
      </c>
      <c r="C48">
        <f t="shared" ca="1" si="25"/>
        <v>188.27</v>
      </c>
      <c r="D48" s="2">
        <f t="shared" ca="1" si="24"/>
        <v>-1</v>
      </c>
      <c r="E48" s="2">
        <f t="shared" ca="1" si="16"/>
        <v>-1</v>
      </c>
      <c r="F48">
        <f t="shared" ca="1" si="17"/>
        <v>0</v>
      </c>
      <c r="G48" s="41">
        <f t="shared" ca="1" si="18"/>
        <v>-1.61</v>
      </c>
      <c r="H48" s="41">
        <f t="shared" ca="1" si="19"/>
        <v>-1.57</v>
      </c>
      <c r="I48" s="3">
        <f t="shared" ca="1" si="26"/>
        <v>3.5</v>
      </c>
      <c r="J48" s="16">
        <f t="shared" ca="1" si="27"/>
        <v>-0.5</v>
      </c>
      <c r="K48" s="4">
        <f ca="1">+SUM(INDIRECT($A48&amp;"!"&amp;K$3&amp;$K$2-11):INDIRECT($A48&amp;"!"&amp;K$3&amp;$K$2))/SUM(INDIRECT($A48&amp;"!"&amp;K$3&amp;$K$2-23):INDIRECT($A48&amp;"!"&amp;K$3&amp;$K$2-12))-1</f>
        <v>2.8377584969665248E-2</v>
      </c>
      <c r="L48" s="2">
        <f t="shared" ca="1" si="28"/>
        <v>3.852583586626146E-2</v>
      </c>
      <c r="M48" s="2">
        <f t="shared" ca="1" si="29"/>
        <v>2.907986111111116E-2</v>
      </c>
      <c r="N48" s="28">
        <f>VLOOKUP($A48,'BLS Data Series'!$C$5:$O$55,$N$3,FALSE)</f>
        <v>830.27</v>
      </c>
      <c r="O48" s="63">
        <f>VLOOKUP($A48,'BLS Data Series'!$C$5:$O$55,$O$3,FALSE)</f>
        <v>-3.2583534585157725E-3</v>
      </c>
      <c r="P48" s="16" t="e">
        <f t="shared" ca="1" si="20"/>
        <v>#DIV/0!</v>
      </c>
      <c r="Q48" s="16">
        <f t="shared" si="30"/>
        <v>-9.3169436997319046</v>
      </c>
      <c r="R48" s="16">
        <f t="shared" si="31"/>
        <v>1.0738766980146419</v>
      </c>
      <c r="S48" s="16">
        <f t="shared" si="32"/>
        <v>11.494025157232702</v>
      </c>
      <c r="T48" s="16">
        <f t="shared" si="33"/>
        <v>-0.70960960960960717</v>
      </c>
      <c r="U48" s="16">
        <f t="shared" si="34"/>
        <v>3.4187368421052522</v>
      </c>
      <c r="V48" s="16">
        <f t="shared" si="35"/>
        <v>3.4093289689034467</v>
      </c>
      <c r="W48" s="16">
        <f t="shared" si="36"/>
        <v>12.857142857142856</v>
      </c>
      <c r="X48" s="16">
        <f t="shared" si="37"/>
        <v>6.729244629244624</v>
      </c>
      <c r="Z48" s="3">
        <f t="shared" ca="1" si="38"/>
        <v>4.5</v>
      </c>
      <c r="AA48" s="3">
        <f t="shared" ca="1" si="38"/>
        <v>1281</v>
      </c>
      <c r="AB48" s="3">
        <f t="shared" ca="1" si="38"/>
        <v>211</v>
      </c>
      <c r="AD48">
        <f t="shared" ca="1" si="22"/>
        <v>0</v>
      </c>
    </row>
    <row r="49" spans="1:30" x14ac:dyDescent="0.25">
      <c r="A49" t="s">
        <v>510</v>
      </c>
      <c r="B49">
        <f t="shared" ca="1" si="13"/>
        <v>0</v>
      </c>
      <c r="C49">
        <f t="shared" ca="1" si="25"/>
        <v>147.05000000000001</v>
      </c>
      <c r="D49" s="2">
        <f t="shared" ca="1" si="24"/>
        <v>-1</v>
      </c>
      <c r="E49" s="2">
        <f t="shared" ca="1" si="16"/>
        <v>-1</v>
      </c>
      <c r="F49">
        <f t="shared" ca="1" si="17"/>
        <v>0</v>
      </c>
      <c r="G49" s="41">
        <f t="shared" ca="1" si="18"/>
        <v>-0.79</v>
      </c>
      <c r="H49" s="41">
        <f t="shared" ca="1" si="19"/>
        <v>-0.84</v>
      </c>
      <c r="I49" s="3">
        <f t="shared" ca="1" si="26"/>
        <v>4.8</v>
      </c>
      <c r="J49" s="16">
        <f t="shared" ca="1" si="27"/>
        <v>-0.40000000000000036</v>
      </c>
      <c r="K49" s="4">
        <f ca="1">+SUM(INDIRECT($A49&amp;"!"&amp;K$3&amp;$K$2-11):INDIRECT($A49&amp;"!"&amp;K$3&amp;$K$2))/SUM(INDIRECT($A49&amp;"!"&amp;K$3&amp;$K$2-23):INDIRECT($A49&amp;"!"&amp;K$3&amp;$K$2-12))-1</f>
        <v>-0.10266054729286722</v>
      </c>
      <c r="L49" s="2">
        <f t="shared" ca="1" si="28"/>
        <v>7.5819617995931399E-3</v>
      </c>
      <c r="M49" s="2">
        <f t="shared" ca="1" si="29"/>
        <v>5.5609620464358578E-4</v>
      </c>
      <c r="N49" s="28">
        <f>VLOOKUP($A49,'BLS Data Series'!$C$5:$O$55,$N$3,FALSE)</f>
        <v>893.09</v>
      </c>
      <c r="O49" s="63">
        <f>VLOOKUP($A49,'BLS Data Series'!$C$5:$O$55,$O$3,FALSE)</f>
        <v>-1.0886066399361516E-2</v>
      </c>
      <c r="P49" s="16" t="e">
        <f t="shared" ca="1" si="20"/>
        <v>#DIV/0!</v>
      </c>
      <c r="Q49" s="16">
        <f t="shared" si="30"/>
        <v>-2.7992671009771986</v>
      </c>
      <c r="R49" s="16">
        <f t="shared" si="31"/>
        <v>1.761870305916835</v>
      </c>
      <c r="S49" s="16">
        <f t="shared" si="32"/>
        <v>-5.1721534653465291</v>
      </c>
      <c r="T49" s="16">
        <f t="shared" si="33"/>
        <v>0.66605442176870255</v>
      </c>
      <c r="U49" s="16">
        <f t="shared" si="34"/>
        <v>3.1046814044213278</v>
      </c>
      <c r="V49" s="16">
        <f t="shared" si="35"/>
        <v>8.9087793608009225</v>
      </c>
      <c r="W49" s="16">
        <f t="shared" si="36"/>
        <v>-4.1055718475073277</v>
      </c>
      <c r="X49" s="16">
        <f t="shared" si="37"/>
        <v>7.0749502982107471</v>
      </c>
      <c r="Z49" s="3">
        <f t="shared" ca="1" si="38"/>
        <v>5.6</v>
      </c>
      <c r="AA49" s="3">
        <f t="shared" ca="1" si="38"/>
        <v>3810.2</v>
      </c>
      <c r="AB49" s="3">
        <f t="shared" ca="1" si="38"/>
        <v>693.3</v>
      </c>
      <c r="AD49">
        <f t="shared" ca="1" si="22"/>
        <v>0</v>
      </c>
    </row>
    <row r="50" spans="1:30" x14ac:dyDescent="0.25">
      <c r="A50" t="s">
        <v>509</v>
      </c>
      <c r="B50">
        <f t="shared" ca="1" si="13"/>
        <v>0</v>
      </c>
      <c r="C50">
        <f t="shared" ca="1" si="25"/>
        <v>152.29</v>
      </c>
      <c r="D50" s="2">
        <f t="shared" ca="1" si="24"/>
        <v>-1</v>
      </c>
      <c r="E50" s="2">
        <f t="shared" ca="1" si="16"/>
        <v>-1</v>
      </c>
      <c r="F50">
        <f t="shared" ca="1" si="17"/>
        <v>0</v>
      </c>
      <c r="G50" s="41">
        <f t="shared" ca="1" si="18"/>
        <v>-0.43</v>
      </c>
      <c r="H50" s="41">
        <f t="shared" ca="1" si="19"/>
        <v>-1.69</v>
      </c>
      <c r="I50" s="3">
        <f t="shared" ca="1" si="26"/>
        <v>4.2</v>
      </c>
      <c r="J50" s="16">
        <f t="shared" ca="1" si="27"/>
        <v>0</v>
      </c>
      <c r="K50" s="4">
        <f ca="1">+SUM(INDIRECT($A50&amp;"!"&amp;K$3&amp;$K$2-11):INDIRECT($A50&amp;"!"&amp;K$3&amp;$K$2))/SUM(INDIRECT($A50&amp;"!"&amp;K$3&amp;$K$2-23):INDIRECT($A50&amp;"!"&amp;K$3&amp;$K$2-12))-1</f>
        <v>-0.16395575797007156</v>
      </c>
      <c r="L50" s="2">
        <f t="shared" ca="1" si="28"/>
        <v>1.1464968152866239E-2</v>
      </c>
      <c r="M50" s="2">
        <f t="shared" ca="1" si="29"/>
        <v>1.5817223198594021E-2</v>
      </c>
      <c r="N50" s="28">
        <f>VLOOKUP($A50,'BLS Data Series'!$C$5:$O$55,$N$3,FALSE)</f>
        <v>763.55</v>
      </c>
      <c r="O50" s="63">
        <f>VLOOKUP($A50,'BLS Data Series'!$C$5:$O$55,$O$3,FALSE)</f>
        <v>-1.2950447852379199E-2</v>
      </c>
      <c r="P50" s="16" t="e">
        <f t="shared" ca="1" si="20"/>
        <v>#DIV/0!</v>
      </c>
      <c r="Q50" s="16">
        <f t="shared" si="30"/>
        <v>3.6213256484149969</v>
      </c>
      <c r="R50" s="16">
        <f t="shared" si="31"/>
        <v>1.1489614243323398</v>
      </c>
      <c r="S50" s="16">
        <f t="shared" si="32"/>
        <v>7.743269230769223</v>
      </c>
      <c r="T50" s="16">
        <f t="shared" si="33"/>
        <v>3.221455805892548</v>
      </c>
      <c r="U50" s="16">
        <f t="shared" si="34"/>
        <v>4.0067415730337119</v>
      </c>
      <c r="V50" s="16">
        <f t="shared" si="35"/>
        <v>4.2683544303797394</v>
      </c>
      <c r="W50" s="16">
        <f t="shared" si="36"/>
        <v>34.615384615384627</v>
      </c>
      <c r="X50" s="16">
        <f t="shared" si="37"/>
        <v>2.0663201663201791</v>
      </c>
      <c r="Z50" s="3">
        <f t="shared" ca="1" si="38"/>
        <v>4.3</v>
      </c>
      <c r="AA50" s="3">
        <f t="shared" ca="1" si="38"/>
        <v>315.5</v>
      </c>
      <c r="AB50" s="3">
        <f t="shared" ca="1" si="38"/>
        <v>56.8</v>
      </c>
      <c r="AD50">
        <f t="shared" ca="1" si="22"/>
        <v>0</v>
      </c>
    </row>
    <row r="51" spans="1:30" x14ac:dyDescent="0.25">
      <c r="A51" t="s">
        <v>511</v>
      </c>
      <c r="B51">
        <f t="shared" ca="1" si="13"/>
        <v>0</v>
      </c>
      <c r="C51">
        <f t="shared" ca="1" si="25"/>
        <v>152.80000000000001</v>
      </c>
      <c r="D51" s="2">
        <f t="shared" ca="1" si="24"/>
        <v>-1</v>
      </c>
      <c r="E51" s="2">
        <f t="shared" ca="1" si="16"/>
        <v>-1</v>
      </c>
      <c r="F51">
        <f t="shared" ca="1" si="17"/>
        <v>0</v>
      </c>
      <c r="G51" s="41">
        <f t="shared" ca="1" si="18"/>
        <v>-0.63</v>
      </c>
      <c r="H51" s="41">
        <f t="shared" ca="1" si="19"/>
        <v>-2.15</v>
      </c>
      <c r="I51" s="3">
        <f t="shared" ca="1" si="26"/>
        <v>6.3</v>
      </c>
      <c r="J51" s="16">
        <f t="shared" ca="1" si="27"/>
        <v>-0.40000000000000036</v>
      </c>
      <c r="K51" s="4">
        <f ca="1">+SUM(INDIRECT($A51&amp;"!"&amp;K$3&amp;$K$2-11):INDIRECT($A51&amp;"!"&amp;K$3&amp;$K$2))/SUM(INDIRECT($A51&amp;"!"&amp;K$3&amp;$K$2-23):INDIRECT($A51&amp;"!"&amp;K$3&amp;$K$2-12))-1</f>
        <v>1.5158459926663204E-2</v>
      </c>
      <c r="L51" s="2">
        <f t="shared" ca="1" si="28"/>
        <v>2.7482181335985345E-2</v>
      </c>
      <c r="M51" s="2">
        <f t="shared" ca="1" si="29"/>
        <v>1.3333333333333197E-2</v>
      </c>
      <c r="N51" s="28">
        <f>VLOOKUP($A51,'BLS Data Series'!$C$5:$O$55,$N$3,FALSE)</f>
        <v>983.78</v>
      </c>
      <c r="O51" s="63">
        <f>VLOOKUP($A51,'BLS Data Series'!$C$5:$O$55,$O$3,FALSE)</f>
        <v>8.9212694978910712E-3</v>
      </c>
      <c r="P51" s="16" t="e">
        <f t="shared" ca="1" si="20"/>
        <v>#DIV/0!</v>
      </c>
      <c r="Q51" s="16">
        <f t="shared" si="30"/>
        <v>2.3384675800680599</v>
      </c>
      <c r="R51" s="16" t="e">
        <f t="shared" si="31"/>
        <v>#N/A</v>
      </c>
      <c r="S51" s="16" t="e">
        <f t="shared" si="32"/>
        <v>#N/A</v>
      </c>
      <c r="T51" s="16">
        <f t="shared" si="33"/>
        <v>0.20389793362554087</v>
      </c>
      <c r="U51" s="16">
        <f t="shared" si="34"/>
        <v>1.3017159199237405</v>
      </c>
      <c r="V51" s="16" t="e">
        <f t="shared" si="35"/>
        <v>#N/A</v>
      </c>
      <c r="W51" s="16" t="e">
        <f t="shared" si="36"/>
        <v>#N/A</v>
      </c>
      <c r="X51" s="16">
        <f t="shared" si="37"/>
        <v>2.3004940148204422</v>
      </c>
      <c r="Z51" s="3">
        <f t="shared" ca="1" si="38"/>
        <v>7</v>
      </c>
      <c r="AA51" s="3">
        <f t="shared" ca="1" si="38"/>
        <v>3009.5</v>
      </c>
      <c r="AB51" s="3">
        <f t="shared" ca="1" si="38"/>
        <v>542.5</v>
      </c>
      <c r="AD51">
        <f t="shared" ca="1" si="22"/>
        <v>0</v>
      </c>
    </row>
    <row r="52" spans="1:30" x14ac:dyDescent="0.25">
      <c r="A52" t="s">
        <v>513</v>
      </c>
      <c r="B52">
        <f t="shared" ca="1" si="13"/>
        <v>0</v>
      </c>
      <c r="C52">
        <f t="shared" ca="1" si="25"/>
        <v>145</v>
      </c>
      <c r="D52" s="2">
        <f t="shared" ca="1" si="24"/>
        <v>-1</v>
      </c>
      <c r="E52" s="2">
        <f t="shared" ca="1" si="16"/>
        <v>-1</v>
      </c>
      <c r="F52">
        <f t="shared" ca="1" si="17"/>
        <v>0</v>
      </c>
      <c r="G52" s="41">
        <f t="shared" ca="1" si="18"/>
        <v>-1.86</v>
      </c>
      <c r="H52" s="41">
        <f t="shared" ca="1" si="19"/>
        <v>-1.9</v>
      </c>
      <c r="I52" s="3">
        <f t="shared" ca="1" si="26"/>
        <v>5.2</v>
      </c>
      <c r="J52" s="16">
        <f t="shared" ca="1" si="27"/>
        <v>-1.0999999999999996</v>
      </c>
      <c r="K52" s="4">
        <f ca="1">+SUM(INDIRECT($A52&amp;"!"&amp;K$3&amp;$K$2-11):INDIRECT($A52&amp;"!"&amp;K$3&amp;$K$2))/SUM(INDIRECT($A52&amp;"!"&amp;K$3&amp;$K$2-23):INDIRECT($A52&amp;"!"&amp;K$3&amp;$K$2-12))-1</f>
        <v>-2.8139915936453708E-2</v>
      </c>
      <c r="L52" s="2">
        <f t="shared" ca="1" si="28"/>
        <v>1.8580192813321572E-2</v>
      </c>
      <c r="M52" s="2">
        <f t="shared" ca="1" si="29"/>
        <v>-2.1047708138447474E-3</v>
      </c>
      <c r="N52" s="28">
        <f>VLOOKUP($A52,'BLS Data Series'!$C$5:$O$55,$N$3,FALSE)</f>
        <v>786.48</v>
      </c>
      <c r="O52" s="63">
        <f>VLOOKUP($A52,'BLS Data Series'!$C$5:$O$55,$O$3,FALSE)</f>
        <v>-6.7756678452599584E-3</v>
      </c>
      <c r="P52" s="16" t="e">
        <f t="shared" ca="1" si="20"/>
        <v>#DIV/0!</v>
      </c>
      <c r="Q52" s="16">
        <f t="shared" si="30"/>
        <v>4.2343826747041735</v>
      </c>
      <c r="R52" s="16">
        <f t="shared" si="31"/>
        <v>-9.6126855600539791</v>
      </c>
      <c r="S52" s="16">
        <f t="shared" si="32"/>
        <v>-2.6226321036889377</v>
      </c>
      <c r="T52" s="16">
        <f t="shared" si="33"/>
        <v>-2.7227958271236918</v>
      </c>
      <c r="U52" s="16">
        <f t="shared" si="34"/>
        <v>4.8960493827160612</v>
      </c>
      <c r="V52" s="16">
        <f t="shared" si="35"/>
        <v>-6.0376175548589313</v>
      </c>
      <c r="W52" s="16">
        <f t="shared" si="36"/>
        <v>-5.980066445182719</v>
      </c>
      <c r="X52" s="16">
        <f t="shared" si="37"/>
        <v>-1.357675970873784</v>
      </c>
      <c r="Z52" s="3">
        <f t="shared" ca="1" si="38"/>
        <v>6.8</v>
      </c>
      <c r="AA52" s="3">
        <f t="shared" ca="1" si="38"/>
        <v>2900.3</v>
      </c>
      <c r="AB52" s="3">
        <f t="shared" ca="1" si="38"/>
        <v>428.8</v>
      </c>
      <c r="AD52">
        <f t="shared" ca="1" si="22"/>
        <v>0</v>
      </c>
    </row>
    <row r="53" spans="1:30" x14ac:dyDescent="0.25">
      <c r="A53" t="s">
        <v>512</v>
      </c>
      <c r="B53">
        <f t="shared" ca="1" si="13"/>
        <v>0</v>
      </c>
      <c r="C53">
        <f t="shared" ca="1" si="25"/>
        <v>149.69</v>
      </c>
      <c r="D53" s="2">
        <f t="shared" ca="1" si="24"/>
        <v>-1</v>
      </c>
      <c r="E53" s="2">
        <f t="shared" ca="1" si="16"/>
        <v>-1</v>
      </c>
      <c r="F53">
        <f t="shared" ca="1" si="17"/>
        <v>0</v>
      </c>
      <c r="G53" s="41">
        <f t="shared" ca="1" si="18"/>
        <v>0.51</v>
      </c>
      <c r="H53" s="41">
        <f t="shared" ca="1" si="19"/>
        <v>-2.1</v>
      </c>
      <c r="I53" s="3">
        <f t="shared" ca="1" si="26"/>
        <v>6</v>
      </c>
      <c r="J53" s="16">
        <f t="shared" ca="1" si="27"/>
        <v>0</v>
      </c>
      <c r="K53" s="4">
        <f ca="1">+SUM(INDIRECT($A53&amp;"!"&amp;K$3&amp;$K$2-11):INDIRECT($A53&amp;"!"&amp;K$3&amp;$K$2))/SUM(INDIRECT($A53&amp;"!"&amp;K$3&amp;$K$2-23):INDIRECT($A53&amp;"!"&amp;K$3&amp;$K$2-12))-1</f>
        <v>-0.18403074295473953</v>
      </c>
      <c r="L53" s="2">
        <f t="shared" ca="1" si="28"/>
        <v>1.0388261264770771E-2</v>
      </c>
      <c r="M53" s="2">
        <f t="shared" ca="1" si="29"/>
        <v>0</v>
      </c>
      <c r="N53" s="28">
        <f>VLOOKUP($A53,'BLS Data Series'!$C$5:$O$55,$N$3,FALSE)</f>
        <v>719.2</v>
      </c>
      <c r="O53" s="63">
        <f>VLOOKUP($A53,'BLS Data Series'!$C$5:$O$55,$O$3,FALSE)</f>
        <v>1.3704679268848663E-2</v>
      </c>
      <c r="P53" s="16" t="e">
        <f t="shared" ca="1" si="20"/>
        <v>#DIV/0!</v>
      </c>
      <c r="Q53" s="16">
        <f t="shared" si="30"/>
        <v>-0.93298804780876932</v>
      </c>
      <c r="R53" s="16">
        <f t="shared" si="31"/>
        <v>0.57495779403489156</v>
      </c>
      <c r="S53" s="16">
        <f t="shared" si="32"/>
        <v>-9.615384615384615</v>
      </c>
      <c r="T53" s="16">
        <f t="shared" si="33"/>
        <v>1.2107413569975911</v>
      </c>
      <c r="U53" s="16">
        <f t="shared" si="34"/>
        <v>4.8697452229299332</v>
      </c>
      <c r="V53" s="16">
        <f t="shared" si="35"/>
        <v>3.9077108433734908</v>
      </c>
      <c r="W53" s="16">
        <f t="shared" si="36"/>
        <v>-26.582278481012654</v>
      </c>
      <c r="X53" s="16">
        <f t="shared" si="37"/>
        <v>4.9214655810510655</v>
      </c>
      <c r="Z53" s="3">
        <f t="shared" ca="1" si="38"/>
        <v>6.5</v>
      </c>
      <c r="AA53" s="3">
        <f t="shared" ca="1" si="38"/>
        <v>768.6</v>
      </c>
      <c r="AB53" s="3">
        <f t="shared" ca="1" si="38"/>
        <v>147.69999999999999</v>
      </c>
      <c r="AD53">
        <f t="shared" ca="1" si="22"/>
        <v>0</v>
      </c>
    </row>
    <row r="54" spans="1:30" x14ac:dyDescent="0.25">
      <c r="A54" t="s">
        <v>514</v>
      </c>
      <c r="B54">
        <f t="shared" ca="1" si="13"/>
        <v>0</v>
      </c>
      <c r="C54">
        <f t="shared" ca="1" si="25"/>
        <v>153.32</v>
      </c>
      <c r="D54" s="2">
        <f t="shared" ca="1" si="24"/>
        <v>-1</v>
      </c>
      <c r="E54" s="2">
        <f t="shared" ca="1" si="16"/>
        <v>-1</v>
      </c>
      <c r="F54">
        <f t="shared" ca="1" si="17"/>
        <v>0</v>
      </c>
      <c r="G54" s="41">
        <f t="shared" ca="1" si="18"/>
        <v>0.46</v>
      </c>
      <c r="H54" s="41">
        <f t="shared" ca="1" si="19"/>
        <v>-0.78</v>
      </c>
      <c r="I54" s="3">
        <f t="shared" ca="1" si="26"/>
        <v>4.2</v>
      </c>
      <c r="J54" s="16">
        <f t="shared" ca="1" si="27"/>
        <v>-0.20000000000000018</v>
      </c>
      <c r="K54" s="4">
        <f ca="1">+SUM(INDIRECT($A54&amp;"!"&amp;K$3&amp;$K$2-11):INDIRECT($A54&amp;"!"&amp;K$3&amp;$K$2))/SUM(INDIRECT($A54&amp;"!"&amp;K$3&amp;$K$2-23):INDIRECT($A54&amp;"!"&amp;K$3&amp;$K$2-12))-1</f>
        <v>-0.2184793070259865</v>
      </c>
      <c r="L54" s="2">
        <f t="shared" ca="1" si="28"/>
        <v>1.4827586206896504E-2</v>
      </c>
      <c r="M54" s="2">
        <f t="shared" ca="1" si="29"/>
        <v>1.3736263736265908E-3</v>
      </c>
      <c r="N54" s="28">
        <f>VLOOKUP($A54,'BLS Data Series'!$C$5:$O$55,$N$3,FALSE)</f>
        <v>816.66</v>
      </c>
      <c r="O54" s="63">
        <f>VLOOKUP($A54,'BLS Data Series'!$C$5:$O$55,$O$3,FALSE)</f>
        <v>-1.8849525298083925E-2</v>
      </c>
      <c r="P54" s="16" t="e">
        <f t="shared" ca="1" si="20"/>
        <v>#DIV/0!</v>
      </c>
      <c r="Q54" s="16">
        <f t="shared" si="30"/>
        <v>11.082981715893103</v>
      </c>
      <c r="R54" s="16" t="e">
        <f t="shared" si="31"/>
        <v>#N/A</v>
      </c>
      <c r="S54" s="16" t="e">
        <f t="shared" si="32"/>
        <v>#N/A</v>
      </c>
      <c r="T54" s="16">
        <f t="shared" si="33"/>
        <v>6.459255856683499</v>
      </c>
      <c r="U54" s="16">
        <f t="shared" si="34"/>
        <v>12.400000000000011</v>
      </c>
      <c r="V54" s="16" t="e">
        <f t="shared" si="35"/>
        <v>#N/A</v>
      </c>
      <c r="W54" s="16" t="e">
        <f t="shared" si="36"/>
        <v>#N/A</v>
      </c>
      <c r="X54" s="16">
        <f t="shared" si="37"/>
        <v>19.646762589928059</v>
      </c>
      <c r="Z54" s="3">
        <f t="shared" ca="1" si="38"/>
        <v>4.5999999999999996</v>
      </c>
      <c r="AA54" s="3">
        <f t="shared" ca="1" si="38"/>
        <v>292.5</v>
      </c>
      <c r="AB54" s="3">
        <f t="shared" ca="1" si="38"/>
        <v>69</v>
      </c>
      <c r="AD54">
        <f t="shared" ca="1" si="22"/>
        <v>0</v>
      </c>
    </row>
    <row r="55" spans="1:30" x14ac:dyDescent="0.25">
      <c r="A55" t="s">
        <v>608</v>
      </c>
      <c r="B55">
        <f t="shared" ca="1" si="13"/>
        <v>0</v>
      </c>
      <c r="C55">
        <f t="shared" ca="1" si="25"/>
        <v>154.59</v>
      </c>
      <c r="D55" s="2">
        <f ca="1">+INDIRECT($A55&amp;"!"&amp;D$3&amp;$D$2)/INDIRECT($A55&amp;"!"&amp;D$3&amp;$D$2-3)-1</f>
        <v>-1</v>
      </c>
      <c r="E55" s="2">
        <f t="shared" ca="1" si="16"/>
        <v>-1</v>
      </c>
      <c r="F55">
        <f t="shared" ca="1" si="17"/>
        <v>0</v>
      </c>
      <c r="G55" s="41">
        <f t="shared" ca="1" si="18"/>
        <v>-1.91</v>
      </c>
      <c r="H55" s="41">
        <f t="shared" ca="1" si="19"/>
        <v>-1.36</v>
      </c>
      <c r="I55" s="3">
        <f t="shared" ca="1" si="26"/>
        <v>5.6</v>
      </c>
      <c r="J55" s="16">
        <f t="shared" ca="1" si="27"/>
        <v>-1.1000000000000005</v>
      </c>
      <c r="K55" s="4">
        <f ca="1">+SUM(INDIRECT($A55&amp;"!"&amp;K$3&amp;$K$2-11):INDIRECT($A55&amp;"!"&amp;K$3&amp;$K$2))/SUM(INDIRECT($A55&amp;"!"&amp;K$3&amp;$K$2-23):INDIRECT($A55&amp;"!"&amp;K$3&amp;$K$2-12))-1</f>
        <v>3.158744575638317E-2</v>
      </c>
      <c r="L55" s="2">
        <f t="shared" ca="1" si="28"/>
        <v>2.1602817695940413E-2</v>
      </c>
      <c r="M55" s="2">
        <f t="shared" ca="1" si="29"/>
        <v>4.3677953890490784E-3</v>
      </c>
      <c r="N55" s="28">
        <f>'BLS Data Series'!E56</f>
        <v>849.78</v>
      </c>
      <c r="O55" s="64">
        <f>'BLS Data Series'!I56</f>
        <v>2.2501837934174596E-4</v>
      </c>
      <c r="P55" s="16" t="e">
        <f>(#REF!/#REF!-1)*100</f>
        <v>#REF!</v>
      </c>
      <c r="Q55" s="16">
        <f>+Tax!$Y$53*100</f>
        <v>5.0551686705116561</v>
      </c>
      <c r="R55" s="16">
        <f>+Tax!$Y$99*100</f>
        <v>-1.6323766720036326</v>
      </c>
      <c r="S55" s="16">
        <f>+Tax!$Y$148*100</f>
        <v>2.3186101919258739</v>
      </c>
      <c r="T55" s="16">
        <f>+Tax!$Y$201*100</f>
        <v>1.6239252562738393</v>
      </c>
      <c r="U55" s="16">
        <f>+Tax!$X$53</f>
        <v>7.1282750597815525</v>
      </c>
      <c r="V55" s="16">
        <f>+Tax!$X$99</f>
        <v>4.0793779004875796</v>
      </c>
      <c r="W55" s="16">
        <f>+Tax!$X$148</f>
        <v>-1.1251917940558021</v>
      </c>
      <c r="X55" s="16">
        <f>+Tax!$X$201</f>
        <v>4.5091016693196151</v>
      </c>
      <c r="Z55" s="3">
        <f t="shared" ca="1" si="38"/>
        <v>7.5</v>
      </c>
      <c r="AA55" s="3">
        <f t="shared" ca="1" si="38"/>
        <v>139231</v>
      </c>
      <c r="AB55" s="3">
        <f ca="1">+INDIRECT($A55&amp;"!"&amp;AB$3&amp;AB$2)</f>
        <v>22738</v>
      </c>
    </row>
    <row r="57" spans="1:30" x14ac:dyDescent="0.25">
      <c r="J57" s="16"/>
      <c r="AD57">
        <f ca="1">SUM(AD4:AD54)</f>
        <v>1</v>
      </c>
    </row>
    <row r="59" spans="1:30" x14ac:dyDescent="0.25">
      <c r="A59" t="s">
        <v>608</v>
      </c>
      <c r="D59" s="3"/>
    </row>
    <row r="60" spans="1:30" x14ac:dyDescent="0.25">
      <c r="A60" t="s">
        <v>608</v>
      </c>
      <c r="D60" s="3"/>
    </row>
    <row r="61" spans="1:30" x14ac:dyDescent="0.25">
      <c r="D61" s="2"/>
    </row>
  </sheetData>
  <sortState ref="A3:V52">
    <sortCondition ref="A3:A5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S61"/>
  <sheetViews>
    <sheetView topLeftCell="A28" zoomScaleNormal="100" workbookViewId="0">
      <selection activeCell="C53" sqref="C53"/>
    </sheetView>
  </sheetViews>
  <sheetFormatPr defaultRowHeight="15.75" x14ac:dyDescent="0.25"/>
  <cols>
    <col min="1" max="1" width="17.5" bestFit="1" customWidth="1"/>
    <col min="2" max="2" width="13.375" style="68" customWidth="1"/>
    <col min="3" max="3" width="13.75" style="68" customWidth="1"/>
    <col min="4" max="4" width="13.5" customWidth="1"/>
    <col min="5" max="5" width="14.5" customWidth="1"/>
    <col min="6" max="6" width="11.5" customWidth="1"/>
    <col min="7" max="7" width="10.75" customWidth="1"/>
  </cols>
  <sheetData>
    <row r="1" spans="1:19" x14ac:dyDescent="0.25">
      <c r="A1" s="116" t="s">
        <v>971</v>
      </c>
      <c r="B1" s="117"/>
      <c r="C1" s="117"/>
      <c r="D1" s="117"/>
      <c r="E1" s="117"/>
      <c r="F1" s="117"/>
      <c r="G1" s="118"/>
    </row>
    <row r="2" spans="1:19" ht="86.25" x14ac:dyDescent="0.25">
      <c r="A2" s="30" t="s">
        <v>542</v>
      </c>
      <c r="B2" s="6" t="s">
        <v>543</v>
      </c>
      <c r="C2" s="67" t="s">
        <v>544</v>
      </c>
      <c r="D2" s="12" t="s">
        <v>545</v>
      </c>
      <c r="E2" s="12" t="s">
        <v>546</v>
      </c>
      <c r="F2" s="12" t="s">
        <v>547</v>
      </c>
      <c r="G2" s="13" t="s">
        <v>548</v>
      </c>
      <c r="I2" s="36" t="s">
        <v>703</v>
      </c>
      <c r="K2" s="36" t="s">
        <v>704</v>
      </c>
      <c r="M2" s="36" t="s">
        <v>760</v>
      </c>
      <c r="O2" s="36" t="s">
        <v>761</v>
      </c>
    </row>
    <row r="3" spans="1:19" x14ac:dyDescent="0.25">
      <c r="A3" s="20" t="s">
        <v>549</v>
      </c>
      <c r="B3" s="7">
        <f ca="1">VLOOKUP($H3,econmon!$A$4:$O$54,9,FALSE)</f>
        <v>5.7</v>
      </c>
      <c r="C3" s="7">
        <f ca="1">VLOOKUP($H3,econmon!$A$4:$O$54,10,FALSE)</f>
        <v>-0.39999999999999947</v>
      </c>
      <c r="D3" s="15">
        <f>VLOOKUP(H3,econmon!$A$4:$O$54,14,FALSE)</f>
        <v>738.05</v>
      </c>
      <c r="E3" s="8">
        <f>100*VLOOKUP(H3,econmon!$A$4:$O$54,15,FALSE)</f>
        <v>-1.3722066004963729</v>
      </c>
      <c r="F3" s="29">
        <f ca="1">100*VLOOKUP($H3, econmon!$A$4:$M$54,12, FALSE)</f>
        <v>1.6563362675139359</v>
      </c>
      <c r="G3" s="29">
        <f ca="1">100*VLOOKUP($H3, econmon!$A$4:$M$54, 13, FALSE)</f>
        <v>0.68801270177296647</v>
      </c>
      <c r="H3" t="s">
        <v>465</v>
      </c>
      <c r="I3" s="32">
        <f>RANK(D3,D$3:D$53)</f>
        <v>41</v>
      </c>
      <c r="J3">
        <f t="shared" ref="J3:L53" si="0">IF(I3&lt;13,1,IF(I3&lt;25,2,IF(I3&lt;37,3,4)))</f>
        <v>4</v>
      </c>
      <c r="K3" s="32">
        <f t="shared" ref="K3:K34" si="1">RANK(E3,E$3:E$53)</f>
        <v>35</v>
      </c>
      <c r="L3">
        <f t="shared" si="0"/>
        <v>3</v>
      </c>
      <c r="M3" s="32">
        <f t="shared" ref="M3:M18" ca="1" si="2">RANK(F3,F$3:F$53)</f>
        <v>25</v>
      </c>
      <c r="N3">
        <f t="shared" ref="N3:P3" ca="1" si="3">IF(M3&lt;13,1,IF(M3&lt;25,2,IF(M3&lt;37,3,4)))</f>
        <v>3</v>
      </c>
      <c r="O3" s="32">
        <f t="shared" ref="O3:O34" ca="1" si="4">RANK(G3,G$3:G$53)</f>
        <v>17</v>
      </c>
      <c r="P3">
        <f t="shared" ca="1" si="3"/>
        <v>2</v>
      </c>
    </row>
    <row r="4" spans="1:19" x14ac:dyDescent="0.25">
      <c r="A4" s="20" t="s">
        <v>550</v>
      </c>
      <c r="B4" s="7">
        <f ca="1">VLOOKUP($H4,econmon!$A$4:$O$54,9,FALSE)</f>
        <v>6.3</v>
      </c>
      <c r="C4" s="7">
        <f ca="1">VLOOKUP($H4,econmon!$A$4:$O$54,10,FALSE)</f>
        <v>-0.10000000000000053</v>
      </c>
      <c r="D4" s="15">
        <f>VLOOKUP(H4,econmon!$A$4:$O$54,14,FALSE)</f>
        <v>922.71</v>
      </c>
      <c r="E4" s="8">
        <f>100*VLOOKUP(H4,econmon!$A$4:$O$54,15,FALSE)</f>
        <v>-3.6505587152962482</v>
      </c>
      <c r="F4" s="29">
        <f ca="1">100*VLOOKUP($H4, econmon!$A$4:$M$54,12, FALSE)</f>
        <v>0.68578553615958882</v>
      </c>
      <c r="G4" s="29">
        <f ca="1">100*VLOOKUP($H4, econmon!$A$4:$M$54, 13, FALSE)</f>
        <v>-1.200480192076836</v>
      </c>
      <c r="H4" t="s">
        <v>466</v>
      </c>
      <c r="I4" s="32">
        <f t="shared" ref="I4:I53" si="5">RANK(D4,D$3:D$53)</f>
        <v>8</v>
      </c>
      <c r="J4">
        <f t="shared" si="0"/>
        <v>1</v>
      </c>
      <c r="K4" s="32">
        <f t="shared" si="1"/>
        <v>47</v>
      </c>
      <c r="L4">
        <f t="shared" si="0"/>
        <v>4</v>
      </c>
      <c r="M4" s="32">
        <f t="shared" ca="1" si="2"/>
        <v>50</v>
      </c>
      <c r="N4">
        <f t="shared" ref="N4:P4" ca="1" si="6">IF(M4&lt;13,1,IF(M4&lt;25,2,IF(M4&lt;37,3,4)))</f>
        <v>4</v>
      </c>
      <c r="O4" s="32">
        <f t="shared" ca="1" si="4"/>
        <v>50</v>
      </c>
      <c r="P4">
        <f t="shared" ca="1" si="6"/>
        <v>4</v>
      </c>
      <c r="Q4" t="str">
        <f>INDEX($A$3:$A$53,MATCH(MIN($D$3:$D$53),$D$3:$D$53,0))</f>
        <v>Arkansas</v>
      </c>
    </row>
    <row r="5" spans="1:19" x14ac:dyDescent="0.25">
      <c r="A5" s="20" t="s">
        <v>551</v>
      </c>
      <c r="B5" s="7">
        <f ca="1">VLOOKUP($H5,econmon!$A$4:$O$54,9,FALSE)</f>
        <v>6.7</v>
      </c>
      <c r="C5" s="7">
        <f ca="1">VLOOKUP($H5,econmon!$A$4:$O$54,10,FALSE)</f>
        <v>-0.89999999999999947</v>
      </c>
      <c r="D5" s="15">
        <f>VLOOKUP(H5,econmon!$A$4:$O$54,14,FALSE)</f>
        <v>780.75</v>
      </c>
      <c r="E5" s="8">
        <f>100*VLOOKUP(H5,econmon!$A$4:$O$54,15,FALSE)</f>
        <v>-5.4795593797115743</v>
      </c>
      <c r="F5" s="29">
        <f ca="1">100*VLOOKUP($H5, econmon!$A$4:$M$54,12, FALSE)</f>
        <v>2.4567259178762679</v>
      </c>
      <c r="G5" s="29">
        <f ca="1">100*VLOOKUP($H5, econmon!$A$4:$M$54, 13, FALSE)</f>
        <v>0.76299475441108378</v>
      </c>
      <c r="H5" t="s">
        <v>476</v>
      </c>
      <c r="I5" s="32">
        <f t="shared" si="5"/>
        <v>27</v>
      </c>
      <c r="J5">
        <f t="shared" si="0"/>
        <v>3</v>
      </c>
      <c r="K5" s="32">
        <f t="shared" si="1"/>
        <v>50</v>
      </c>
      <c r="L5">
        <f t="shared" si="0"/>
        <v>4</v>
      </c>
      <c r="M5" s="32">
        <f t="shared" ca="1" si="2"/>
        <v>11</v>
      </c>
      <c r="N5">
        <f t="shared" ref="N5:P5" ca="1" si="7">IF(M5&lt;13,1,IF(M5&lt;25,2,IF(M5&lt;37,3,4)))</f>
        <v>1</v>
      </c>
      <c r="O5" s="32">
        <f t="shared" ca="1" si="4"/>
        <v>16</v>
      </c>
      <c r="P5">
        <f t="shared" ca="1" si="7"/>
        <v>2</v>
      </c>
      <c r="Q5" t="str">
        <f>INDEX($A$3:$A$53,MATCH(MAX($D$3:$D$53),$D$3:$D$53,0))</f>
        <v>District of Columbia</v>
      </c>
    </row>
    <row r="6" spans="1:19" x14ac:dyDescent="0.25">
      <c r="A6" s="20" t="s">
        <v>552</v>
      </c>
      <c r="B6" s="7">
        <f ca="1">VLOOKUP($H6,econmon!$A$4:$O$54,9,FALSE)</f>
        <v>5.7</v>
      </c>
      <c r="C6" s="7">
        <f ca="1">VLOOKUP($H6,econmon!$A$4:$O$54,10,FALSE)</f>
        <v>-1.7000000000000002</v>
      </c>
      <c r="D6" s="15">
        <f>VLOOKUP(H6,econmon!$A$4:$O$54,14,FALSE)</f>
        <v>673.03</v>
      </c>
      <c r="E6" s="8">
        <f>100*VLOOKUP(H6,econmon!$A$4:$O$54,15,FALSE)</f>
        <v>-3.9172623435155041</v>
      </c>
      <c r="F6" s="29">
        <f ca="1">100*VLOOKUP($H6, econmon!$A$4:$M$54,12, FALSE)</f>
        <v>1.9031578947368288</v>
      </c>
      <c r="G6" s="29">
        <f ca="1">100*VLOOKUP($H6, econmon!$A$4:$M$54, 13, FALSE)</f>
        <v>0</v>
      </c>
      <c r="H6" t="s">
        <v>475</v>
      </c>
      <c r="I6" s="32">
        <f t="shared" si="5"/>
        <v>51</v>
      </c>
      <c r="J6">
        <f t="shared" si="0"/>
        <v>4</v>
      </c>
      <c r="K6" s="32">
        <f t="shared" si="1"/>
        <v>49</v>
      </c>
      <c r="L6">
        <f t="shared" si="0"/>
        <v>4</v>
      </c>
      <c r="M6" s="32">
        <f t="shared" ca="1" si="2"/>
        <v>19</v>
      </c>
      <c r="N6">
        <f t="shared" ref="N6:P6" ca="1" si="8">IF(M6&lt;13,1,IF(M6&lt;25,2,IF(M6&lt;37,3,4)))</f>
        <v>2</v>
      </c>
      <c r="O6" s="32">
        <f t="shared" ca="1" si="4"/>
        <v>33</v>
      </c>
      <c r="P6">
        <f t="shared" ca="1" si="8"/>
        <v>3</v>
      </c>
    </row>
    <row r="7" spans="1:19" x14ac:dyDescent="0.25">
      <c r="A7" s="20" t="s">
        <v>553</v>
      </c>
      <c r="B7" s="7">
        <f ca="1">VLOOKUP($H7,econmon!$A$4:$O$54,9,FALSE)</f>
        <v>7</v>
      </c>
      <c r="C7" s="7">
        <f ca="1">VLOOKUP($H7,econmon!$A$4:$O$54,10,FALSE)</f>
        <v>-1.3000000000000007</v>
      </c>
      <c r="D7" s="15">
        <f>VLOOKUP(H7,econmon!$A$4:$O$54,14,FALSE)</f>
        <v>954.23</v>
      </c>
      <c r="E7" s="8">
        <f>100*VLOOKUP(H7,econmon!$A$4:$O$54,15,FALSE)</f>
        <v>-1.8767988215761422</v>
      </c>
      <c r="F7" s="29">
        <f ca="1">100*VLOOKUP($H7, econmon!$A$4:$M$54,12, FALSE)</f>
        <v>2.0833333333333481</v>
      </c>
      <c r="G7" s="29">
        <f ca="1">100*VLOOKUP($H7, econmon!$A$4:$M$54, 13, FALSE)</f>
        <v>-0.15001875234403883</v>
      </c>
      <c r="H7" t="s">
        <v>467</v>
      </c>
      <c r="I7" s="32">
        <f t="shared" si="5"/>
        <v>6</v>
      </c>
      <c r="J7">
        <f t="shared" si="0"/>
        <v>1</v>
      </c>
      <c r="K7" s="32">
        <f t="shared" si="1"/>
        <v>38</v>
      </c>
      <c r="L7">
        <f t="shared" si="0"/>
        <v>4</v>
      </c>
      <c r="M7" s="32">
        <f t="shared" ca="1" si="2"/>
        <v>16</v>
      </c>
      <c r="N7">
        <f t="shared" ref="N7:P7" ca="1" si="9">IF(M7&lt;13,1,IF(M7&lt;25,2,IF(M7&lt;37,3,4)))</f>
        <v>2</v>
      </c>
      <c r="O7" s="32">
        <f t="shared" ca="1" si="4"/>
        <v>37</v>
      </c>
      <c r="P7">
        <f t="shared" ca="1" si="9"/>
        <v>4</v>
      </c>
    </row>
    <row r="8" spans="1:19" x14ac:dyDescent="0.25">
      <c r="A8" s="20" t="s">
        <v>554</v>
      </c>
      <c r="B8" s="7">
        <f ca="1">VLOOKUP($H8,econmon!$A$4:$O$54,9,FALSE)</f>
        <v>4</v>
      </c>
      <c r="C8" s="7">
        <f ca="1">VLOOKUP($H8,econmon!$A$4:$O$54,10,FALSE)</f>
        <v>-2.2000000000000002</v>
      </c>
      <c r="D8" s="15">
        <f>VLOOKUP(H8,econmon!$A$4:$O$54,14,FALSE)</f>
        <v>898.54</v>
      </c>
      <c r="E8" s="8">
        <f>100*VLOOKUP(H8,econmon!$A$4:$O$54,15,FALSE)</f>
        <v>-3.0996130557125467</v>
      </c>
      <c r="F8" s="29">
        <f ca="1">100*VLOOKUP($H8, econmon!$A$4:$M$54,12, FALSE)</f>
        <v>2.5922110035029977</v>
      </c>
      <c r="G8" s="29">
        <f ca="1">100*VLOOKUP($H8, econmon!$A$4:$M$54, 13, FALSE)</f>
        <v>1.5996122152205361</v>
      </c>
      <c r="H8" t="s">
        <v>477</v>
      </c>
      <c r="I8" s="32">
        <f t="shared" si="5"/>
        <v>10</v>
      </c>
      <c r="J8">
        <f t="shared" si="0"/>
        <v>1</v>
      </c>
      <c r="K8" s="32">
        <f t="shared" si="1"/>
        <v>45</v>
      </c>
      <c r="L8">
        <f t="shared" si="0"/>
        <v>4</v>
      </c>
      <c r="M8" s="32">
        <f t="shared" ca="1" si="2"/>
        <v>10</v>
      </c>
      <c r="N8">
        <f t="shared" ref="N8:P8" ca="1" si="10">IF(M8&lt;13,1,IF(M8&lt;25,2,IF(M8&lt;37,3,4)))</f>
        <v>1</v>
      </c>
      <c r="O8" s="32">
        <f t="shared" ca="1" si="4"/>
        <v>8</v>
      </c>
      <c r="P8">
        <f t="shared" ca="1" si="10"/>
        <v>1</v>
      </c>
    </row>
    <row r="9" spans="1:19" x14ac:dyDescent="0.25">
      <c r="A9" s="20" t="s">
        <v>555</v>
      </c>
      <c r="B9" s="7">
        <f ca="1">VLOOKUP($H9,econmon!$A$4:$O$54,9,FALSE)</f>
        <v>6.4</v>
      </c>
      <c r="C9" s="7">
        <f ca="1">VLOOKUP($H9,econmon!$A$4:$O$54,10,FALSE)</f>
        <v>-1</v>
      </c>
      <c r="D9" s="15">
        <f>VLOOKUP(H9,econmon!$A$4:$O$54,14,FALSE)</f>
        <v>960.6</v>
      </c>
      <c r="E9" s="8">
        <f>100*VLOOKUP(H9,econmon!$A$4:$O$54,15,FALSE)</f>
        <v>1.2293016977169557</v>
      </c>
      <c r="F9" s="29">
        <f ca="1">100*VLOOKUP($H9, econmon!$A$4:$M$54,12, FALSE)</f>
        <v>1.5822031881989052</v>
      </c>
      <c r="G9" s="29">
        <f ca="1">100*VLOOKUP($H9, econmon!$A$4:$M$54, 13, FALSE)</f>
        <v>0.41305245766212195</v>
      </c>
      <c r="H9" t="s">
        <v>468</v>
      </c>
      <c r="I9" s="32">
        <f t="shared" si="5"/>
        <v>4</v>
      </c>
      <c r="J9">
        <f t="shared" si="0"/>
        <v>1</v>
      </c>
      <c r="K9" s="32">
        <f t="shared" si="1"/>
        <v>8</v>
      </c>
      <c r="L9">
        <f t="shared" si="0"/>
        <v>1</v>
      </c>
      <c r="M9" s="32">
        <f t="shared" ca="1" si="2"/>
        <v>28</v>
      </c>
      <c r="N9">
        <f t="shared" ref="N9:P9" ca="1" si="11">IF(M9&lt;13,1,IF(M9&lt;25,2,IF(M9&lt;37,3,4)))</f>
        <v>3</v>
      </c>
      <c r="O9" s="32">
        <f t="shared" ca="1" si="4"/>
        <v>24</v>
      </c>
      <c r="P9">
        <f t="shared" ca="1" si="11"/>
        <v>2</v>
      </c>
    </row>
    <row r="10" spans="1:19" x14ac:dyDescent="0.25">
      <c r="A10" s="20" t="s">
        <v>556</v>
      </c>
      <c r="B10" s="7">
        <f ca="1">VLOOKUP($H10,econmon!$A$4:$O$54,9,FALSE)</f>
        <v>5.4</v>
      </c>
      <c r="C10" s="7">
        <f ca="1">VLOOKUP($H10,econmon!$A$4:$O$54,10,FALSE)</f>
        <v>-0.79999999999999982</v>
      </c>
      <c r="D10" s="15">
        <f>VLOOKUP(H10,econmon!$A$4:$O$54,14,FALSE)</f>
        <v>727.04</v>
      </c>
      <c r="E10" s="8">
        <f>100*VLOOKUP(H10,econmon!$A$4:$O$54,15,FALSE)</f>
        <v>0.73026957985498075</v>
      </c>
      <c r="F10" s="29">
        <f ca="1">100*VLOOKUP($H10, econmon!$A$4:$M$54,12, FALSE)</f>
        <v>2.6841018582243636</v>
      </c>
      <c r="G10" s="29">
        <f ca="1">100*VLOOKUP($H10, econmon!$A$4:$M$54, 13, FALSE)</f>
        <v>2.0000000000000018</v>
      </c>
      <c r="H10" t="s">
        <v>469</v>
      </c>
      <c r="I10" s="32">
        <f t="shared" si="5"/>
        <v>42</v>
      </c>
      <c r="J10">
        <f t="shared" si="0"/>
        <v>4</v>
      </c>
      <c r="K10" s="32">
        <f t="shared" si="1"/>
        <v>12</v>
      </c>
      <c r="L10">
        <f t="shared" si="0"/>
        <v>1</v>
      </c>
      <c r="M10" s="32">
        <f t="shared" ca="1" si="2"/>
        <v>8</v>
      </c>
      <c r="N10">
        <f t="shared" ref="N10:P10" ca="1" si="12">IF(M10&lt;13,1,IF(M10&lt;25,2,IF(M10&lt;37,3,4)))</f>
        <v>1</v>
      </c>
      <c r="O10" s="32">
        <f t="shared" ca="1" si="4"/>
        <v>6</v>
      </c>
      <c r="P10">
        <f t="shared" ca="1" si="12"/>
        <v>1</v>
      </c>
    </row>
    <row r="11" spans="1:19" x14ac:dyDescent="0.25">
      <c r="A11" s="20" t="s">
        <v>557</v>
      </c>
      <c r="B11" s="7">
        <f ca="1">VLOOKUP($H11,econmon!$A$4:$O$54,9,FALSE)</f>
        <v>7.3</v>
      </c>
      <c r="C11" s="7">
        <f ca="1">VLOOKUP($H11,econmon!$A$4:$O$54,10,FALSE)</f>
        <v>-0.29999999999999982</v>
      </c>
      <c r="D11" s="15">
        <f>VLOOKUP(H11,econmon!$A$4:$O$54,14,FALSE)</f>
        <v>1379.89</v>
      </c>
      <c r="E11" s="8">
        <f>100*VLOOKUP(H11,econmon!$A$4:$O$54,15,FALSE)</f>
        <v>-5.9117602093718418</v>
      </c>
      <c r="F11" s="29">
        <f ca="1">100*VLOOKUP($H11, econmon!$A$4:$M$54,12, FALSE)</f>
        <v>1.9503072401816812</v>
      </c>
      <c r="G11" s="29">
        <f ca="1">100*VLOOKUP($H11, econmon!$A$4:$M$54, 13, FALSE)</f>
        <v>0.67482075073808101</v>
      </c>
      <c r="H11" t="s">
        <v>600</v>
      </c>
      <c r="I11" s="32">
        <f t="shared" si="5"/>
        <v>1</v>
      </c>
      <c r="J11">
        <f t="shared" si="0"/>
        <v>1</v>
      </c>
      <c r="K11" s="32">
        <f t="shared" si="1"/>
        <v>51</v>
      </c>
      <c r="L11">
        <f t="shared" si="0"/>
        <v>4</v>
      </c>
      <c r="M11" s="32">
        <f t="shared" ca="1" si="2"/>
        <v>18</v>
      </c>
      <c r="N11">
        <f t="shared" ref="N11:P11" ca="1" si="13">IF(M11&lt;13,1,IF(M11&lt;25,2,IF(M11&lt;37,3,4)))</f>
        <v>2</v>
      </c>
      <c r="O11" s="32">
        <f t="shared" ca="1" si="4"/>
        <v>19</v>
      </c>
      <c r="P11">
        <f t="shared" ca="1" si="13"/>
        <v>2</v>
      </c>
      <c r="R11">
        <v>1</v>
      </c>
      <c r="S11" s="20" t="str">
        <f>INDEX($H$3:$H$53,MATCH(R11,K$3:K$53,0))</f>
        <v>KY</v>
      </c>
    </row>
    <row r="12" spans="1:19" x14ac:dyDescent="0.25">
      <c r="A12" s="20" t="s">
        <v>558</v>
      </c>
      <c r="B12" s="7">
        <f ca="1">VLOOKUP($H12,econmon!$A$4:$O$54,9,FALSE)</f>
        <v>5.6</v>
      </c>
      <c r="C12" s="7">
        <f ca="1">VLOOKUP($H12,econmon!$A$4:$O$54,10,FALSE)</f>
        <v>-0.70000000000000018</v>
      </c>
      <c r="D12" s="15">
        <f>VLOOKUP(H12,econmon!$A$4:$O$54,14,FALSE)</f>
        <v>762.45</v>
      </c>
      <c r="E12" s="8">
        <f>100*VLOOKUP(H12,econmon!$A$4:$O$54,15,FALSE)</f>
        <v>-1.5718548009988065</v>
      </c>
      <c r="F12" s="29">
        <f ca="1">100*VLOOKUP($H12, econmon!$A$4:$M$54,12, FALSE)</f>
        <v>2.9961244801524511</v>
      </c>
      <c r="G12" s="29">
        <f ca="1">100*VLOOKUP($H12, econmon!$A$4:$M$54, 13, FALSE)</f>
        <v>0.43919846280537911</v>
      </c>
      <c r="H12" t="s">
        <v>470</v>
      </c>
      <c r="I12" s="32">
        <f t="shared" si="5"/>
        <v>34</v>
      </c>
      <c r="J12">
        <f t="shared" si="0"/>
        <v>3</v>
      </c>
      <c r="K12" s="32">
        <f t="shared" si="1"/>
        <v>36</v>
      </c>
      <c r="L12">
        <f t="shared" si="0"/>
        <v>3</v>
      </c>
      <c r="M12" s="32">
        <f t="shared" ca="1" si="2"/>
        <v>4</v>
      </c>
      <c r="N12">
        <f t="shared" ref="N12:P12" ca="1" si="14">IF(M12&lt;13,1,IF(M12&lt;25,2,IF(M12&lt;37,3,4)))</f>
        <v>1</v>
      </c>
      <c r="O12" s="32">
        <f t="shared" ca="1" si="4"/>
        <v>23</v>
      </c>
      <c r="P12">
        <f t="shared" ca="1" si="14"/>
        <v>2</v>
      </c>
      <c r="R12">
        <v>2</v>
      </c>
      <c r="S12" s="20" t="str">
        <f t="shared" ref="S12:S26" si="15">INDEX($H$3:$H$53,MATCH(R12,K$3:K$53,0))</f>
        <v>TX</v>
      </c>
    </row>
    <row r="13" spans="1:19" x14ac:dyDescent="0.25">
      <c r="A13" s="20" t="s">
        <v>559</v>
      </c>
      <c r="B13" s="7">
        <f ca="1">VLOOKUP($H13,econmon!$A$4:$O$54,9,FALSE)</f>
        <v>6.9</v>
      </c>
      <c r="C13" s="7">
        <f ca="1">VLOOKUP($H13,econmon!$A$4:$O$54,10,FALSE)</f>
        <v>-0.5</v>
      </c>
      <c r="D13" s="15">
        <f>VLOOKUP(H13,econmon!$A$4:$O$54,14,FALSE)</f>
        <v>832.83</v>
      </c>
      <c r="E13" s="8">
        <f>100*VLOOKUP(H13,econmon!$A$4:$O$54,15,FALSE)</f>
        <v>0.97076831068663161</v>
      </c>
      <c r="F13" s="29">
        <f ca="1">100*VLOOKUP($H13, econmon!$A$4:$M$54,12, FALSE)</f>
        <v>2.6466415537400367</v>
      </c>
      <c r="G13" s="29">
        <f ca="1">100*VLOOKUP($H13, econmon!$A$4:$M$54, 13, FALSE)</f>
        <v>0.23467292461132327</v>
      </c>
      <c r="H13" t="s">
        <v>471</v>
      </c>
      <c r="I13" s="32">
        <f t="shared" si="5"/>
        <v>16</v>
      </c>
      <c r="J13">
        <f t="shared" si="0"/>
        <v>2</v>
      </c>
      <c r="K13" s="32">
        <f t="shared" si="1"/>
        <v>10</v>
      </c>
      <c r="L13">
        <f t="shared" si="0"/>
        <v>1</v>
      </c>
      <c r="M13" s="32">
        <f t="shared" ca="1" si="2"/>
        <v>9</v>
      </c>
      <c r="N13">
        <f t="shared" ref="N13:P13" ca="1" si="16">IF(M13&lt;13,1,IF(M13&lt;25,2,IF(M13&lt;37,3,4)))</f>
        <v>1</v>
      </c>
      <c r="O13" s="32">
        <f t="shared" ca="1" si="4"/>
        <v>27</v>
      </c>
      <c r="P13">
        <f t="shared" ca="1" si="16"/>
        <v>3</v>
      </c>
      <c r="R13">
        <v>3</v>
      </c>
      <c r="S13" s="20" t="str">
        <f t="shared" si="15"/>
        <v>ME</v>
      </c>
    </row>
    <row r="14" spans="1:19" x14ac:dyDescent="0.25">
      <c r="A14" s="20" t="s">
        <v>560</v>
      </c>
      <c r="B14" s="7">
        <f ca="1">VLOOKUP($H14,econmon!$A$4:$O$54,9,FALSE)</f>
        <v>4</v>
      </c>
      <c r="C14" s="7">
        <f ca="1">VLOOKUP($H14,econmon!$A$4:$O$54,10,FALSE)</f>
        <v>-0.70000000000000018</v>
      </c>
      <c r="D14" s="15">
        <f>VLOOKUP(H14,econmon!$A$4:$O$54,14,FALSE)</f>
        <v>810.03</v>
      </c>
      <c r="E14" s="8">
        <f>100*VLOOKUP(H14,econmon!$A$4:$O$54,15,FALSE)</f>
        <v>-0.304044384823976</v>
      </c>
      <c r="F14" s="29">
        <f ca="1">100*VLOOKUP($H14, econmon!$A$4:$M$54,12, FALSE)</f>
        <v>1.4873417721518845</v>
      </c>
      <c r="G14" s="29">
        <f ca="1">100*VLOOKUP($H14, econmon!$A$4:$M$54, 13, FALSE)</f>
        <v>2.244582043343657</v>
      </c>
      <c r="H14" t="s">
        <v>478</v>
      </c>
      <c r="I14" s="32">
        <f t="shared" si="5"/>
        <v>21</v>
      </c>
      <c r="J14">
        <f t="shared" si="0"/>
        <v>2</v>
      </c>
      <c r="K14" s="32">
        <f t="shared" si="1"/>
        <v>21</v>
      </c>
      <c r="L14">
        <f t="shared" si="0"/>
        <v>2</v>
      </c>
      <c r="M14" s="32">
        <f t="shared" ca="1" si="2"/>
        <v>30</v>
      </c>
      <c r="N14">
        <f t="shared" ref="N14:P14" ca="1" si="17">IF(M14&lt;13,1,IF(M14&lt;25,2,IF(M14&lt;37,3,4)))</f>
        <v>3</v>
      </c>
      <c r="O14" s="32">
        <f t="shared" ca="1" si="4"/>
        <v>3</v>
      </c>
      <c r="P14">
        <f t="shared" ca="1" si="17"/>
        <v>1</v>
      </c>
      <c r="R14">
        <v>4</v>
      </c>
      <c r="S14" s="20" t="str">
        <f t="shared" si="15"/>
        <v>NE</v>
      </c>
    </row>
    <row r="15" spans="1:19" x14ac:dyDescent="0.25">
      <c r="A15" s="20" t="s">
        <v>561</v>
      </c>
      <c r="B15" s="7">
        <f ca="1">VLOOKUP($H15,econmon!$A$4:$O$54,9,FALSE)</f>
        <v>3.7</v>
      </c>
      <c r="C15" s="7">
        <f ca="1">VLOOKUP($H15,econmon!$A$4:$O$54,10,FALSE)</f>
        <v>-1.8999999999999995</v>
      </c>
      <c r="D15" s="15">
        <f>VLOOKUP(H15,econmon!$A$4:$O$54,14,FALSE)</f>
        <v>724.61</v>
      </c>
      <c r="E15" s="8">
        <f>100*VLOOKUP(H15,econmon!$A$4:$O$54,15,FALSE)</f>
        <v>-0.38237351248503471</v>
      </c>
      <c r="F15" s="29">
        <f ca="1">100*VLOOKUP($H15, econmon!$A$4:$M$54,12, FALSE)</f>
        <v>1.4873962736809077</v>
      </c>
      <c r="G15" s="29">
        <f ca="1">100*VLOOKUP($H15, econmon!$A$4:$M$54, 13, FALSE)</f>
        <v>0.82918739635158278</v>
      </c>
      <c r="H15" t="s">
        <v>479</v>
      </c>
      <c r="I15" s="32">
        <f t="shared" si="5"/>
        <v>44</v>
      </c>
      <c r="J15">
        <f t="shared" si="0"/>
        <v>4</v>
      </c>
      <c r="K15" s="32">
        <f t="shared" si="1"/>
        <v>23</v>
      </c>
      <c r="L15">
        <f t="shared" si="0"/>
        <v>2</v>
      </c>
      <c r="M15" s="32">
        <f t="shared" ca="1" si="2"/>
        <v>29</v>
      </c>
      <c r="N15">
        <f t="shared" ref="N15:P15" ca="1" si="18">IF(M15&lt;13,1,IF(M15&lt;25,2,IF(M15&lt;37,3,4)))</f>
        <v>3</v>
      </c>
      <c r="O15" s="32">
        <f t="shared" ca="1" si="4"/>
        <v>15</v>
      </c>
      <c r="P15">
        <f t="shared" ca="1" si="18"/>
        <v>2</v>
      </c>
      <c r="R15">
        <v>5</v>
      </c>
      <c r="S15" s="20" t="str">
        <f t="shared" si="15"/>
        <v>NV</v>
      </c>
    </row>
    <row r="16" spans="1:19" x14ac:dyDescent="0.25">
      <c r="A16" s="20" t="s">
        <v>562</v>
      </c>
      <c r="B16" s="7">
        <f ca="1">VLOOKUP($H16,econmon!$A$4:$O$54,9,FALSE)</f>
        <v>6.2</v>
      </c>
      <c r="C16" s="7">
        <f ca="1">VLOOKUP($H16,econmon!$A$4:$O$54,10,FALSE)</f>
        <v>-2.7</v>
      </c>
      <c r="D16" s="15">
        <f>VLOOKUP(H16,econmon!$A$4:$O$54,14,FALSE)</f>
        <v>880.64</v>
      </c>
      <c r="E16" s="8">
        <f>100*VLOOKUP(H16,econmon!$A$4:$O$54,15,FALSE)</f>
        <v>-0.27064847931833613</v>
      </c>
      <c r="F16" s="29">
        <f ca="1">100*VLOOKUP($H16, econmon!$A$4:$M$54,12, FALSE)</f>
        <v>0.88865388551544466</v>
      </c>
      <c r="G16" s="29">
        <f ca="1">100*VLOOKUP($H16, econmon!$A$4:$M$54, 13, FALSE)</f>
        <v>-9.4764273868763738E-2</v>
      </c>
      <c r="H16" t="s">
        <v>480</v>
      </c>
      <c r="I16" s="32">
        <f t="shared" si="5"/>
        <v>14</v>
      </c>
      <c r="J16">
        <f t="shared" si="0"/>
        <v>2</v>
      </c>
      <c r="K16" s="32">
        <f t="shared" si="1"/>
        <v>20</v>
      </c>
      <c r="L16">
        <f t="shared" si="0"/>
        <v>2</v>
      </c>
      <c r="M16" s="32">
        <f t="shared" ca="1" si="2"/>
        <v>43</v>
      </c>
      <c r="N16">
        <f t="shared" ref="N16:P16" ca="1" si="19">IF(M16&lt;13,1,IF(M16&lt;25,2,IF(M16&lt;37,3,4)))</f>
        <v>4</v>
      </c>
      <c r="O16" s="32">
        <f t="shared" ca="1" si="4"/>
        <v>36</v>
      </c>
      <c r="P16">
        <f t="shared" ca="1" si="19"/>
        <v>3</v>
      </c>
      <c r="R16">
        <v>6</v>
      </c>
      <c r="S16" s="20" t="str">
        <f t="shared" si="15"/>
        <v>KS</v>
      </c>
    </row>
    <row r="17" spans="1:19" x14ac:dyDescent="0.25">
      <c r="A17" s="20" t="s">
        <v>563</v>
      </c>
      <c r="B17" s="7">
        <f ca="1">VLOOKUP($H17,econmon!$A$4:$O$54,9,FALSE)</f>
        <v>5.8</v>
      </c>
      <c r="C17" s="7">
        <f ca="1">VLOOKUP($H17,econmon!$A$4:$O$54,10,FALSE)</f>
        <v>-1</v>
      </c>
      <c r="D17" s="15">
        <f>VLOOKUP(H17,econmon!$A$4:$O$54,14,FALSE)</f>
        <v>803.58</v>
      </c>
      <c r="E17" s="8">
        <f>100*VLOOKUP(H17,econmon!$A$4:$O$54,15,FALSE)</f>
        <v>1.0960341673413643</v>
      </c>
      <c r="F17" s="29">
        <f ca="1">100*VLOOKUP($H17, econmon!$A$4:$M$54,12, FALSE)</f>
        <v>1.9593370462323012</v>
      </c>
      <c r="G17" s="29">
        <f ca="1">100*VLOOKUP($H17, econmon!$A$4:$M$54, 13, FALSE)</f>
        <v>1.6103059581320522</v>
      </c>
      <c r="H17" t="s">
        <v>481</v>
      </c>
      <c r="I17" s="32">
        <f t="shared" si="5"/>
        <v>24</v>
      </c>
      <c r="J17">
        <f t="shared" si="0"/>
        <v>2</v>
      </c>
      <c r="K17" s="32">
        <f t="shared" si="1"/>
        <v>9</v>
      </c>
      <c r="L17">
        <f t="shared" si="0"/>
        <v>1</v>
      </c>
      <c r="M17" s="32">
        <f t="shared" ca="1" si="2"/>
        <v>17</v>
      </c>
      <c r="N17">
        <f t="shared" ref="N17:P17" ca="1" si="20">IF(M17&lt;13,1,IF(M17&lt;25,2,IF(M17&lt;37,3,4)))</f>
        <v>2</v>
      </c>
      <c r="O17" s="32">
        <f t="shared" ca="1" si="4"/>
        <v>7</v>
      </c>
      <c r="P17">
        <f t="shared" ca="1" si="20"/>
        <v>1</v>
      </c>
      <c r="R17">
        <v>7</v>
      </c>
      <c r="S17" s="20" t="str">
        <f t="shared" si="15"/>
        <v>WV</v>
      </c>
    </row>
    <row r="18" spans="1:19" x14ac:dyDescent="0.25">
      <c r="A18" s="20" t="s">
        <v>564</v>
      </c>
      <c r="B18" s="7">
        <f ca="1">VLOOKUP($H18,econmon!$A$4:$O$54,9,FALSE)</f>
        <v>4.0999999999999996</v>
      </c>
      <c r="C18" s="7">
        <f ca="1">VLOOKUP($H18,econmon!$A$4:$O$54,10,FALSE)</f>
        <v>-0.10000000000000053</v>
      </c>
      <c r="D18" s="15">
        <f>VLOOKUP(H18,econmon!$A$4:$O$54,14,FALSE)</f>
        <v>768.85</v>
      </c>
      <c r="E18" s="8">
        <f>100*VLOOKUP(H18,econmon!$A$4:$O$54,15,FALSE)</f>
        <v>-1.2887598253941812</v>
      </c>
      <c r="F18" s="29">
        <f ca="1">100*VLOOKUP($H18, econmon!$A$4:$M$54,12, FALSE)</f>
        <v>1.0456335119086058</v>
      </c>
      <c r="G18" s="29">
        <f ca="1">100*VLOOKUP($H18, econmon!$A$4:$M$54, 13, FALSE)</f>
        <v>2.0144431774990368</v>
      </c>
      <c r="H18" t="s">
        <v>482</v>
      </c>
      <c r="I18" s="32">
        <f t="shared" si="5"/>
        <v>30</v>
      </c>
      <c r="J18">
        <f t="shared" si="0"/>
        <v>3</v>
      </c>
      <c r="K18" s="32">
        <f t="shared" si="1"/>
        <v>31</v>
      </c>
      <c r="L18">
        <f t="shared" si="0"/>
        <v>3</v>
      </c>
      <c r="M18" s="32">
        <f t="shared" ca="1" si="2"/>
        <v>39</v>
      </c>
      <c r="N18">
        <f t="shared" ref="N18:P18" ca="1" si="21">IF(M18&lt;13,1,IF(M18&lt;25,2,IF(M18&lt;37,3,4)))</f>
        <v>4</v>
      </c>
      <c r="O18" s="32">
        <f t="shared" ca="1" si="4"/>
        <v>5</v>
      </c>
      <c r="P18">
        <f t="shared" ca="1" si="21"/>
        <v>1</v>
      </c>
      <c r="R18">
        <v>8</v>
      </c>
      <c r="S18" s="20" t="str">
        <f t="shared" si="15"/>
        <v>CT</v>
      </c>
    </row>
    <row r="19" spans="1:19" x14ac:dyDescent="0.25">
      <c r="A19" s="20" t="s">
        <v>565</v>
      </c>
      <c r="B19" s="7">
        <f ca="1">VLOOKUP($H19,econmon!$A$4:$O$54,9,FALSE)</f>
        <v>4.2</v>
      </c>
      <c r="C19" s="7">
        <f ca="1">VLOOKUP($H19,econmon!$A$4:$O$54,10,FALSE)</f>
        <v>-0.70000000000000018</v>
      </c>
      <c r="D19" s="15">
        <f>VLOOKUP(H19,econmon!$A$4:$O$54,14,FALSE)</f>
        <v>772.8</v>
      </c>
      <c r="E19" s="8">
        <f>100*VLOOKUP(H19,econmon!$A$4:$O$54,15,FALSE)</f>
        <v>1.5675769261896066</v>
      </c>
      <c r="F19" s="29">
        <f ca="1">100*VLOOKUP($H19, econmon!$A$4:$M$54,12, FALSE)</f>
        <v>0.90517241379308722</v>
      </c>
      <c r="G19" s="29">
        <f ca="1">100*VLOOKUP($H19, econmon!$A$4:$M$54, 13, FALSE)</f>
        <v>-3.7907505686129994E-2</v>
      </c>
      <c r="H19" t="s">
        <v>483</v>
      </c>
      <c r="I19" s="32">
        <f t="shared" si="5"/>
        <v>28</v>
      </c>
      <c r="J19">
        <f t="shared" si="0"/>
        <v>3</v>
      </c>
      <c r="K19" s="32">
        <f t="shared" si="1"/>
        <v>6</v>
      </c>
      <c r="L19">
        <f t="shared" si="0"/>
        <v>1</v>
      </c>
      <c r="M19" s="32">
        <f t="shared" ref="M19:M34" ca="1" si="22">RANK(F19,F$3:F$53)</f>
        <v>42</v>
      </c>
      <c r="N19">
        <f t="shared" ref="N19:P19" ca="1" si="23">IF(M19&lt;13,1,IF(M19&lt;25,2,IF(M19&lt;37,3,4)))</f>
        <v>4</v>
      </c>
      <c r="O19" s="32">
        <f t="shared" ca="1" si="4"/>
        <v>35</v>
      </c>
      <c r="P19">
        <f t="shared" ca="1" si="23"/>
        <v>3</v>
      </c>
      <c r="R19">
        <v>9</v>
      </c>
      <c r="S19" s="20" t="str">
        <f t="shared" si="15"/>
        <v>IN</v>
      </c>
    </row>
    <row r="20" spans="1:19" x14ac:dyDescent="0.25">
      <c r="A20" s="20" t="s">
        <v>566</v>
      </c>
      <c r="B20" s="7">
        <f ca="1">VLOOKUP($H20,econmon!$A$4:$O$54,9,FALSE)</f>
        <v>5.7</v>
      </c>
      <c r="C20" s="7">
        <f ca="1">VLOOKUP($H20,econmon!$A$4:$O$54,10,FALSE)</f>
        <v>-2.2000000000000002</v>
      </c>
      <c r="D20" s="15">
        <f>VLOOKUP(H20,econmon!$A$4:$O$54,14,FALSE)</f>
        <v>740.89</v>
      </c>
      <c r="E20" s="8">
        <f>100*VLOOKUP(H20,econmon!$A$4:$O$54,15,FALSE)</f>
        <v>2.6649305368423359</v>
      </c>
      <c r="F20" s="29">
        <f ca="1">100*VLOOKUP($H20, econmon!$A$4:$M$54,12, FALSE)</f>
        <v>1.7671461666936228</v>
      </c>
      <c r="G20" s="29">
        <f ca="1">100*VLOOKUP($H20, econmon!$A$4:$M$54, 13, FALSE)</f>
        <v>0.43949604453559221</v>
      </c>
      <c r="H20" t="s">
        <v>484</v>
      </c>
      <c r="I20" s="32">
        <f t="shared" si="5"/>
        <v>38</v>
      </c>
      <c r="J20">
        <f t="shared" si="0"/>
        <v>4</v>
      </c>
      <c r="K20" s="32">
        <f t="shared" si="1"/>
        <v>1</v>
      </c>
      <c r="L20">
        <f t="shared" si="0"/>
        <v>1</v>
      </c>
      <c r="M20" s="32">
        <f t="shared" ca="1" si="22"/>
        <v>22</v>
      </c>
      <c r="N20">
        <f t="shared" ref="N20:P20" ca="1" si="24">IF(M20&lt;13,1,IF(M20&lt;25,2,IF(M20&lt;37,3,4)))</f>
        <v>2</v>
      </c>
      <c r="O20" s="32">
        <f t="shared" ca="1" si="4"/>
        <v>22</v>
      </c>
      <c r="P20">
        <f t="shared" ca="1" si="24"/>
        <v>2</v>
      </c>
      <c r="R20">
        <v>10</v>
      </c>
      <c r="S20" s="20" t="str">
        <f t="shared" si="15"/>
        <v>GA</v>
      </c>
    </row>
    <row r="21" spans="1:19" x14ac:dyDescent="0.25">
      <c r="A21" s="20" t="s">
        <v>567</v>
      </c>
      <c r="B21" s="7">
        <f ca="1">VLOOKUP($H21,econmon!$A$4:$O$54,9,FALSE)</f>
        <v>6.7</v>
      </c>
      <c r="C21" s="7">
        <f ca="1">VLOOKUP($H21,econmon!$A$4:$O$54,10,FALSE)</f>
        <v>1.2999999999999998</v>
      </c>
      <c r="D21" s="15">
        <f>VLOOKUP(H21,econmon!$A$4:$O$54,14,FALSE)</f>
        <v>804.83</v>
      </c>
      <c r="E21" s="8">
        <f>100*VLOOKUP(H21,econmon!$A$4:$O$54,15,FALSE)</f>
        <v>-0.46265066935234911</v>
      </c>
      <c r="F21" s="29">
        <f ca="1">100*VLOOKUP($H21, econmon!$A$4:$M$54,12, FALSE)</f>
        <v>1.4785558762468787</v>
      </c>
      <c r="G21" s="29">
        <f ca="1">100*VLOOKUP($H21, econmon!$A$4:$M$54, 13, FALSE)</f>
        <v>-1.6307513104251492</v>
      </c>
      <c r="H21" t="s">
        <v>485</v>
      </c>
      <c r="I21" s="32">
        <f t="shared" si="5"/>
        <v>23</v>
      </c>
      <c r="J21">
        <f t="shared" si="0"/>
        <v>2</v>
      </c>
      <c r="K21" s="32">
        <f t="shared" si="1"/>
        <v>25</v>
      </c>
      <c r="L21">
        <f t="shared" si="0"/>
        <v>3</v>
      </c>
      <c r="M21" s="32">
        <f t="shared" ca="1" si="22"/>
        <v>32</v>
      </c>
      <c r="N21">
        <f t="shared" ref="N21:P21" ca="1" si="25">IF(M21&lt;13,1,IF(M21&lt;25,2,IF(M21&lt;37,3,4)))</f>
        <v>3</v>
      </c>
      <c r="O21" s="32">
        <f t="shared" ca="1" si="4"/>
        <v>51</v>
      </c>
      <c r="P21">
        <f t="shared" ca="1" si="25"/>
        <v>4</v>
      </c>
    </row>
    <row r="22" spans="1:19" x14ac:dyDescent="0.25">
      <c r="A22" s="20" t="s">
        <v>568</v>
      </c>
      <c r="B22" s="7">
        <f ca="1">VLOOKUP($H22,econmon!$A$4:$O$54,9,FALSE)</f>
        <v>5.5</v>
      </c>
      <c r="C22" s="7">
        <f ca="1">VLOOKUP($H22,econmon!$A$4:$O$54,10,FALSE)</f>
        <v>-0.90000000000000036</v>
      </c>
      <c r="D22" s="15">
        <f>VLOOKUP(H22,econmon!$A$4:$O$54,14,FALSE)</f>
        <v>740.43</v>
      </c>
      <c r="E22" s="8">
        <f>100*VLOOKUP(H22,econmon!$A$4:$O$54,15,FALSE)</f>
        <v>2.1150214991726868</v>
      </c>
      <c r="F22" s="29">
        <f ca="1">100*VLOOKUP($H22, econmon!$A$4:$M$54,12, FALSE)</f>
        <v>0.87574355584929542</v>
      </c>
      <c r="G22" s="29">
        <f ca="1">100*VLOOKUP($H22, econmon!$A$4:$M$54, 13, FALSE)</f>
        <v>-0.38722168441431837</v>
      </c>
      <c r="H22" t="s">
        <v>486</v>
      </c>
      <c r="I22" s="32">
        <f t="shared" si="5"/>
        <v>40</v>
      </c>
      <c r="J22">
        <f t="shared" si="0"/>
        <v>4</v>
      </c>
      <c r="K22" s="32">
        <f t="shared" si="1"/>
        <v>3</v>
      </c>
      <c r="L22">
        <f t="shared" si="0"/>
        <v>1</v>
      </c>
      <c r="M22" s="32">
        <f t="shared" ca="1" si="22"/>
        <v>44</v>
      </c>
      <c r="N22">
        <f t="shared" ref="N22:P22" ca="1" si="26">IF(M22&lt;13,1,IF(M22&lt;25,2,IF(M22&lt;37,3,4)))</f>
        <v>4</v>
      </c>
      <c r="O22" s="32">
        <f t="shared" ca="1" si="4"/>
        <v>43</v>
      </c>
      <c r="P22">
        <f t="shared" ca="1" si="26"/>
        <v>4</v>
      </c>
      <c r="R22">
        <v>47</v>
      </c>
      <c r="S22" s="20" t="str">
        <f t="shared" si="15"/>
        <v>AK</v>
      </c>
    </row>
    <row r="23" spans="1:19" x14ac:dyDescent="0.25">
      <c r="A23" s="20" t="s">
        <v>569</v>
      </c>
      <c r="B23" s="7">
        <f ca="1">VLOOKUP($H23,econmon!$A$4:$O$54,9,FALSE)</f>
        <v>5.5</v>
      </c>
      <c r="C23" s="7">
        <f ca="1">VLOOKUP($H23,econmon!$A$4:$O$54,10,FALSE)</f>
        <v>-0.59999999999999964</v>
      </c>
      <c r="D23" s="15">
        <f>VLOOKUP(H23,econmon!$A$4:$O$54,14,FALSE)</f>
        <v>924.05</v>
      </c>
      <c r="E23" s="8">
        <f>100*VLOOKUP(H23,econmon!$A$4:$O$54,15,FALSE)</f>
        <v>-1.7723680330025249</v>
      </c>
      <c r="F23" s="29">
        <f ca="1">100*VLOOKUP($H23, econmon!$A$4:$M$54,12, FALSE)</f>
        <v>0.75902052025325073</v>
      </c>
      <c r="G23" s="29">
        <f ca="1">100*VLOOKUP($H23, econmon!$A$4:$M$54, 13, FALSE)</f>
        <v>-0.46884157061926057</v>
      </c>
      <c r="H23" t="s">
        <v>487</v>
      </c>
      <c r="I23" s="32">
        <f t="shared" si="5"/>
        <v>7</v>
      </c>
      <c r="J23">
        <f t="shared" si="0"/>
        <v>1</v>
      </c>
      <c r="K23" s="32">
        <f t="shared" si="1"/>
        <v>37</v>
      </c>
      <c r="L23">
        <f t="shared" si="0"/>
        <v>4</v>
      </c>
      <c r="M23" s="32">
        <f t="shared" ca="1" si="22"/>
        <v>47</v>
      </c>
      <c r="N23">
        <f t="shared" ref="N23:P23" ca="1" si="27">IF(M23&lt;13,1,IF(M23&lt;25,2,IF(M23&lt;37,3,4)))</f>
        <v>4</v>
      </c>
      <c r="O23" s="32">
        <f t="shared" ca="1" si="4"/>
        <v>45</v>
      </c>
      <c r="P23">
        <f t="shared" ca="1" si="27"/>
        <v>4</v>
      </c>
      <c r="R23">
        <v>48</v>
      </c>
      <c r="S23" s="20" t="str">
        <f t="shared" si="15"/>
        <v>RI</v>
      </c>
    </row>
    <row r="24" spans="1:19" x14ac:dyDescent="0.25">
      <c r="A24" s="20" t="s">
        <v>570</v>
      </c>
      <c r="B24" s="7">
        <f ca="1">VLOOKUP($H24,econmon!$A$4:$O$54,9,FALSE)</f>
        <v>5.5</v>
      </c>
      <c r="C24" s="7">
        <f ca="1">VLOOKUP($H24,econmon!$A$4:$O$54,10,FALSE)</f>
        <v>-1.5999999999999996</v>
      </c>
      <c r="D24" s="15">
        <f>VLOOKUP(H24,econmon!$A$4:$O$54,14,FALSE)</f>
        <v>999.98</v>
      </c>
      <c r="E24" s="8">
        <f>100*VLOOKUP(H24,econmon!$A$4:$O$54,15,FALSE)</f>
        <v>9.3996812612240355E-2</v>
      </c>
      <c r="F24" s="29">
        <f ca="1">100*VLOOKUP($H24, econmon!$A$4:$M$54,12, FALSE)</f>
        <v>1.8249786595237349</v>
      </c>
      <c r="G24" s="29">
        <f ca="1">100*VLOOKUP($H24, econmon!$A$4:$M$54, 13, FALSE)</f>
        <v>0.57636887608067955</v>
      </c>
      <c r="H24" t="s">
        <v>488</v>
      </c>
      <c r="I24" s="32">
        <f t="shared" si="5"/>
        <v>2</v>
      </c>
      <c r="J24">
        <f t="shared" si="0"/>
        <v>1</v>
      </c>
      <c r="K24" s="32">
        <f t="shared" si="1"/>
        <v>16</v>
      </c>
      <c r="L24">
        <f t="shared" si="0"/>
        <v>2</v>
      </c>
      <c r="M24" s="32">
        <f t="shared" ca="1" si="22"/>
        <v>21</v>
      </c>
      <c r="N24">
        <f t="shared" ref="N24:P24" ca="1" si="28">IF(M24&lt;13,1,IF(M24&lt;25,2,IF(M24&lt;37,3,4)))</f>
        <v>2</v>
      </c>
      <c r="O24" s="32">
        <f t="shared" ca="1" si="4"/>
        <v>21</v>
      </c>
      <c r="P24">
        <f t="shared" ca="1" si="28"/>
        <v>2</v>
      </c>
      <c r="R24">
        <v>49</v>
      </c>
      <c r="S24" s="20" t="str">
        <f t="shared" si="15"/>
        <v>AR</v>
      </c>
    </row>
    <row r="25" spans="1:19" x14ac:dyDescent="0.25">
      <c r="A25" s="20" t="s">
        <v>571</v>
      </c>
      <c r="B25" s="7">
        <f ca="1">VLOOKUP($H25,econmon!$A$4:$O$54,9,FALSE)</f>
        <v>6.3</v>
      </c>
      <c r="C25" s="7">
        <f ca="1">VLOOKUP($H25,econmon!$A$4:$O$54,10,FALSE)</f>
        <v>-2.0000000000000009</v>
      </c>
      <c r="D25" s="15">
        <f>VLOOKUP(H25,econmon!$A$4:$O$54,14,FALSE)</f>
        <v>815.71</v>
      </c>
      <c r="E25" s="8">
        <f>100*VLOOKUP(H25,econmon!$A$4:$O$54,15,FALSE)</f>
        <v>0.26199609628982934</v>
      </c>
      <c r="F25" s="29">
        <f ca="1">100*VLOOKUP($H25, econmon!$A$4:$M$54,12, FALSE)</f>
        <v>1.0544603431218658</v>
      </c>
      <c r="G25" s="29">
        <f ca="1">100*VLOOKUP($H25, econmon!$A$4:$M$54, 13, FALSE)</f>
        <v>-0.8464919420478445</v>
      </c>
      <c r="H25" t="s">
        <v>489</v>
      </c>
      <c r="I25" s="32">
        <f t="shared" si="5"/>
        <v>20</v>
      </c>
      <c r="J25">
        <f t="shared" si="0"/>
        <v>2</v>
      </c>
      <c r="K25" s="32">
        <f t="shared" si="1"/>
        <v>15</v>
      </c>
      <c r="L25">
        <f t="shared" si="0"/>
        <v>2</v>
      </c>
      <c r="M25" s="32">
        <f t="shared" ca="1" si="22"/>
        <v>38</v>
      </c>
      <c r="N25">
        <f t="shared" ref="N25:P25" ca="1" si="29">IF(M25&lt;13,1,IF(M25&lt;25,2,IF(M25&lt;37,3,4)))</f>
        <v>4</v>
      </c>
      <c r="O25" s="32">
        <f t="shared" ca="1" si="4"/>
        <v>49</v>
      </c>
      <c r="P25">
        <f t="shared" ca="1" si="29"/>
        <v>4</v>
      </c>
      <c r="R25">
        <v>50</v>
      </c>
      <c r="S25" s="20" t="str">
        <f t="shared" si="15"/>
        <v>AZ</v>
      </c>
    </row>
    <row r="26" spans="1:19" x14ac:dyDescent="0.25">
      <c r="A26" s="20" t="s">
        <v>572</v>
      </c>
      <c r="B26" s="7">
        <f ca="1">VLOOKUP($H26,econmon!$A$4:$O$54,9,FALSE)</f>
        <v>3.6</v>
      </c>
      <c r="C26" s="7">
        <f ca="1">VLOOKUP($H26,econmon!$A$4:$O$54,10,FALSE)</f>
        <v>-1.1000000000000001</v>
      </c>
      <c r="D26" s="15">
        <f>VLOOKUP(H26,econmon!$A$4:$O$54,14,FALSE)</f>
        <v>877.73</v>
      </c>
      <c r="E26" s="8">
        <f>100*VLOOKUP(H26,econmon!$A$4:$O$54,15,FALSE)</f>
        <v>-1.2268260014422716</v>
      </c>
      <c r="F26" s="29">
        <f ca="1">100*VLOOKUP($H26, econmon!$A$4:$M$54,12, FALSE)</f>
        <v>1.1853908586074491</v>
      </c>
      <c r="G26" s="29">
        <f ca="1">100*VLOOKUP($H26, econmon!$A$4:$M$54, 13, FALSE)</f>
        <v>2.3663038334120756E-2</v>
      </c>
      <c r="H26" t="s">
        <v>490</v>
      </c>
      <c r="I26" s="32">
        <f t="shared" si="5"/>
        <v>15</v>
      </c>
      <c r="J26">
        <f t="shared" si="0"/>
        <v>2</v>
      </c>
      <c r="K26" s="32">
        <f t="shared" si="1"/>
        <v>30</v>
      </c>
      <c r="L26">
        <f t="shared" si="0"/>
        <v>3</v>
      </c>
      <c r="M26" s="32">
        <f t="shared" ca="1" si="22"/>
        <v>34</v>
      </c>
      <c r="N26">
        <f t="shared" ref="N26:P26" ca="1" si="30">IF(M26&lt;13,1,IF(M26&lt;25,2,IF(M26&lt;37,3,4)))</f>
        <v>3</v>
      </c>
      <c r="O26" s="32">
        <f t="shared" ca="1" si="4"/>
        <v>31</v>
      </c>
      <c r="P26">
        <f t="shared" ca="1" si="30"/>
        <v>3</v>
      </c>
      <c r="R26">
        <v>51</v>
      </c>
      <c r="S26" s="20" t="str">
        <f t="shared" si="15"/>
        <v>DC</v>
      </c>
    </row>
    <row r="27" spans="1:19" x14ac:dyDescent="0.25">
      <c r="A27" s="20" t="s">
        <v>573</v>
      </c>
      <c r="B27" s="7">
        <f ca="1">VLOOKUP($H27,econmon!$A$4:$O$54,9,FALSE)</f>
        <v>7.2</v>
      </c>
      <c r="C27" s="7">
        <f ca="1">VLOOKUP($H27,econmon!$A$4:$O$54,10,FALSE)</f>
        <v>-0.59999999999999964</v>
      </c>
      <c r="D27" s="15">
        <f>VLOOKUP(H27,econmon!$A$4:$O$54,14,FALSE)</f>
        <v>692.37</v>
      </c>
      <c r="E27" s="8">
        <f>100*VLOOKUP(H27,econmon!$A$4:$O$54,15,FALSE)</f>
        <v>-3.5697515966857218</v>
      </c>
      <c r="F27" s="29">
        <f ca="1">100*VLOOKUP($H27, econmon!$A$4:$M$54,12, FALSE)</f>
        <v>8.8888888888805084E-3</v>
      </c>
      <c r="G27" s="29">
        <f ca="1">100*VLOOKUP($H27, econmon!$A$4:$M$54, 13, FALSE)</f>
        <v>0.28443722064201982</v>
      </c>
      <c r="H27" t="s">
        <v>491</v>
      </c>
      <c r="I27" s="32">
        <f t="shared" si="5"/>
        <v>50</v>
      </c>
      <c r="J27">
        <f t="shared" si="0"/>
        <v>4</v>
      </c>
      <c r="K27" s="32">
        <f t="shared" si="1"/>
        <v>46</v>
      </c>
      <c r="L27">
        <f t="shared" si="0"/>
        <v>4</v>
      </c>
      <c r="M27" s="32">
        <f t="shared" ca="1" si="22"/>
        <v>51</v>
      </c>
      <c r="N27">
        <f t="shared" ref="N27:P27" ca="1" si="31">IF(M27&lt;13,1,IF(M27&lt;25,2,IF(M27&lt;37,3,4)))</f>
        <v>4</v>
      </c>
      <c r="O27" s="32">
        <f t="shared" ca="1" si="4"/>
        <v>25</v>
      </c>
      <c r="P27">
        <f t="shared" ca="1" si="31"/>
        <v>3</v>
      </c>
    </row>
    <row r="28" spans="1:19" x14ac:dyDescent="0.25">
      <c r="A28" s="20" t="s">
        <v>574</v>
      </c>
      <c r="B28" s="7">
        <f ca="1">VLOOKUP($H28,econmon!$A$4:$O$54,9,FALSE)</f>
        <v>5.4</v>
      </c>
      <c r="C28" s="7">
        <f ca="1">VLOOKUP($H28,econmon!$A$4:$O$54,10,FALSE)</f>
        <v>-0.59999999999999964</v>
      </c>
      <c r="D28" s="15">
        <f>VLOOKUP(H28,econmon!$A$4:$O$54,14,FALSE)</f>
        <v>746.79</v>
      </c>
      <c r="E28" s="8">
        <f>100*VLOOKUP(H28,econmon!$A$4:$O$54,15,FALSE)</f>
        <v>-2.9890578145212565</v>
      </c>
      <c r="F28" s="29">
        <f ca="1">100*VLOOKUP($H28, econmon!$A$4:$M$54,12, FALSE)</f>
        <v>1.634601475480979</v>
      </c>
      <c r="G28" s="29">
        <f ca="1">100*VLOOKUP($H28, econmon!$A$4:$M$54, 13, FALSE)</f>
        <v>1.5095967220185358</v>
      </c>
      <c r="H28" t="s">
        <v>492</v>
      </c>
      <c r="I28" s="32">
        <f t="shared" si="5"/>
        <v>36</v>
      </c>
      <c r="J28">
        <f t="shared" si="0"/>
        <v>3</v>
      </c>
      <c r="K28" s="32">
        <f t="shared" si="1"/>
        <v>44</v>
      </c>
      <c r="L28">
        <f t="shared" si="0"/>
        <v>4</v>
      </c>
      <c r="M28" s="32">
        <f t="shared" ca="1" si="22"/>
        <v>26</v>
      </c>
      <c r="N28">
        <f t="shared" ref="N28:P28" ca="1" si="32">IF(M28&lt;13,1,IF(M28&lt;25,2,IF(M28&lt;37,3,4)))</f>
        <v>3</v>
      </c>
      <c r="O28" s="32">
        <f t="shared" ca="1" si="4"/>
        <v>10</v>
      </c>
      <c r="P28">
        <f t="shared" ca="1" si="32"/>
        <v>1</v>
      </c>
    </row>
    <row r="29" spans="1:19" x14ac:dyDescent="0.25">
      <c r="A29" s="20" t="s">
        <v>575</v>
      </c>
      <c r="B29" s="7">
        <f ca="1">VLOOKUP($H29,econmon!$A$4:$O$54,9,FALSE)</f>
        <v>4.2</v>
      </c>
      <c r="C29" s="7">
        <f ca="1">VLOOKUP($H29,econmon!$A$4:$O$54,10,FALSE)</f>
        <v>-1.2000000000000002</v>
      </c>
      <c r="D29" s="15">
        <f>VLOOKUP(H29,econmon!$A$4:$O$54,14,FALSE)</f>
        <v>698.1</v>
      </c>
      <c r="E29" s="8">
        <f>100*VLOOKUP(H29,econmon!$A$4:$O$54,15,FALSE)</f>
        <v>-1.3274984280267854</v>
      </c>
      <c r="F29" s="29">
        <f ca="1">100*VLOOKUP($H29, econmon!$A$4:$M$54,12, FALSE)</f>
        <v>1.626922219745941</v>
      </c>
      <c r="G29" s="29">
        <f ca="1">100*VLOOKUP($H29, econmon!$A$4:$M$54, 13, FALSE)</f>
        <v>-0.33149171270717703</v>
      </c>
      <c r="H29" t="s">
        <v>493</v>
      </c>
      <c r="I29" s="32">
        <f t="shared" si="5"/>
        <v>49</v>
      </c>
      <c r="J29">
        <f t="shared" si="0"/>
        <v>4</v>
      </c>
      <c r="K29" s="32">
        <f t="shared" si="1"/>
        <v>33</v>
      </c>
      <c r="L29">
        <f t="shared" si="0"/>
        <v>3</v>
      </c>
      <c r="M29" s="32">
        <f t="shared" ca="1" si="22"/>
        <v>27</v>
      </c>
      <c r="N29">
        <f t="shared" ref="N29:P29" ca="1" si="33">IF(M29&lt;13,1,IF(M29&lt;25,2,IF(M29&lt;37,3,4)))</f>
        <v>3</v>
      </c>
      <c r="O29" s="32">
        <f t="shared" ca="1" si="4"/>
        <v>42</v>
      </c>
      <c r="P29">
        <f t="shared" ca="1" si="33"/>
        <v>4</v>
      </c>
    </row>
    <row r="30" spans="1:19" x14ac:dyDescent="0.25">
      <c r="A30" s="20" t="s">
        <v>576</v>
      </c>
      <c r="B30" s="7">
        <f ca="1">VLOOKUP($H30,econmon!$A$4:$O$54,9,FALSE)</f>
        <v>2.9</v>
      </c>
      <c r="C30" s="7">
        <f ca="1">VLOOKUP($H30,econmon!$A$4:$O$54,10,FALSE)</f>
        <v>-0.70000000000000018</v>
      </c>
      <c r="D30" s="15">
        <f>VLOOKUP(H30,econmon!$A$4:$O$54,14,FALSE)</f>
        <v>740.72</v>
      </c>
      <c r="E30" s="8">
        <f>100*VLOOKUP(H30,econmon!$A$4:$O$54,15,FALSE)</f>
        <v>2.0784202585273137</v>
      </c>
      <c r="F30" s="29">
        <f ca="1">100*VLOOKUP($H30, econmon!$A$4:$M$54,12, FALSE)</f>
        <v>0.76088059247234607</v>
      </c>
      <c r="G30" s="29">
        <f ca="1">100*VLOOKUP($H30, econmon!$A$4:$M$54, 13, FALSE)</f>
        <v>0.6444053895723556</v>
      </c>
      <c r="H30" t="s">
        <v>494</v>
      </c>
      <c r="I30" s="32">
        <f t="shared" si="5"/>
        <v>39</v>
      </c>
      <c r="J30">
        <f t="shared" si="0"/>
        <v>4</v>
      </c>
      <c r="K30" s="32">
        <f t="shared" si="1"/>
        <v>4</v>
      </c>
      <c r="L30">
        <f t="shared" si="0"/>
        <v>1</v>
      </c>
      <c r="M30" s="32">
        <f t="shared" ca="1" si="22"/>
        <v>46</v>
      </c>
      <c r="N30">
        <f t="shared" ref="N30:P30" ca="1" si="34">IF(M30&lt;13,1,IF(M30&lt;25,2,IF(M30&lt;37,3,4)))</f>
        <v>4</v>
      </c>
      <c r="O30" s="32">
        <f t="shared" ca="1" si="4"/>
        <v>20</v>
      </c>
      <c r="P30">
        <f t="shared" ca="1" si="34"/>
        <v>2</v>
      </c>
    </row>
    <row r="31" spans="1:19" x14ac:dyDescent="0.25">
      <c r="A31" s="20" t="s">
        <v>577</v>
      </c>
      <c r="B31" s="7">
        <f ca="1">VLOOKUP($H31,econmon!$A$4:$O$54,9,FALSE)</f>
        <v>6.8</v>
      </c>
      <c r="C31" s="7">
        <f ca="1">VLOOKUP($H31,econmon!$A$4:$O$54,10,FALSE)</f>
        <v>-2.2000000000000002</v>
      </c>
      <c r="D31" s="15">
        <f>VLOOKUP(H31,econmon!$A$4:$O$54,14,FALSE)</f>
        <v>711.81</v>
      </c>
      <c r="E31" s="8">
        <f>100*VLOOKUP(H31,econmon!$A$4:$O$54,15,FALSE)</f>
        <v>1.8196752880567546</v>
      </c>
      <c r="F31" s="29">
        <f ca="1">100*VLOOKUP($H31, econmon!$A$4:$M$54,12, FALSE)</f>
        <v>2.3023855041143682</v>
      </c>
      <c r="G31" s="29">
        <f ca="1">100*VLOOKUP($H31, econmon!$A$4:$M$54, 13, FALSE)</f>
        <v>0.90791180285343387</v>
      </c>
      <c r="H31" t="s">
        <v>495</v>
      </c>
      <c r="I31" s="32">
        <f t="shared" si="5"/>
        <v>46</v>
      </c>
      <c r="J31">
        <f t="shared" si="0"/>
        <v>4</v>
      </c>
      <c r="K31" s="32">
        <f t="shared" si="1"/>
        <v>5</v>
      </c>
      <c r="L31">
        <f t="shared" si="0"/>
        <v>1</v>
      </c>
      <c r="M31" s="32">
        <f t="shared" ca="1" si="22"/>
        <v>14</v>
      </c>
      <c r="N31">
        <f t="shared" ref="N31:P31" ca="1" si="35">IF(M31&lt;13,1,IF(M31&lt;25,2,IF(M31&lt;37,3,4)))</f>
        <v>2</v>
      </c>
      <c r="O31" s="32">
        <f t="shared" ca="1" si="4"/>
        <v>14</v>
      </c>
      <c r="P31">
        <f t="shared" ca="1" si="35"/>
        <v>2</v>
      </c>
    </row>
    <row r="32" spans="1:19" x14ac:dyDescent="0.25">
      <c r="A32" s="20" t="s">
        <v>578</v>
      </c>
      <c r="B32" s="7">
        <f ca="1">VLOOKUP($H32,econmon!$A$4:$O$54,9,FALSE)</f>
        <v>4</v>
      </c>
      <c r="C32" s="7">
        <f ca="1">VLOOKUP($H32,econmon!$A$4:$O$54,10,FALSE)</f>
        <v>-1.2000000000000002</v>
      </c>
      <c r="D32" s="15">
        <f>VLOOKUP(H32,econmon!$A$4:$O$54,14,FALSE)</f>
        <v>807.76</v>
      </c>
      <c r="E32" s="8">
        <f>100*VLOOKUP(H32,econmon!$A$4:$O$54,15,FALSE)</f>
        <v>-2.521159302878262</v>
      </c>
      <c r="F32" s="29">
        <f ca="1">100*VLOOKUP($H32, econmon!$A$4:$M$54,12, FALSE)</f>
        <v>1.2956964368348034</v>
      </c>
      <c r="G32" s="29">
        <f ca="1">100*VLOOKUP($H32, econmon!$A$4:$M$54, 13, FALSE)</f>
        <v>-0.21299254526091493</v>
      </c>
      <c r="H32" t="s">
        <v>496</v>
      </c>
      <c r="I32" s="32">
        <f t="shared" si="5"/>
        <v>22</v>
      </c>
      <c r="J32">
        <f t="shared" si="0"/>
        <v>2</v>
      </c>
      <c r="K32" s="32">
        <f t="shared" si="1"/>
        <v>40</v>
      </c>
      <c r="L32">
        <f t="shared" si="0"/>
        <v>4</v>
      </c>
      <c r="M32" s="32">
        <f t="shared" ca="1" si="22"/>
        <v>33</v>
      </c>
      <c r="N32">
        <f t="shared" ref="N32:P32" ca="1" si="36">IF(M32&lt;13,1,IF(M32&lt;25,2,IF(M32&lt;37,3,4)))</f>
        <v>3</v>
      </c>
      <c r="O32" s="32">
        <f t="shared" ca="1" si="4"/>
        <v>41</v>
      </c>
      <c r="P32">
        <f t="shared" ca="1" si="36"/>
        <v>4</v>
      </c>
    </row>
    <row r="33" spans="1:16" x14ac:dyDescent="0.25">
      <c r="A33" s="20" t="s">
        <v>579</v>
      </c>
      <c r="B33" s="7">
        <f ca="1">VLOOKUP($H33,econmon!$A$4:$O$54,9,FALSE)</f>
        <v>6.2</v>
      </c>
      <c r="C33" s="7">
        <f ca="1">VLOOKUP($H33,econmon!$A$4:$O$54,10,FALSE)</f>
        <v>-1</v>
      </c>
      <c r="D33" s="15">
        <f>VLOOKUP(H33,econmon!$A$4:$O$54,14,FALSE)</f>
        <v>921.05</v>
      </c>
      <c r="E33" s="8">
        <f>100*VLOOKUP(H33,econmon!$A$4:$O$54,15,FALSE)</f>
        <v>0.72775919535104094</v>
      </c>
      <c r="F33" s="29">
        <f ca="1">100*VLOOKUP($H33, econmon!$A$4:$M$54,12, FALSE)</f>
        <v>0.72193053311793154</v>
      </c>
      <c r="G33" s="29">
        <f ca="1">100*VLOOKUP($H33, econmon!$A$4:$M$54, 13, FALSE)</f>
        <v>-0.15941335883946639</v>
      </c>
      <c r="H33" t="s">
        <v>497</v>
      </c>
      <c r="I33" s="32">
        <f t="shared" si="5"/>
        <v>9</v>
      </c>
      <c r="J33">
        <f t="shared" si="0"/>
        <v>1</v>
      </c>
      <c r="K33" s="32">
        <f t="shared" si="1"/>
        <v>13</v>
      </c>
      <c r="L33">
        <f t="shared" si="0"/>
        <v>2</v>
      </c>
      <c r="M33" s="32">
        <f t="shared" ca="1" si="22"/>
        <v>49</v>
      </c>
      <c r="N33">
        <f t="shared" ref="N33:P33" ca="1" si="37">IF(M33&lt;13,1,IF(M33&lt;25,2,IF(M33&lt;37,3,4)))</f>
        <v>4</v>
      </c>
      <c r="O33" s="32">
        <f t="shared" ca="1" si="4"/>
        <v>39</v>
      </c>
      <c r="P33">
        <f t="shared" ca="1" si="37"/>
        <v>4</v>
      </c>
    </row>
    <row r="34" spans="1:16" x14ac:dyDescent="0.25">
      <c r="A34" s="20" t="s">
        <v>580</v>
      </c>
      <c r="B34" s="7">
        <f ca="1">VLOOKUP($H34,econmon!$A$4:$O$54,9,FALSE)</f>
        <v>6.1</v>
      </c>
      <c r="C34" s="7">
        <f ca="1">VLOOKUP($H34,econmon!$A$4:$O$54,10,FALSE)</f>
        <v>-0.5</v>
      </c>
      <c r="D34" s="15">
        <f>VLOOKUP(H34,econmon!$A$4:$O$54,14,FALSE)</f>
        <v>707.88</v>
      </c>
      <c r="E34" s="8">
        <f>100*VLOOKUP(H34,econmon!$A$4:$O$54,15,FALSE)</f>
        <v>-2.698546916982314</v>
      </c>
      <c r="F34" s="29">
        <f ca="1">100*VLOOKUP($H34, econmon!$A$4:$M$54,12, FALSE)</f>
        <v>1.6564417177914015</v>
      </c>
      <c r="G34" s="29">
        <f ca="1">100*VLOOKUP($H34, econmon!$A$4:$M$54, 13, FALSE)</f>
        <v>-0.15408320493065508</v>
      </c>
      <c r="H34" t="s">
        <v>472</v>
      </c>
      <c r="I34" s="32">
        <f t="shared" si="5"/>
        <v>47</v>
      </c>
      <c r="J34">
        <f t="shared" si="0"/>
        <v>4</v>
      </c>
      <c r="K34" s="32">
        <f t="shared" si="1"/>
        <v>43</v>
      </c>
      <c r="L34">
        <f t="shared" si="0"/>
        <v>4</v>
      </c>
      <c r="M34" s="32">
        <f t="shared" ca="1" si="22"/>
        <v>24</v>
      </c>
      <c r="N34">
        <f t="shared" ref="N34:P34" ca="1" si="38">IF(M34&lt;13,1,IF(M34&lt;25,2,IF(M34&lt;37,3,4)))</f>
        <v>2</v>
      </c>
      <c r="O34" s="32">
        <f t="shared" ca="1" si="4"/>
        <v>38</v>
      </c>
      <c r="P34">
        <f t="shared" ca="1" si="38"/>
        <v>4</v>
      </c>
    </row>
    <row r="35" spans="1:16" x14ac:dyDescent="0.25">
      <c r="A35" s="20" t="s">
        <v>581</v>
      </c>
      <c r="B35" s="7">
        <f ca="1">VLOOKUP($H35,econmon!$A$4:$O$54,9,FALSE)</f>
        <v>5.8</v>
      </c>
      <c r="C35" s="7">
        <f ca="1">VLOOKUP($H35,econmon!$A$4:$O$54,10,FALSE)</f>
        <v>-1.2000000000000002</v>
      </c>
      <c r="D35" s="15">
        <f>VLOOKUP(H35,econmon!$A$4:$O$54,14,FALSE)</f>
        <v>955.06</v>
      </c>
      <c r="E35" s="8">
        <f>100*VLOOKUP(H35,econmon!$A$4:$O$54,15,FALSE)</f>
        <v>-0.5644485421179013</v>
      </c>
      <c r="F35" s="29">
        <f ca="1">100*VLOOKUP($H35, econmon!$A$4:$M$54,12, FALSE)</f>
        <v>1.163034946325725</v>
      </c>
      <c r="G35" s="29">
        <f ca="1">100*VLOOKUP($H35, econmon!$A$4:$M$54, 13, FALSE)</f>
        <v>-0.61362241767232151</v>
      </c>
      <c r="H35" t="s">
        <v>498</v>
      </c>
      <c r="I35" s="32">
        <f t="shared" si="5"/>
        <v>5</v>
      </c>
      <c r="J35">
        <f t="shared" si="0"/>
        <v>1</v>
      </c>
      <c r="K35" s="32">
        <f t="shared" ref="K35:K53" si="39">RANK(E35,E$3:E$53)</f>
        <v>26</v>
      </c>
      <c r="L35">
        <f t="shared" si="0"/>
        <v>3</v>
      </c>
      <c r="M35" s="32">
        <f t="shared" ref="M35:M50" ca="1" si="40">RANK(F35,F$3:F$53)</f>
        <v>35</v>
      </c>
      <c r="N35">
        <f t="shared" ref="N35:P35" ca="1" si="41">IF(M35&lt;13,1,IF(M35&lt;25,2,IF(M35&lt;37,3,4)))</f>
        <v>3</v>
      </c>
      <c r="O35" s="32">
        <f t="shared" ref="O35:O53" ca="1" si="42">RANK(G35,G$3:G$53)</f>
        <v>47</v>
      </c>
      <c r="P35">
        <f t="shared" ca="1" si="41"/>
        <v>4</v>
      </c>
    </row>
    <row r="36" spans="1:16" x14ac:dyDescent="0.25">
      <c r="A36" s="20" t="s">
        <v>582</v>
      </c>
      <c r="B36" s="7">
        <f ca="1">VLOOKUP($H36,econmon!$A$4:$O$54,9,FALSE)</f>
        <v>5.5</v>
      </c>
      <c r="C36" s="7">
        <f ca="1">VLOOKUP($H36,econmon!$A$4:$O$54,10,FALSE)</f>
        <v>-1.4000000000000004</v>
      </c>
      <c r="D36" s="15">
        <f>VLOOKUP(H36,econmon!$A$4:$O$54,14,FALSE)</f>
        <v>760.73</v>
      </c>
      <c r="E36" s="8">
        <f>100*VLOOKUP(H36,econmon!$A$4:$O$54,15,FALSE)</f>
        <v>-0.41963372524294051</v>
      </c>
      <c r="F36" s="29">
        <f ca="1">100*VLOOKUP($H36, econmon!$A$4:$M$54,12, FALSE)</f>
        <v>2.797168896645319</v>
      </c>
      <c r="G36" s="29">
        <f ca="1">100*VLOOKUP($H36, econmon!$A$4:$M$54, 13, FALSE)</f>
        <v>-0.72059823249489563</v>
      </c>
      <c r="H36" t="s">
        <v>474</v>
      </c>
      <c r="I36" s="32">
        <f t="shared" si="5"/>
        <v>35</v>
      </c>
      <c r="J36">
        <f t="shared" si="0"/>
        <v>3</v>
      </c>
      <c r="K36" s="32">
        <f t="shared" si="39"/>
        <v>24</v>
      </c>
      <c r="L36">
        <f t="shared" si="0"/>
        <v>2</v>
      </c>
      <c r="M36" s="32">
        <f t="shared" ca="1" si="40"/>
        <v>6</v>
      </c>
      <c r="N36">
        <f t="shared" ref="N36:P36" ca="1" si="43">IF(M36&lt;13,1,IF(M36&lt;25,2,IF(M36&lt;37,3,4)))</f>
        <v>1</v>
      </c>
      <c r="O36" s="32">
        <f t="shared" ca="1" si="42"/>
        <v>48</v>
      </c>
      <c r="P36">
        <f t="shared" ca="1" si="43"/>
        <v>4</v>
      </c>
    </row>
    <row r="37" spans="1:16" x14ac:dyDescent="0.25">
      <c r="A37" s="20" t="s">
        <v>583</v>
      </c>
      <c r="B37" s="7">
        <f ca="1">VLOOKUP($H37,econmon!$A$4:$O$54,9,FALSE)</f>
        <v>2.8</v>
      </c>
      <c r="C37" s="7">
        <f ca="1">VLOOKUP($H37,econmon!$A$4:$O$54,10,FALSE)</f>
        <v>9.9999999999999645E-2</v>
      </c>
      <c r="D37" s="15">
        <f>VLOOKUP(H37,econmon!$A$4:$O$54,14,FALSE)</f>
        <v>891.07</v>
      </c>
      <c r="E37" s="8">
        <f>100*VLOOKUP(H37,econmon!$A$4:$O$54,15,FALSE)</f>
        <v>0.69794783807495264</v>
      </c>
      <c r="F37" s="29">
        <f ca="1">100*VLOOKUP($H37, econmon!$A$4:$M$54,12, FALSE)</f>
        <v>5.3964757709251021</v>
      </c>
      <c r="G37" s="29">
        <f ca="1">100*VLOOKUP($H37, econmon!$A$4:$M$54, 13, FALSE)</f>
        <v>0.24067388688326918</v>
      </c>
      <c r="H37" t="s">
        <v>473</v>
      </c>
      <c r="I37" s="32">
        <f t="shared" si="5"/>
        <v>12</v>
      </c>
      <c r="J37">
        <f t="shared" si="0"/>
        <v>1</v>
      </c>
      <c r="K37" s="32">
        <f t="shared" si="39"/>
        <v>14</v>
      </c>
      <c r="L37">
        <f t="shared" si="0"/>
        <v>2</v>
      </c>
      <c r="M37" s="32">
        <f t="shared" ca="1" si="40"/>
        <v>1</v>
      </c>
      <c r="N37">
        <f t="shared" ref="N37:P37" ca="1" si="44">IF(M37&lt;13,1,IF(M37&lt;25,2,IF(M37&lt;37,3,4)))</f>
        <v>1</v>
      </c>
      <c r="O37" s="32">
        <f t="shared" ca="1" si="42"/>
        <v>26</v>
      </c>
      <c r="P37">
        <f t="shared" ca="1" si="44"/>
        <v>3</v>
      </c>
    </row>
    <row r="38" spans="1:16" x14ac:dyDescent="0.25">
      <c r="A38" s="20" t="s">
        <v>584</v>
      </c>
      <c r="B38" s="7">
        <f ca="1">VLOOKUP($H38,econmon!$A$4:$O$54,9,FALSE)</f>
        <v>4.8</v>
      </c>
      <c r="C38" s="7">
        <f ca="1">VLOOKUP($H38,econmon!$A$4:$O$54,10,FALSE)</f>
        <v>-2.2999999999999998</v>
      </c>
      <c r="D38" s="15">
        <f>VLOOKUP(H38,econmon!$A$4:$O$54,14,FALSE)</f>
        <v>765.4</v>
      </c>
      <c r="E38" s="8">
        <f>100*VLOOKUP(H38,econmon!$A$4:$O$54,15,FALSE)</f>
        <v>-1.3488553700264139</v>
      </c>
      <c r="F38" s="29">
        <f ca="1">100*VLOOKUP($H38, econmon!$A$4:$M$54,12, FALSE)</f>
        <v>1.1393696621570637</v>
      </c>
      <c r="G38" s="29">
        <f ca="1">100*VLOOKUP($H38, econmon!$A$4:$M$54, 13, FALSE)</f>
        <v>1.3027618551331166E-2</v>
      </c>
      <c r="H38" t="s">
        <v>499</v>
      </c>
      <c r="I38" s="32">
        <f t="shared" si="5"/>
        <v>31</v>
      </c>
      <c r="J38">
        <f t="shared" si="0"/>
        <v>3</v>
      </c>
      <c r="K38" s="32">
        <f t="shared" si="39"/>
        <v>34</v>
      </c>
      <c r="L38">
        <f t="shared" si="0"/>
        <v>3</v>
      </c>
      <c r="M38" s="32">
        <f t="shared" ca="1" si="40"/>
        <v>37</v>
      </c>
      <c r="N38">
        <f t="shared" ref="N38:P38" ca="1" si="45">IF(M38&lt;13,1,IF(M38&lt;25,2,IF(M38&lt;37,3,4)))</f>
        <v>4</v>
      </c>
      <c r="O38" s="32">
        <f t="shared" ca="1" si="42"/>
        <v>32</v>
      </c>
      <c r="P38">
        <f t="shared" ca="1" si="45"/>
        <v>3</v>
      </c>
    </row>
    <row r="39" spans="1:16" x14ac:dyDescent="0.25">
      <c r="A39" s="20" t="s">
        <v>585</v>
      </c>
      <c r="B39" s="7">
        <f ca="1">VLOOKUP($H39,econmon!$A$4:$O$54,9,FALSE)</f>
        <v>4.2</v>
      </c>
      <c r="C39" s="7">
        <f ca="1">VLOOKUP($H39,econmon!$A$4:$O$54,10,FALSE)</f>
        <v>-1.2000000000000002</v>
      </c>
      <c r="D39" s="15">
        <f>VLOOKUP(H39,econmon!$A$4:$O$54,14,FALSE)</f>
        <v>764.54</v>
      </c>
      <c r="E39" s="8">
        <f>100*VLOOKUP(H39,econmon!$A$4:$O$54,15,FALSE)</f>
        <v>-6.5885538781484954E-2</v>
      </c>
      <c r="F39" s="29">
        <f ca="1">100*VLOOKUP($H39, econmon!$A$4:$M$54,12, FALSE)</f>
        <v>2.2231619645985523</v>
      </c>
      <c r="G39" s="29">
        <f ca="1">100*VLOOKUP($H39, econmon!$A$4:$M$54, 13, FALSE)</f>
        <v>0.67681895093061328</v>
      </c>
      <c r="H39" t="s">
        <v>500</v>
      </c>
      <c r="I39" s="32">
        <f t="shared" si="5"/>
        <v>32</v>
      </c>
      <c r="J39">
        <f t="shared" si="0"/>
        <v>3</v>
      </c>
      <c r="K39" s="32">
        <f t="shared" si="39"/>
        <v>17</v>
      </c>
      <c r="L39">
        <f t="shared" si="0"/>
        <v>2</v>
      </c>
      <c r="M39" s="32">
        <f t="shared" ca="1" si="40"/>
        <v>15</v>
      </c>
      <c r="N39">
        <f t="shared" ref="N39:P39" ca="1" si="46">IF(M39&lt;13,1,IF(M39&lt;25,2,IF(M39&lt;37,3,4)))</f>
        <v>2</v>
      </c>
      <c r="O39" s="32">
        <f t="shared" ca="1" si="42"/>
        <v>18</v>
      </c>
      <c r="P39">
        <f t="shared" ca="1" si="46"/>
        <v>2</v>
      </c>
    </row>
    <row r="40" spans="1:16" x14ac:dyDescent="0.25">
      <c r="A40" s="20" t="s">
        <v>586</v>
      </c>
      <c r="B40" s="7">
        <f ca="1">VLOOKUP($H40,econmon!$A$4:$O$54,9,FALSE)</f>
        <v>6.7</v>
      </c>
      <c r="C40" s="7">
        <f ca="1">VLOOKUP($H40,econmon!$A$4:$O$54,10,FALSE)</f>
        <v>-0.39999999999999947</v>
      </c>
      <c r="D40" s="15">
        <f>VLOOKUP(H40,econmon!$A$4:$O$54,14,FALSE)</f>
        <v>771.89</v>
      </c>
      <c r="E40" s="8">
        <f>100*VLOOKUP(H40,econmon!$A$4:$O$54,15,FALSE)</f>
        <v>-2.6340781477459552</v>
      </c>
      <c r="F40" s="29">
        <f ca="1">100*VLOOKUP($H40, econmon!$A$4:$M$54,12, FALSE)</f>
        <v>2.9855123467652067</v>
      </c>
      <c r="G40" s="29">
        <f ca="1">100*VLOOKUP($H40, econmon!$A$4:$M$54, 13, FALSE)</f>
        <v>2.5969645868465285</v>
      </c>
      <c r="H40" t="s">
        <v>501</v>
      </c>
      <c r="I40" s="32">
        <f t="shared" si="5"/>
        <v>29</v>
      </c>
      <c r="J40">
        <f t="shared" si="0"/>
        <v>3</v>
      </c>
      <c r="K40" s="32">
        <f t="shared" si="39"/>
        <v>42</v>
      </c>
      <c r="L40">
        <f t="shared" si="0"/>
        <v>4</v>
      </c>
      <c r="M40" s="32">
        <f t="shared" ca="1" si="40"/>
        <v>5</v>
      </c>
      <c r="N40">
        <f t="shared" ref="N40:P40" ca="1" si="47">IF(M40&lt;13,1,IF(M40&lt;25,2,IF(M40&lt;37,3,4)))</f>
        <v>1</v>
      </c>
      <c r="O40" s="32">
        <f t="shared" ca="1" si="42"/>
        <v>2</v>
      </c>
      <c r="P40">
        <f t="shared" ca="1" si="47"/>
        <v>1</v>
      </c>
    </row>
    <row r="41" spans="1:16" x14ac:dyDescent="0.25">
      <c r="A41" s="20" t="s">
        <v>587</v>
      </c>
      <c r="B41" s="7">
        <f ca="1">VLOOKUP($H41,econmon!$A$4:$O$54,9,FALSE)</f>
        <v>4.8</v>
      </c>
      <c r="C41" s="7">
        <f ca="1">VLOOKUP($H41,econmon!$A$4:$O$54,10,FALSE)</f>
        <v>-2</v>
      </c>
      <c r="D41" s="15">
        <f>VLOOKUP(H41,econmon!$A$4:$O$54,14,FALSE)</f>
        <v>801.74</v>
      </c>
      <c r="E41" s="8">
        <f>100*VLOOKUP(H41,econmon!$A$4:$O$54,15,FALSE)</f>
        <v>-0.20187017758982462</v>
      </c>
      <c r="F41" s="29">
        <f ca="1">100*VLOOKUP($H41, econmon!$A$4:$M$54,12, FALSE)</f>
        <v>0.94534915815622789</v>
      </c>
      <c r="G41" s="29">
        <f ca="1">100*VLOOKUP($H41, econmon!$A$4:$M$54, 13, FALSE)</f>
        <v>-0.44873538210496999</v>
      </c>
      <c r="H41" t="s">
        <v>502</v>
      </c>
      <c r="I41" s="32">
        <f t="shared" si="5"/>
        <v>25</v>
      </c>
      <c r="J41">
        <f t="shared" si="0"/>
        <v>3</v>
      </c>
      <c r="K41" s="32">
        <f t="shared" si="39"/>
        <v>19</v>
      </c>
      <c r="L41">
        <f t="shared" si="0"/>
        <v>2</v>
      </c>
      <c r="M41" s="32">
        <f t="shared" ca="1" si="40"/>
        <v>41</v>
      </c>
      <c r="N41">
        <f t="shared" ref="N41:P41" ca="1" si="48">IF(M41&lt;13,1,IF(M41&lt;25,2,IF(M41&lt;37,3,4)))</f>
        <v>4</v>
      </c>
      <c r="O41" s="32">
        <f t="shared" ca="1" si="42"/>
        <v>44</v>
      </c>
      <c r="P41">
        <f t="shared" ca="1" si="48"/>
        <v>4</v>
      </c>
    </row>
    <row r="42" spans="1:16" x14ac:dyDescent="0.25">
      <c r="A42" s="20" t="s">
        <v>588</v>
      </c>
      <c r="B42" s="7">
        <f ca="1">VLOOKUP($H42,econmon!$A$4:$O$54,9,FALSE)</f>
        <v>6.8</v>
      </c>
      <c r="C42" s="7">
        <f ca="1">VLOOKUP($H42,econmon!$A$4:$O$54,10,FALSE)</f>
        <v>-2.5000000000000009</v>
      </c>
      <c r="D42" s="15">
        <f>VLOOKUP(H42,econmon!$A$4:$O$54,14,FALSE)</f>
        <v>819.89</v>
      </c>
      <c r="E42" s="8">
        <f>100*VLOOKUP(H42,econmon!$A$4:$O$54,15,FALSE)</f>
        <v>-3.7604631559029489</v>
      </c>
      <c r="F42" s="29">
        <f ca="1">100*VLOOKUP($H42, econmon!$A$4:$M$54,12, FALSE)</f>
        <v>1.6701902748414321</v>
      </c>
      <c r="G42" s="29">
        <f ca="1">100*VLOOKUP($H42, econmon!$A$4:$M$54, 13, FALSE)</f>
        <v>-0.49099836333879043</v>
      </c>
      <c r="H42" t="s">
        <v>503</v>
      </c>
      <c r="I42" s="32">
        <f t="shared" si="5"/>
        <v>18</v>
      </c>
      <c r="J42">
        <f t="shared" si="0"/>
        <v>2</v>
      </c>
      <c r="K42" s="32">
        <f t="shared" si="39"/>
        <v>48</v>
      </c>
      <c r="L42">
        <f t="shared" si="0"/>
        <v>4</v>
      </c>
      <c r="M42" s="32">
        <f t="shared" ca="1" si="40"/>
        <v>23</v>
      </c>
      <c r="N42">
        <f t="shared" ref="N42:P42" ca="1" si="49">IF(M42&lt;13,1,IF(M42&lt;25,2,IF(M42&lt;37,3,4)))</f>
        <v>2</v>
      </c>
      <c r="O42" s="32">
        <f t="shared" ca="1" si="42"/>
        <v>46</v>
      </c>
      <c r="P42">
        <f t="shared" ca="1" si="49"/>
        <v>4</v>
      </c>
    </row>
    <row r="43" spans="1:16" x14ac:dyDescent="0.25">
      <c r="A43" s="20" t="s">
        <v>589</v>
      </c>
      <c r="B43" s="7">
        <f ca="1">VLOOKUP($H43,econmon!$A$4:$O$54,9,FALSE)</f>
        <v>6.5</v>
      </c>
      <c r="C43" s="7">
        <f ca="1">VLOOKUP($H43,econmon!$A$4:$O$54,10,FALSE)</f>
        <v>-9.9999999999999645E-2</v>
      </c>
      <c r="D43" s="15">
        <f>VLOOKUP(H43,econmon!$A$4:$O$54,14,FALSE)</f>
        <v>742.98</v>
      </c>
      <c r="E43" s="8">
        <f>100*VLOOKUP(H43,econmon!$A$4:$O$54,15,FALSE)</f>
        <v>-0.19738428434742383</v>
      </c>
      <c r="F43" s="29">
        <f ca="1">100*VLOOKUP($H43, econmon!$A$4:$M$54,12, FALSE)</f>
        <v>2.4126455906821942</v>
      </c>
      <c r="G43" s="29">
        <f ca="1">100*VLOOKUP($H43, econmon!$A$4:$M$54, 13, FALSE)</f>
        <v>0.97493036211699913</v>
      </c>
      <c r="H43" t="s">
        <v>504</v>
      </c>
      <c r="I43" s="32">
        <f t="shared" si="5"/>
        <v>37</v>
      </c>
      <c r="J43">
        <f t="shared" si="0"/>
        <v>4</v>
      </c>
      <c r="K43" s="32">
        <f t="shared" si="39"/>
        <v>18</v>
      </c>
      <c r="L43">
        <f t="shared" si="0"/>
        <v>2</v>
      </c>
      <c r="M43" s="32">
        <f t="shared" ca="1" si="40"/>
        <v>12</v>
      </c>
      <c r="N43">
        <f t="shared" ref="N43:P43" ca="1" si="50">IF(M43&lt;13,1,IF(M43&lt;25,2,IF(M43&lt;37,3,4)))</f>
        <v>1</v>
      </c>
      <c r="O43" s="32">
        <f t="shared" ca="1" si="42"/>
        <v>13</v>
      </c>
      <c r="P43">
        <f t="shared" ca="1" si="50"/>
        <v>2</v>
      </c>
    </row>
    <row r="44" spans="1:16" x14ac:dyDescent="0.25">
      <c r="A44" s="20" t="s">
        <v>590</v>
      </c>
      <c r="B44" s="7">
        <f ca="1">VLOOKUP($H44,econmon!$A$4:$O$54,9,FALSE)</f>
        <v>3.3</v>
      </c>
      <c r="C44" s="7">
        <f ca="1">VLOOKUP($H44,econmon!$A$4:$O$54,10,FALSE)</f>
        <v>-0.30000000000000027</v>
      </c>
      <c r="D44" s="15">
        <f>VLOOKUP(H44,econmon!$A$4:$O$54,14,FALSE)</f>
        <v>698.36</v>
      </c>
      <c r="E44" s="8">
        <f>100*VLOOKUP(H44,econmon!$A$4:$O$54,15,FALSE)</f>
        <v>-0.61276768763560696</v>
      </c>
      <c r="F44" s="29">
        <f ca="1">100*VLOOKUP($H44, econmon!$A$4:$M$54,12, FALSE)</f>
        <v>0.79269757386499773</v>
      </c>
      <c r="G44" s="29">
        <f ca="1">100*VLOOKUP($H44, econmon!$A$4:$M$54, 13, FALSE)</f>
        <v>1.2787723785166349</v>
      </c>
      <c r="H44" t="s">
        <v>505</v>
      </c>
      <c r="I44" s="32">
        <f t="shared" si="5"/>
        <v>48</v>
      </c>
      <c r="J44">
        <f t="shared" si="0"/>
        <v>4</v>
      </c>
      <c r="K44" s="32">
        <f t="shared" si="39"/>
        <v>27</v>
      </c>
      <c r="L44">
        <f t="shared" si="0"/>
        <v>3</v>
      </c>
      <c r="M44" s="32">
        <f t="shared" ca="1" si="40"/>
        <v>45</v>
      </c>
      <c r="N44">
        <f t="shared" ref="N44:P44" ca="1" si="51">IF(M44&lt;13,1,IF(M44&lt;25,2,IF(M44&lt;37,3,4)))</f>
        <v>4</v>
      </c>
      <c r="O44" s="32">
        <f t="shared" ca="1" si="42"/>
        <v>12</v>
      </c>
      <c r="P44">
        <f t="shared" ca="1" si="51"/>
        <v>1</v>
      </c>
    </row>
    <row r="45" spans="1:16" x14ac:dyDescent="0.25">
      <c r="A45" s="20" t="s">
        <v>591</v>
      </c>
      <c r="B45" s="7">
        <f ca="1">VLOOKUP($H45,econmon!$A$4:$O$54,9,FALSE)</f>
        <v>6.6</v>
      </c>
      <c r="C45" s="7">
        <f ca="1">VLOOKUP($H45,econmon!$A$4:$O$54,10,FALSE)</f>
        <v>-1.1000000000000005</v>
      </c>
      <c r="D45" s="15">
        <f>VLOOKUP(H45,econmon!$A$4:$O$54,14,FALSE)</f>
        <v>725.06</v>
      </c>
      <c r="E45" s="8">
        <f>100*VLOOKUP(H45,econmon!$A$4:$O$54,15,FALSE)</f>
        <v>-2.5742046436048382</v>
      </c>
      <c r="F45" s="29">
        <f ca="1">100*VLOOKUP($H45, econmon!$A$4:$M$54,12, FALSE)</f>
        <v>2.4051175755843035</v>
      </c>
      <c r="G45" s="29">
        <f ca="1">100*VLOOKUP($H45, econmon!$A$4:$M$54, 13, FALSE)</f>
        <v>0.16420361247946325</v>
      </c>
      <c r="H45" t="s">
        <v>506</v>
      </c>
      <c r="I45" s="32">
        <f t="shared" si="5"/>
        <v>43</v>
      </c>
      <c r="J45">
        <f t="shared" si="0"/>
        <v>4</v>
      </c>
      <c r="K45" s="32">
        <f t="shared" si="39"/>
        <v>41</v>
      </c>
      <c r="L45">
        <f t="shared" si="0"/>
        <v>4</v>
      </c>
      <c r="M45" s="32">
        <f t="shared" ca="1" si="40"/>
        <v>13</v>
      </c>
      <c r="N45">
        <f t="shared" ref="N45:P45" ca="1" si="52">IF(M45&lt;13,1,IF(M45&lt;25,2,IF(M45&lt;37,3,4)))</f>
        <v>2</v>
      </c>
      <c r="O45" s="32">
        <f t="shared" ca="1" si="42"/>
        <v>28</v>
      </c>
      <c r="P45">
        <f t="shared" ca="1" si="52"/>
        <v>3</v>
      </c>
    </row>
    <row r="46" spans="1:16" x14ac:dyDescent="0.25">
      <c r="A46" s="20" t="s">
        <v>592</v>
      </c>
      <c r="B46" s="7">
        <f ca="1">VLOOKUP($H46,econmon!$A$4:$O$54,9,FALSE)</f>
        <v>4.5999999999999996</v>
      </c>
      <c r="C46" s="7">
        <f ca="1">VLOOKUP($H46,econmon!$A$4:$O$54,10,FALSE)</f>
        <v>-1.4000000000000004</v>
      </c>
      <c r="D46" s="15">
        <f>VLOOKUP(H46,econmon!$A$4:$O$54,14,FALSE)</f>
        <v>883.52</v>
      </c>
      <c r="E46" s="8">
        <f>100*VLOOKUP(H46,econmon!$A$4:$O$54,15,FALSE)</f>
        <v>2.5358294318116537</v>
      </c>
      <c r="F46" s="29">
        <f ca="1">100*VLOOKUP($H46, econmon!$A$4:$M$54,12, FALSE)</f>
        <v>4.0440853604988058</v>
      </c>
      <c r="G46" s="29">
        <f ca="1">100*VLOOKUP($H46, econmon!$A$4:$M$54, 13, FALSE)</f>
        <v>2.0617998809459248</v>
      </c>
      <c r="H46" t="s">
        <v>507</v>
      </c>
      <c r="I46" s="32">
        <f t="shared" si="5"/>
        <v>13</v>
      </c>
      <c r="J46">
        <f t="shared" si="0"/>
        <v>2</v>
      </c>
      <c r="K46" s="32">
        <f t="shared" si="39"/>
        <v>2</v>
      </c>
      <c r="L46">
        <f t="shared" si="0"/>
        <v>1</v>
      </c>
      <c r="M46" s="32">
        <f t="shared" ca="1" si="40"/>
        <v>2</v>
      </c>
      <c r="N46">
        <f t="shared" ref="N46:P46" ca="1" si="53">IF(M46&lt;13,1,IF(M46&lt;25,2,IF(M46&lt;37,3,4)))</f>
        <v>1</v>
      </c>
      <c r="O46" s="32">
        <f t="shared" ca="1" si="42"/>
        <v>4</v>
      </c>
      <c r="P46">
        <f t="shared" ca="1" si="53"/>
        <v>1</v>
      </c>
    </row>
    <row r="47" spans="1:16" x14ac:dyDescent="0.25">
      <c r="A47" s="20" t="s">
        <v>593</v>
      </c>
      <c r="B47" s="7">
        <f ca="1">VLOOKUP($H47,econmon!$A$4:$O$54,9,FALSE)</f>
        <v>3.5</v>
      </c>
      <c r="C47" s="7">
        <f ca="1">VLOOKUP($H47,econmon!$A$4:$O$54,10,FALSE)</f>
        <v>-0.5</v>
      </c>
      <c r="D47" s="15">
        <f>VLOOKUP(H47,econmon!$A$4:$O$54,14,FALSE)</f>
        <v>830.27</v>
      </c>
      <c r="E47" s="8">
        <f>100*VLOOKUP(H47,econmon!$A$4:$O$54,15,FALSE)</f>
        <v>-0.32583534585157725</v>
      </c>
      <c r="F47" s="29">
        <f ca="1">100*VLOOKUP($H47, econmon!$A$4:$M$54,12, FALSE)</f>
        <v>3.852583586626146</v>
      </c>
      <c r="G47" s="29">
        <f ca="1">100*VLOOKUP($H47, econmon!$A$4:$M$54, 13, FALSE)</f>
        <v>2.907986111111116</v>
      </c>
      <c r="H47" t="s">
        <v>508</v>
      </c>
      <c r="I47" s="32">
        <f t="shared" si="5"/>
        <v>17</v>
      </c>
      <c r="J47">
        <f t="shared" si="0"/>
        <v>2</v>
      </c>
      <c r="K47" s="32">
        <f t="shared" si="39"/>
        <v>22</v>
      </c>
      <c r="L47">
        <f t="shared" si="0"/>
        <v>2</v>
      </c>
      <c r="M47" s="32">
        <f t="shared" ca="1" si="40"/>
        <v>3</v>
      </c>
      <c r="N47">
        <f t="shared" ref="N47:P47" ca="1" si="54">IF(M47&lt;13,1,IF(M47&lt;25,2,IF(M47&lt;37,3,4)))</f>
        <v>1</v>
      </c>
      <c r="O47" s="32">
        <f t="shared" ca="1" si="42"/>
        <v>1</v>
      </c>
      <c r="P47">
        <f t="shared" ca="1" si="54"/>
        <v>1</v>
      </c>
    </row>
    <row r="48" spans="1:16" x14ac:dyDescent="0.25">
      <c r="A48" s="20" t="s">
        <v>594</v>
      </c>
      <c r="B48" s="7">
        <f ca="1">VLOOKUP($H48,econmon!$A$4:$O$54,9,FALSE)</f>
        <v>4.2</v>
      </c>
      <c r="C48" s="7">
        <f ca="1">VLOOKUP($H48,econmon!$A$4:$O$54,10,FALSE)</f>
        <v>0</v>
      </c>
      <c r="D48" s="15">
        <f>VLOOKUP(H48,econmon!$A$4:$O$54,14,FALSE)</f>
        <v>763.55</v>
      </c>
      <c r="E48" s="8">
        <f>100*VLOOKUP(H48,econmon!$A$4:$O$54,15,FALSE)</f>
        <v>-1.2950447852379199</v>
      </c>
      <c r="F48" s="29">
        <f ca="1">100*VLOOKUP($H48, econmon!$A$4:$M$54,12, FALSE)</f>
        <v>1.1464968152866239</v>
      </c>
      <c r="G48" s="29">
        <f ca="1">100*VLOOKUP($H48, econmon!$A$4:$M$54, 13, FALSE)</f>
        <v>1.5817223198594021</v>
      </c>
      <c r="H48" t="s">
        <v>509</v>
      </c>
      <c r="I48" s="32">
        <f t="shared" si="5"/>
        <v>33</v>
      </c>
      <c r="J48">
        <f t="shared" si="0"/>
        <v>3</v>
      </c>
      <c r="K48" s="32">
        <f t="shared" si="39"/>
        <v>32</v>
      </c>
      <c r="L48">
        <f t="shared" si="0"/>
        <v>3</v>
      </c>
      <c r="M48" s="32">
        <f t="shared" ca="1" si="40"/>
        <v>36</v>
      </c>
      <c r="N48">
        <f t="shared" ref="N48:P48" ca="1" si="55">IF(M48&lt;13,1,IF(M48&lt;25,2,IF(M48&lt;37,3,4)))</f>
        <v>3</v>
      </c>
      <c r="O48" s="32">
        <f t="shared" ca="1" si="42"/>
        <v>9</v>
      </c>
      <c r="P48">
        <f t="shared" ca="1" si="55"/>
        <v>1</v>
      </c>
    </row>
    <row r="49" spans="1:16" x14ac:dyDescent="0.25">
      <c r="A49" s="20" t="s">
        <v>595</v>
      </c>
      <c r="B49" s="7">
        <f ca="1">VLOOKUP($H49,econmon!$A$4:$O$54,9,FALSE)</f>
        <v>4.8</v>
      </c>
      <c r="C49" s="7">
        <f ca="1">VLOOKUP($H49,econmon!$A$4:$O$54,10,FALSE)</f>
        <v>-0.40000000000000036</v>
      </c>
      <c r="D49" s="15">
        <f>VLOOKUP(H49,econmon!$A$4:$O$54,14,FALSE)</f>
        <v>893.09</v>
      </c>
      <c r="E49" s="8">
        <f>100*VLOOKUP(H49,econmon!$A$4:$O$54,15,FALSE)</f>
        <v>-1.0886066399361516</v>
      </c>
      <c r="F49" s="29">
        <f ca="1">100*VLOOKUP($H49, econmon!$A$4:$M$54,12, FALSE)</f>
        <v>0.75819617995931399</v>
      </c>
      <c r="G49" s="29">
        <f ca="1">100*VLOOKUP($H49, econmon!$A$4:$M$54, 13, FALSE)</f>
        <v>5.5609620464358578E-2</v>
      </c>
      <c r="H49" t="s">
        <v>510</v>
      </c>
      <c r="I49" s="32">
        <f t="shared" si="5"/>
        <v>11</v>
      </c>
      <c r="J49">
        <f t="shared" si="0"/>
        <v>1</v>
      </c>
      <c r="K49" s="32">
        <f t="shared" si="39"/>
        <v>29</v>
      </c>
      <c r="L49">
        <f t="shared" si="0"/>
        <v>3</v>
      </c>
      <c r="M49" s="32">
        <f t="shared" ca="1" si="40"/>
        <v>48</v>
      </c>
      <c r="N49">
        <f t="shared" ref="N49:P49" ca="1" si="56">IF(M49&lt;13,1,IF(M49&lt;25,2,IF(M49&lt;37,3,4)))</f>
        <v>4</v>
      </c>
      <c r="O49" s="32">
        <f t="shared" ca="1" si="42"/>
        <v>30</v>
      </c>
      <c r="P49">
        <f t="shared" ca="1" si="56"/>
        <v>3</v>
      </c>
    </row>
    <row r="50" spans="1:16" x14ac:dyDescent="0.25">
      <c r="A50" s="20" t="s">
        <v>596</v>
      </c>
      <c r="B50" s="7">
        <f ca="1">VLOOKUP($H50,econmon!$A$4:$O$54,9,FALSE)</f>
        <v>6.3</v>
      </c>
      <c r="C50" s="7">
        <f ca="1">VLOOKUP($H50,econmon!$A$4:$O$54,10,FALSE)</f>
        <v>-0.40000000000000036</v>
      </c>
      <c r="D50" s="15">
        <f>VLOOKUP(H50,econmon!$A$4:$O$54,14,FALSE)</f>
        <v>983.78</v>
      </c>
      <c r="E50" s="8">
        <f>100*VLOOKUP(H50,econmon!$A$4:$O$54,15,FALSE)</f>
        <v>0.89212694978910712</v>
      </c>
      <c r="F50" s="29">
        <f ca="1">100*VLOOKUP($H50, econmon!$A$4:$M$54,12, FALSE)</f>
        <v>2.7482181335985345</v>
      </c>
      <c r="G50" s="29">
        <f ca="1">100*VLOOKUP($H50, econmon!$A$4:$M$54, 13, FALSE)</f>
        <v>1.3333333333333197</v>
      </c>
      <c r="H50" t="s">
        <v>511</v>
      </c>
      <c r="I50" s="32">
        <f t="shared" si="5"/>
        <v>3</v>
      </c>
      <c r="J50">
        <f t="shared" si="0"/>
        <v>1</v>
      </c>
      <c r="K50" s="32">
        <f t="shared" si="39"/>
        <v>11</v>
      </c>
      <c r="L50">
        <f t="shared" si="0"/>
        <v>1</v>
      </c>
      <c r="M50" s="32">
        <f t="shared" ca="1" si="40"/>
        <v>7</v>
      </c>
      <c r="N50">
        <f t="shared" ref="N50:P50" ca="1" si="57">IF(M50&lt;13,1,IF(M50&lt;25,2,IF(M50&lt;37,3,4)))</f>
        <v>1</v>
      </c>
      <c r="O50" s="32">
        <f t="shared" ca="1" si="42"/>
        <v>11</v>
      </c>
      <c r="P50">
        <f t="shared" ca="1" si="57"/>
        <v>1</v>
      </c>
    </row>
    <row r="51" spans="1:16" x14ac:dyDescent="0.25">
      <c r="A51" s="20" t="s">
        <v>597</v>
      </c>
      <c r="B51" s="7">
        <f ca="1">VLOOKUP($H51,econmon!$A$4:$O$54,9,FALSE)</f>
        <v>6</v>
      </c>
      <c r="C51" s="7">
        <f ca="1">VLOOKUP($H51,econmon!$A$4:$O$54,10,FALSE)</f>
        <v>0</v>
      </c>
      <c r="D51" s="15">
        <f>VLOOKUP(H51,econmon!$A$4:$O$54,14,FALSE)</f>
        <v>719.2</v>
      </c>
      <c r="E51" s="8">
        <f>100*VLOOKUP(H51,econmon!$A$4:$O$54,15,FALSE)</f>
        <v>1.3704679268848663</v>
      </c>
      <c r="F51" s="29">
        <f ca="1">100*VLOOKUP($H51, econmon!$A$4:$M$54,12, FALSE)</f>
        <v>1.0388261264770771</v>
      </c>
      <c r="G51" s="29">
        <f ca="1">100*VLOOKUP($H51, econmon!$A$4:$M$54, 13, FALSE)</f>
        <v>0</v>
      </c>
      <c r="H51" t="s">
        <v>512</v>
      </c>
      <c r="I51" s="32">
        <f t="shared" si="5"/>
        <v>45</v>
      </c>
      <c r="J51">
        <f t="shared" si="0"/>
        <v>4</v>
      </c>
      <c r="K51" s="32">
        <f t="shared" si="39"/>
        <v>7</v>
      </c>
      <c r="L51">
        <f t="shared" si="0"/>
        <v>1</v>
      </c>
      <c r="M51" s="32">
        <f t="shared" ref="M51:M53" ca="1" si="58">RANK(F51,F$3:F$53)</f>
        <v>40</v>
      </c>
      <c r="N51">
        <f t="shared" ref="N51:P51" ca="1" si="59">IF(M51&lt;13,1,IF(M51&lt;25,2,IF(M51&lt;37,3,4)))</f>
        <v>4</v>
      </c>
      <c r="O51" s="32">
        <f t="shared" ca="1" si="42"/>
        <v>33</v>
      </c>
      <c r="P51">
        <f t="shared" ca="1" si="59"/>
        <v>3</v>
      </c>
    </row>
    <row r="52" spans="1:16" x14ac:dyDescent="0.25">
      <c r="A52" s="20" t="s">
        <v>598</v>
      </c>
      <c r="B52" s="7">
        <f ca="1">VLOOKUP($H52,econmon!$A$4:$O$54,9,FALSE)</f>
        <v>5.2</v>
      </c>
      <c r="C52" s="7">
        <f ca="1">VLOOKUP($H52,econmon!$A$4:$O$54,10,FALSE)</f>
        <v>-1.0999999999999996</v>
      </c>
      <c r="D52" s="15">
        <f>VLOOKUP(H52,econmon!$A$4:$O$54,14,FALSE)</f>
        <v>786.48</v>
      </c>
      <c r="E52" s="8">
        <f>100*VLOOKUP(H52,econmon!$A$4:$O$54,15,FALSE)</f>
        <v>-0.67756678452599584</v>
      </c>
      <c r="F52" s="29">
        <f ca="1">100*VLOOKUP($H52, econmon!$A$4:$M$54,12, FALSE)</f>
        <v>1.8580192813321572</v>
      </c>
      <c r="G52" s="29">
        <f ca="1">100*VLOOKUP($H52, econmon!$A$4:$M$54, 13, FALSE)</f>
        <v>-0.21047708138447474</v>
      </c>
      <c r="H52" t="s">
        <v>513</v>
      </c>
      <c r="I52" s="32">
        <f t="shared" si="5"/>
        <v>26</v>
      </c>
      <c r="J52">
        <f t="shared" si="0"/>
        <v>3</v>
      </c>
      <c r="K52" s="32">
        <f t="shared" si="39"/>
        <v>28</v>
      </c>
      <c r="L52">
        <f t="shared" si="0"/>
        <v>3</v>
      </c>
      <c r="M52" s="32">
        <f t="shared" ca="1" si="58"/>
        <v>20</v>
      </c>
      <c r="N52">
        <f t="shared" ref="N52:P52" ca="1" si="60">IF(M52&lt;13,1,IF(M52&lt;25,2,IF(M52&lt;37,3,4)))</f>
        <v>2</v>
      </c>
      <c r="O52" s="32">
        <f t="shared" ca="1" si="42"/>
        <v>40</v>
      </c>
      <c r="P52">
        <f t="shared" ca="1" si="60"/>
        <v>4</v>
      </c>
    </row>
    <row r="53" spans="1:16" x14ac:dyDescent="0.25">
      <c r="A53" s="22" t="s">
        <v>599</v>
      </c>
      <c r="B53" s="7">
        <f ca="1">VLOOKUP($H53,econmon!$A$4:$O$54,9,FALSE)</f>
        <v>4.2</v>
      </c>
      <c r="C53" s="7">
        <f ca="1">VLOOKUP($H53,econmon!$A$4:$O$54,10,FALSE)</f>
        <v>-0.20000000000000018</v>
      </c>
      <c r="D53" s="15">
        <f>VLOOKUP(H53,econmon!$A$4:$O$54,14,FALSE)</f>
        <v>816.66</v>
      </c>
      <c r="E53" s="8">
        <f>100*VLOOKUP(H53,econmon!$A$4:$O$54,15,FALSE)</f>
        <v>-1.8849525298083925</v>
      </c>
      <c r="F53" s="29">
        <f ca="1">100*VLOOKUP($H53, econmon!$A$4:$M$54,12, FALSE)</f>
        <v>1.4827586206896504</v>
      </c>
      <c r="G53" s="29">
        <f ca="1">100*VLOOKUP($H53, econmon!$A$4:$M$54, 13, FALSE)</f>
        <v>0.13736263736265908</v>
      </c>
      <c r="H53" t="s">
        <v>514</v>
      </c>
      <c r="I53" s="32">
        <f t="shared" si="5"/>
        <v>19</v>
      </c>
      <c r="J53">
        <f t="shared" si="0"/>
        <v>2</v>
      </c>
      <c r="K53" s="32">
        <f t="shared" si="39"/>
        <v>39</v>
      </c>
      <c r="L53">
        <f t="shared" si="0"/>
        <v>4</v>
      </c>
      <c r="M53" s="32">
        <f t="shared" ca="1" si="58"/>
        <v>31</v>
      </c>
      <c r="N53">
        <f t="shared" ref="N53:P53" ca="1" si="61">IF(M53&lt;13,1,IF(M53&lt;25,2,IF(M53&lt;37,3,4)))</f>
        <v>3</v>
      </c>
      <c r="O53" s="32">
        <f t="shared" ca="1" si="42"/>
        <v>29</v>
      </c>
      <c r="P53">
        <f t="shared" ca="1" si="61"/>
        <v>3</v>
      </c>
    </row>
    <row r="54" spans="1:16" x14ac:dyDescent="0.25">
      <c r="A54" s="20" t="s">
        <v>606</v>
      </c>
      <c r="B54" s="7">
        <f ca="1">+econmon!I55</f>
        <v>5.6</v>
      </c>
      <c r="C54" s="7">
        <f ca="1">+econmon!J55</f>
        <v>-1.1000000000000005</v>
      </c>
      <c r="D54" s="40">
        <f>+econmon!N55</f>
        <v>849.78</v>
      </c>
      <c r="E54" s="29">
        <f>+econmon!O55*100</f>
        <v>2.2501837934174596E-2</v>
      </c>
      <c r="F54" s="29">
        <f ca="1">+econmon!L55*100</f>
        <v>2.1602817695940413</v>
      </c>
      <c r="G54" s="29">
        <f ca="1">+econmon!M55*100</f>
        <v>0.43677953890490784</v>
      </c>
      <c r="H54" t="s">
        <v>608</v>
      </c>
    </row>
    <row r="55" spans="1:16" x14ac:dyDescent="0.25">
      <c r="E55" s="1"/>
    </row>
    <row r="56" spans="1:16" x14ac:dyDescent="0.25">
      <c r="B56" s="68">
        <f ca="1">COUNTIF(B3:B53,"&gt;7.9")</f>
        <v>0</v>
      </c>
    </row>
    <row r="57" spans="1:16" x14ac:dyDescent="0.25">
      <c r="C57" s="68">
        <f ca="1">COUNTIF(C3:C53,"&lt;0")</f>
        <v>47</v>
      </c>
      <c r="D57" s="66">
        <f>MAX(D3:D53)</f>
        <v>1379.89</v>
      </c>
      <c r="E57">
        <f>COUNTIF(E3:E53,"&gt;0")</f>
        <v>16</v>
      </c>
      <c r="F57">
        <f ca="1">COUNTIF(F3:F53,"&lt;1")</f>
        <v>11</v>
      </c>
      <c r="G57">
        <f ca="1">COUNTIF(G3:G53,"&lt;0")</f>
        <v>17</v>
      </c>
      <c r="J57" s="1">
        <f>AVERAGEIF(J$3:J$53,1,D$3:D$53)</f>
        <v>973.67083333333346</v>
      </c>
      <c r="K57" s="1"/>
      <c r="L57" s="1">
        <f>AVERAGEIF(L$3:L$53,1,E$3:E$53)</f>
        <v>1.5892018810728545</v>
      </c>
      <c r="M57" s="1"/>
      <c r="N57" s="1">
        <f ca="1">AVERAGEIF(N$3:N$53,1,F$3:F$53)</f>
        <v>3.1343745416031186</v>
      </c>
      <c r="O57" s="1"/>
      <c r="P57" s="1">
        <f ca="1">AVERAGEIF(P$3:P$53,1,G$3:G$53)</f>
        <v>1.8949265605688954</v>
      </c>
    </row>
    <row r="58" spans="1:16" x14ac:dyDescent="0.25">
      <c r="B58" s="69">
        <f ca="1">MEDIAN(B3:B53)</f>
        <v>5.5</v>
      </c>
      <c r="D58" s="66">
        <f>MIN(D3:D53)</f>
        <v>673.03</v>
      </c>
      <c r="J58" s="1">
        <f>AVERAGEIF(J$3:J$53,2,D$3:D$53)</f>
        <v>831.95416666666677</v>
      </c>
      <c r="K58" s="1"/>
      <c r="L58" s="1">
        <f>AVERAGEIF(L$3:L$53,2,E$3:E$53)</f>
        <v>-3.2164625509377896E-2</v>
      </c>
      <c r="M58" s="1"/>
      <c r="N58" s="1">
        <f ca="1">AVERAGEIF(N$3:N$53,2,F$3:F$53)</f>
        <v>1.966964721580311</v>
      </c>
      <c r="O58" s="1"/>
      <c r="P58" s="1">
        <f ca="1">AVERAGEIF(P$3:P$53,2,G$3:G$53)</f>
        <v>0.6689331624859074</v>
      </c>
    </row>
    <row r="59" spans="1:16" x14ac:dyDescent="0.25">
      <c r="E59">
        <f>COUNTIF(E3:E53,"&gt;3")</f>
        <v>0</v>
      </c>
      <c r="J59" s="1">
        <f>AVERAGEIF(J$3:J$53,3,D$3:D$53)</f>
        <v>770.49749999999995</v>
      </c>
      <c r="K59" s="1"/>
      <c r="L59" s="1">
        <f>AVERAGEIF(L$3:L$53,3,E$3:E$53)</f>
        <v>-1.069757177932563</v>
      </c>
      <c r="M59" s="1"/>
      <c r="N59" s="1">
        <f ca="1">AVERAGEIF(N$3:N$53,3,F$3:F$53)</f>
        <v>1.4355612292303068</v>
      </c>
      <c r="O59" s="1"/>
      <c r="P59" s="1">
        <f ca="1">AVERAGEIF(P$3:P$53,3,G$3:G$53)</f>
        <v>8.5081564981137614E-2</v>
      </c>
    </row>
    <row r="60" spans="1:16" x14ac:dyDescent="0.25">
      <c r="D60">
        <f>COUNTIF(D3:D53,"&gt;900")</f>
        <v>9</v>
      </c>
      <c r="J60" s="1">
        <f>AVERAGEIF(J$3:J$53,4,D$3:D$53)</f>
        <v>718.70200000000011</v>
      </c>
      <c r="K60" s="1"/>
      <c r="L60" s="1">
        <f>AVERAGEIF(L$3:L$53,4,E$3:E$53)</f>
        <v>-3.2226756444210714</v>
      </c>
      <c r="M60" s="1"/>
      <c r="N60" s="1">
        <f ca="1">AVERAGEIF(N$3:N$53,4,F$3:F$53)</f>
        <v>0.82537389877966494</v>
      </c>
      <c r="O60" s="1"/>
      <c r="P60" s="1">
        <f ca="1">AVERAGEIF(P$3:P$53,4,G$3:G$53)</f>
        <v>-0.53508118337740751</v>
      </c>
    </row>
    <row r="61" spans="1:16" x14ac:dyDescent="0.25">
      <c r="E61" s="1"/>
    </row>
  </sheetData>
  <mergeCells count="1">
    <mergeCell ref="A1:G1"/>
  </mergeCells>
  <conditionalFormatting sqref="G3:G53">
    <cfRule type="cellIs" dxfId="4" priority="1" operator="lessThan">
      <formula>-1</formula>
    </cfRule>
  </conditionalFormatting>
  <pageMargins left="0.7" right="0.7" top="0.75" bottom="0.75" header="0.3" footer="0.3"/>
  <pageSetup scale="7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F56"/>
  <sheetViews>
    <sheetView zoomScaleNormal="100" workbookViewId="0">
      <selection activeCell="C53" sqref="C53"/>
    </sheetView>
  </sheetViews>
  <sheetFormatPr defaultRowHeight="15.75" x14ac:dyDescent="0.25"/>
  <cols>
    <col min="1" max="1" width="17.5" bestFit="1" customWidth="1"/>
    <col min="2" max="2" width="11.75" customWidth="1"/>
    <col min="3" max="3" width="11.25" customWidth="1"/>
    <col min="4" max="4" width="10.625" customWidth="1"/>
    <col min="5" max="5" width="24.625" customWidth="1"/>
  </cols>
  <sheetData>
    <row r="1" spans="1:6" ht="33.75" customHeight="1" x14ac:dyDescent="0.25">
      <c r="A1" s="119" t="s">
        <v>982</v>
      </c>
      <c r="B1" s="119"/>
      <c r="C1" s="119"/>
      <c r="D1" s="119"/>
      <c r="E1" s="119"/>
    </row>
    <row r="2" spans="1:6" ht="54.75" customHeight="1" thickBot="1" x14ac:dyDescent="0.3">
      <c r="A2" s="17" t="s">
        <v>542</v>
      </c>
      <c r="B2" s="18" t="s">
        <v>601</v>
      </c>
      <c r="C2" s="18" t="s">
        <v>602</v>
      </c>
      <c r="D2" s="18" t="s">
        <v>603</v>
      </c>
      <c r="E2" s="19" t="s">
        <v>604</v>
      </c>
    </row>
    <row r="3" spans="1:6" ht="15.75" customHeight="1" x14ac:dyDescent="0.25">
      <c r="A3" s="20" t="s">
        <v>549</v>
      </c>
      <c r="B3" s="21">
        <f>VLOOKUP($F3,econmon!$A$4:$AA$54,18,FALSE)</f>
        <v>0.14572142410993472</v>
      </c>
      <c r="C3" s="21">
        <f>VLOOKUP($F3,econmon!$A$4:$AA$54,19,FALSE)</f>
        <v>6.3559055118110219</v>
      </c>
      <c r="D3" s="21">
        <f>VLOOKUP($F3,econmon!$A$4:$AA$54,17,FALSE)</f>
        <v>2.6285591766723737</v>
      </c>
      <c r="E3" s="21">
        <f>VLOOKUP($F3,econmon!$A$4:$X$54,20,FALSE)</f>
        <v>6.066445182724145E-2</v>
      </c>
      <c r="F3" t="s">
        <v>465</v>
      </c>
    </row>
    <row r="4" spans="1:6" ht="15.75" customHeight="1" x14ac:dyDescent="0.25">
      <c r="A4" s="20" t="s">
        <v>550</v>
      </c>
      <c r="B4" s="21" t="e">
        <f>VLOOKUP($F4,econmon!$A$4:$AA$54,18,FALSE)</f>
        <v>#N/A</v>
      </c>
      <c r="C4" s="21">
        <f>VLOOKUP($F4,econmon!$A$4:$AA$54,19,FALSE)</f>
        <v>-20.666416510318953</v>
      </c>
      <c r="D4" s="21" t="e">
        <f>VLOOKUP($F4,econmon!$A$4:$AA$54,17,FALSE)</f>
        <v>#N/A</v>
      </c>
      <c r="E4" s="21">
        <f>VLOOKUP($F4,econmon!$A$4:$X$54,20,FALSE)</f>
        <v>-45.84908799358589</v>
      </c>
      <c r="F4" t="s">
        <v>466</v>
      </c>
    </row>
    <row r="5" spans="1:6" ht="15.75" customHeight="1" x14ac:dyDescent="0.25">
      <c r="A5" s="20" t="s">
        <v>551</v>
      </c>
      <c r="B5" s="21">
        <f>VLOOKUP($F5,econmon!$A$4:$AA$54,18,FALSE)</f>
        <v>0.81570271833428798</v>
      </c>
      <c r="C5" s="21">
        <f>VLOOKUP($F5,econmon!$A$4:$AA$54,19,FALSE)</f>
        <v>-5.4551612903225859</v>
      </c>
      <c r="D5" s="21">
        <f>VLOOKUP($F5,econmon!$A$4:$AA$54,17,FALSE)</f>
        <v>11.726004016064252</v>
      </c>
      <c r="E5" s="21">
        <f>VLOOKUP($F5,econmon!$A$4:$X$54,20,FALSE)</f>
        <v>4.8725782290279573</v>
      </c>
      <c r="F5" t="s">
        <v>476</v>
      </c>
    </row>
    <row r="6" spans="1:6" ht="15.75" customHeight="1" x14ac:dyDescent="0.25">
      <c r="A6" s="20" t="s">
        <v>552</v>
      </c>
      <c r="B6" s="21">
        <f>VLOOKUP($F6,econmon!$A$4:$AA$54,18,FALSE)</f>
        <v>-1.4557309282224762</v>
      </c>
      <c r="C6" s="21">
        <f>VLOOKUP($F6,econmon!$A$4:$AA$54,19,FALSE)</f>
        <v>-5.4717026378896865</v>
      </c>
      <c r="D6" s="21">
        <f>VLOOKUP($F6,econmon!$A$4:$AA$54,17,FALSE)</f>
        <v>6.8293415216649667</v>
      </c>
      <c r="E6" s="21">
        <f>VLOOKUP($F6,econmon!$A$4:$X$54,20,FALSE)</f>
        <v>2.5965260261407996</v>
      </c>
      <c r="F6" t="s">
        <v>475</v>
      </c>
    </row>
    <row r="7" spans="1:6" ht="15.75" customHeight="1" x14ac:dyDescent="0.25">
      <c r="A7" s="20" t="s">
        <v>553</v>
      </c>
      <c r="B7" s="21">
        <f>VLOOKUP($F7,econmon!$A$4:$AA$54,18,FALSE)</f>
        <v>-1.5499334411634202</v>
      </c>
      <c r="C7" s="21">
        <f>VLOOKUP($F7,econmon!$A$4:$AA$54,19,FALSE)</f>
        <v>17.539007463663747</v>
      </c>
      <c r="D7" s="21">
        <f>VLOOKUP($F7,econmon!$A$4:$AA$54,17,FALSE)</f>
        <v>5.9463004940424335</v>
      </c>
      <c r="E7" s="21">
        <f>VLOOKUP($F7,econmon!$A$4:$X$54,20,FALSE)</f>
        <v>2.6960998009212922</v>
      </c>
      <c r="F7" t="s">
        <v>467</v>
      </c>
    </row>
    <row r="8" spans="1:6" ht="15.75" customHeight="1" x14ac:dyDescent="0.25">
      <c r="A8" s="20" t="s">
        <v>554</v>
      </c>
      <c r="B8" s="21">
        <f>VLOOKUP($F8,econmon!$A$4:$AA$54,18,FALSE)</f>
        <v>2.960524906266726</v>
      </c>
      <c r="C8" s="21">
        <f>VLOOKUP($F8,econmon!$A$4:$AA$54,19,FALSE)</f>
        <v>13.610559006211176</v>
      </c>
      <c r="D8" s="21">
        <f>VLOOKUP($F8,econmon!$A$4:$AA$54,17,FALSE)</f>
        <v>9.1075825519771669</v>
      </c>
      <c r="E8" s="21">
        <f>VLOOKUP($F8,econmon!$A$4:$X$54,20,FALSE)</f>
        <v>6.5100953053300437</v>
      </c>
      <c r="F8" t="s">
        <v>477</v>
      </c>
    </row>
    <row r="9" spans="1:6" ht="15.75" customHeight="1" x14ac:dyDescent="0.25">
      <c r="A9" s="20" t="s">
        <v>555</v>
      </c>
      <c r="B9" s="21">
        <f>VLOOKUP($F9,econmon!$A$4:$AA$54,18,FALSE)</f>
        <v>-1.3607015760040753</v>
      </c>
      <c r="C9" s="21">
        <f>VLOOKUP($F9,econmon!$A$4:$AA$54,19,FALSE)</f>
        <v>13.539518900343662</v>
      </c>
      <c r="D9" s="21">
        <f>VLOOKUP($F9,econmon!$A$4:$AA$54,17,FALSE)</f>
        <v>1.7392295995945162</v>
      </c>
      <c r="E9" s="21">
        <f>VLOOKUP($F9,econmon!$A$4:$X$54,20,FALSE)</f>
        <v>-2.0237252475247547</v>
      </c>
      <c r="F9" t="s">
        <v>468</v>
      </c>
    </row>
    <row r="10" spans="1:6" ht="15.75" customHeight="1" x14ac:dyDescent="0.25">
      <c r="A10" s="20" t="s">
        <v>556</v>
      </c>
      <c r="B10" s="21">
        <f>VLOOKUP($F10,econmon!$A$4:$AA$54,18,FALSE)</f>
        <v>-10.095570934256049</v>
      </c>
      <c r="C10" s="21">
        <f>VLOOKUP($F10,econmon!$A$4:$AA$54,19,FALSE)</f>
        <v>-12.414332247557013</v>
      </c>
      <c r="D10" s="21" t="e">
        <f>VLOOKUP($F10,econmon!$A$4:$AA$54,17,FALSE)</f>
        <v>#N/A</v>
      </c>
      <c r="E10" s="21">
        <f>VLOOKUP($F10,econmon!$A$4:$X$54,20,FALSE)</f>
        <v>-9.2336779107725757</v>
      </c>
      <c r="F10" t="s">
        <v>469</v>
      </c>
    </row>
    <row r="11" spans="1:6" ht="15.75" customHeight="1" x14ac:dyDescent="0.25">
      <c r="A11" s="20" t="s">
        <v>557</v>
      </c>
      <c r="B11" s="21">
        <f>VLOOKUP($F11,econmon!$A$4:$AA$54,18,FALSE)</f>
        <v>1.8295427196149072</v>
      </c>
      <c r="C11" s="21">
        <f>VLOOKUP($F11,econmon!$A$4:$AA$54,19,FALSE)</f>
        <v>-7.3171366594360077</v>
      </c>
      <c r="D11" s="21">
        <f>VLOOKUP($F11,econmon!$A$4:$AA$54,17,FALSE)</f>
        <v>3.5369740376007153</v>
      </c>
      <c r="E11" s="21">
        <f>VLOOKUP($F11,econmon!$A$4:$X$54,20,FALSE)</f>
        <v>-0.11479346781940736</v>
      </c>
      <c r="F11" t="s">
        <v>600</v>
      </c>
    </row>
    <row r="12" spans="1:6" ht="15.75" customHeight="1" x14ac:dyDescent="0.25">
      <c r="A12" s="20" t="s">
        <v>558</v>
      </c>
      <c r="B12" s="21" t="e">
        <f>VLOOKUP($F12,econmon!$A$4:$AA$54,18,FALSE)</f>
        <v>#N/A</v>
      </c>
      <c r="C12" s="21">
        <f>VLOOKUP($F12,econmon!$A$4:$AA$54,19,FALSE)</f>
        <v>-0.15421686746986962</v>
      </c>
      <c r="D12" s="21">
        <f>VLOOKUP($F12,econmon!$A$4:$AA$54,17,FALSE)</f>
        <v>6.2830280480824285</v>
      </c>
      <c r="E12" s="21">
        <f>VLOOKUP($F12,econmon!$A$4:$X$54,20,FALSE)</f>
        <v>5.1880072312612935</v>
      </c>
      <c r="F12" t="s">
        <v>470</v>
      </c>
    </row>
    <row r="13" spans="1:6" ht="15.75" customHeight="1" x14ac:dyDescent="0.25">
      <c r="A13" s="20" t="s">
        <v>559</v>
      </c>
      <c r="B13" s="21">
        <f>VLOOKUP($F13,econmon!$A$4:$AA$54,18,FALSE)</f>
        <v>2.1827710707435388</v>
      </c>
      <c r="C13" s="21">
        <f>VLOOKUP($F13,econmon!$A$4:$AA$54,19,FALSE)</f>
        <v>16.156900726392266</v>
      </c>
      <c r="D13" s="21">
        <f>VLOOKUP($F13,econmon!$A$4:$AA$54,17,FALSE)</f>
        <v>0.71998410806515256</v>
      </c>
      <c r="E13" s="21">
        <f>VLOOKUP($F13,econmon!$A$4:$X$54,20,FALSE)</f>
        <v>4.8609615931721084</v>
      </c>
      <c r="F13" t="s">
        <v>471</v>
      </c>
    </row>
    <row r="14" spans="1:6" ht="15.75" customHeight="1" x14ac:dyDescent="0.25">
      <c r="A14" s="20" t="s">
        <v>560</v>
      </c>
      <c r="B14" s="21">
        <f>VLOOKUP($F14,econmon!$A$4:$AA$54,18,FALSE)</f>
        <v>-0.21949828962370965</v>
      </c>
      <c r="C14" s="21">
        <f>VLOOKUP($F14,econmon!$A$4:$AA$54,19,FALSE)</f>
        <v>3.619014084507044</v>
      </c>
      <c r="D14" s="21">
        <f>VLOOKUP($F14,econmon!$A$4:$AA$54,17,FALSE)</f>
        <v>0.29922779922779696</v>
      </c>
      <c r="E14" s="21">
        <f>VLOOKUP($F14,econmon!$A$4:$X$54,20,FALSE)</f>
        <v>0.6173662551440362</v>
      </c>
      <c r="F14" t="s">
        <v>478</v>
      </c>
    </row>
    <row r="15" spans="1:6" ht="15.75" customHeight="1" x14ac:dyDescent="0.25">
      <c r="A15" s="20" t="s">
        <v>561</v>
      </c>
      <c r="B15" s="21">
        <f>VLOOKUP($F15,econmon!$A$4:$AA$54,18,FALSE)</f>
        <v>8.4634689178818121</v>
      </c>
      <c r="C15" s="21">
        <f>VLOOKUP($F15,econmon!$A$4:$AA$54,19,FALSE)</f>
        <v>5.3166666666666584</v>
      </c>
      <c r="D15" s="21">
        <f>VLOOKUP($F15,econmon!$A$4:$AA$54,17,FALSE)</f>
        <v>6.7222967934377209</v>
      </c>
      <c r="E15" s="21">
        <f>VLOOKUP($F15,econmon!$A$4:$X$54,20,FALSE)</f>
        <v>4.9174931129476684</v>
      </c>
      <c r="F15" t="s">
        <v>479</v>
      </c>
    </row>
    <row r="16" spans="1:6" ht="15.75" customHeight="1" x14ac:dyDescent="0.25">
      <c r="A16" s="20" t="s">
        <v>562</v>
      </c>
      <c r="B16" s="21">
        <f>VLOOKUP($F16,econmon!$A$4:$AA$54,18,FALSE)</f>
        <v>-6.3234173435260388</v>
      </c>
      <c r="C16" s="21">
        <f>VLOOKUP($F16,econmon!$A$4:$AA$54,19,FALSE)</f>
        <v>-10.086497150372642</v>
      </c>
      <c r="D16" s="21">
        <f>VLOOKUP($F16,econmon!$A$4:$AA$54,17,FALSE)</f>
        <v>3.3284085453672674</v>
      </c>
      <c r="E16" s="21">
        <f>VLOOKUP($F16,econmon!$A$4:$X$54,20,FALSE)</f>
        <v>-0.85441906653425104</v>
      </c>
      <c r="F16" t="s">
        <v>480</v>
      </c>
    </row>
    <row r="17" spans="1:6" ht="15.75" customHeight="1" x14ac:dyDescent="0.25">
      <c r="A17" s="20" t="s">
        <v>563</v>
      </c>
      <c r="B17" s="21">
        <f>VLOOKUP($F17,econmon!$A$4:$AA$54,18,FALSE)</f>
        <v>-3.8627570759519392</v>
      </c>
      <c r="C17" s="21">
        <f>VLOOKUP($F17,econmon!$A$4:$AA$54,19,FALSE)</f>
        <v>9.9166018158236113</v>
      </c>
      <c r="D17" s="21">
        <f>VLOOKUP($F17,econmon!$A$4:$AA$54,17,FALSE)</f>
        <v>3.44766695829688</v>
      </c>
      <c r="E17" s="21">
        <f>VLOOKUP($F17,econmon!$A$4:$X$54,20,FALSE)</f>
        <v>-0.32073199527746787</v>
      </c>
      <c r="F17" t="s">
        <v>481</v>
      </c>
    </row>
    <row r="18" spans="1:6" ht="15.75" customHeight="1" x14ac:dyDescent="0.25">
      <c r="A18" s="20" t="s">
        <v>564</v>
      </c>
      <c r="B18" s="21">
        <f>VLOOKUP($F18,econmon!$A$4:$AA$54,18,FALSE)</f>
        <v>-7.900643776824035</v>
      </c>
      <c r="C18" s="21">
        <f>VLOOKUP($F18,econmon!$A$4:$AA$54,19,FALSE)</f>
        <v>0.52832080200502229</v>
      </c>
      <c r="D18" s="21">
        <f>VLOOKUP($F18,econmon!$A$4:$AA$54,17,FALSE)</f>
        <v>7.4860677083333327</v>
      </c>
      <c r="E18" s="21">
        <f>VLOOKUP($F18,econmon!$A$4:$X$54,20,FALSE)</f>
        <v>-1.6623192083227489</v>
      </c>
      <c r="F18" t="s">
        <v>482</v>
      </c>
    </row>
    <row r="19" spans="1:6" ht="15.75" customHeight="1" x14ac:dyDescent="0.25">
      <c r="A19" s="20" t="s">
        <v>565</v>
      </c>
      <c r="B19" s="21">
        <f>VLOOKUP($F19,econmon!$A$4:$AA$54,18,FALSE)</f>
        <v>-10.442598509052193</v>
      </c>
      <c r="C19" s="21">
        <f>VLOOKUP($F19,econmon!$A$4:$AA$54,19,FALSE)</f>
        <v>-2.7159420289855185</v>
      </c>
      <c r="D19" s="21">
        <f>VLOOKUP($F19,econmon!$A$4:$AA$54,17,FALSE)</f>
        <v>4.0468589083419326</v>
      </c>
      <c r="E19" s="21">
        <f>VLOOKUP($F19,econmon!$A$4:$X$54,20,FALSE)</f>
        <v>-2.7533298443019771</v>
      </c>
      <c r="F19" t="s">
        <v>483</v>
      </c>
    </row>
    <row r="20" spans="1:6" ht="15.75" customHeight="1" x14ac:dyDescent="0.25">
      <c r="A20" s="20" t="s">
        <v>566</v>
      </c>
      <c r="B20" s="21">
        <f>VLOOKUP($F20,econmon!$A$4:$AA$54,18,FALSE)</f>
        <v>1.2353144989339038</v>
      </c>
      <c r="C20" s="21">
        <f>VLOOKUP($F20,econmon!$A$4:$AA$54,19,FALSE)</f>
        <v>-7.9463556851311896</v>
      </c>
      <c r="D20" s="21">
        <f>VLOOKUP($F20,econmon!$A$4:$AA$54,17,FALSE)</f>
        <v>3.9005923000987153</v>
      </c>
      <c r="E20" s="21">
        <f>VLOOKUP($F20,econmon!$A$4:$X$54,20,FALSE)</f>
        <v>1.1976059438635112</v>
      </c>
      <c r="F20" t="s">
        <v>484</v>
      </c>
    </row>
    <row r="21" spans="1:6" ht="15.75" customHeight="1" x14ac:dyDescent="0.25">
      <c r="A21" s="20" t="s">
        <v>567</v>
      </c>
      <c r="B21" s="21">
        <f>VLOOKUP($F21,econmon!$A$4:$AA$54,18,FALSE)</f>
        <v>-1.4278071101724743</v>
      </c>
      <c r="C21" s="21">
        <f>VLOOKUP($F21,econmon!$A$4:$AA$54,19,FALSE)</f>
        <v>104.37642276422766</v>
      </c>
      <c r="D21" s="21">
        <f>VLOOKUP($F21,econmon!$A$4:$AA$54,17,FALSE)</f>
        <v>2.0160493827160675</v>
      </c>
      <c r="E21" s="21">
        <f>VLOOKUP($F21,econmon!$A$4:$X$54,20,FALSE)</f>
        <v>6.7721580675919046</v>
      </c>
      <c r="F21" t="s">
        <v>485</v>
      </c>
    </row>
    <row r="22" spans="1:6" ht="15.75" customHeight="1" x14ac:dyDescent="0.25">
      <c r="A22" s="20" t="s">
        <v>568</v>
      </c>
      <c r="B22" s="21">
        <f>VLOOKUP($F22,econmon!$A$4:$AA$54,18,FALSE)</f>
        <v>-7.1554098360655622</v>
      </c>
      <c r="C22" s="21">
        <f>VLOOKUP($F22,econmon!$A$4:$AA$54,19,FALSE)</f>
        <v>7.4554285714285795</v>
      </c>
      <c r="D22" s="21">
        <f>VLOOKUP($F22,econmon!$A$4:$AA$54,17,FALSE)</f>
        <v>12.633363970588229</v>
      </c>
      <c r="E22" s="21">
        <f>VLOOKUP($F22,econmon!$A$4:$X$54,20,FALSE)</f>
        <v>0.12954779033915731</v>
      </c>
      <c r="F22" t="s">
        <v>486</v>
      </c>
    </row>
    <row r="23" spans="1:6" ht="15.75" customHeight="1" x14ac:dyDescent="0.25">
      <c r="A23" s="20" t="s">
        <v>569</v>
      </c>
      <c r="B23" s="21">
        <f>VLOOKUP($F23,econmon!$A$4:$AA$54,18,FALSE)</f>
        <v>-1.1005001282380134</v>
      </c>
      <c r="C23" s="21">
        <f>VLOOKUP($F23,econmon!$A$4:$AA$54,19,FALSE)</f>
        <v>-4.4475409836065456</v>
      </c>
      <c r="D23" s="21">
        <f>VLOOKUP($F23,econmon!$A$4:$AA$54,17,FALSE)</f>
        <v>3.0821290009699354</v>
      </c>
      <c r="E23" s="21">
        <f>VLOOKUP($F23,econmon!$A$4:$X$54,20,FALSE)</f>
        <v>1.4075963045005135</v>
      </c>
      <c r="F23" t="s">
        <v>487</v>
      </c>
    </row>
    <row r="24" spans="1:6" ht="15.75" customHeight="1" x14ac:dyDescent="0.25">
      <c r="A24" s="20" t="s">
        <v>570</v>
      </c>
      <c r="B24" s="21">
        <f>VLOOKUP($F24,econmon!$A$4:$AA$54,18,FALSE)</f>
        <v>1.0102444614209283</v>
      </c>
      <c r="C24" s="21">
        <f>VLOOKUP($F24,econmon!$A$4:$AA$54,19,FALSE)</f>
        <v>11.801125319693085</v>
      </c>
      <c r="D24" s="21">
        <f>VLOOKUP($F24,econmon!$A$4:$AA$54,17,FALSE)</f>
        <v>5.7721040638055499</v>
      </c>
      <c r="E24" s="21">
        <f>VLOOKUP($F24,econmon!$A$4:$X$54,20,FALSE)</f>
        <v>2.8484764428251985</v>
      </c>
      <c r="F24" t="s">
        <v>488</v>
      </c>
    </row>
    <row r="25" spans="1:6" ht="15.75" customHeight="1" x14ac:dyDescent="0.25">
      <c r="A25" s="20" t="s">
        <v>571</v>
      </c>
      <c r="B25" s="21">
        <f>VLOOKUP($F25,econmon!$A$4:$AA$54,18,FALSE)</f>
        <v>-1.78125769136106</v>
      </c>
      <c r="C25" s="21">
        <f>VLOOKUP($F25,econmon!$A$4:$AA$54,19,FALSE)</f>
        <v>-1.5081473214285768</v>
      </c>
      <c r="D25" s="21">
        <f>VLOOKUP($F25,econmon!$A$4:$AA$54,17,FALSE)</f>
        <v>-0.56174108197496464</v>
      </c>
      <c r="E25" s="21">
        <f>VLOOKUP($F25,econmon!$A$4:$X$54,20,FALSE)</f>
        <v>-0.18345765158805927</v>
      </c>
      <c r="F25" t="s">
        <v>489</v>
      </c>
    </row>
    <row r="26" spans="1:6" ht="15.75" customHeight="1" x14ac:dyDescent="0.25">
      <c r="A26" s="20" t="s">
        <v>572</v>
      </c>
      <c r="B26" s="21">
        <f>VLOOKUP($F26,econmon!$A$4:$AA$54,18,FALSE)</f>
        <v>2.1701349771495293</v>
      </c>
      <c r="C26" s="21">
        <f>VLOOKUP($F26,econmon!$A$4:$AA$54,19,FALSE)</f>
        <v>10.249428104575165</v>
      </c>
      <c r="D26" s="21">
        <f>VLOOKUP($F26,econmon!$A$4:$AA$54,17,FALSE)</f>
        <v>-4.6738445559979187</v>
      </c>
      <c r="E26" s="21">
        <f>VLOOKUP($F26,econmon!$A$4:$X$54,20,FALSE)</f>
        <v>3.1059147478426752</v>
      </c>
      <c r="F26" t="s">
        <v>490</v>
      </c>
    </row>
    <row r="27" spans="1:6" ht="15.75" customHeight="1" x14ac:dyDescent="0.25">
      <c r="A27" s="20" t="s">
        <v>573</v>
      </c>
      <c r="B27" s="21">
        <f>VLOOKUP($F27,econmon!$A$4:$AA$54,18,FALSE)</f>
        <v>-1.2120365088419849</v>
      </c>
      <c r="C27" s="21">
        <f>VLOOKUP($F27,econmon!$A$4:$AA$54,19,FALSE)</f>
        <v>15.594956140350892</v>
      </c>
      <c r="D27" s="21">
        <f>VLOOKUP($F27,econmon!$A$4:$AA$54,17,FALSE)</f>
        <v>4.8085569940006456</v>
      </c>
      <c r="E27" s="21">
        <f>VLOOKUP($F27,econmon!$A$4:$X$54,20,FALSE)</f>
        <v>2.2433067675266871</v>
      </c>
      <c r="F27" t="s">
        <v>491</v>
      </c>
    </row>
    <row r="28" spans="1:6" ht="15.75" customHeight="1" x14ac:dyDescent="0.25">
      <c r="A28" s="20" t="s">
        <v>574</v>
      </c>
      <c r="B28" s="21">
        <f>VLOOKUP($F28,econmon!$A$4:$AA$54,18,FALSE)</f>
        <v>-0.45084589922765872</v>
      </c>
      <c r="C28" s="21">
        <f>VLOOKUP($F28,econmon!$A$4:$AA$54,19,FALSE)</f>
        <v>-7.9232911392405185</v>
      </c>
      <c r="D28" s="21">
        <f>VLOOKUP($F28,econmon!$A$4:$AA$54,17,FALSE)</f>
        <v>3.4811072880825744</v>
      </c>
      <c r="E28" s="21">
        <f>VLOOKUP($F28,econmon!$A$4:$X$54,20,FALSE)</f>
        <v>0.42527394839164678</v>
      </c>
      <c r="F28" t="s">
        <v>492</v>
      </c>
    </row>
    <row r="29" spans="1:6" ht="15.75" customHeight="1" x14ac:dyDescent="0.25">
      <c r="A29" s="20" t="s">
        <v>575</v>
      </c>
      <c r="B29" s="21">
        <f>VLOOKUP($F29,econmon!$A$4:$AA$54,18,FALSE)</f>
        <v>1.3875234521576019</v>
      </c>
      <c r="C29" s="21">
        <f>VLOOKUP($F29,econmon!$A$4:$AA$54,19,FALSE)</f>
        <v>-4.8555555555555463</v>
      </c>
      <c r="D29" s="21" t="e">
        <f>VLOOKUP($F29,econmon!$A$4:$AA$54,17,FALSE)</f>
        <v>#N/A</v>
      </c>
      <c r="E29" s="21">
        <f>VLOOKUP($F29,econmon!$A$4:$X$54,20,FALSE)</f>
        <v>0.51228464419474928</v>
      </c>
      <c r="F29" t="s">
        <v>493</v>
      </c>
    </row>
    <row r="30" spans="1:6" ht="15.75" customHeight="1" x14ac:dyDescent="0.25">
      <c r="A30" s="20" t="s">
        <v>576</v>
      </c>
      <c r="B30" s="21">
        <f>VLOOKUP($F30,econmon!$A$4:$AA$54,18,FALSE)</f>
        <v>2.9864583333333306</v>
      </c>
      <c r="C30" s="21">
        <f>VLOOKUP($F30,econmon!$A$4:$AA$54,19,FALSE)</f>
        <v>11.440068493150669</v>
      </c>
      <c r="D30" s="21">
        <f>VLOOKUP($F30,econmon!$A$4:$AA$54,17,FALSE)</f>
        <v>5.8203539823008743</v>
      </c>
      <c r="E30" s="21">
        <f>VLOOKUP($F30,econmon!$A$4:$X$54,20,FALSE)</f>
        <v>5.4454161385720345</v>
      </c>
      <c r="F30" t="s">
        <v>494</v>
      </c>
    </row>
    <row r="31" spans="1:6" ht="15.75" customHeight="1" x14ac:dyDescent="0.25">
      <c r="A31" s="20" t="s">
        <v>577</v>
      </c>
      <c r="B31" s="21" t="e">
        <f>VLOOKUP($F31,econmon!$A$4:$AA$54,18,FALSE)</f>
        <v>#N/A</v>
      </c>
      <c r="C31" s="21" t="e">
        <f>VLOOKUP($F31,econmon!$A$4:$AA$54,19,FALSE)</f>
        <v>#N/A</v>
      </c>
      <c r="D31" s="21">
        <f>VLOOKUP($F31,econmon!$A$4:$AA$54,17,FALSE)</f>
        <v>5.4570763755817042</v>
      </c>
      <c r="E31" s="21">
        <f>VLOOKUP($F31,econmon!$A$4:$X$54,20,FALSE)</f>
        <v>0.704719387755115</v>
      </c>
      <c r="F31" t="s">
        <v>495</v>
      </c>
    </row>
    <row r="32" spans="1:6" ht="15.75" customHeight="1" x14ac:dyDescent="0.25">
      <c r="A32" s="20" t="s">
        <v>578</v>
      </c>
      <c r="B32" s="21">
        <f>VLOOKUP($F32,econmon!$A$4:$AA$54,18,FALSE)</f>
        <v>-5.7090909090909081</v>
      </c>
      <c r="C32" s="21">
        <f>VLOOKUP($F32,econmon!$A$4:$AA$54,19,FALSE)</f>
        <v>-5.8225352112676099</v>
      </c>
      <c r="D32" s="21" t="e">
        <f>VLOOKUP($F32,econmon!$A$4:$AA$54,17,FALSE)</f>
        <v>#N/A</v>
      </c>
      <c r="E32" s="21">
        <f>VLOOKUP($F32,econmon!$A$4:$X$54,20,FALSE)</f>
        <v>-4.2794404408647786</v>
      </c>
      <c r="F32" t="s">
        <v>496</v>
      </c>
    </row>
    <row r="33" spans="1:6" ht="15.75" customHeight="1" x14ac:dyDescent="0.25">
      <c r="A33" s="20" t="s">
        <v>579</v>
      </c>
      <c r="B33" s="21">
        <f>VLOOKUP($F33,econmon!$A$4:$AA$54,18,FALSE)</f>
        <v>-0.92214419857924446</v>
      </c>
      <c r="C33" s="21">
        <f>VLOOKUP($F33,econmon!$A$4:$AA$54,19,FALSE)</f>
        <v>9.1952717631462733</v>
      </c>
      <c r="D33" s="21">
        <f>VLOOKUP($F33,econmon!$A$4:$AA$54,17,FALSE)</f>
        <v>3.8497264579210766</v>
      </c>
      <c r="E33" s="21">
        <f>VLOOKUP($F33,econmon!$A$4:$X$54,20,FALSE)</f>
        <v>1.9534582866456152</v>
      </c>
      <c r="F33" t="s">
        <v>497</v>
      </c>
    </row>
    <row r="34" spans="1:6" ht="15.75" customHeight="1" x14ac:dyDescent="0.25">
      <c r="A34" s="20" t="s">
        <v>580</v>
      </c>
      <c r="B34" s="21">
        <f>VLOOKUP($F34,econmon!$A$4:$AA$54,18,FALSE)</f>
        <v>-10.114726027397259</v>
      </c>
      <c r="C34" s="21">
        <f>VLOOKUP($F34,econmon!$A$4:$AA$54,19,FALSE)</f>
        <v>-19.579026217228467</v>
      </c>
      <c r="D34" s="21">
        <f>VLOOKUP($F34,econmon!$A$4:$AA$54,17,FALSE)</f>
        <v>8.1615267175572335</v>
      </c>
      <c r="E34" s="21">
        <f>VLOOKUP($F34,econmon!$A$4:$X$54,20,FALSE)</f>
        <v>2.3994604003481301</v>
      </c>
      <c r="F34" t="s">
        <v>472</v>
      </c>
    </row>
    <row r="35" spans="1:6" ht="15.75" customHeight="1" x14ac:dyDescent="0.25">
      <c r="A35" s="20" t="s">
        <v>581</v>
      </c>
      <c r="B35" s="21">
        <f>VLOOKUP($F35,econmon!$A$4:$AA$54,18,FALSE)</f>
        <v>-0.97969081396993563</v>
      </c>
      <c r="C35" s="21">
        <f>VLOOKUP($F35,econmon!$A$4:$AA$54,19,FALSE)</f>
        <v>-12.872385103011085</v>
      </c>
      <c r="D35" s="21">
        <f>VLOOKUP($F35,econmon!$A$4:$AA$54,17,FALSE)</f>
        <v>4.2404666452854345</v>
      </c>
      <c r="E35" s="21">
        <f>VLOOKUP($F35,econmon!$A$4:$X$54,20,FALSE)</f>
        <v>-1.7391562059563603</v>
      </c>
      <c r="F35" t="s">
        <v>498</v>
      </c>
    </row>
    <row r="36" spans="1:6" ht="15.75" customHeight="1" x14ac:dyDescent="0.25">
      <c r="A36" s="20" t="s">
        <v>582</v>
      </c>
      <c r="B36" s="21">
        <f>VLOOKUP($F36,econmon!$A$4:$AA$54,18,FALSE)</f>
        <v>-9.9903069466881984</v>
      </c>
      <c r="C36" s="21">
        <f>VLOOKUP($F36,econmon!$A$4:$AA$54,19,FALSE)</f>
        <v>-4.3004444444444516</v>
      </c>
      <c r="D36" s="21">
        <f>VLOOKUP($F36,econmon!$A$4:$AA$54,17,FALSE)</f>
        <v>8.2853771073646989</v>
      </c>
      <c r="E36" s="21">
        <f>VLOOKUP($F36,econmon!$A$4:$X$54,20,FALSE)</f>
        <v>-3.5545029044255938</v>
      </c>
      <c r="F36" t="s">
        <v>474</v>
      </c>
    </row>
    <row r="37" spans="1:6" ht="15.75" customHeight="1" x14ac:dyDescent="0.25">
      <c r="A37" s="20" t="s">
        <v>583</v>
      </c>
      <c r="B37" s="21">
        <f>VLOOKUP($F37,econmon!$A$4:$AA$54,18,FALSE)</f>
        <v>-24.441779788838613</v>
      </c>
      <c r="C37" s="21">
        <f>VLOOKUP($F37,econmon!$A$4:$AA$54,19,FALSE)</f>
        <v>10.237179487179482</v>
      </c>
      <c r="D37" s="21">
        <f>VLOOKUP($F37,econmon!$A$4:$AA$54,17,FALSE)</f>
        <v>12.922981366459618</v>
      </c>
      <c r="E37" s="21">
        <f>VLOOKUP($F37,econmon!$A$4:$X$54,20,FALSE)</f>
        <v>14.481010638297874</v>
      </c>
      <c r="F37" t="s">
        <v>473</v>
      </c>
    </row>
    <row r="38" spans="1:6" ht="15.75" customHeight="1" x14ac:dyDescent="0.25">
      <c r="A38" s="20" t="s">
        <v>584</v>
      </c>
      <c r="B38" s="21">
        <f>VLOOKUP($F38,econmon!$A$4:$AA$54,18,FALSE)</f>
        <v>-16.724426559356132</v>
      </c>
      <c r="C38" s="21">
        <f>VLOOKUP($F38,econmon!$A$4:$AA$54,19,FALSE)</f>
        <v>-97.655760368663593</v>
      </c>
      <c r="D38" s="21">
        <f>VLOOKUP($F38,econmon!$A$4:$AA$54,17,FALSE)</f>
        <v>10.560548668503223</v>
      </c>
      <c r="E38" s="21">
        <f>VLOOKUP($F38,econmon!$A$4:$X$54,20,FALSE)</f>
        <v>-1.9780067116515698</v>
      </c>
      <c r="F38" t="s">
        <v>499</v>
      </c>
    </row>
    <row r="39" spans="1:6" ht="15.75" customHeight="1" x14ac:dyDescent="0.25">
      <c r="A39" s="20" t="s">
        <v>585</v>
      </c>
      <c r="B39" s="21">
        <f>VLOOKUP($F39,econmon!$A$4:$AA$54,18,FALSE)</f>
        <v>5.3652711050103052</v>
      </c>
      <c r="C39" s="21">
        <f>VLOOKUP($F39,econmon!$A$4:$AA$54,19,FALSE)</f>
        <v>-30.470932358318091</v>
      </c>
      <c r="D39" s="21">
        <f>VLOOKUP($F39,econmon!$A$4:$AA$54,17,FALSE)</f>
        <v>4.3968304278922288</v>
      </c>
      <c r="E39" s="21">
        <f>VLOOKUP($F39,econmon!$A$4:$X$54,20,FALSE)</f>
        <v>5.0444726517424376</v>
      </c>
      <c r="F39" t="s">
        <v>500</v>
      </c>
    </row>
    <row r="40" spans="1:6" ht="15.75" customHeight="1" x14ac:dyDescent="0.25">
      <c r="A40" s="20" t="s">
        <v>586</v>
      </c>
      <c r="B40" s="21">
        <f>VLOOKUP($F40,econmon!$A$4:$AA$54,18,FALSE)</f>
        <v>-1.6234573434931954</v>
      </c>
      <c r="C40" s="21">
        <f>VLOOKUP($F40,econmon!$A$4:$AA$54,19,FALSE)</f>
        <v>11.562179487179481</v>
      </c>
      <c r="D40" s="21" t="e">
        <f>VLOOKUP($F40,econmon!$A$4:$AA$54,17,FALSE)</f>
        <v>#N/A</v>
      </c>
      <c r="E40" s="21">
        <f>VLOOKUP($F40,econmon!$A$4:$X$54,20,FALSE)</f>
        <v>4.4681518669609233E-2</v>
      </c>
      <c r="F40" t="s">
        <v>501</v>
      </c>
    </row>
    <row r="41" spans="1:6" ht="15.75" customHeight="1" x14ac:dyDescent="0.25">
      <c r="A41" s="20" t="s">
        <v>587</v>
      </c>
      <c r="B41" s="21">
        <f>VLOOKUP($F41,econmon!$A$4:$AA$54,18,FALSE)</f>
        <v>0.32587670727206586</v>
      </c>
      <c r="C41" s="21">
        <f>VLOOKUP($F41,econmon!$A$4:$AA$54,19,FALSE)</f>
        <v>10.311050477489747</v>
      </c>
      <c r="D41" s="21">
        <f>VLOOKUP($F41,econmon!$A$4:$AA$54,17,FALSE)</f>
        <v>3.5492479587451609</v>
      </c>
      <c r="E41" s="21">
        <f>VLOOKUP($F41,econmon!$A$4:$X$54,20,FALSE)</f>
        <v>1.5293706704238463</v>
      </c>
      <c r="F41" t="s">
        <v>502</v>
      </c>
    </row>
    <row r="42" spans="1:6" ht="15.75" customHeight="1" x14ac:dyDescent="0.25">
      <c r="A42" s="20" t="s">
        <v>588</v>
      </c>
      <c r="B42" s="21">
        <f>VLOOKUP($F42,econmon!$A$4:$AA$54,18,FALSE)</f>
        <v>-1.947411444141689</v>
      </c>
      <c r="C42" s="21">
        <f>VLOOKUP($F42,econmon!$A$4:$AA$54,19,FALSE)</f>
        <v>-18.09718309859155</v>
      </c>
      <c r="D42" s="21">
        <f>VLOOKUP($F42,econmon!$A$4:$AA$54,17,FALSE)</f>
        <v>3.4281879194630882</v>
      </c>
      <c r="E42" s="21">
        <f>VLOOKUP($F42,econmon!$A$4:$X$54,20,FALSE)</f>
        <v>0.20890087660148104</v>
      </c>
      <c r="F42" t="s">
        <v>503</v>
      </c>
    </row>
    <row r="43" spans="1:6" ht="15.75" customHeight="1" x14ac:dyDescent="0.25">
      <c r="A43" s="20" t="s">
        <v>589</v>
      </c>
      <c r="B43" s="21">
        <f>VLOOKUP($F43,econmon!$A$4:$AA$54,18,FALSE)</f>
        <v>2.5963191990577172</v>
      </c>
      <c r="C43" s="21">
        <f>VLOOKUP($F43,econmon!$A$4:$AA$54,19,FALSE)</f>
        <v>-1.0068965517241346</v>
      </c>
      <c r="D43" s="21">
        <f>VLOOKUP($F43,econmon!$A$4:$AA$54,17,FALSE)</f>
        <v>13.951742808798651</v>
      </c>
      <c r="E43" s="21">
        <f>VLOOKUP($F43,econmon!$A$4:$X$54,20,FALSE)</f>
        <v>6.763706654170587</v>
      </c>
      <c r="F43" t="s">
        <v>504</v>
      </c>
    </row>
    <row r="44" spans="1:6" ht="15.75" customHeight="1" x14ac:dyDescent="0.25">
      <c r="A44" s="20" t="s">
        <v>590</v>
      </c>
      <c r="B44" s="21" t="e">
        <f>VLOOKUP($F44,econmon!$A$4:$AA$54,18,FALSE)</f>
        <v>#N/A</v>
      </c>
      <c r="C44" s="21">
        <f>VLOOKUP($F44,econmon!$A$4:$AA$54,19,FALSE)</f>
        <v>-20.690625000000008</v>
      </c>
      <c r="D44" s="21">
        <f>VLOOKUP($F44,econmon!$A$4:$AA$54,17,FALSE)</f>
        <v>6.6956769055745102</v>
      </c>
      <c r="E44" s="21">
        <f>VLOOKUP($F44,econmon!$A$4:$X$54,20,FALSE)</f>
        <v>4.9788961038961022</v>
      </c>
      <c r="F44" t="s">
        <v>505</v>
      </c>
    </row>
    <row r="45" spans="1:6" ht="15.75" customHeight="1" x14ac:dyDescent="0.25">
      <c r="A45" s="20" t="s">
        <v>591</v>
      </c>
      <c r="B45" s="21">
        <f>VLOOKUP($F45,econmon!$A$4:$AA$54,18,FALSE)</f>
        <v>-8.5900763358778605</v>
      </c>
      <c r="C45" s="21">
        <f>VLOOKUP($F45,econmon!$A$4:$AA$54,19,FALSE)</f>
        <v>-7.65030769230769</v>
      </c>
      <c r="D45" s="21">
        <f>VLOOKUP($F45,econmon!$A$4:$AA$54,17,FALSE)</f>
        <v>3.9231561133831638</v>
      </c>
      <c r="E45" s="21">
        <f>VLOOKUP($F45,econmon!$A$4:$X$54,20,FALSE)</f>
        <v>1.490050960407685</v>
      </c>
      <c r="F45" t="s">
        <v>506</v>
      </c>
    </row>
    <row r="46" spans="1:6" ht="15.75" customHeight="1" x14ac:dyDescent="0.25">
      <c r="A46" s="20" t="s">
        <v>592</v>
      </c>
      <c r="B46" s="21" t="e">
        <f>VLOOKUP($F46,econmon!$A$4:$AA$54,18,FALSE)</f>
        <v>#N/A</v>
      </c>
      <c r="C46" s="21" t="e">
        <f>VLOOKUP($F46,econmon!$A$4:$AA$54,19,FALSE)</f>
        <v>#N/A</v>
      </c>
      <c r="D46" s="21">
        <f>VLOOKUP($F46,econmon!$A$4:$AA$54,17,FALSE)</f>
        <v>5.8595093198606785</v>
      </c>
      <c r="E46" s="21">
        <f>VLOOKUP($F46,econmon!$A$4:$X$54,20,FALSE)</f>
        <v>7.4679197122635932</v>
      </c>
      <c r="F46" t="s">
        <v>507</v>
      </c>
    </row>
    <row r="47" spans="1:6" ht="15.75" customHeight="1" x14ac:dyDescent="0.25">
      <c r="A47" s="20" t="s">
        <v>593</v>
      </c>
      <c r="B47" s="21">
        <f>VLOOKUP($F47,econmon!$A$4:$AA$54,18,FALSE)</f>
        <v>1.0738766980146419</v>
      </c>
      <c r="C47" s="21">
        <f>VLOOKUP($F47,econmon!$A$4:$AA$54,19,FALSE)</f>
        <v>11.494025157232702</v>
      </c>
      <c r="D47" s="21">
        <f>VLOOKUP($F47,econmon!$A$4:$AA$54,17,FALSE)</f>
        <v>-9.3169436997319046</v>
      </c>
      <c r="E47" s="21">
        <f>VLOOKUP($F47,econmon!$A$4:$X$54,20,FALSE)</f>
        <v>-0.70960960960960717</v>
      </c>
      <c r="F47" t="s">
        <v>508</v>
      </c>
    </row>
    <row r="48" spans="1:6" ht="15.75" customHeight="1" x14ac:dyDescent="0.25">
      <c r="A48" s="20" t="s">
        <v>594</v>
      </c>
      <c r="B48" s="21">
        <f>VLOOKUP($F48,econmon!$A$4:$AA$54,18,FALSE)</f>
        <v>1.1489614243323398</v>
      </c>
      <c r="C48" s="21">
        <f>VLOOKUP($F48,econmon!$A$4:$AA$54,19,FALSE)</f>
        <v>7.743269230769223</v>
      </c>
      <c r="D48" s="21">
        <f>VLOOKUP($F48,econmon!$A$4:$AA$54,17,FALSE)</f>
        <v>3.6213256484149969</v>
      </c>
      <c r="E48" s="21">
        <f>VLOOKUP($F48,econmon!$A$4:$X$54,20,FALSE)</f>
        <v>3.221455805892548</v>
      </c>
      <c r="F48" t="s">
        <v>509</v>
      </c>
    </row>
    <row r="49" spans="1:6" ht="15.75" customHeight="1" x14ac:dyDescent="0.25">
      <c r="A49" s="20" t="s">
        <v>595</v>
      </c>
      <c r="B49" s="21">
        <f>VLOOKUP($F49,econmon!$A$4:$AA$54,18,FALSE)</f>
        <v>1.761870305916835</v>
      </c>
      <c r="C49" s="21">
        <f>VLOOKUP($F49,econmon!$A$4:$AA$54,19,FALSE)</f>
        <v>-5.1721534653465291</v>
      </c>
      <c r="D49" s="21">
        <f>VLOOKUP($F49,econmon!$A$4:$AA$54,17,FALSE)</f>
        <v>-2.7992671009771986</v>
      </c>
      <c r="E49" s="21">
        <f>VLOOKUP($F49,econmon!$A$4:$X$54,20,FALSE)</f>
        <v>0.66605442176870255</v>
      </c>
      <c r="F49" t="s">
        <v>510</v>
      </c>
    </row>
    <row r="50" spans="1:6" ht="15.75" customHeight="1" x14ac:dyDescent="0.25">
      <c r="A50" s="20" t="s">
        <v>596</v>
      </c>
      <c r="B50" s="21" t="e">
        <f>VLOOKUP($F50,econmon!$A$4:$AA$54,18,FALSE)</f>
        <v>#N/A</v>
      </c>
      <c r="C50" s="21" t="e">
        <f>VLOOKUP($F50,econmon!$A$4:$AA$54,19,FALSE)</f>
        <v>#N/A</v>
      </c>
      <c r="D50" s="21">
        <f>VLOOKUP($F50,econmon!$A$4:$AA$54,17,FALSE)</f>
        <v>2.3384675800680599</v>
      </c>
      <c r="E50" s="21">
        <f>VLOOKUP($F50,econmon!$A$4:$X$54,20,FALSE)</f>
        <v>0.20389793362554087</v>
      </c>
      <c r="F50" t="s">
        <v>511</v>
      </c>
    </row>
    <row r="51" spans="1:6" ht="15.75" customHeight="1" x14ac:dyDescent="0.25">
      <c r="A51" s="20" t="s">
        <v>597</v>
      </c>
      <c r="B51" s="21">
        <f>VLOOKUP($F51,econmon!$A$4:$AA$54,18,FALSE)</f>
        <v>0.57495779403489156</v>
      </c>
      <c r="C51" s="21">
        <f>VLOOKUP($F51,econmon!$A$4:$AA$54,19,FALSE)</f>
        <v>-9.615384615384615</v>
      </c>
      <c r="D51" s="21">
        <f>VLOOKUP($F51,econmon!$A$4:$AA$54,17,FALSE)</f>
        <v>-0.93298804780876932</v>
      </c>
      <c r="E51" s="21">
        <f>VLOOKUP($F51,econmon!$A$4:$X$54,20,FALSE)</f>
        <v>1.2107413569975911</v>
      </c>
      <c r="F51" t="s">
        <v>512</v>
      </c>
    </row>
    <row r="52" spans="1:6" ht="15.75" customHeight="1" x14ac:dyDescent="0.25">
      <c r="A52" s="20" t="s">
        <v>598</v>
      </c>
      <c r="B52" s="21">
        <f>VLOOKUP($F52,econmon!$A$4:$AA$54,18,FALSE)</f>
        <v>-9.6126855600539791</v>
      </c>
      <c r="C52" s="21">
        <f>VLOOKUP($F52,econmon!$A$4:$AA$54,19,FALSE)</f>
        <v>-2.6226321036889377</v>
      </c>
      <c r="D52" s="21">
        <f>VLOOKUP($F52,econmon!$A$4:$AA$54,17,FALSE)</f>
        <v>4.2343826747041735</v>
      </c>
      <c r="E52" s="21">
        <f>VLOOKUP($F52,econmon!$A$4:$X$54,20,FALSE)</f>
        <v>-2.7227958271236918</v>
      </c>
      <c r="F52" t="s">
        <v>513</v>
      </c>
    </row>
    <row r="53" spans="1:6" ht="15.75" customHeight="1" x14ac:dyDescent="0.25">
      <c r="A53" s="22" t="s">
        <v>599</v>
      </c>
      <c r="B53" s="21" t="e">
        <f>VLOOKUP($F53,econmon!$A$4:$AA$54,18,FALSE)</f>
        <v>#N/A</v>
      </c>
      <c r="C53" s="21" t="e">
        <f>VLOOKUP($F53,econmon!$A$4:$AA$54,19,FALSE)</f>
        <v>#N/A</v>
      </c>
      <c r="D53" s="21">
        <f>VLOOKUP($F53,econmon!$A$4:$AA$54,17,FALSE)</f>
        <v>11.082981715893103</v>
      </c>
      <c r="E53" s="21">
        <f>VLOOKUP($F53,econmon!$A$4:$X$54,20,FALSE)</f>
        <v>6.459255856683499</v>
      </c>
      <c r="F53" t="s">
        <v>514</v>
      </c>
    </row>
    <row r="54" spans="1:6" ht="15.75" customHeight="1" x14ac:dyDescent="0.25">
      <c r="A54" s="20" t="s">
        <v>606</v>
      </c>
      <c r="B54" s="21">
        <f>+econmon!R55</f>
        <v>-1.6323766720036326</v>
      </c>
      <c r="C54" s="21">
        <f>+econmon!S55</f>
        <v>2.3186101919258739</v>
      </c>
      <c r="D54" s="21">
        <f>+econmon!Q55</f>
        <v>5.0551686705116561</v>
      </c>
      <c r="E54" s="21">
        <f>+econmon!T55</f>
        <v>1.6239252562738393</v>
      </c>
      <c r="F54" t="s">
        <v>608</v>
      </c>
    </row>
    <row r="55" spans="1:6" x14ac:dyDescent="0.25">
      <c r="E55" s="1">
        <f>COUNTIF(E3:E53,"&lt;-5")</f>
        <v>2</v>
      </c>
    </row>
    <row r="56" spans="1:6" x14ac:dyDescent="0.25">
      <c r="E56" s="1">
        <f>COUNTIF(E4:E54,"&lt;0")</f>
        <v>15</v>
      </c>
    </row>
  </sheetData>
  <mergeCells count="1">
    <mergeCell ref="A1:E1"/>
  </mergeCells>
  <pageMargins left="0.7" right="0.7" top="0.75" bottom="0.75" header="0.3" footer="0.3"/>
  <pageSetup scale="82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>
    <pageSetUpPr fitToPage="1"/>
  </sheetPr>
  <dimension ref="A1:O69"/>
  <sheetViews>
    <sheetView zoomScaleNormal="100" workbookViewId="0">
      <selection activeCell="C53" sqref="C53"/>
    </sheetView>
  </sheetViews>
  <sheetFormatPr defaultRowHeight="15.75" x14ac:dyDescent="0.25"/>
  <cols>
    <col min="1" max="1" width="17.5" bestFit="1" customWidth="1"/>
    <col min="2" max="2" width="19.125" customWidth="1"/>
    <col min="3" max="3" width="13.375" customWidth="1"/>
    <col min="4" max="4" width="11.25" customWidth="1"/>
    <col min="15" max="15" width="15" bestFit="1" customWidth="1"/>
  </cols>
  <sheetData>
    <row r="1" spans="1:15" x14ac:dyDescent="0.25">
      <c r="A1" s="120" t="s">
        <v>605</v>
      </c>
      <c r="B1" s="121"/>
      <c r="C1" s="121"/>
      <c r="D1" s="122"/>
    </row>
    <row r="2" spans="1:15" ht="86.25" customHeight="1" x14ac:dyDescent="0.25">
      <c r="A2" s="9" t="s">
        <v>542</v>
      </c>
      <c r="B2" s="85" t="s">
        <v>976</v>
      </c>
      <c r="C2" s="85" t="s">
        <v>946</v>
      </c>
      <c r="D2" s="61" t="s">
        <v>947</v>
      </c>
      <c r="E2" s="50" t="s">
        <v>715</v>
      </c>
      <c r="I2" t="s">
        <v>752</v>
      </c>
    </row>
    <row r="3" spans="1:15" ht="34.5" customHeight="1" x14ac:dyDescent="0.25">
      <c r="A3" s="10" t="s">
        <v>549</v>
      </c>
      <c r="B3" s="8">
        <f ca="1">100*VLOOKUP(E3,econmon!$A$4:$L$54, 11, FALSE)</f>
        <v>6.8071904370836656</v>
      </c>
      <c r="C3" s="8">
        <f t="shared" ref="C3:C34" si="0">VLOOKUP(E3,$J$5:$O$55,5,FALSE)*100</f>
        <v>1.6432176994952252</v>
      </c>
      <c r="D3" s="14">
        <f t="shared" ref="D3:D34" si="1">VLOOKUP($E3,$J$5:$O$55, 6, FALSE)*100</f>
        <v>-4.7695713423223989</v>
      </c>
      <c r="E3" t="str">
        <f>VLOOKUP(A3,'Table 1'!$A$3:$H$53, 8, FALSE)</f>
        <v>AL</v>
      </c>
      <c r="F3">
        <f>+RANK(C3,$C$3:$C$53)</f>
        <v>44</v>
      </c>
      <c r="G3">
        <f t="shared" ref="G3:G52" si="2">IF(F3&lt;13,1,IF(F3&lt;25,2,IF(F3&lt;37,3,4)))</f>
        <v>4</v>
      </c>
    </row>
    <row r="4" spans="1:15" x14ac:dyDescent="0.25">
      <c r="A4" s="10" t="s">
        <v>550</v>
      </c>
      <c r="B4" s="8">
        <f ca="1">100*VLOOKUP(E4,econmon!$A$4:$L$54, 11, FALSE)</f>
        <v>7.7413479052823364</v>
      </c>
      <c r="C4" s="8">
        <f t="shared" si="0"/>
        <v>2.3601625313391494</v>
      </c>
      <c r="D4" s="14">
        <f t="shared" si="1"/>
        <v>6.1788180432248208</v>
      </c>
      <c r="E4" t="str">
        <f>VLOOKUP(A4,'Table 1'!$A$3:$H$53, 8, FALSE)</f>
        <v>AK</v>
      </c>
      <c r="F4">
        <f t="shared" ref="F4:F53" si="3">+RANK(C4,$C$3:$C$53)</f>
        <v>38</v>
      </c>
      <c r="G4">
        <f t="shared" si="2"/>
        <v>4</v>
      </c>
      <c r="J4" s="57" t="s">
        <v>664</v>
      </c>
      <c r="K4" s="57" t="s">
        <v>742</v>
      </c>
      <c r="L4" s="57" t="s">
        <v>729</v>
      </c>
      <c r="M4" s="57" t="s">
        <v>728</v>
      </c>
      <c r="N4" s="57" t="s">
        <v>727</v>
      </c>
      <c r="O4" s="57" t="s">
        <v>726</v>
      </c>
    </row>
    <row r="5" spans="1:15" x14ac:dyDescent="0.25">
      <c r="A5" s="10" t="s">
        <v>551</v>
      </c>
      <c r="B5" s="8">
        <f ca="1">100*VLOOKUP(E5,econmon!$A$4:$L$54, 11, FALSE)</f>
        <v>5.3086106172212322</v>
      </c>
      <c r="C5" s="8">
        <f t="shared" si="0"/>
        <v>6.568623055194367</v>
      </c>
      <c r="D5" s="14">
        <f t="shared" si="1"/>
        <v>-25.473472971278067</v>
      </c>
      <c r="E5" t="str">
        <f>VLOOKUP(A5,'Table 1'!$A$3:$H$53, 8, FALSE)</f>
        <v>AZ</v>
      </c>
      <c r="F5">
        <f t="shared" si="3"/>
        <v>10</v>
      </c>
      <c r="G5">
        <f t="shared" si="2"/>
        <v>1</v>
      </c>
      <c r="J5" s="56" t="s">
        <v>466</v>
      </c>
      <c r="K5" s="55">
        <f>'FHFA House Price Appreciation'!C16</f>
        <v>223.02</v>
      </c>
      <c r="L5" s="55">
        <f>'FHFA House Price Appreciation'!D16</f>
        <v>231.34</v>
      </c>
      <c r="M5" s="55">
        <f>'FHFA House Price Appreciation'!E16</f>
        <v>236.8</v>
      </c>
      <c r="N5" s="2">
        <f t="shared" ref="N5:N36" si="4">+M5/L5-1</f>
        <v>2.3601625313391494E-2</v>
      </c>
      <c r="O5" s="2">
        <f t="shared" ref="O5:O36" si="5">+M5/K5-1</f>
        <v>6.1788180432248208E-2</v>
      </c>
    </row>
    <row r="6" spans="1:15" x14ac:dyDescent="0.25">
      <c r="A6" s="10" t="s">
        <v>552</v>
      </c>
      <c r="B6" s="8">
        <f ca="1">100*VLOOKUP(E6,econmon!$A$4:$L$54, 11, FALSE)</f>
        <v>-2.7397260273972601</v>
      </c>
      <c r="C6" s="8">
        <f t="shared" si="0"/>
        <v>1.9154662023112223</v>
      </c>
      <c r="D6" s="14">
        <f t="shared" si="1"/>
        <v>-0.12410797393732631</v>
      </c>
      <c r="E6" t="str">
        <f>VLOOKUP(A6,'Table 1'!$A$3:$H$53, 8, FALSE)</f>
        <v>AR</v>
      </c>
      <c r="F6">
        <f t="shared" si="3"/>
        <v>41</v>
      </c>
      <c r="G6">
        <f t="shared" si="2"/>
        <v>4</v>
      </c>
      <c r="J6" s="56" t="s">
        <v>465</v>
      </c>
      <c r="K6" s="55">
        <f>'FHFA House Price Appreciation'!C17</f>
        <v>198.76</v>
      </c>
      <c r="L6" s="55">
        <f>'FHFA House Price Appreciation'!D17</f>
        <v>186.22</v>
      </c>
      <c r="M6" s="55">
        <f>'FHFA House Price Appreciation'!E17</f>
        <v>189.28</v>
      </c>
      <c r="N6" s="2">
        <f t="shared" si="4"/>
        <v>1.6432176994952252E-2</v>
      </c>
      <c r="O6" s="2">
        <f t="shared" si="5"/>
        <v>-4.7695713423223984E-2</v>
      </c>
    </row>
    <row r="7" spans="1:15" x14ac:dyDescent="0.25">
      <c r="A7" s="10" t="s">
        <v>553</v>
      </c>
      <c r="B7" s="8">
        <f ca="1">100*VLOOKUP(E7,econmon!$A$4:$L$54, 11, FALSE)</f>
        <v>-3.1521319077676191</v>
      </c>
      <c r="C7" s="8">
        <f t="shared" si="0"/>
        <v>8.1166549543218558</v>
      </c>
      <c r="D7" s="14">
        <f t="shared" si="1"/>
        <v>-21.163207788880346</v>
      </c>
      <c r="E7" t="str">
        <f>VLOOKUP(A7,'Table 1'!$A$3:$H$53, 8, FALSE)</f>
        <v>CA</v>
      </c>
      <c r="F7">
        <f t="shared" si="3"/>
        <v>3</v>
      </c>
      <c r="G7">
        <f t="shared" si="2"/>
        <v>1</v>
      </c>
      <c r="J7" s="56" t="s">
        <v>475</v>
      </c>
      <c r="K7" s="55">
        <f>'FHFA House Price Appreciation'!C18</f>
        <v>193.38</v>
      </c>
      <c r="L7" s="55">
        <f>'FHFA House Price Appreciation'!D18</f>
        <v>189.51</v>
      </c>
      <c r="M7" s="55">
        <f>'FHFA House Price Appreciation'!E18</f>
        <v>193.14</v>
      </c>
      <c r="N7" s="2">
        <f t="shared" si="4"/>
        <v>1.9154662023112223E-2</v>
      </c>
      <c r="O7" s="2">
        <f t="shared" si="5"/>
        <v>-1.2410797393732631E-3</v>
      </c>
    </row>
    <row r="8" spans="1:15" x14ac:dyDescent="0.25">
      <c r="A8" s="10" t="s">
        <v>554</v>
      </c>
      <c r="B8" s="8">
        <f ca="1">100*VLOOKUP(E8,econmon!$A$4:$L$54, 11, FALSE)</f>
        <v>0.3988183161004466</v>
      </c>
      <c r="C8" s="8">
        <f t="shared" si="0"/>
        <v>6.9630900155028375</v>
      </c>
      <c r="D8" s="14">
        <f t="shared" si="1"/>
        <v>16.425519692672253</v>
      </c>
      <c r="E8" t="str">
        <f>VLOOKUP(A8,'Table 1'!$A$3:$H$53, 8, FALSE)</f>
        <v>CO</v>
      </c>
      <c r="F8">
        <f t="shared" si="3"/>
        <v>8</v>
      </c>
      <c r="G8">
        <f t="shared" si="2"/>
        <v>1</v>
      </c>
      <c r="J8" s="56" t="s">
        <v>476</v>
      </c>
      <c r="K8" s="55">
        <f>'FHFA House Price Appreciation'!C19</f>
        <v>318.92</v>
      </c>
      <c r="L8" s="55">
        <f>'FHFA House Price Appreciation'!D19</f>
        <v>223.03</v>
      </c>
      <c r="M8" s="55">
        <f>'FHFA House Price Appreciation'!E19</f>
        <v>237.68</v>
      </c>
      <c r="N8" s="2">
        <f t="shared" si="4"/>
        <v>6.568623055194367E-2</v>
      </c>
      <c r="O8" s="2">
        <f t="shared" si="5"/>
        <v>-0.25473472971278066</v>
      </c>
    </row>
    <row r="9" spans="1:15" x14ac:dyDescent="0.25">
      <c r="A9" s="10" t="s">
        <v>555</v>
      </c>
      <c r="B9" s="8">
        <f ca="1">100*VLOOKUP(E9,econmon!$A$4:$L$54, 11, FALSE)</f>
        <v>-5.4364471669218979</v>
      </c>
      <c r="C9" s="8">
        <f t="shared" si="0"/>
        <v>-1.270883054892602</v>
      </c>
      <c r="D9" s="14">
        <f t="shared" si="1"/>
        <v>-16.932730923694773</v>
      </c>
      <c r="E9" t="str">
        <f>VLOOKUP(A9,'Table 1'!$A$3:$H$53, 8, FALSE)</f>
        <v>CT</v>
      </c>
      <c r="F9">
        <f t="shared" si="3"/>
        <v>51</v>
      </c>
      <c r="G9">
        <f t="shared" si="2"/>
        <v>4</v>
      </c>
      <c r="J9" s="56" t="s">
        <v>467</v>
      </c>
      <c r="K9" s="55">
        <f>'FHFA House Price Appreciation'!C20</f>
        <v>273.20999999999998</v>
      </c>
      <c r="L9" s="55">
        <f>'FHFA House Price Appreciation'!D20</f>
        <v>199.22</v>
      </c>
      <c r="M9" s="55">
        <f>'FHFA House Price Appreciation'!E20</f>
        <v>215.39</v>
      </c>
      <c r="N9" s="2">
        <f t="shared" si="4"/>
        <v>8.1166549543218558E-2</v>
      </c>
      <c r="O9" s="2">
        <f t="shared" si="5"/>
        <v>-0.21163207788880345</v>
      </c>
    </row>
    <row r="10" spans="1:15" x14ac:dyDescent="0.25">
      <c r="A10" s="10" t="s">
        <v>556</v>
      </c>
      <c r="B10" s="8">
        <f ca="1">100*VLOOKUP(E10,econmon!$A$4:$L$54, 11, FALSE)</f>
        <v>-7.6283826976347724</v>
      </c>
      <c r="C10" s="8">
        <f t="shared" si="0"/>
        <v>2.1742675436198233E-2</v>
      </c>
      <c r="D10" s="14">
        <f t="shared" si="1"/>
        <v>-15.692293594795203</v>
      </c>
      <c r="E10" t="str">
        <f>VLOOKUP(A10,'Table 1'!$A$3:$H$53, 8, FALSE)</f>
        <v>DE</v>
      </c>
      <c r="F10">
        <f t="shared" si="3"/>
        <v>50</v>
      </c>
      <c r="G10">
        <f t="shared" si="2"/>
        <v>4</v>
      </c>
      <c r="J10" s="56" t="s">
        <v>477</v>
      </c>
      <c r="K10" s="55">
        <f>'FHFA House Price Appreciation'!C21</f>
        <v>278.52999999999997</v>
      </c>
      <c r="L10" s="55">
        <f>'FHFA House Price Appreciation'!D21</f>
        <v>303.17</v>
      </c>
      <c r="M10" s="55">
        <f>'FHFA House Price Appreciation'!E21</f>
        <v>324.27999999999997</v>
      </c>
      <c r="N10" s="2">
        <f t="shared" si="4"/>
        <v>6.9630900155028375E-2</v>
      </c>
      <c r="O10" s="2">
        <f t="shared" si="5"/>
        <v>0.16425519692672252</v>
      </c>
    </row>
    <row r="11" spans="1:15" x14ac:dyDescent="0.25">
      <c r="A11" s="10" t="s">
        <v>557</v>
      </c>
      <c r="B11" s="8">
        <f ca="1">100*VLOOKUP(E11,econmon!$A$4:$L$54, 11, FALSE)</f>
        <v>24.731182795698924</v>
      </c>
      <c r="C11" s="8">
        <f t="shared" si="0"/>
        <v>4.8384831460674294</v>
      </c>
      <c r="D11" s="14">
        <f t="shared" si="1"/>
        <v>31.56395041419422</v>
      </c>
      <c r="E11" t="str">
        <f>VLOOKUP(A11,'Table 1'!$A$3:$H$53, 8, FALSE)</f>
        <v>DC</v>
      </c>
      <c r="F11">
        <f t="shared" si="3"/>
        <v>16</v>
      </c>
      <c r="G11">
        <f t="shared" si="2"/>
        <v>2</v>
      </c>
      <c r="J11" s="56" t="s">
        <v>468</v>
      </c>
      <c r="K11" s="55">
        <f>'FHFA House Price Appreciation'!C22</f>
        <v>199.2</v>
      </c>
      <c r="L11" s="55">
        <f>'FHFA House Price Appreciation'!D22</f>
        <v>167.6</v>
      </c>
      <c r="M11" s="55">
        <f>'FHFA House Price Appreciation'!E22</f>
        <v>165.47</v>
      </c>
      <c r="N11" s="2">
        <f t="shared" si="4"/>
        <v>-1.270883054892602E-2</v>
      </c>
      <c r="O11" s="2">
        <f t="shared" si="5"/>
        <v>-0.16932730923694772</v>
      </c>
    </row>
    <row r="12" spans="1:15" x14ac:dyDescent="0.25">
      <c r="A12" s="10" t="s">
        <v>558</v>
      </c>
      <c r="B12" s="8">
        <f ca="1">100*VLOOKUP(E12,econmon!$A$4:$L$54, 11, FALSE)</f>
        <v>-10.917774325335172</v>
      </c>
      <c r="C12" s="8">
        <f t="shared" si="0"/>
        <v>7.8544812708374101</v>
      </c>
      <c r="D12" s="14">
        <f t="shared" si="1"/>
        <v>-28.654363830960339</v>
      </c>
      <c r="E12" t="str">
        <f>VLOOKUP(A12,'Table 1'!$A$3:$H$53, 8, FALSE)</f>
        <v>FL</v>
      </c>
      <c r="F12">
        <f t="shared" si="3"/>
        <v>5</v>
      </c>
      <c r="G12">
        <f t="shared" si="2"/>
        <v>1</v>
      </c>
      <c r="J12" s="56" t="s">
        <v>600</v>
      </c>
      <c r="K12" s="55">
        <f>'FHFA House Price Appreciation'!C23</f>
        <v>340.42</v>
      </c>
      <c r="L12" s="55">
        <f>'FHFA House Price Appreciation'!D23</f>
        <v>427.2</v>
      </c>
      <c r="M12" s="55">
        <f>'FHFA House Price Appreciation'!E23</f>
        <v>447.87</v>
      </c>
      <c r="N12" s="2">
        <f t="shared" si="4"/>
        <v>4.8384831460674294E-2</v>
      </c>
      <c r="O12" s="2">
        <f t="shared" si="5"/>
        <v>0.3156395041419422</v>
      </c>
    </row>
    <row r="13" spans="1:15" x14ac:dyDescent="0.25">
      <c r="A13" s="10" t="s">
        <v>559</v>
      </c>
      <c r="B13" s="8">
        <f ca="1">100*VLOOKUP(E13,econmon!$A$4:$L$54, 11, FALSE)</f>
        <v>-4.8156357042111626</v>
      </c>
      <c r="C13" s="8">
        <f t="shared" si="0"/>
        <v>6.6643745344106442</v>
      </c>
      <c r="D13" s="14">
        <f t="shared" si="1"/>
        <v>-7.0833125343183863</v>
      </c>
      <c r="E13" t="str">
        <f>VLOOKUP(A13,'Table 1'!$A$3:$H$53, 8, FALSE)</f>
        <v>GA</v>
      </c>
      <c r="F13">
        <f t="shared" si="3"/>
        <v>9</v>
      </c>
      <c r="G13">
        <f t="shared" si="2"/>
        <v>1</v>
      </c>
      <c r="J13" s="56" t="s">
        <v>469</v>
      </c>
      <c r="K13" s="55">
        <f>'FHFA House Price Appreciation'!C24</f>
        <v>218.26</v>
      </c>
      <c r="L13" s="55">
        <f>'FHFA House Price Appreciation'!D24</f>
        <v>183.97</v>
      </c>
      <c r="M13" s="55">
        <f>'FHFA House Price Appreciation'!E24</f>
        <v>184.01</v>
      </c>
      <c r="N13" s="2">
        <f t="shared" si="4"/>
        <v>2.1742675436198233E-4</v>
      </c>
      <c r="O13" s="2">
        <f t="shared" si="5"/>
        <v>-0.15692293594795204</v>
      </c>
    </row>
    <row r="14" spans="1:15" x14ac:dyDescent="0.25">
      <c r="A14" s="10" t="s">
        <v>560</v>
      </c>
      <c r="B14" s="8">
        <f ca="1">100*VLOOKUP(E14,econmon!$A$4:$L$54, 11, FALSE)</f>
        <v>-39.551661942798248</v>
      </c>
      <c r="C14" s="8">
        <f t="shared" si="0"/>
        <v>8.1374501992031778</v>
      </c>
      <c r="D14" s="14">
        <f t="shared" si="1"/>
        <v>-9.6618357487920914E-2</v>
      </c>
      <c r="E14" t="str">
        <f>VLOOKUP(A14,'Table 1'!$A$3:$H$53, 8, FALSE)</f>
        <v>HI</v>
      </c>
      <c r="F14">
        <f t="shared" si="3"/>
        <v>2</v>
      </c>
      <c r="G14">
        <f t="shared" si="2"/>
        <v>1</v>
      </c>
      <c r="J14" s="56" t="s">
        <v>470</v>
      </c>
      <c r="K14" s="55">
        <f>'FHFA House Price Appreciation'!C25</f>
        <v>308.33</v>
      </c>
      <c r="L14" s="55">
        <f>'FHFA House Price Appreciation'!D25</f>
        <v>203.96</v>
      </c>
      <c r="M14" s="55">
        <f>'FHFA House Price Appreciation'!E25</f>
        <v>219.98</v>
      </c>
      <c r="N14" s="2">
        <f t="shared" si="4"/>
        <v>7.8544812708374101E-2</v>
      </c>
      <c r="O14" s="2">
        <f t="shared" si="5"/>
        <v>-0.28654363830960339</v>
      </c>
    </row>
    <row r="15" spans="1:15" x14ac:dyDescent="0.25">
      <c r="A15" s="10" t="s">
        <v>561</v>
      </c>
      <c r="B15" s="8">
        <f ca="1">100*VLOOKUP(E15,econmon!$A$4:$L$54, 11, FALSE)</f>
        <v>-1.0443557850269847</v>
      </c>
      <c r="C15" s="8">
        <f t="shared" si="0"/>
        <v>3.7660691653087275</v>
      </c>
      <c r="D15" s="14">
        <f t="shared" si="1"/>
        <v>-12.131549695273858</v>
      </c>
      <c r="E15" t="str">
        <f>VLOOKUP(A15,'Table 1'!$A$3:$H$53, 8, FALSE)</f>
        <v>ID</v>
      </c>
      <c r="F15">
        <f t="shared" si="3"/>
        <v>21</v>
      </c>
      <c r="G15">
        <f t="shared" si="2"/>
        <v>2</v>
      </c>
      <c r="J15" s="56" t="s">
        <v>471</v>
      </c>
      <c r="K15" s="55">
        <f>'FHFA House Price Appreciation'!C26</f>
        <v>200.33</v>
      </c>
      <c r="L15" s="55">
        <f>'FHFA House Price Appreciation'!D26</f>
        <v>174.51</v>
      </c>
      <c r="M15" s="55">
        <f>'FHFA House Price Appreciation'!E26</f>
        <v>186.14</v>
      </c>
      <c r="N15" s="2">
        <f t="shared" si="4"/>
        <v>6.6643745344106442E-2</v>
      </c>
      <c r="O15" s="2">
        <f t="shared" si="5"/>
        <v>-7.0833125343183867E-2</v>
      </c>
    </row>
    <row r="16" spans="1:15" x14ac:dyDescent="0.25">
      <c r="A16" s="10" t="s">
        <v>562</v>
      </c>
      <c r="B16" s="8">
        <f ca="1">100*VLOOKUP(E16,econmon!$A$4:$L$54, 11, FALSE)</f>
        <v>9.2512077294685913</v>
      </c>
      <c r="C16" s="8">
        <f t="shared" si="0"/>
        <v>3.5543130990415284</v>
      </c>
      <c r="D16" s="14">
        <f t="shared" si="1"/>
        <v>-15.54138941882649</v>
      </c>
      <c r="E16" t="str">
        <f>VLOOKUP(A16,'Table 1'!$A$3:$H$53, 8, FALSE)</f>
        <v>IL</v>
      </c>
      <c r="F16">
        <f t="shared" si="3"/>
        <v>24</v>
      </c>
      <c r="G16">
        <f t="shared" si="2"/>
        <v>2</v>
      </c>
      <c r="J16" s="56" t="s">
        <v>478</v>
      </c>
      <c r="K16" s="55">
        <f>'FHFA House Price Appreciation'!C27</f>
        <v>217.35</v>
      </c>
      <c r="L16" s="55">
        <f>'FHFA House Price Appreciation'!D27</f>
        <v>200.8</v>
      </c>
      <c r="M16" s="55">
        <f>'FHFA House Price Appreciation'!E27</f>
        <v>217.14</v>
      </c>
      <c r="N16" s="2">
        <f t="shared" si="4"/>
        <v>8.1374501992031778E-2</v>
      </c>
      <c r="O16" s="2">
        <f t="shared" si="5"/>
        <v>-9.6618357487920914E-4</v>
      </c>
    </row>
    <row r="17" spans="1:15" x14ac:dyDescent="0.25">
      <c r="A17" s="10" t="s">
        <v>563</v>
      </c>
      <c r="B17" s="8">
        <f ca="1">100*VLOOKUP(E17,econmon!$A$4:$L$54, 11, FALSE)</f>
        <v>-7.3082010582010586</v>
      </c>
      <c r="C17" s="8">
        <f t="shared" si="0"/>
        <v>2.6686567164179165</v>
      </c>
      <c r="D17" s="14">
        <f t="shared" si="1"/>
        <v>1.6912069067470892</v>
      </c>
      <c r="E17" t="str">
        <f>VLOOKUP(A17,'Table 1'!$A$3:$H$53, 8, FALSE)</f>
        <v>IN</v>
      </c>
      <c r="F17">
        <f t="shared" si="3"/>
        <v>35</v>
      </c>
      <c r="G17">
        <f t="shared" si="2"/>
        <v>3</v>
      </c>
      <c r="J17" s="56" t="s">
        <v>482</v>
      </c>
      <c r="K17" s="55">
        <f>'FHFA House Price Appreciation'!C28</f>
        <v>198.48</v>
      </c>
      <c r="L17" s="55">
        <f>'FHFA House Price Appreciation'!D28</f>
        <v>205.38</v>
      </c>
      <c r="M17" s="55">
        <f>'FHFA House Price Appreciation'!E28</f>
        <v>212.36</v>
      </c>
      <c r="N17" s="2">
        <f t="shared" si="4"/>
        <v>3.3985782452040203E-2</v>
      </c>
      <c r="O17" s="2">
        <f t="shared" si="5"/>
        <v>6.993147924224119E-2</v>
      </c>
    </row>
    <row r="18" spans="1:15" x14ac:dyDescent="0.25">
      <c r="A18" s="10" t="s">
        <v>564</v>
      </c>
      <c r="B18" s="8">
        <f ca="1">100*VLOOKUP(E18,econmon!$A$4:$L$54, 11, FALSE)</f>
        <v>-5.612670186162827</v>
      </c>
      <c r="C18" s="8">
        <f t="shared" si="0"/>
        <v>3.3985782452040203</v>
      </c>
      <c r="D18" s="14">
        <f t="shared" si="1"/>
        <v>6.993147924224119</v>
      </c>
      <c r="E18" t="str">
        <f>VLOOKUP(A18,'Table 1'!$A$3:$H$53, 8, FALSE)</f>
        <v>IA</v>
      </c>
      <c r="F18">
        <f t="shared" si="3"/>
        <v>27</v>
      </c>
      <c r="G18">
        <f t="shared" si="2"/>
        <v>3</v>
      </c>
      <c r="J18" s="56" t="s">
        <v>479</v>
      </c>
      <c r="K18" s="55">
        <f>'FHFA House Price Appreciation'!C29</f>
        <v>260.89</v>
      </c>
      <c r="L18" s="55">
        <f>'FHFA House Price Appreciation'!D29</f>
        <v>220.92</v>
      </c>
      <c r="M18" s="55">
        <f>'FHFA House Price Appreciation'!E29</f>
        <v>229.24</v>
      </c>
      <c r="N18" s="2">
        <f t="shared" si="4"/>
        <v>3.7660691653087275E-2</v>
      </c>
      <c r="O18" s="2">
        <f t="shared" si="5"/>
        <v>-0.12131549695273858</v>
      </c>
    </row>
    <row r="19" spans="1:15" x14ac:dyDescent="0.25">
      <c r="A19" s="10" t="s">
        <v>565</v>
      </c>
      <c r="B19" s="8">
        <f ca="1">100*VLOOKUP(E19,econmon!$A$4:$L$54, 11, FALSE)</f>
        <v>-0.77560141974497565</v>
      </c>
      <c r="C19" s="8">
        <f t="shared" si="0"/>
        <v>3.1856796116504826</v>
      </c>
      <c r="D19" s="14">
        <f t="shared" si="1"/>
        <v>3.326750721555527</v>
      </c>
      <c r="E19" t="str">
        <f>VLOOKUP(A19,'Table 1'!$A$3:$H$53, 8, FALSE)</f>
        <v>KS</v>
      </c>
      <c r="F19">
        <f t="shared" si="3"/>
        <v>29</v>
      </c>
      <c r="G19">
        <f t="shared" si="2"/>
        <v>3</v>
      </c>
      <c r="J19" s="56" t="s">
        <v>480</v>
      </c>
      <c r="K19" s="55">
        <f>'FHFA House Price Appreciation'!C30</f>
        <v>214.91</v>
      </c>
      <c r="L19" s="55">
        <f>'FHFA House Price Appreciation'!D30</f>
        <v>175.28</v>
      </c>
      <c r="M19" s="55">
        <f>'FHFA House Price Appreciation'!E30</f>
        <v>181.51</v>
      </c>
      <c r="N19" s="2">
        <f t="shared" si="4"/>
        <v>3.5543130990415284E-2</v>
      </c>
      <c r="O19" s="2">
        <f t="shared" si="5"/>
        <v>-0.1554138941882649</v>
      </c>
    </row>
    <row r="20" spans="1:15" x14ac:dyDescent="0.25">
      <c r="A20" s="10" t="s">
        <v>566</v>
      </c>
      <c r="B20" s="8">
        <f ca="1">100*VLOOKUP(E20,econmon!$A$4:$L$54, 11, FALSE)</f>
        <v>-13.059313215400625</v>
      </c>
      <c r="C20" s="8">
        <f t="shared" si="0"/>
        <v>1.7063797079169829</v>
      </c>
      <c r="D20" s="14">
        <f t="shared" si="1"/>
        <v>3.7803921568627441</v>
      </c>
      <c r="E20" t="str">
        <f>VLOOKUP(A20,'Table 1'!$A$3:$H$53, 8, FALSE)</f>
        <v>KY</v>
      </c>
      <c r="F20">
        <f t="shared" si="3"/>
        <v>43</v>
      </c>
      <c r="G20">
        <f t="shared" si="2"/>
        <v>4</v>
      </c>
      <c r="J20" s="56" t="s">
        <v>481</v>
      </c>
      <c r="K20" s="55">
        <f>'FHFA House Price Appreciation'!C31</f>
        <v>169.11</v>
      </c>
      <c r="L20" s="55">
        <f>'FHFA House Price Appreciation'!D31</f>
        <v>167.5</v>
      </c>
      <c r="M20" s="55">
        <f>'FHFA House Price Appreciation'!E31</f>
        <v>171.97</v>
      </c>
      <c r="N20" s="2">
        <f t="shared" si="4"/>
        <v>2.6686567164179165E-2</v>
      </c>
      <c r="O20" s="2">
        <f t="shared" si="5"/>
        <v>1.6912069067470892E-2</v>
      </c>
    </row>
    <row r="21" spans="1:15" x14ac:dyDescent="0.25">
      <c r="A21" s="10" t="s">
        <v>567</v>
      </c>
      <c r="B21" s="8">
        <f ca="1">100*VLOOKUP(E21,econmon!$A$4:$L$54, 11, FALSE)</f>
        <v>-5.9181415929203567</v>
      </c>
      <c r="C21" s="8">
        <f t="shared" si="0"/>
        <v>4.1604010025062754</v>
      </c>
      <c r="D21" s="14">
        <f t="shared" si="1"/>
        <v>7.0306464074169517</v>
      </c>
      <c r="E21" t="str">
        <f>VLOOKUP(A21,'Table 1'!$A$3:$H$53, 8, FALSE)</f>
        <v>LA</v>
      </c>
      <c r="F21">
        <f t="shared" si="3"/>
        <v>19</v>
      </c>
      <c r="G21">
        <f t="shared" si="2"/>
        <v>2</v>
      </c>
      <c r="J21" s="56" t="s">
        <v>483</v>
      </c>
      <c r="K21" s="55">
        <f>'FHFA House Price Appreciation'!C32</f>
        <v>197.49</v>
      </c>
      <c r="L21" s="55">
        <f>'FHFA House Price Appreciation'!D32</f>
        <v>197.76</v>
      </c>
      <c r="M21" s="55">
        <f>'FHFA House Price Appreciation'!E32</f>
        <v>204.06</v>
      </c>
      <c r="N21" s="2">
        <f t="shared" si="4"/>
        <v>3.1856796116504826E-2</v>
      </c>
      <c r="O21" s="2">
        <f t="shared" si="5"/>
        <v>3.326750721555527E-2</v>
      </c>
    </row>
    <row r="22" spans="1:15" x14ac:dyDescent="0.25">
      <c r="A22" s="10" t="s">
        <v>568</v>
      </c>
      <c r="B22" s="8">
        <f ca="1">100*VLOOKUP(E22,econmon!$A$4:$L$54, 11, FALSE)</f>
        <v>-4.1361756283805224</v>
      </c>
      <c r="C22" s="8">
        <f t="shared" si="0"/>
        <v>2.962532674992735</v>
      </c>
      <c r="D22" s="14">
        <f t="shared" si="1"/>
        <v>-3.4191527039912795</v>
      </c>
      <c r="E22" t="str">
        <f>VLOOKUP(A22,'Table 1'!$A$3:$H$53, 8, FALSE)</f>
        <v>ME</v>
      </c>
      <c r="F22">
        <f t="shared" si="3"/>
        <v>31</v>
      </c>
      <c r="G22">
        <f t="shared" si="2"/>
        <v>3</v>
      </c>
      <c r="J22" s="56" t="s">
        <v>484</v>
      </c>
      <c r="K22" s="55">
        <f>'FHFA House Price Appreciation'!C33</f>
        <v>191.25</v>
      </c>
      <c r="L22" s="55">
        <f>'FHFA House Price Appreciation'!D33</f>
        <v>195.15</v>
      </c>
      <c r="M22" s="55">
        <f>'FHFA House Price Appreciation'!E33</f>
        <v>198.48</v>
      </c>
      <c r="N22" s="2">
        <f t="shared" si="4"/>
        <v>1.7063797079169829E-2</v>
      </c>
      <c r="O22" s="2">
        <f t="shared" si="5"/>
        <v>3.7803921568627441E-2</v>
      </c>
    </row>
    <row r="23" spans="1:15" x14ac:dyDescent="0.25">
      <c r="A23" s="10" t="s">
        <v>569</v>
      </c>
      <c r="B23" s="8">
        <f ca="1">100*VLOOKUP(E23,econmon!$A$4:$L$54, 11, FALSE)</f>
        <v>-15.157339777033341</v>
      </c>
      <c r="C23" s="8">
        <f t="shared" si="0"/>
        <v>0.37796976241901703</v>
      </c>
      <c r="D23" s="14">
        <f t="shared" si="1"/>
        <v>-17.466424950978578</v>
      </c>
      <c r="E23" t="str">
        <f>VLOOKUP(A23,'Table 1'!$A$3:$H$53, 8, FALSE)</f>
        <v>MD</v>
      </c>
      <c r="F23">
        <f t="shared" si="3"/>
        <v>48</v>
      </c>
      <c r="G23">
        <f t="shared" si="2"/>
        <v>4</v>
      </c>
      <c r="J23" s="56" t="s">
        <v>485</v>
      </c>
      <c r="K23" s="55">
        <f>'FHFA House Price Appreciation'!C34</f>
        <v>232.98</v>
      </c>
      <c r="L23" s="55">
        <f>'FHFA House Price Appreciation'!D34</f>
        <v>239.4</v>
      </c>
      <c r="M23" s="55">
        <f>'FHFA House Price Appreciation'!E34</f>
        <v>249.36</v>
      </c>
      <c r="N23" s="2">
        <f t="shared" si="4"/>
        <v>4.1604010025062754E-2</v>
      </c>
      <c r="O23" s="2">
        <f t="shared" si="5"/>
        <v>7.0306464074169517E-2</v>
      </c>
    </row>
    <row r="24" spans="1:15" x14ac:dyDescent="0.25">
      <c r="A24" s="10" t="s">
        <v>570</v>
      </c>
      <c r="B24" s="8">
        <f ca="1">100*VLOOKUP(E24,econmon!$A$4:$L$54, 11, FALSE)</f>
        <v>-9.9145174252940791</v>
      </c>
      <c r="C24" s="8">
        <f t="shared" si="0"/>
        <v>4.6890748937288951</v>
      </c>
      <c r="D24" s="14">
        <f t="shared" si="1"/>
        <v>-0.62811980033278259</v>
      </c>
      <c r="E24" t="str">
        <f>VLOOKUP(A24,'Table 1'!$A$3:$H$53, 8, FALSE)</f>
        <v>MA</v>
      </c>
      <c r="F24">
        <f t="shared" si="3"/>
        <v>18</v>
      </c>
      <c r="G24">
        <f t="shared" si="2"/>
        <v>2</v>
      </c>
      <c r="J24" s="56" t="s">
        <v>488</v>
      </c>
      <c r="K24" s="55">
        <f>'FHFA House Price Appreciation'!C35</f>
        <v>240.4</v>
      </c>
      <c r="L24" s="55">
        <f>'FHFA House Price Appreciation'!D35</f>
        <v>228.19</v>
      </c>
      <c r="M24" s="55">
        <f>'FHFA House Price Appreciation'!E35</f>
        <v>238.89</v>
      </c>
      <c r="N24" s="2">
        <f t="shared" si="4"/>
        <v>4.6890748937288951E-2</v>
      </c>
      <c r="O24" s="2">
        <f t="shared" si="5"/>
        <v>-6.2811980033278259E-3</v>
      </c>
    </row>
    <row r="25" spans="1:15" x14ac:dyDescent="0.25">
      <c r="A25" s="10" t="s">
        <v>571</v>
      </c>
      <c r="B25" s="8">
        <f ca="1">100*VLOOKUP(E25,econmon!$A$4:$L$54, 11, FALSE)</f>
        <v>-0.36714089031666397</v>
      </c>
      <c r="C25" s="8">
        <f t="shared" si="0"/>
        <v>6.3089411483824964</v>
      </c>
      <c r="D25" s="14">
        <f t="shared" si="1"/>
        <v>-6.5872974248701865</v>
      </c>
      <c r="E25" t="str">
        <f>VLOOKUP(A25,'Table 1'!$A$3:$H$53, 8, FALSE)</f>
        <v>MI</v>
      </c>
      <c r="F25">
        <f t="shared" si="3"/>
        <v>11</v>
      </c>
      <c r="G25">
        <f t="shared" si="2"/>
        <v>1</v>
      </c>
      <c r="J25" s="56" t="s">
        <v>487</v>
      </c>
      <c r="K25" s="55">
        <f>'FHFA House Price Appreciation'!C36</f>
        <v>270.29000000000002</v>
      </c>
      <c r="L25" s="55">
        <f>'FHFA House Price Appreciation'!D36</f>
        <v>222.24</v>
      </c>
      <c r="M25" s="55">
        <f>'FHFA House Price Appreciation'!E36</f>
        <v>223.08</v>
      </c>
      <c r="N25" s="2">
        <f t="shared" si="4"/>
        <v>3.7796976241901703E-3</v>
      </c>
      <c r="O25" s="2">
        <f t="shared" si="5"/>
        <v>-0.17466424950978576</v>
      </c>
    </row>
    <row r="26" spans="1:15" x14ac:dyDescent="0.25">
      <c r="A26" s="10" t="s">
        <v>572</v>
      </c>
      <c r="B26" s="8">
        <f ca="1">100*VLOOKUP(E26,econmon!$A$4:$L$54, 11, FALSE)</f>
        <v>-7.3440943474894276</v>
      </c>
      <c r="C26" s="8">
        <f t="shared" si="0"/>
        <v>2.6543591555516333</v>
      </c>
      <c r="D26" s="14">
        <f t="shared" si="1"/>
        <v>-8.3947503251487703</v>
      </c>
      <c r="E26" t="str">
        <f>VLOOKUP(A26,'Table 1'!$A$3:$H$53, 8, FALSE)</f>
        <v>MN</v>
      </c>
      <c r="F26">
        <f t="shared" si="3"/>
        <v>36</v>
      </c>
      <c r="G26">
        <f t="shared" si="2"/>
        <v>3</v>
      </c>
      <c r="J26" s="56" t="s">
        <v>486</v>
      </c>
      <c r="K26" s="55">
        <f>'FHFA House Price Appreciation'!C37</f>
        <v>220.23</v>
      </c>
      <c r="L26" s="55">
        <f>'FHFA House Price Appreciation'!D37</f>
        <v>206.58</v>
      </c>
      <c r="M26" s="55">
        <f>'FHFA House Price Appreciation'!E37</f>
        <v>212.7</v>
      </c>
      <c r="N26" s="2">
        <f t="shared" si="4"/>
        <v>2.962532674992735E-2</v>
      </c>
      <c r="O26" s="2">
        <f t="shared" si="5"/>
        <v>-3.4191527039912795E-2</v>
      </c>
    </row>
    <row r="27" spans="1:15" x14ac:dyDescent="0.25">
      <c r="A27" s="10" t="s">
        <v>573</v>
      </c>
      <c r="B27" s="8">
        <f ca="1">100*VLOOKUP(E27,econmon!$A$4:$L$54, 11, FALSE)</f>
        <v>-3.2882718304713232</v>
      </c>
      <c r="C27" s="8">
        <f t="shared" si="0"/>
        <v>3.1220223081665832</v>
      </c>
      <c r="D27" s="14">
        <f t="shared" si="1"/>
        <v>-6.5284763501498926</v>
      </c>
      <c r="E27" t="str">
        <f>VLOOKUP(A27,'Table 1'!$A$3:$H$53, 8, FALSE)</f>
        <v>MS</v>
      </c>
      <c r="F27">
        <f t="shared" si="3"/>
        <v>30</v>
      </c>
      <c r="G27">
        <f t="shared" si="2"/>
        <v>3</v>
      </c>
      <c r="J27" s="56" t="s">
        <v>489</v>
      </c>
      <c r="K27" s="55">
        <f>'FHFA House Price Appreciation'!C38</f>
        <v>190.67</v>
      </c>
      <c r="L27" s="55">
        <f>'FHFA House Price Appreciation'!D38</f>
        <v>167.54</v>
      </c>
      <c r="M27" s="55">
        <f>'FHFA House Price Appreciation'!E38</f>
        <v>178.11</v>
      </c>
      <c r="N27" s="2">
        <f t="shared" si="4"/>
        <v>6.3089411483824964E-2</v>
      </c>
      <c r="O27" s="2">
        <f t="shared" si="5"/>
        <v>-6.5872974248701865E-2</v>
      </c>
    </row>
    <row r="28" spans="1:15" x14ac:dyDescent="0.25">
      <c r="A28" s="10" t="s">
        <v>574</v>
      </c>
      <c r="B28" s="8">
        <f ca="1">100*VLOOKUP(E28,econmon!$A$4:$L$54, 11, FALSE)</f>
        <v>14.572064906140625</v>
      </c>
      <c r="C28" s="8">
        <f t="shared" si="0"/>
        <v>2.8353898661065857</v>
      </c>
      <c r="D28" s="14">
        <f t="shared" si="1"/>
        <v>-4.5704818983579365</v>
      </c>
      <c r="E28" t="str">
        <f>VLOOKUP(A28,'Table 1'!$A$3:$H$53, 8, FALSE)</f>
        <v>MO</v>
      </c>
      <c r="F28">
        <f t="shared" si="3"/>
        <v>33</v>
      </c>
      <c r="G28">
        <f t="shared" si="2"/>
        <v>3</v>
      </c>
      <c r="J28" s="56" t="s">
        <v>490</v>
      </c>
      <c r="K28" s="55">
        <f>'FHFA House Price Appreciation'!C39</f>
        <v>253.73</v>
      </c>
      <c r="L28" s="55">
        <f>'FHFA House Price Appreciation'!D39</f>
        <v>226.42</v>
      </c>
      <c r="M28" s="55">
        <f>'FHFA House Price Appreciation'!E39</f>
        <v>232.43</v>
      </c>
      <c r="N28" s="2">
        <f t="shared" si="4"/>
        <v>2.6543591555516333E-2</v>
      </c>
      <c r="O28" s="2">
        <f t="shared" si="5"/>
        <v>-8.3947503251487698E-2</v>
      </c>
    </row>
    <row r="29" spans="1:15" x14ac:dyDescent="0.25">
      <c r="A29" s="10" t="s">
        <v>575</v>
      </c>
      <c r="B29" s="8">
        <f ca="1">100*VLOOKUP(E29,econmon!$A$4:$L$54, 11, FALSE)</f>
        <v>-23.036120232381919</v>
      </c>
      <c r="C29" s="8">
        <f t="shared" si="0"/>
        <v>6.1531608921128633</v>
      </c>
      <c r="D29" s="14">
        <f t="shared" si="1"/>
        <v>8.2084711681909681</v>
      </c>
      <c r="E29" t="str">
        <f>VLOOKUP(A29,'Table 1'!$A$3:$H$53, 8, FALSE)</f>
        <v>MT</v>
      </c>
      <c r="F29">
        <f t="shared" si="3"/>
        <v>12</v>
      </c>
      <c r="G29">
        <f t="shared" si="2"/>
        <v>1</v>
      </c>
      <c r="J29" s="56" t="s">
        <v>492</v>
      </c>
      <c r="K29" s="55">
        <f>'FHFA House Price Appreciation'!C40</f>
        <v>205.23</v>
      </c>
      <c r="L29" s="55">
        <f>'FHFA House Price Appreciation'!D40</f>
        <v>190.45</v>
      </c>
      <c r="M29" s="55">
        <f>'FHFA House Price Appreciation'!E40</f>
        <v>195.85</v>
      </c>
      <c r="N29" s="2">
        <f t="shared" si="4"/>
        <v>2.8353898661065857E-2</v>
      </c>
      <c r="O29" s="2">
        <f t="shared" si="5"/>
        <v>-4.5704818983579365E-2</v>
      </c>
    </row>
    <row r="30" spans="1:15" x14ac:dyDescent="0.25">
      <c r="A30" s="10" t="s">
        <v>576</v>
      </c>
      <c r="B30" s="8">
        <f ca="1">100*VLOOKUP(E30,econmon!$A$4:$L$54, 11, FALSE)</f>
        <v>-8.7838689350976722</v>
      </c>
      <c r="C30" s="8">
        <f t="shared" si="0"/>
        <v>4.7755121809463841</v>
      </c>
      <c r="D30" s="14">
        <f t="shared" si="1"/>
        <v>8.3709047189660435</v>
      </c>
      <c r="E30" t="str">
        <f>VLOOKUP(A30,'Table 1'!$A$3:$H$53, 8, FALSE)</f>
        <v>NE</v>
      </c>
      <c r="F30">
        <f>+RANK(C30,$C$3:$C$53)</f>
        <v>17</v>
      </c>
      <c r="G30">
        <f t="shared" si="2"/>
        <v>2</v>
      </c>
      <c r="J30" s="56" t="s">
        <v>491</v>
      </c>
      <c r="K30" s="55">
        <f>'FHFA House Price Appreciation'!C41</f>
        <v>196.83</v>
      </c>
      <c r="L30" s="55">
        <f>'FHFA House Price Appreciation'!D41</f>
        <v>178.41</v>
      </c>
      <c r="M30" s="55">
        <f>'FHFA House Price Appreciation'!E41</f>
        <v>183.98</v>
      </c>
      <c r="N30" s="2">
        <f t="shared" si="4"/>
        <v>3.1220223081665832E-2</v>
      </c>
      <c r="O30" s="2">
        <f t="shared" si="5"/>
        <v>-6.5284763501498921E-2</v>
      </c>
    </row>
    <row r="31" spans="1:15" x14ac:dyDescent="0.25">
      <c r="A31" s="10" t="s">
        <v>577</v>
      </c>
      <c r="B31" s="8">
        <f ca="1">100*VLOOKUP(E31,econmon!$A$4:$L$54, 11, FALSE)</f>
        <v>9.6477931341952825</v>
      </c>
      <c r="C31" s="8">
        <f t="shared" si="0"/>
        <v>10.3494623655914</v>
      </c>
      <c r="D31" s="14">
        <f t="shared" si="1"/>
        <v>-34.954349958499961</v>
      </c>
      <c r="E31" t="str">
        <f>VLOOKUP(A31,'Table 1'!$A$3:$H$53, 8, FALSE)</f>
        <v>NV</v>
      </c>
      <c r="F31">
        <f t="shared" si="3"/>
        <v>1</v>
      </c>
      <c r="G31">
        <f>IF(F31&lt;13,1,IF(F31&lt;25,2,IF(F31&lt;37,3,4)))</f>
        <v>1</v>
      </c>
      <c r="J31" s="56" t="s">
        <v>493</v>
      </c>
      <c r="K31" s="55">
        <f>'FHFA House Price Appreciation'!C42</f>
        <v>308.33999999999997</v>
      </c>
      <c r="L31" s="55">
        <f>'FHFA House Price Appreciation'!D42</f>
        <v>314.31</v>
      </c>
      <c r="M31" s="55">
        <f>'FHFA House Price Appreciation'!E42</f>
        <v>333.65</v>
      </c>
      <c r="N31" s="2">
        <f t="shared" si="4"/>
        <v>6.1531608921128633E-2</v>
      </c>
      <c r="O31" s="2">
        <f t="shared" si="5"/>
        <v>8.2084711681909672E-2</v>
      </c>
    </row>
    <row r="32" spans="1:15" x14ac:dyDescent="0.25">
      <c r="A32" s="10" t="s">
        <v>578</v>
      </c>
      <c r="B32" s="8">
        <f ca="1">100*VLOOKUP(E32,econmon!$A$4:$L$54, 11, FALSE)</f>
        <v>17.699115044247794</v>
      </c>
      <c r="C32" s="8">
        <f t="shared" si="0"/>
        <v>3.5371552027332553</v>
      </c>
      <c r="D32" s="14">
        <f t="shared" si="1"/>
        <v>-11.523764544244564</v>
      </c>
      <c r="E32" t="str">
        <f>VLOOKUP(A32,'Table 1'!$A$3:$H$53, 8, FALSE)</f>
        <v>NH</v>
      </c>
      <c r="F32">
        <f t="shared" si="3"/>
        <v>25</v>
      </c>
      <c r="G32">
        <f>IF(F32&lt;13,1,IF(F32&lt;25,2,IF(F32&lt;37,3,4)))</f>
        <v>3</v>
      </c>
      <c r="J32" s="56" t="s">
        <v>474</v>
      </c>
      <c r="K32" s="55">
        <f>'FHFA House Price Appreciation'!C43</f>
        <v>199.77</v>
      </c>
      <c r="L32" s="55">
        <f>'FHFA House Price Appreciation'!D43</f>
        <v>189.01</v>
      </c>
      <c r="M32" s="55">
        <f>'FHFA House Price Appreciation'!E43</f>
        <v>194.26</v>
      </c>
      <c r="N32" s="2">
        <f t="shared" si="4"/>
        <v>2.7776308131844951E-2</v>
      </c>
      <c r="O32" s="2">
        <f t="shared" si="5"/>
        <v>-2.7581718976823488E-2</v>
      </c>
    </row>
    <row r="33" spans="1:15" x14ac:dyDescent="0.25">
      <c r="A33" s="10" t="s">
        <v>579</v>
      </c>
      <c r="B33" s="8">
        <f ca="1">100*VLOOKUP(E33,econmon!$A$4:$L$54, 11, FALSE)</f>
        <v>0.30387220003473825</v>
      </c>
      <c r="C33" s="8">
        <f t="shared" si="0"/>
        <v>1.9469525959368017</v>
      </c>
      <c r="D33" s="14">
        <f t="shared" si="1"/>
        <v>-15.973487344470715</v>
      </c>
      <c r="E33" t="str">
        <f>VLOOKUP(A33,'Table 1'!$A$3:$H$53, 8, FALSE)</f>
        <v>NJ</v>
      </c>
      <c r="F33">
        <f t="shared" si="3"/>
        <v>40</v>
      </c>
      <c r="G33">
        <f t="shared" si="2"/>
        <v>4</v>
      </c>
      <c r="J33" s="56" t="s">
        <v>473</v>
      </c>
      <c r="K33" s="55">
        <f>'FHFA House Price Appreciation'!C44</f>
        <v>204.61</v>
      </c>
      <c r="L33" s="55">
        <f>'FHFA House Price Appreciation'!D44</f>
        <v>270.68</v>
      </c>
      <c r="M33" s="55">
        <f>'FHFA House Price Appreciation'!E44</f>
        <v>292.54000000000002</v>
      </c>
      <c r="N33" s="2">
        <f t="shared" si="4"/>
        <v>8.0759568494162881E-2</v>
      </c>
      <c r="O33" s="2">
        <f t="shared" si="5"/>
        <v>0.42974439176970813</v>
      </c>
    </row>
    <row r="34" spans="1:15" x14ac:dyDescent="0.25">
      <c r="A34" s="10" t="s">
        <v>580</v>
      </c>
      <c r="B34" s="8">
        <f ca="1">100*VLOOKUP(E34,econmon!$A$4:$L$54, 11, FALSE)</f>
        <v>-17.161916312916915</v>
      </c>
      <c r="C34" s="8">
        <f t="shared" si="0"/>
        <v>1.2387868432294002</v>
      </c>
      <c r="D34" s="14">
        <f t="shared" si="1"/>
        <v>-11.841289522628628</v>
      </c>
      <c r="E34" t="str">
        <f>VLOOKUP(A34,'Table 1'!$A$3:$H$53, 8, FALSE)</f>
        <v>NM</v>
      </c>
      <c r="F34">
        <f t="shared" si="3"/>
        <v>46</v>
      </c>
      <c r="G34">
        <f t="shared" si="2"/>
        <v>4</v>
      </c>
      <c r="J34" s="56" t="s">
        <v>494</v>
      </c>
      <c r="K34" s="55">
        <f>'FHFA House Price Appreciation'!C45</f>
        <v>199.62</v>
      </c>
      <c r="L34" s="55">
        <f>'FHFA House Price Appreciation'!D45</f>
        <v>206.47</v>
      </c>
      <c r="M34" s="55">
        <f>'FHFA House Price Appreciation'!E45</f>
        <v>216.33</v>
      </c>
      <c r="N34" s="2">
        <f t="shared" si="4"/>
        <v>4.7755121809463841E-2</v>
      </c>
      <c r="O34" s="2">
        <f t="shared" si="5"/>
        <v>8.3709047189660435E-2</v>
      </c>
    </row>
    <row r="35" spans="1:15" x14ac:dyDescent="0.25">
      <c r="A35" s="10" t="s">
        <v>581</v>
      </c>
      <c r="B35" s="8">
        <f ca="1">100*VLOOKUP(E35,econmon!$A$4:$L$54, 11, FALSE)</f>
        <v>-2.184261267775367</v>
      </c>
      <c r="C35" s="8">
        <f t="shared" ref="C35:C53" si="6">VLOOKUP(E35,$J$5:$O$55,5,FALSE)*100</f>
        <v>1.5481817304909828</v>
      </c>
      <c r="D35" s="14">
        <f t="shared" ref="D35:D53" si="7">VLOOKUP($E35,$J$5:$O$55, 6, FALSE)*100</f>
        <v>-3.275450202131569</v>
      </c>
      <c r="E35" t="str">
        <f>VLOOKUP(A35,'Table 1'!$A$3:$H$53, 8, FALSE)</f>
        <v>NY</v>
      </c>
      <c r="F35">
        <f t="shared" si="3"/>
        <v>45</v>
      </c>
      <c r="G35">
        <f t="shared" si="2"/>
        <v>4</v>
      </c>
      <c r="J35" s="56" t="s">
        <v>496</v>
      </c>
      <c r="K35" s="55">
        <f>'FHFA House Price Appreciation'!C46</f>
        <v>232.91</v>
      </c>
      <c r="L35" s="55">
        <f>'FHFA House Price Appreciation'!D46</f>
        <v>199.03</v>
      </c>
      <c r="M35" s="55">
        <f>'FHFA House Price Appreciation'!E46</f>
        <v>206.07</v>
      </c>
      <c r="N35" s="2">
        <f t="shared" si="4"/>
        <v>3.5371552027332553E-2</v>
      </c>
      <c r="O35" s="2">
        <f t="shared" si="5"/>
        <v>-0.11523764544244564</v>
      </c>
    </row>
    <row r="36" spans="1:15" x14ac:dyDescent="0.25">
      <c r="A36" s="10" t="s">
        <v>582</v>
      </c>
      <c r="B36" s="8">
        <f ca="1">100*VLOOKUP(E36,econmon!$A$4:$L$54, 11, FALSE)</f>
        <v>-6.6773428472968295</v>
      </c>
      <c r="C36" s="8">
        <f t="shared" si="6"/>
        <v>2.7776308131844951</v>
      </c>
      <c r="D36" s="14">
        <f t="shared" si="7"/>
        <v>-2.7581718976823488</v>
      </c>
      <c r="E36" t="str">
        <f>VLOOKUP(A36,'Table 1'!$A$3:$H$53, 8, FALSE)</f>
        <v>NC</v>
      </c>
      <c r="F36">
        <f t="shared" si="3"/>
        <v>34</v>
      </c>
      <c r="G36">
        <f t="shared" si="2"/>
        <v>3</v>
      </c>
      <c r="J36" s="56" t="s">
        <v>497</v>
      </c>
      <c r="K36" s="55">
        <f>'FHFA House Price Appreciation'!C47</f>
        <v>257.99</v>
      </c>
      <c r="L36" s="55">
        <f>'FHFA House Price Appreciation'!D47</f>
        <v>212.64</v>
      </c>
      <c r="M36" s="55">
        <f>'FHFA House Price Appreciation'!E47</f>
        <v>216.78</v>
      </c>
      <c r="N36" s="2">
        <f t="shared" si="4"/>
        <v>1.9469525959368017E-2</v>
      </c>
      <c r="O36" s="2">
        <f t="shared" si="5"/>
        <v>-0.15973487344470716</v>
      </c>
    </row>
    <row r="37" spans="1:15" x14ac:dyDescent="0.25">
      <c r="A37" s="10" t="s">
        <v>583</v>
      </c>
      <c r="B37" s="8">
        <f ca="1">100*VLOOKUP(E37,econmon!$A$4:$L$54, 11, FALSE)</f>
        <v>21.316274531063641</v>
      </c>
      <c r="C37" s="8">
        <f t="shared" si="6"/>
        <v>8.0759568494162881</v>
      </c>
      <c r="D37" s="14">
        <f t="shared" si="7"/>
        <v>42.974439176970812</v>
      </c>
      <c r="E37" t="str">
        <f>VLOOKUP(A37,'Table 1'!$A$3:$H$53, 8, FALSE)</f>
        <v>ND</v>
      </c>
      <c r="F37">
        <f t="shared" si="3"/>
        <v>4</v>
      </c>
      <c r="G37">
        <f t="shared" si="2"/>
        <v>1</v>
      </c>
      <c r="J37" s="56" t="s">
        <v>472</v>
      </c>
      <c r="K37" s="55">
        <f>'FHFA House Price Appreciation'!C48</f>
        <v>241.95</v>
      </c>
      <c r="L37" s="55">
        <f>'FHFA House Price Appreciation'!D48</f>
        <v>210.69</v>
      </c>
      <c r="M37" s="55">
        <f>'FHFA House Price Appreciation'!E48</f>
        <v>213.3</v>
      </c>
      <c r="N37" s="2">
        <f t="shared" ref="N37:N56" si="8">+M37/L37-1</f>
        <v>1.2387868432294002E-2</v>
      </c>
      <c r="O37" s="2">
        <f t="shared" ref="O37:O56" si="9">+M37/K37-1</f>
        <v>-0.11841289522628629</v>
      </c>
    </row>
    <row r="38" spans="1:15" x14ac:dyDescent="0.25">
      <c r="A38" s="10" t="s">
        <v>584</v>
      </c>
      <c r="B38" s="8">
        <f ca="1">100*VLOOKUP(E38,econmon!$A$4:$L$54, 11, FALSE)</f>
        <v>-13.419378461256803</v>
      </c>
      <c r="C38" s="8">
        <f t="shared" si="6"/>
        <v>3.9656353109630782</v>
      </c>
      <c r="D38" s="14">
        <f t="shared" si="7"/>
        <v>-4.5059469350411714</v>
      </c>
      <c r="E38" t="str">
        <f>VLOOKUP(A38,'Table 1'!$A$3:$H$53, 8, FALSE)</f>
        <v>OH</v>
      </c>
      <c r="F38">
        <f t="shared" si="3"/>
        <v>20</v>
      </c>
      <c r="G38">
        <f t="shared" si="2"/>
        <v>2</v>
      </c>
      <c r="J38" s="56" t="s">
        <v>495</v>
      </c>
      <c r="K38" s="55">
        <f>'FHFA House Price Appreciation'!C49</f>
        <v>265.06</v>
      </c>
      <c r="L38" s="55">
        <f>'FHFA House Price Appreciation'!D49</f>
        <v>156.24</v>
      </c>
      <c r="M38" s="55">
        <f>'FHFA House Price Appreciation'!E49</f>
        <v>172.41</v>
      </c>
      <c r="N38" s="2">
        <f t="shared" si="8"/>
        <v>0.103494623655914</v>
      </c>
      <c r="O38" s="2">
        <f t="shared" si="9"/>
        <v>-0.34954349958499964</v>
      </c>
    </row>
    <row r="39" spans="1:15" x14ac:dyDescent="0.25">
      <c r="A39" s="10" t="s">
        <v>585</v>
      </c>
      <c r="B39" s="8">
        <f ca="1">100*VLOOKUP(E39,econmon!$A$4:$L$54, 11, FALSE)</f>
        <v>-6.4894096439837785</v>
      </c>
      <c r="C39" s="8">
        <f t="shared" si="6"/>
        <v>3.2454856027330337</v>
      </c>
      <c r="D39" s="14">
        <f t="shared" si="7"/>
        <v>10.579687418326289</v>
      </c>
      <c r="E39" t="str">
        <f>VLOOKUP(A39,'Table 1'!$A$3:$H$53, 8, FALSE)</f>
        <v>OK</v>
      </c>
      <c r="F39">
        <f t="shared" si="3"/>
        <v>28</v>
      </c>
      <c r="G39">
        <f t="shared" si="2"/>
        <v>3</v>
      </c>
      <c r="J39" s="56" t="s">
        <v>498</v>
      </c>
      <c r="K39" s="55">
        <f>'FHFA House Price Appreciation'!C50</f>
        <v>217.68</v>
      </c>
      <c r="L39" s="55">
        <f>'FHFA House Price Appreciation'!D50</f>
        <v>207.34</v>
      </c>
      <c r="M39" s="55">
        <f>'FHFA House Price Appreciation'!E50</f>
        <v>210.55</v>
      </c>
      <c r="N39" s="2">
        <f t="shared" si="8"/>
        <v>1.5481817304909828E-2</v>
      </c>
      <c r="O39" s="2">
        <f t="shared" si="9"/>
        <v>-3.275450202131569E-2</v>
      </c>
    </row>
    <row r="40" spans="1:15" x14ac:dyDescent="0.25">
      <c r="A40" s="10" t="s">
        <v>586</v>
      </c>
      <c r="B40" s="8">
        <f ca="1">100*VLOOKUP(E40,econmon!$A$4:$L$54, 11, FALSE)</f>
        <v>3.5659455687369057</v>
      </c>
      <c r="C40" s="8">
        <f t="shared" si="6"/>
        <v>6.9780238676617312</v>
      </c>
      <c r="D40" s="14">
        <f t="shared" si="7"/>
        <v>-8.0166780021882484</v>
      </c>
      <c r="E40" t="str">
        <f>VLOOKUP(A40,'Table 1'!$A$3:$H$53, 8, FALSE)</f>
        <v>OR</v>
      </c>
      <c r="F40">
        <f t="shared" si="3"/>
        <v>7</v>
      </c>
      <c r="G40">
        <f t="shared" si="2"/>
        <v>1</v>
      </c>
      <c r="J40" s="56" t="s">
        <v>499</v>
      </c>
      <c r="K40" s="55">
        <f>'FHFA House Price Appreciation'!C51</f>
        <v>174.88</v>
      </c>
      <c r="L40" s="55">
        <f>'FHFA House Price Appreciation'!D51</f>
        <v>160.63</v>
      </c>
      <c r="M40" s="55">
        <f>'FHFA House Price Appreciation'!E51</f>
        <v>167</v>
      </c>
      <c r="N40" s="2">
        <f t="shared" si="8"/>
        <v>3.9656353109630782E-2</v>
      </c>
      <c r="O40" s="2">
        <f t="shared" si="9"/>
        <v>-4.5059469350411718E-2</v>
      </c>
    </row>
    <row r="41" spans="1:15" x14ac:dyDescent="0.25">
      <c r="A41" s="10" t="s">
        <v>587</v>
      </c>
      <c r="B41" s="8">
        <f ca="1">100*VLOOKUP(E41,econmon!$A$4:$L$54, 11, FALSE)</f>
        <v>-7.2600161333691844</v>
      </c>
      <c r="C41" s="8">
        <f t="shared" si="6"/>
        <v>1.7312661498708026</v>
      </c>
      <c r="D41" s="14">
        <f t="shared" si="7"/>
        <v>-1.6831485366097354</v>
      </c>
      <c r="E41" t="str">
        <f>VLOOKUP(A41,'Table 1'!$A$3:$H$53, 8, FALSE)</f>
        <v>PA</v>
      </c>
      <c r="F41">
        <f t="shared" si="3"/>
        <v>42</v>
      </c>
      <c r="G41">
        <f t="shared" si="2"/>
        <v>4</v>
      </c>
      <c r="J41" s="56" t="s">
        <v>500</v>
      </c>
      <c r="K41" s="55">
        <f>'FHFA House Price Appreciation'!C52</f>
        <v>191.31</v>
      </c>
      <c r="L41" s="55">
        <f>'FHFA House Price Appreciation'!D52</f>
        <v>204.9</v>
      </c>
      <c r="M41" s="55">
        <f>'FHFA House Price Appreciation'!E52</f>
        <v>211.55</v>
      </c>
      <c r="N41" s="2">
        <f t="shared" si="8"/>
        <v>3.2454856027330337E-2</v>
      </c>
      <c r="O41" s="2">
        <f t="shared" si="9"/>
        <v>0.10579687418326289</v>
      </c>
    </row>
    <row r="42" spans="1:15" x14ac:dyDescent="0.25">
      <c r="A42" s="10" t="s">
        <v>588</v>
      </c>
      <c r="B42" s="8">
        <f ca="1">100*VLOOKUP(E42,econmon!$A$4:$L$54, 11, FALSE)</f>
        <v>-5.736782902137227</v>
      </c>
      <c r="C42" s="8">
        <f t="shared" si="6"/>
        <v>2.1798511059932579</v>
      </c>
      <c r="D42" s="14">
        <f t="shared" si="7"/>
        <v>-16.925756586109298</v>
      </c>
      <c r="E42" t="str">
        <f>VLOOKUP(A42,'Table 1'!$A$3:$H$53, 8, FALSE)</f>
        <v>RI</v>
      </c>
      <c r="F42">
        <f t="shared" si="3"/>
        <v>39</v>
      </c>
      <c r="G42">
        <f t="shared" si="2"/>
        <v>4</v>
      </c>
      <c r="J42" s="56" t="s">
        <v>501</v>
      </c>
      <c r="K42" s="55">
        <f>'FHFA House Price Appreciation'!C53</f>
        <v>338.17</v>
      </c>
      <c r="L42" s="55">
        <f>'FHFA House Price Appreciation'!D53</f>
        <v>290.77</v>
      </c>
      <c r="M42" s="55">
        <f>'FHFA House Price Appreciation'!E53</f>
        <v>311.06</v>
      </c>
      <c r="N42" s="2">
        <f t="shared" si="8"/>
        <v>6.9780238676617312E-2</v>
      </c>
      <c r="O42" s="2">
        <f t="shared" si="9"/>
        <v>-8.0166780021882489E-2</v>
      </c>
    </row>
    <row r="43" spans="1:15" x14ac:dyDescent="0.25">
      <c r="A43" s="10" t="s">
        <v>589</v>
      </c>
      <c r="B43" s="8">
        <f ca="1">100*VLOOKUP(E43,econmon!$A$4:$L$54, 11, FALSE)</f>
        <v>6.5340179717586544</v>
      </c>
      <c r="C43" s="8">
        <f t="shared" si="6"/>
        <v>3.5784548306481812</v>
      </c>
      <c r="D43" s="14">
        <f t="shared" si="7"/>
        <v>-1.8491459666448273</v>
      </c>
      <c r="E43" t="str">
        <f>VLOOKUP(A43,'Table 1'!$A$3:$H$53, 8, FALSE)</f>
        <v>SC</v>
      </c>
      <c r="F43">
        <f t="shared" si="3"/>
        <v>23</v>
      </c>
      <c r="G43">
        <f t="shared" si="2"/>
        <v>2</v>
      </c>
      <c r="J43" s="56" t="s">
        <v>502</v>
      </c>
      <c r="K43" s="55">
        <f>'FHFA House Price Appreciation'!C54</f>
        <v>200.22</v>
      </c>
      <c r="L43" s="55">
        <f>'FHFA House Price Appreciation'!D54</f>
        <v>193.5</v>
      </c>
      <c r="M43" s="55">
        <f>'FHFA House Price Appreciation'!E54</f>
        <v>196.85</v>
      </c>
      <c r="N43" s="2">
        <f t="shared" si="8"/>
        <v>1.7312661498708026E-2</v>
      </c>
      <c r="O43" s="2">
        <f t="shared" si="9"/>
        <v>-1.6831485366097354E-2</v>
      </c>
    </row>
    <row r="44" spans="1:15" x14ac:dyDescent="0.25">
      <c r="A44" s="10" t="s">
        <v>590</v>
      </c>
      <c r="B44" s="8">
        <f ca="1">100*VLOOKUP(E44,econmon!$A$4:$L$54, 11, FALSE)</f>
        <v>-14.063699155794318</v>
      </c>
      <c r="C44" s="8">
        <f t="shared" si="6"/>
        <v>2.5976707689766343</v>
      </c>
      <c r="D44" s="14">
        <f t="shared" si="7"/>
        <v>14.246953322602906</v>
      </c>
      <c r="E44" t="str">
        <f>VLOOKUP(A44,'Table 1'!$A$3:$H$53, 8, FALSE)</f>
        <v>SD</v>
      </c>
      <c r="F44">
        <f t="shared" si="3"/>
        <v>37</v>
      </c>
      <c r="G44">
        <f t="shared" si="2"/>
        <v>4</v>
      </c>
      <c r="J44" s="56" t="s">
        <v>503</v>
      </c>
      <c r="K44" s="55">
        <f>'FHFA House Price Appreciation'!C55</f>
        <v>229.65</v>
      </c>
      <c r="L44" s="55">
        <f>'FHFA House Price Appreciation'!D55</f>
        <v>186.71</v>
      </c>
      <c r="M44" s="55">
        <f>'FHFA House Price Appreciation'!E55</f>
        <v>190.78</v>
      </c>
      <c r="N44" s="2">
        <f t="shared" si="8"/>
        <v>2.1798511059932579E-2</v>
      </c>
      <c r="O44" s="2">
        <f t="shared" si="9"/>
        <v>-0.16925756586109297</v>
      </c>
    </row>
    <row r="45" spans="1:15" x14ac:dyDescent="0.25">
      <c r="A45" s="10" t="s">
        <v>591</v>
      </c>
      <c r="B45" s="8">
        <f ca="1">100*VLOOKUP(E45,econmon!$A$4:$L$54, 11, FALSE)</f>
        <v>4.8709835554169079</v>
      </c>
      <c r="C45" s="8">
        <f t="shared" si="6"/>
        <v>5.1253481894150354</v>
      </c>
      <c r="D45" s="14">
        <f t="shared" si="7"/>
        <v>3.2943518288131468</v>
      </c>
      <c r="E45" t="str">
        <f>VLOOKUP(A45,'Table 1'!$A$3:$H$53, 8, FALSE)</f>
        <v>TN</v>
      </c>
      <c r="F45">
        <f t="shared" si="3"/>
        <v>13</v>
      </c>
      <c r="G45">
        <f t="shared" si="2"/>
        <v>2</v>
      </c>
      <c r="J45" s="56" t="s">
        <v>504</v>
      </c>
      <c r="K45" s="55">
        <f>'FHFA House Price Appreciation'!C56</f>
        <v>198.47</v>
      </c>
      <c r="L45" s="55">
        <f>'FHFA House Price Appreciation'!D56</f>
        <v>188.07</v>
      </c>
      <c r="M45" s="55">
        <f>'FHFA House Price Appreciation'!E56</f>
        <v>194.8</v>
      </c>
      <c r="N45" s="2">
        <f t="shared" si="8"/>
        <v>3.5784548306481812E-2</v>
      </c>
      <c r="O45" s="2">
        <f t="shared" si="9"/>
        <v>-1.8491459666448273E-2</v>
      </c>
    </row>
    <row r="46" spans="1:15" x14ac:dyDescent="0.25">
      <c r="A46" s="10" t="s">
        <v>592</v>
      </c>
      <c r="B46" s="8">
        <f ca="1">100*VLOOKUP(E46,econmon!$A$4:$L$54, 11, FALSE)</f>
        <v>2.3431636120474275</v>
      </c>
      <c r="C46" s="8">
        <f t="shared" si="6"/>
        <v>7.1158392434988338</v>
      </c>
      <c r="D46" s="14">
        <f t="shared" si="7"/>
        <v>21.422446135705854</v>
      </c>
      <c r="E46" t="str">
        <f>VLOOKUP(A46,'Table 1'!$A$3:$H$53, 8, FALSE)</f>
        <v>TX</v>
      </c>
      <c r="F46">
        <f t="shared" si="3"/>
        <v>6</v>
      </c>
      <c r="G46">
        <f t="shared" si="2"/>
        <v>1</v>
      </c>
      <c r="J46" s="56" t="s">
        <v>505</v>
      </c>
      <c r="K46" s="55">
        <f>'FHFA House Price Appreciation'!C57</f>
        <v>217.45</v>
      </c>
      <c r="L46" s="55">
        <f>'FHFA House Price Appreciation'!D57</f>
        <v>242.14</v>
      </c>
      <c r="M46" s="55">
        <f>'FHFA House Price Appreciation'!E57</f>
        <v>248.43</v>
      </c>
      <c r="N46" s="2">
        <f t="shared" si="8"/>
        <v>2.5976707689766343E-2</v>
      </c>
      <c r="O46" s="2">
        <f t="shared" si="9"/>
        <v>0.14246953322602907</v>
      </c>
    </row>
    <row r="47" spans="1:15" x14ac:dyDescent="0.25">
      <c r="A47" s="10" t="s">
        <v>593</v>
      </c>
      <c r="B47" s="8">
        <f ca="1">100*VLOOKUP(E47,econmon!$A$4:$L$54, 11, FALSE)</f>
        <v>2.8377584969665248</v>
      </c>
      <c r="C47" s="8">
        <f t="shared" si="6"/>
        <v>3.4599185492011575</v>
      </c>
      <c r="D47" s="14">
        <f t="shared" si="7"/>
        <v>-4.1873509122558161</v>
      </c>
      <c r="E47" t="str">
        <f>VLOOKUP(A47,'Table 1'!$A$3:$H$53, 8, FALSE)</f>
        <v>UT</v>
      </c>
      <c r="F47">
        <f t="shared" si="3"/>
        <v>26</v>
      </c>
      <c r="G47">
        <f t="shared" si="2"/>
        <v>3</v>
      </c>
      <c r="J47" s="56" t="s">
        <v>506</v>
      </c>
      <c r="K47" s="55">
        <f>'FHFA House Price Appreciation'!C58</f>
        <v>200.95</v>
      </c>
      <c r="L47" s="55">
        <f>'FHFA House Price Appreciation'!D58</f>
        <v>197.45</v>
      </c>
      <c r="M47" s="55">
        <f>'FHFA House Price Appreciation'!E58</f>
        <v>207.57</v>
      </c>
      <c r="N47" s="2">
        <f t="shared" si="8"/>
        <v>5.1253481894150354E-2</v>
      </c>
      <c r="O47" s="2">
        <f t="shared" si="9"/>
        <v>3.2943518288131468E-2</v>
      </c>
    </row>
    <row r="48" spans="1:15" x14ac:dyDescent="0.25">
      <c r="A48" s="10" t="s">
        <v>594</v>
      </c>
      <c r="B48" s="8">
        <f ca="1">100*VLOOKUP(E48,econmon!$A$4:$L$54, 11, FALSE)</f>
        <v>-16.395575797007155</v>
      </c>
      <c r="C48" s="8">
        <f t="shared" si="6"/>
        <v>0.17285680915672952</v>
      </c>
      <c r="D48" s="14">
        <f t="shared" si="7"/>
        <v>-0.39022577348323262</v>
      </c>
      <c r="E48" t="str">
        <f>VLOOKUP(A48,'Table 1'!$A$3:$H$53, 8, FALSE)</f>
        <v>VT</v>
      </c>
      <c r="F48">
        <f t="shared" si="3"/>
        <v>49</v>
      </c>
      <c r="G48">
        <f t="shared" si="2"/>
        <v>4</v>
      </c>
      <c r="J48" s="56" t="s">
        <v>507</v>
      </c>
      <c r="K48" s="55">
        <f>'FHFA House Price Appreciation'!C59</f>
        <v>186.58</v>
      </c>
      <c r="L48" s="55">
        <f>'FHFA House Price Appreciation'!D59</f>
        <v>211.5</v>
      </c>
      <c r="M48" s="55">
        <f>'FHFA House Price Appreciation'!E59</f>
        <v>226.55</v>
      </c>
      <c r="N48" s="2">
        <f t="shared" si="8"/>
        <v>7.1158392434988338E-2</v>
      </c>
      <c r="O48" s="2">
        <f t="shared" si="9"/>
        <v>0.21422446135705853</v>
      </c>
    </row>
    <row r="49" spans="1:15" x14ac:dyDescent="0.25">
      <c r="A49" s="10" t="s">
        <v>595</v>
      </c>
      <c r="B49" s="8">
        <f ca="1">100*VLOOKUP(E49,econmon!$A$4:$L$54, 11, FALSE)</f>
        <v>-10.266054729286722</v>
      </c>
      <c r="C49" s="8">
        <f t="shared" si="6"/>
        <v>0.92389110642687733</v>
      </c>
      <c r="D49" s="14">
        <f t="shared" si="7"/>
        <v>-9.8148445014427761</v>
      </c>
      <c r="E49" t="str">
        <f>VLOOKUP(A49,'Table 1'!$A$3:$H$53, 8, FALSE)</f>
        <v>VA</v>
      </c>
      <c r="F49">
        <f t="shared" si="3"/>
        <v>47</v>
      </c>
      <c r="G49">
        <f t="shared" si="2"/>
        <v>4</v>
      </c>
      <c r="J49" s="56" t="s">
        <v>508</v>
      </c>
      <c r="K49" s="55">
        <f>'FHFA House Price Appreciation'!C60</f>
        <v>310.22000000000003</v>
      </c>
      <c r="L49" s="55">
        <f>'FHFA House Price Appreciation'!D60</f>
        <v>287.29000000000002</v>
      </c>
      <c r="M49" s="55">
        <f>'FHFA House Price Appreciation'!E60</f>
        <v>297.23</v>
      </c>
      <c r="N49" s="2">
        <f t="shared" si="8"/>
        <v>3.4599185492011575E-2</v>
      </c>
      <c r="O49" s="2">
        <f t="shared" si="9"/>
        <v>-4.1873509122558161E-2</v>
      </c>
    </row>
    <row r="50" spans="1:15" x14ac:dyDescent="0.25">
      <c r="A50" s="10" t="s">
        <v>596</v>
      </c>
      <c r="B50" s="8">
        <f ca="1">100*VLOOKUP(E50,econmon!$A$4:$L$54, 11, FALSE)</f>
        <v>1.5158459926663204</v>
      </c>
      <c r="C50" s="8">
        <f t="shared" si="6"/>
        <v>4.9518970471867041</v>
      </c>
      <c r="D50" s="14">
        <f t="shared" si="7"/>
        <v>-9.4990123900161585</v>
      </c>
      <c r="E50" t="str">
        <f>VLOOKUP(A50,'Table 1'!$A$3:$H$53, 8, FALSE)</f>
        <v>WA</v>
      </c>
      <c r="F50">
        <f t="shared" si="3"/>
        <v>15</v>
      </c>
      <c r="G50">
        <f t="shared" si="2"/>
        <v>2</v>
      </c>
      <c r="J50" s="56" t="s">
        <v>510</v>
      </c>
      <c r="K50" s="55">
        <f>'FHFA House Price Appreciation'!C61</f>
        <v>249.52</v>
      </c>
      <c r="L50" s="55">
        <f>'FHFA House Price Appreciation'!D61</f>
        <v>222.97</v>
      </c>
      <c r="M50" s="55">
        <f>'FHFA House Price Appreciation'!E61</f>
        <v>225.03</v>
      </c>
      <c r="N50" s="2">
        <f t="shared" si="8"/>
        <v>9.2389110642687733E-3</v>
      </c>
      <c r="O50" s="2">
        <f t="shared" si="9"/>
        <v>-9.8148445014427765E-2</v>
      </c>
    </row>
    <row r="51" spans="1:15" x14ac:dyDescent="0.25">
      <c r="A51" s="10" t="s">
        <v>597</v>
      </c>
      <c r="B51" s="8">
        <f ca="1">100*VLOOKUP(E51,econmon!$A$4:$L$54, 11, FALSE)</f>
        <v>-18.403074295473953</v>
      </c>
      <c r="C51" s="8">
        <f t="shared" si="6"/>
        <v>5.0836256418077319</v>
      </c>
      <c r="D51" s="14">
        <f t="shared" si="7"/>
        <v>7.4097168095609289</v>
      </c>
      <c r="E51" t="str">
        <f>VLOOKUP(A51,'Table 1'!$A$3:$H$53, 8, FALSE)</f>
        <v>WV</v>
      </c>
      <c r="F51">
        <f t="shared" si="3"/>
        <v>14</v>
      </c>
      <c r="G51">
        <f t="shared" si="2"/>
        <v>2</v>
      </c>
      <c r="J51" s="56" t="s">
        <v>509</v>
      </c>
      <c r="K51" s="55">
        <f>'FHFA House Price Appreciation'!C62</f>
        <v>215.26</v>
      </c>
      <c r="L51" s="55">
        <f>'FHFA House Price Appreciation'!D62</f>
        <v>214.05</v>
      </c>
      <c r="M51" s="55">
        <f>'FHFA House Price Appreciation'!E62</f>
        <v>214.42</v>
      </c>
      <c r="N51" s="2">
        <f t="shared" si="8"/>
        <v>1.7285680915672952E-3</v>
      </c>
      <c r="O51" s="2">
        <f t="shared" si="9"/>
        <v>-3.9022577348323262E-3</v>
      </c>
    </row>
    <row r="52" spans="1:15" x14ac:dyDescent="0.25">
      <c r="A52" s="10" t="s">
        <v>598</v>
      </c>
      <c r="B52" s="8">
        <f ca="1">100*VLOOKUP(E52,econmon!$A$4:$L$54, 11, FALSE)</f>
        <v>-2.8139915936453708</v>
      </c>
      <c r="C52" s="8">
        <f t="shared" si="6"/>
        <v>2.8415090717097025</v>
      </c>
      <c r="D52" s="14">
        <f t="shared" si="7"/>
        <v>-5.8901040980366304</v>
      </c>
      <c r="E52" t="str">
        <f>VLOOKUP(A52,'Table 1'!$A$3:$H$53, 8, FALSE)</f>
        <v>WI</v>
      </c>
      <c r="F52">
        <f t="shared" si="3"/>
        <v>32</v>
      </c>
      <c r="G52">
        <f t="shared" si="2"/>
        <v>3</v>
      </c>
      <c r="J52" s="56" t="s">
        <v>511</v>
      </c>
      <c r="K52" s="55">
        <f>'FHFA House Price Appreciation'!C63</f>
        <v>278.45</v>
      </c>
      <c r="L52" s="55">
        <f>'FHFA House Price Appreciation'!D63</f>
        <v>240.11</v>
      </c>
      <c r="M52" s="55">
        <f>'FHFA House Price Appreciation'!E63</f>
        <v>252</v>
      </c>
      <c r="N52" s="2">
        <f t="shared" si="8"/>
        <v>4.9518970471867041E-2</v>
      </c>
      <c r="O52" s="2">
        <f t="shared" si="9"/>
        <v>-9.4990123900161594E-2</v>
      </c>
    </row>
    <row r="53" spans="1:15" x14ac:dyDescent="0.25">
      <c r="A53" s="11" t="s">
        <v>599</v>
      </c>
      <c r="B53" s="8">
        <f ca="1">100*VLOOKUP(E53,econmon!$A$4:$L$54, 11, FALSE)</f>
        <v>-21.847930702598649</v>
      </c>
      <c r="C53" s="8">
        <f t="shared" si="6"/>
        <v>3.6451602213606327</v>
      </c>
      <c r="D53" s="14">
        <f t="shared" si="7"/>
        <v>6.0632778324120951</v>
      </c>
      <c r="E53" t="str">
        <f>VLOOKUP(A53,'Table 1'!$A$3:$H$53, 8, FALSE)</f>
        <v>WY</v>
      </c>
      <c r="F53">
        <f t="shared" si="3"/>
        <v>22</v>
      </c>
      <c r="G53">
        <f>IF(F53&lt;13,1,IF(F53&lt;25,2,IF(F53&lt;37,3,4)))</f>
        <v>2</v>
      </c>
      <c r="J53" s="56" t="s">
        <v>513</v>
      </c>
      <c r="K53" s="55">
        <f>'FHFA House Price Appreciation'!C64</f>
        <v>227.67</v>
      </c>
      <c r="L53" s="55">
        <f>'FHFA House Price Appreciation'!D64</f>
        <v>208.34</v>
      </c>
      <c r="M53" s="55">
        <f>'FHFA House Price Appreciation'!E64</f>
        <v>214.26</v>
      </c>
      <c r="N53" s="2">
        <f t="shared" si="8"/>
        <v>2.8415090717097025E-2</v>
      </c>
      <c r="O53" s="2">
        <f t="shared" si="9"/>
        <v>-5.8901040980366304E-2</v>
      </c>
    </row>
    <row r="54" spans="1:15" x14ac:dyDescent="0.25">
      <c r="A54" s="31" t="s">
        <v>606</v>
      </c>
      <c r="B54" s="8">
        <f ca="1">100*econmon!K55</f>
        <v>3.158744575638317</v>
      </c>
      <c r="C54" s="14">
        <f>N56*100</f>
        <v>4.5486076702011768</v>
      </c>
      <c r="D54" s="14">
        <f>O56*100</f>
        <v>-6.2263899382249637</v>
      </c>
      <c r="E54" t="s">
        <v>608</v>
      </c>
      <c r="J54" s="56" t="s">
        <v>512</v>
      </c>
      <c r="K54" s="55">
        <f>'FHFA House Price Appreciation'!C65</f>
        <v>192.45</v>
      </c>
      <c r="L54" s="55">
        <f>'FHFA House Price Appreciation'!D65</f>
        <v>196.71</v>
      </c>
      <c r="M54" s="55">
        <f>'FHFA House Price Appreciation'!E65</f>
        <v>206.71</v>
      </c>
      <c r="N54" s="2">
        <f t="shared" si="8"/>
        <v>5.0836256418077319E-2</v>
      </c>
      <c r="O54" s="2">
        <f t="shared" si="9"/>
        <v>7.4097168095609289E-2</v>
      </c>
    </row>
    <row r="55" spans="1:15" x14ac:dyDescent="0.25">
      <c r="J55" s="56" t="s">
        <v>514</v>
      </c>
      <c r="K55" s="55">
        <f>'FHFA House Price Appreciation'!C66</f>
        <v>294.89</v>
      </c>
      <c r="L55" s="55">
        <f>'FHFA House Price Appreciation'!D66</f>
        <v>301.77</v>
      </c>
      <c r="M55" s="55">
        <f>'FHFA House Price Appreciation'!E66</f>
        <v>312.77</v>
      </c>
      <c r="N55" s="2">
        <f t="shared" si="8"/>
        <v>3.6451602213606327E-2</v>
      </c>
      <c r="O55" s="2">
        <f t="shared" si="9"/>
        <v>6.0632778324120951E-2</v>
      </c>
    </row>
    <row r="56" spans="1:15" x14ac:dyDescent="0.25">
      <c r="J56" s="56" t="s">
        <v>608</v>
      </c>
      <c r="K56" s="58">
        <f>'FHFA House Price Appreciation'!C15</f>
        <v>225.01</v>
      </c>
      <c r="L56" s="58">
        <f>'FHFA House Price Appreciation'!D15</f>
        <v>201.82</v>
      </c>
      <c r="M56" s="58">
        <f>'FHFA House Price Appreciation'!E15</f>
        <v>211</v>
      </c>
      <c r="N56" s="2">
        <f t="shared" si="8"/>
        <v>4.5486076702011768E-2</v>
      </c>
      <c r="O56" s="2">
        <f t="shared" si="9"/>
        <v>-6.2263899382249632E-2</v>
      </c>
    </row>
    <row r="57" spans="1:15" x14ac:dyDescent="0.25">
      <c r="B57">
        <f ca="1">COUNTIF(B$3:B$53,"&lt;0")</f>
        <v>34</v>
      </c>
      <c r="C57">
        <f>COUNTIF(C$3:C$53,"&lt;2")</f>
        <v>12</v>
      </c>
      <c r="D57">
        <f>COUNTIF(D$3:D$53,"&lt;0")</f>
        <v>34</v>
      </c>
      <c r="G57">
        <f>AVERAGEIF($G$3:$G$53,1,$C$3:$C$53)</f>
        <v>7.4405048663444928</v>
      </c>
    </row>
    <row r="58" spans="1:15" x14ac:dyDescent="0.25">
      <c r="G58">
        <f>AVERAGEIF($G$3:$G$53,2,$C$3:$C$53)</f>
        <v>4.3444978940817176</v>
      </c>
    </row>
    <row r="59" spans="1:15" x14ac:dyDescent="0.25">
      <c r="G59">
        <f>AVERAGEIF($G$3:$G$53,3,$C$3:$C$53)</f>
        <v>3.0574098181376335</v>
      </c>
      <c r="J59" s="56" t="s">
        <v>730</v>
      </c>
      <c r="K59" t="s">
        <v>742</v>
      </c>
      <c r="L59" t="s">
        <v>753</v>
      </c>
      <c r="M59" t="s">
        <v>728</v>
      </c>
      <c r="N59" t="s">
        <v>733</v>
      </c>
      <c r="O59" t="s">
        <v>732</v>
      </c>
    </row>
    <row r="60" spans="1:15" x14ac:dyDescent="0.25">
      <c r="G60">
        <f>AVERAGEIF($G$3:$G$53,4,$C$3:$C$53)</f>
        <v>1.2729008422737786</v>
      </c>
      <c r="I60" t="s">
        <v>754</v>
      </c>
      <c r="J60" s="56" t="s">
        <v>734</v>
      </c>
      <c r="K60" s="59">
        <v>192.75</v>
      </c>
      <c r="L60" s="59">
        <v>157.66</v>
      </c>
      <c r="M60" s="59">
        <v>176.04</v>
      </c>
      <c r="N60" s="2">
        <f>+M60/L60-1</f>
        <v>0.11657998224026378</v>
      </c>
      <c r="O60" s="2">
        <f>+M60/K60-1</f>
        <v>-8.6692607003891142E-2</v>
      </c>
    </row>
    <row r="61" spans="1:15" x14ac:dyDescent="0.25">
      <c r="I61" t="s">
        <v>754</v>
      </c>
      <c r="J61" s="56" t="s">
        <v>735</v>
      </c>
      <c r="K61" s="59">
        <v>197.5</v>
      </c>
      <c r="L61" s="59">
        <v>176.74</v>
      </c>
      <c r="M61" s="59">
        <v>194.82</v>
      </c>
      <c r="N61" s="2">
        <f t="shared" ref="N61:N69" si="10">+M61/L61-1</f>
        <v>0.10229715966957098</v>
      </c>
      <c r="O61" s="2">
        <f t="shared" ref="O61:O69" si="11">+M61/K61-1</f>
        <v>-1.3569620253164549E-2</v>
      </c>
    </row>
    <row r="62" spans="1:15" x14ac:dyDescent="0.25">
      <c r="I62" t="s">
        <v>755</v>
      </c>
      <c r="J62" s="56" t="s">
        <v>736</v>
      </c>
      <c r="K62" s="59">
        <v>219.8</v>
      </c>
      <c r="L62" s="59">
        <v>195.65</v>
      </c>
      <c r="M62" s="59">
        <v>205.13</v>
      </c>
      <c r="N62" s="2">
        <f t="shared" si="10"/>
        <v>4.8453871709685625E-2</v>
      </c>
      <c r="O62" s="2">
        <f t="shared" si="11"/>
        <v>-6.6742493175614315E-2</v>
      </c>
    </row>
    <row r="63" spans="1:15" x14ac:dyDescent="0.25">
      <c r="I63" t="s">
        <v>754</v>
      </c>
      <c r="J63" s="56" t="s">
        <v>737</v>
      </c>
      <c r="K63" s="59">
        <v>292.52</v>
      </c>
      <c r="L63" s="59">
        <v>198.17</v>
      </c>
      <c r="M63" s="59">
        <v>257.22000000000003</v>
      </c>
      <c r="N63" s="2">
        <f t="shared" si="10"/>
        <v>0.29797648483625183</v>
      </c>
      <c r="O63" s="2">
        <f t="shared" si="11"/>
        <v>-0.12067550936688076</v>
      </c>
    </row>
    <row r="64" spans="1:15" x14ac:dyDescent="0.25">
      <c r="I64" t="s">
        <v>756</v>
      </c>
      <c r="J64" s="56" t="s">
        <v>725</v>
      </c>
      <c r="K64" s="59">
        <v>225.1</v>
      </c>
      <c r="L64" s="59">
        <v>193.28</v>
      </c>
      <c r="M64" s="59">
        <v>204.68</v>
      </c>
      <c r="N64" s="2">
        <f t="shared" si="10"/>
        <v>5.8981788079470299E-2</v>
      </c>
      <c r="O64" s="2">
        <f t="shared" si="11"/>
        <v>-9.0715237672145621E-2</v>
      </c>
    </row>
    <row r="65" spans="9:15" x14ac:dyDescent="0.25">
      <c r="I65" t="s">
        <v>757</v>
      </c>
      <c r="J65" s="56" t="s">
        <v>738</v>
      </c>
      <c r="K65" s="59">
        <v>277.26</v>
      </c>
      <c r="L65" s="59">
        <v>169.68</v>
      </c>
      <c r="M65" s="59">
        <v>223.27</v>
      </c>
      <c r="N65" s="2">
        <f t="shared" si="10"/>
        <v>0.31582979726544091</v>
      </c>
      <c r="O65" s="2">
        <f t="shared" si="11"/>
        <v>-0.19472697107408199</v>
      </c>
    </row>
    <row r="66" spans="9:15" x14ac:dyDescent="0.25">
      <c r="I66" t="s">
        <v>754</v>
      </c>
      <c r="J66" s="56" t="s">
        <v>739</v>
      </c>
      <c r="K66" s="59">
        <v>240.88</v>
      </c>
      <c r="L66" s="59">
        <v>174.21</v>
      </c>
      <c r="M66" s="59">
        <v>204.92</v>
      </c>
      <c r="N66" s="2">
        <f t="shared" si="10"/>
        <v>0.17628149933987713</v>
      </c>
      <c r="O66" s="2">
        <f t="shared" si="11"/>
        <v>-0.14928595151112589</v>
      </c>
    </row>
    <row r="67" spans="9:15" x14ac:dyDescent="0.25">
      <c r="I67" t="s">
        <v>754</v>
      </c>
      <c r="J67" s="56" t="s">
        <v>740</v>
      </c>
      <c r="K67" s="59">
        <v>214.36</v>
      </c>
      <c r="L67" s="59">
        <v>189.4</v>
      </c>
      <c r="M67" s="59">
        <v>212.77</v>
      </c>
      <c r="N67" s="2">
        <f t="shared" si="10"/>
        <v>0.123389651531151</v>
      </c>
      <c r="O67" s="2">
        <f t="shared" si="11"/>
        <v>-7.4174286247434829E-3</v>
      </c>
    </row>
    <row r="68" spans="9:15" x14ac:dyDescent="0.25">
      <c r="I68" t="s">
        <v>758</v>
      </c>
      <c r="J68" s="56" t="s">
        <v>741</v>
      </c>
      <c r="K68" s="59">
        <v>194.18</v>
      </c>
      <c r="L68" s="59">
        <v>190.65</v>
      </c>
      <c r="M68" s="59">
        <v>220.51</v>
      </c>
      <c r="N68" s="2">
        <f t="shared" si="10"/>
        <v>0.15662208234985564</v>
      </c>
      <c r="O68" s="2">
        <f t="shared" si="11"/>
        <v>0.13559583891234928</v>
      </c>
    </row>
    <row r="69" spans="9:15" x14ac:dyDescent="0.25">
      <c r="I69" t="s">
        <v>754</v>
      </c>
      <c r="J69" s="56" t="s">
        <v>731</v>
      </c>
      <c r="K69" s="59">
        <v>225.12</v>
      </c>
      <c r="L69" s="59">
        <v>178.88</v>
      </c>
      <c r="M69" s="59">
        <v>207.33</v>
      </c>
      <c r="N69" s="2">
        <f t="shared" si="10"/>
        <v>0.15904516994633289</v>
      </c>
      <c r="O69" s="2">
        <f t="shared" si="11"/>
        <v>-7.9024520255863484E-2</v>
      </c>
    </row>
  </sheetData>
  <mergeCells count="1">
    <mergeCell ref="A1:D1"/>
  </mergeCells>
  <pageMargins left="0.7" right="0.7" top="0.75" bottom="0.75" header="0.3" footer="0.3"/>
  <pageSetup scale="75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C54"/>
  <sheetViews>
    <sheetView topLeftCell="A28" workbookViewId="0">
      <selection activeCell="F54" sqref="F54"/>
    </sheetView>
  </sheetViews>
  <sheetFormatPr defaultRowHeight="15.75" x14ac:dyDescent="0.25"/>
  <cols>
    <col min="1" max="1" width="17.5" bestFit="1" customWidth="1"/>
    <col min="2" max="2" width="31.375" customWidth="1"/>
  </cols>
  <sheetData>
    <row r="1" spans="1:3" x14ac:dyDescent="0.25">
      <c r="A1" s="120" t="s">
        <v>605</v>
      </c>
      <c r="B1" s="121"/>
    </row>
    <row r="2" spans="1:3" ht="86.25" customHeight="1" x14ac:dyDescent="0.25">
      <c r="A2" s="9" t="s">
        <v>542</v>
      </c>
      <c r="B2" s="12" t="s">
        <v>759</v>
      </c>
    </row>
    <row r="3" spans="1:3" ht="34.5" customHeight="1" x14ac:dyDescent="0.25">
      <c r="A3" s="10" t="s">
        <v>597</v>
      </c>
      <c r="B3" s="8">
        <f ca="1">100*VLOOKUP(C3,econmon!$A$4:$L$55, 11, FALSE)</f>
        <v>-18.403074295473953</v>
      </c>
      <c r="C3" t="str">
        <f>VLOOKUP(A3,'Table 1'!$A$3:$H$53, 8, FALSE)</f>
        <v>WV</v>
      </c>
    </row>
    <row r="4" spans="1:3" x14ac:dyDescent="0.25">
      <c r="A4" s="10" t="s">
        <v>575</v>
      </c>
      <c r="B4" s="8">
        <f ca="1">100*VLOOKUP(C4,econmon!$A$4:$L$55, 11, FALSE)</f>
        <v>-23.036120232381919</v>
      </c>
      <c r="C4" t="str">
        <f>VLOOKUP(A4,'Table 1'!$A$3:$H$53, 8, FALSE)</f>
        <v>MT</v>
      </c>
    </row>
    <row r="5" spans="1:3" x14ac:dyDescent="0.25">
      <c r="A5" s="10" t="s">
        <v>565</v>
      </c>
      <c r="B5" s="8">
        <f ca="1">100*VLOOKUP(C5,econmon!$A$4:$L$55, 11, FALSE)</f>
        <v>-0.77560141974497565</v>
      </c>
      <c r="C5" t="str">
        <f>VLOOKUP(A5,'Table 1'!$A$3:$H$53, 8, FALSE)</f>
        <v>KS</v>
      </c>
    </row>
    <row r="6" spans="1:3" x14ac:dyDescent="0.25">
      <c r="A6" s="10" t="s">
        <v>599</v>
      </c>
      <c r="B6" s="8">
        <f ca="1">100*VLOOKUP(C6,econmon!$A$4:$L$55, 11, FALSE)</f>
        <v>-21.847930702598649</v>
      </c>
      <c r="C6" t="str">
        <f>VLOOKUP(A6,'Table 1'!$A$3:$H$53, 8, FALSE)</f>
        <v>WY</v>
      </c>
    </row>
    <row r="7" spans="1:3" x14ac:dyDescent="0.25">
      <c r="A7" s="10" t="s">
        <v>576</v>
      </c>
      <c r="B7" s="8">
        <f ca="1">100*VLOOKUP(C7,econmon!$A$4:$L$55, 11, FALSE)</f>
        <v>-8.7838689350976722</v>
      </c>
      <c r="C7" t="str">
        <f>VLOOKUP(A7,'Table 1'!$A$3:$H$53, 8, FALSE)</f>
        <v>NE</v>
      </c>
    </row>
    <row r="8" spans="1:3" x14ac:dyDescent="0.25">
      <c r="A8" s="10" t="s">
        <v>580</v>
      </c>
      <c r="B8" s="8">
        <f ca="1">100*VLOOKUP(C8,econmon!$A$4:$L$55, 11, FALSE)</f>
        <v>-17.161916312916915</v>
      </c>
      <c r="C8" t="str">
        <f>VLOOKUP(A8,'Table 1'!$A$3:$H$53, 8, FALSE)</f>
        <v>NM</v>
      </c>
    </row>
    <row r="9" spans="1:3" x14ac:dyDescent="0.25">
      <c r="A9" s="10" t="s">
        <v>552</v>
      </c>
      <c r="B9" s="8">
        <f ca="1">100*VLOOKUP(C9,econmon!$A$4:$L$55, 11, FALSE)</f>
        <v>-2.7397260273972601</v>
      </c>
      <c r="C9" t="str">
        <f>VLOOKUP(A9,'Table 1'!$A$3:$H$53, 8, FALSE)</f>
        <v>AR</v>
      </c>
    </row>
    <row r="10" spans="1:3" x14ac:dyDescent="0.25">
      <c r="A10" s="10" t="s">
        <v>555</v>
      </c>
      <c r="B10" s="8">
        <f ca="1">100*VLOOKUP(C10,econmon!$A$4:$L$55, 11, FALSE)</f>
        <v>-5.4364471669218979</v>
      </c>
      <c r="C10" t="str">
        <f>VLOOKUP(A10,'Table 1'!$A$3:$H$53, 8, FALSE)</f>
        <v>CT</v>
      </c>
    </row>
    <row r="11" spans="1:3" x14ac:dyDescent="0.25">
      <c r="A11" s="10" t="s">
        <v>595</v>
      </c>
      <c r="B11" s="8">
        <f ca="1">100*VLOOKUP(C11,econmon!$A$4:$L$55, 11, FALSE)</f>
        <v>-10.266054729286722</v>
      </c>
      <c r="C11" t="str">
        <f>VLOOKUP(A11,'Table 1'!$A$3:$H$53, 8, FALSE)</f>
        <v>VA</v>
      </c>
    </row>
    <row r="12" spans="1:3" x14ac:dyDescent="0.25">
      <c r="A12" s="10" t="s">
        <v>590</v>
      </c>
      <c r="B12" s="8">
        <f ca="1">100*VLOOKUP(C12,econmon!$A$4:$L$55, 11, FALSE)</f>
        <v>-14.063699155794318</v>
      </c>
      <c r="C12" t="str">
        <f>VLOOKUP(A12,'Table 1'!$A$3:$H$53, 8, FALSE)</f>
        <v>SD</v>
      </c>
    </row>
    <row r="13" spans="1:3" x14ac:dyDescent="0.25">
      <c r="A13" s="10" t="s">
        <v>572</v>
      </c>
      <c r="B13" s="8">
        <f ca="1">100*VLOOKUP(C13,econmon!$A$4:$L$55, 11, FALSE)</f>
        <v>-7.3440943474894276</v>
      </c>
      <c r="C13" t="str">
        <f>VLOOKUP(A13,'Table 1'!$A$3:$H$53, 8, FALSE)</f>
        <v>MN</v>
      </c>
    </row>
    <row r="14" spans="1:3" x14ac:dyDescent="0.25">
      <c r="A14" s="10" t="s">
        <v>567</v>
      </c>
      <c r="B14" s="8">
        <f ca="1">100*VLOOKUP(C14,econmon!$A$4:$L$55, 11, FALSE)</f>
        <v>-5.9181415929203567</v>
      </c>
      <c r="C14" t="str">
        <f>VLOOKUP(A14,'Table 1'!$A$3:$H$53, 8, FALSE)</f>
        <v>LA</v>
      </c>
    </row>
    <row r="15" spans="1:3" x14ac:dyDescent="0.25">
      <c r="A15" s="10" t="s">
        <v>584</v>
      </c>
      <c r="B15" s="8">
        <f ca="1">100*VLOOKUP(C15,econmon!$A$4:$L$55, 11, FALSE)</f>
        <v>-13.419378461256803</v>
      </c>
      <c r="C15" t="str">
        <f>VLOOKUP(A15,'Table 1'!$A$3:$H$53, 8, FALSE)</f>
        <v>OH</v>
      </c>
    </row>
    <row r="16" spans="1:3" x14ac:dyDescent="0.25">
      <c r="A16" s="10" t="s">
        <v>585</v>
      </c>
      <c r="B16" s="8">
        <f ca="1">100*VLOOKUP(C16,econmon!$A$4:$L$55, 11, FALSE)</f>
        <v>-6.4894096439837785</v>
      </c>
      <c r="C16" t="str">
        <f>VLOOKUP(A16,'Table 1'!$A$3:$H$53, 8, FALSE)</f>
        <v>OK</v>
      </c>
    </row>
    <row r="17" spans="1:3" x14ac:dyDescent="0.25">
      <c r="A17" s="10" t="s">
        <v>594</v>
      </c>
      <c r="B17" s="8">
        <f ca="1">100*VLOOKUP(C17,econmon!$A$4:$L$55, 11, FALSE)</f>
        <v>-16.395575797007155</v>
      </c>
      <c r="C17" t="str">
        <f>VLOOKUP(A17,'Table 1'!$A$3:$H$53, 8, FALSE)</f>
        <v>VT</v>
      </c>
    </row>
    <row r="18" spans="1:3" x14ac:dyDescent="0.25">
      <c r="A18" s="10" t="s">
        <v>558</v>
      </c>
      <c r="B18" s="8">
        <f ca="1">100*VLOOKUP(C18,econmon!$A$4:$L$55, 11, FALSE)</f>
        <v>-10.917774325335172</v>
      </c>
      <c r="C18" t="str">
        <f>VLOOKUP(A18,'Table 1'!$A$3:$H$53, 8, FALSE)</f>
        <v>FL</v>
      </c>
    </row>
    <row r="19" spans="1:3" x14ac:dyDescent="0.25">
      <c r="A19" s="10" t="s">
        <v>587</v>
      </c>
      <c r="B19" s="8">
        <f ca="1">100*VLOOKUP(C19,econmon!$A$4:$L$55, 11, FALSE)</f>
        <v>-7.2600161333691844</v>
      </c>
      <c r="C19" t="str">
        <f>VLOOKUP(A19,'Table 1'!$A$3:$H$53, 8, FALSE)</f>
        <v>PA</v>
      </c>
    </row>
    <row r="20" spans="1:3" x14ac:dyDescent="0.25">
      <c r="A20" s="10" t="s">
        <v>582</v>
      </c>
      <c r="B20" s="8">
        <f ca="1">100*VLOOKUP(C20,econmon!$A$4:$L$55, 11, FALSE)</f>
        <v>-6.6773428472968295</v>
      </c>
      <c r="C20" t="str">
        <f>VLOOKUP(A20,'Table 1'!$A$3:$H$53, 8, FALSE)</f>
        <v>NC</v>
      </c>
    </row>
    <row r="21" spans="1:3" x14ac:dyDescent="0.25">
      <c r="A21" s="10" t="s">
        <v>573</v>
      </c>
      <c r="B21" s="8">
        <f ca="1">100*VLOOKUP(C21,econmon!$A$4:$L$55, 11, FALSE)</f>
        <v>-3.2882718304713232</v>
      </c>
      <c r="C21" t="str">
        <f>VLOOKUP(A21,'Table 1'!$A$3:$H$53, 8, FALSE)</f>
        <v>MS</v>
      </c>
    </row>
    <row r="22" spans="1:3" x14ac:dyDescent="0.25">
      <c r="A22" s="10" t="s">
        <v>588</v>
      </c>
      <c r="B22" s="8">
        <f ca="1">100*VLOOKUP(C22,econmon!$A$4:$L$55, 11, FALSE)</f>
        <v>-5.736782902137227</v>
      </c>
      <c r="C22" t="str">
        <f>VLOOKUP(A22,'Table 1'!$A$3:$H$53, 8, FALSE)</f>
        <v>RI</v>
      </c>
    </row>
    <row r="23" spans="1:3" x14ac:dyDescent="0.25">
      <c r="A23" s="10" t="s">
        <v>566</v>
      </c>
      <c r="B23" s="8">
        <f ca="1">100*VLOOKUP(C23,econmon!$A$4:$L$55, 11, FALSE)</f>
        <v>-13.059313215400625</v>
      </c>
      <c r="C23" t="str">
        <f>VLOOKUP(A23,'Table 1'!$A$3:$H$53, 8, FALSE)</f>
        <v>KY</v>
      </c>
    </row>
    <row r="24" spans="1:3" x14ac:dyDescent="0.25">
      <c r="A24" s="10" t="s">
        <v>556</v>
      </c>
      <c r="B24" s="8">
        <f ca="1">100*VLOOKUP(C24,econmon!$A$4:$L$55, 11, FALSE)</f>
        <v>-7.6283826976347724</v>
      </c>
      <c r="C24" t="str">
        <f>VLOOKUP(A24,'Table 1'!$A$3:$H$53, 8, FALSE)</f>
        <v>DE</v>
      </c>
    </row>
    <row r="25" spans="1:3" x14ac:dyDescent="0.25">
      <c r="A25" s="10" t="s">
        <v>586</v>
      </c>
      <c r="B25" s="8">
        <f ca="1">100*VLOOKUP(C25,econmon!$A$4:$L$55, 11, FALSE)</f>
        <v>3.5659455687369057</v>
      </c>
      <c r="C25" t="str">
        <f>VLOOKUP(A25,'Table 1'!$A$3:$H$53, 8, FALSE)</f>
        <v>OR</v>
      </c>
    </row>
    <row r="26" spans="1:3" x14ac:dyDescent="0.25">
      <c r="A26" s="10" t="s">
        <v>577</v>
      </c>
      <c r="B26" s="8">
        <f ca="1">100*VLOOKUP(C26,econmon!$A$4:$L$55, 11, FALSE)</f>
        <v>9.6477931341952825</v>
      </c>
      <c r="C26" t="str">
        <f>VLOOKUP(A26,'Table 1'!$A$3:$H$53, 8, FALSE)</f>
        <v>NV</v>
      </c>
    </row>
    <row r="27" spans="1:3" x14ac:dyDescent="0.25">
      <c r="A27" s="10" t="s">
        <v>560</v>
      </c>
      <c r="B27" s="8">
        <f ca="1">100*VLOOKUP(C27,econmon!$A$4:$L$55, 11, FALSE)</f>
        <v>-39.551661942798248</v>
      </c>
      <c r="C27" t="str">
        <f>VLOOKUP(A27,'Table 1'!$A$3:$H$53, 8, FALSE)</f>
        <v>HI</v>
      </c>
    </row>
    <row r="28" spans="1:3" x14ac:dyDescent="0.25">
      <c r="A28" s="10" t="s">
        <v>550</v>
      </c>
      <c r="B28" s="8">
        <f ca="1">100*VLOOKUP(C28,econmon!$A$4:$L$55, 11, FALSE)</f>
        <v>7.7413479052823364</v>
      </c>
      <c r="C28" t="str">
        <f>VLOOKUP(A28,'Table 1'!$A$3:$H$53, 8, FALSE)</f>
        <v>AK</v>
      </c>
    </row>
    <row r="29" spans="1:3" x14ac:dyDescent="0.25">
      <c r="A29" s="10" t="s">
        <v>569</v>
      </c>
      <c r="B29" s="8">
        <f ca="1">100*VLOOKUP(C29,econmon!$A$4:$L$55, 11, FALSE)</f>
        <v>-15.157339777033341</v>
      </c>
      <c r="C29" t="str">
        <f>VLOOKUP(A29,'Table 1'!$A$3:$H$53, 8, FALSE)</f>
        <v>MD</v>
      </c>
    </row>
    <row r="30" spans="1:3" x14ac:dyDescent="0.25">
      <c r="A30" s="10" t="s">
        <v>564</v>
      </c>
      <c r="B30" s="8">
        <f ca="1">100*VLOOKUP(C30,econmon!$A$4:$L$55, 11, FALSE)</f>
        <v>-5.612670186162827</v>
      </c>
      <c r="C30" t="str">
        <f>VLOOKUP(A30,'Table 1'!$A$3:$H$53, 8, FALSE)</f>
        <v>IA</v>
      </c>
    </row>
    <row r="31" spans="1:3" x14ac:dyDescent="0.25">
      <c r="A31" s="10" t="s">
        <v>570</v>
      </c>
      <c r="B31" s="8">
        <f ca="1">100*VLOOKUP(C31,econmon!$A$4:$L$55, 11, FALSE)</f>
        <v>-9.9145174252940791</v>
      </c>
      <c r="C31" t="str">
        <f>VLOOKUP(A31,'Table 1'!$A$3:$H$53, 8, FALSE)</f>
        <v>MA</v>
      </c>
    </row>
    <row r="32" spans="1:3" x14ac:dyDescent="0.25">
      <c r="A32" s="31" t="s">
        <v>606</v>
      </c>
      <c r="B32" s="8">
        <f ca="1">100*VLOOKUP(C32,econmon!$A$4:$L$55, 11, FALSE)</f>
        <v>3.158744575638317</v>
      </c>
      <c r="C32" t="s">
        <v>608</v>
      </c>
    </row>
    <row r="33" spans="1:3" x14ac:dyDescent="0.25">
      <c r="A33" s="10" t="s">
        <v>551</v>
      </c>
      <c r="B33" s="8">
        <f ca="1">100*VLOOKUP(C33,econmon!$A$4:$L$55, 11, FALSE)</f>
        <v>3.158744575638317</v>
      </c>
      <c r="C33" t="s">
        <v>608</v>
      </c>
    </row>
    <row r="34" spans="1:3" x14ac:dyDescent="0.25">
      <c r="A34" s="10" t="s">
        <v>593</v>
      </c>
      <c r="B34" s="8">
        <f ca="1">100*VLOOKUP(C34,econmon!$A$4:$L$55, 11, FALSE)</f>
        <v>2.8377584969665248</v>
      </c>
      <c r="C34" t="str">
        <f>VLOOKUP(A34,'Table 1'!$A$3:$H$53, 8, FALSE)</f>
        <v>UT</v>
      </c>
    </row>
    <row r="35" spans="1:3" x14ac:dyDescent="0.25">
      <c r="A35" s="10" t="s">
        <v>553</v>
      </c>
      <c r="B35" s="8">
        <f ca="1">100*VLOOKUP(C35,econmon!$A$4:$L$55, 11, FALSE)</f>
        <v>-3.1521319077676191</v>
      </c>
      <c r="C35" t="str">
        <f>VLOOKUP(A35,'Table 1'!$A$3:$H$53, 8, FALSE)</f>
        <v>CA</v>
      </c>
    </row>
    <row r="36" spans="1:3" x14ac:dyDescent="0.25">
      <c r="A36" s="10" t="s">
        <v>596</v>
      </c>
      <c r="B36" s="8">
        <f ca="1">100*VLOOKUP(C36,econmon!$A$4:$L$55, 11, FALSE)</f>
        <v>1.5158459926663204</v>
      </c>
      <c r="C36" t="str">
        <f>VLOOKUP(A36,'Table 1'!$A$3:$H$53, 8, FALSE)</f>
        <v>WA</v>
      </c>
    </row>
    <row r="37" spans="1:3" x14ac:dyDescent="0.25">
      <c r="A37" s="10" t="s">
        <v>563</v>
      </c>
      <c r="B37" s="8">
        <f ca="1">100*VLOOKUP(C37,econmon!$A$4:$L$55, 11, FALSE)</f>
        <v>-7.3082010582010586</v>
      </c>
      <c r="C37" t="str">
        <f>VLOOKUP(A37,'Table 1'!$A$3:$H$53, 8, FALSE)</f>
        <v>IN</v>
      </c>
    </row>
    <row r="38" spans="1:3" x14ac:dyDescent="0.25">
      <c r="A38" s="10" t="s">
        <v>568</v>
      </c>
      <c r="B38" s="8">
        <f ca="1">100*VLOOKUP(C38,econmon!$A$4:$L$55, 11, FALSE)</f>
        <v>-4.1361756283805224</v>
      </c>
      <c r="C38" t="str">
        <f>VLOOKUP(A38,'Table 1'!$A$3:$H$53, 8, FALSE)</f>
        <v>ME</v>
      </c>
    </row>
    <row r="39" spans="1:3" x14ac:dyDescent="0.25">
      <c r="A39" s="10" t="s">
        <v>591</v>
      </c>
      <c r="B39" s="8">
        <f ca="1">100*VLOOKUP(C39,econmon!$A$4:$L$55, 11, FALSE)</f>
        <v>4.8709835554169079</v>
      </c>
      <c r="C39" t="str">
        <f>VLOOKUP(A39,'Table 1'!$A$3:$H$53, 8, FALSE)</f>
        <v>TN</v>
      </c>
    </row>
    <row r="40" spans="1:3" x14ac:dyDescent="0.25">
      <c r="A40" s="10" t="s">
        <v>554</v>
      </c>
      <c r="B40" s="8">
        <f ca="1">100*VLOOKUP(C40,econmon!$A$4:$L$55, 11, FALSE)</f>
        <v>0.3988183161004466</v>
      </c>
      <c r="C40" t="str">
        <f>VLOOKUP(A40,'Table 1'!$A$3:$H$53, 8, FALSE)</f>
        <v>CO</v>
      </c>
    </row>
    <row r="41" spans="1:3" x14ac:dyDescent="0.25">
      <c r="A41" s="10" t="s">
        <v>598</v>
      </c>
      <c r="B41" s="8">
        <f ca="1">100*VLOOKUP(C41,econmon!$A$4:$L$55, 11, FALSE)</f>
        <v>-2.8139915936453708</v>
      </c>
      <c r="C41" t="str">
        <f>VLOOKUP(A41,'Table 1'!$A$3:$H$53, 8, FALSE)</f>
        <v>WI</v>
      </c>
    </row>
    <row r="42" spans="1:3" x14ac:dyDescent="0.25">
      <c r="A42" s="10" t="s">
        <v>559</v>
      </c>
      <c r="B42" s="8">
        <f ca="1">100*VLOOKUP(C42,econmon!$A$4:$L$55, 11, FALSE)</f>
        <v>-4.8156357042111626</v>
      </c>
      <c r="C42" t="str">
        <f>VLOOKUP(A42,'Table 1'!$A$3:$H$53, 8, FALSE)</f>
        <v>GA</v>
      </c>
    </row>
    <row r="43" spans="1:3" x14ac:dyDescent="0.25">
      <c r="A43" s="10" t="s">
        <v>574</v>
      </c>
      <c r="B43" s="8">
        <f ca="1">100*VLOOKUP(C43,econmon!$A$4:$L$55, 11, FALSE)</f>
        <v>14.572064906140625</v>
      </c>
      <c r="C43" t="str">
        <f>VLOOKUP(A43,'Table 1'!$A$3:$H$53, 8, FALSE)</f>
        <v>MO</v>
      </c>
    </row>
    <row r="44" spans="1:3" x14ac:dyDescent="0.25">
      <c r="A44" s="10" t="s">
        <v>579</v>
      </c>
      <c r="B44" s="8">
        <f ca="1">100*VLOOKUP(C44,econmon!$A$4:$L$55, 11, FALSE)</f>
        <v>0.30387220003473825</v>
      </c>
      <c r="C44" t="str">
        <f>VLOOKUP(A44,'Table 1'!$A$3:$H$53, 8, FALSE)</f>
        <v>NJ</v>
      </c>
    </row>
    <row r="45" spans="1:3" x14ac:dyDescent="0.25">
      <c r="A45" s="10" t="s">
        <v>549</v>
      </c>
      <c r="B45" s="8">
        <f ca="1">100*VLOOKUP(C45,econmon!$A$4:$L$55, 11, FALSE)</f>
        <v>6.8071904370836656</v>
      </c>
      <c r="C45" t="str">
        <f>VLOOKUP(A45,'Table 1'!$A$3:$H$53, 8, FALSE)</f>
        <v>AL</v>
      </c>
    </row>
    <row r="46" spans="1:3" x14ac:dyDescent="0.25">
      <c r="A46" s="10" t="s">
        <v>571</v>
      </c>
      <c r="B46" s="8">
        <f ca="1">100*VLOOKUP(C46,econmon!$A$4:$L$55, 11, FALSE)</f>
        <v>-0.36714089031666397</v>
      </c>
      <c r="C46" t="str">
        <f>VLOOKUP(A46,'Table 1'!$A$3:$H$53, 8, FALSE)</f>
        <v>MI</v>
      </c>
    </row>
    <row r="47" spans="1:3" x14ac:dyDescent="0.25">
      <c r="A47" s="10" t="s">
        <v>592</v>
      </c>
      <c r="B47" s="8">
        <f ca="1">100*VLOOKUP(C47,econmon!$A$4:$L$55, 11, FALSE)</f>
        <v>2.3431636120474275</v>
      </c>
      <c r="C47" t="str">
        <f>VLOOKUP(A47,'Table 1'!$A$3:$H$53, 8, FALSE)</f>
        <v>TX</v>
      </c>
    </row>
    <row r="48" spans="1:3" x14ac:dyDescent="0.25">
      <c r="A48" s="10" t="s">
        <v>578</v>
      </c>
      <c r="B48" s="8">
        <f ca="1">100*VLOOKUP(C48,econmon!$A$4:$L$55, 11, FALSE)</f>
        <v>17.699115044247794</v>
      </c>
      <c r="C48" t="str">
        <f>VLOOKUP(A48,'Table 1'!$A$3:$H$53, 8, FALSE)</f>
        <v>NH</v>
      </c>
    </row>
    <row r="49" spans="1:3" x14ac:dyDescent="0.25">
      <c r="A49" s="10" t="s">
        <v>561</v>
      </c>
      <c r="B49" s="8">
        <f ca="1">100*VLOOKUP(C49,econmon!$A$4:$L$55, 11, FALSE)</f>
        <v>-1.0443557850269847</v>
      </c>
      <c r="C49" t="str">
        <f>VLOOKUP(A49,'Table 1'!$A$3:$H$53, 8, FALSE)</f>
        <v>ID</v>
      </c>
    </row>
    <row r="50" spans="1:3" x14ac:dyDescent="0.25">
      <c r="A50" s="10" t="s">
        <v>557</v>
      </c>
      <c r="B50" s="8">
        <f ca="1">100*VLOOKUP(C50,econmon!$A$4:$L$55, 11, FALSE)</f>
        <v>24.731182795698924</v>
      </c>
      <c r="C50" t="str">
        <f>VLOOKUP(A50,'Table 1'!$A$3:$H$53, 8, FALSE)</f>
        <v>DC</v>
      </c>
    </row>
    <row r="51" spans="1:3" x14ac:dyDescent="0.25">
      <c r="A51" s="10" t="s">
        <v>581</v>
      </c>
      <c r="B51" s="8">
        <f ca="1">100*VLOOKUP(C51,econmon!$A$4:$L$55, 11, FALSE)</f>
        <v>-2.184261267775367</v>
      </c>
      <c r="C51" t="str">
        <f>VLOOKUP(A51,'Table 1'!$A$3:$H$53, 8, FALSE)</f>
        <v>NY</v>
      </c>
    </row>
    <row r="52" spans="1:3" x14ac:dyDescent="0.25">
      <c r="A52" s="10" t="s">
        <v>589</v>
      </c>
      <c r="B52" s="8">
        <f ca="1">100*VLOOKUP(C52,econmon!$A$4:$L$55, 11, FALSE)</f>
        <v>6.5340179717586544</v>
      </c>
      <c r="C52" t="str">
        <f>VLOOKUP(A52,'Table 1'!$A$3:$H$53, 8, FALSE)</f>
        <v>SC</v>
      </c>
    </row>
    <row r="53" spans="1:3" x14ac:dyDescent="0.25">
      <c r="A53" s="11" t="s">
        <v>583</v>
      </c>
      <c r="B53" s="8">
        <f ca="1">100*VLOOKUP(C53,econmon!$A$4:$L$55, 11, FALSE)</f>
        <v>21.316274531063641</v>
      </c>
      <c r="C53" t="s">
        <v>473</v>
      </c>
    </row>
    <row r="54" spans="1:3" x14ac:dyDescent="0.25">
      <c r="A54" s="10" t="s">
        <v>562</v>
      </c>
      <c r="B54" s="8">
        <f ca="1">100*VLOOKUP(C54,econmon!$A$4:$L$55, 11, FALSE)</f>
        <v>9.2512077294685913</v>
      </c>
      <c r="C54" t="str">
        <f>VLOOKUP(A54,'Table 1'!$A$3:$H$53, 8, FALSE)</f>
        <v>IL</v>
      </c>
    </row>
  </sheetData>
  <sortState ref="A3:C54">
    <sortCondition ref="B3:B54"/>
  </sortState>
  <mergeCells count="1">
    <mergeCell ref="A1:B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CB249"/>
  <sheetViews>
    <sheetView tabSelected="1" topLeftCell="A4" zoomScale="75" zoomScaleNormal="75" workbookViewId="0">
      <pane ySplit="1" topLeftCell="A5" activePane="bottomLeft" state="frozen"/>
      <selection activeCell="H4" sqref="H4"/>
      <selection pane="bottomLeft" activeCell="F24" sqref="F24"/>
    </sheetView>
  </sheetViews>
  <sheetFormatPr defaultRowHeight="15.75" x14ac:dyDescent="0.25"/>
  <cols>
    <col min="1" max="1" width="35.875" bestFit="1" customWidth="1"/>
    <col min="2" max="8" width="11.125" bestFit="1" customWidth="1"/>
    <col min="9" max="9" width="11.125" style="68" bestFit="1" customWidth="1"/>
    <col min="10" max="10" width="12.375" bestFit="1" customWidth="1"/>
    <col min="11" max="11" width="11.125" bestFit="1" customWidth="1"/>
    <col min="12" max="12" width="13.75" bestFit="1" customWidth="1"/>
    <col min="13" max="13" width="20.25" style="68" customWidth="1"/>
    <col min="14" max="14" width="14.875" customWidth="1"/>
    <col min="15" max="16" width="13.75" customWidth="1"/>
    <col min="17" max="17" width="11.125" customWidth="1"/>
    <col min="23" max="23" width="16.875" customWidth="1"/>
    <col min="24" max="24" width="29.625" bestFit="1" customWidth="1"/>
    <col min="25" max="25" width="19.5" bestFit="1" customWidth="1"/>
  </cols>
  <sheetData>
    <row r="1" spans="1:80" x14ac:dyDescent="0.25">
      <c r="A1" t="s">
        <v>690</v>
      </c>
      <c r="D1">
        <v>3</v>
      </c>
      <c r="W1" t="s">
        <v>690</v>
      </c>
      <c r="X1" s="95" t="s">
        <v>951</v>
      </c>
      <c r="Y1" s="94"/>
      <c r="Z1" s="94"/>
    </row>
    <row r="2" spans="1:80" x14ac:dyDescent="0.25">
      <c r="M2" s="102" t="s">
        <v>967</v>
      </c>
    </row>
    <row r="3" spans="1:80" x14ac:dyDescent="0.25">
      <c r="A3" t="s">
        <v>691</v>
      </c>
      <c r="W3" t="s">
        <v>691</v>
      </c>
    </row>
    <row r="4" spans="1:80" x14ac:dyDescent="0.25">
      <c r="A4">
        <v>1</v>
      </c>
      <c r="B4">
        <v>2</v>
      </c>
      <c r="C4">
        <v>3</v>
      </c>
      <c r="D4">
        <v>4</v>
      </c>
      <c r="E4">
        <v>5</v>
      </c>
      <c r="F4">
        <v>6</v>
      </c>
      <c r="G4">
        <v>7</v>
      </c>
      <c r="H4">
        <v>8</v>
      </c>
      <c r="I4" s="68">
        <v>9</v>
      </c>
      <c r="J4" t="s">
        <v>969</v>
      </c>
      <c r="K4">
        <v>11</v>
      </c>
      <c r="L4">
        <v>12</v>
      </c>
      <c r="M4" s="68">
        <v>13</v>
      </c>
      <c r="N4" t="s">
        <v>970</v>
      </c>
      <c r="T4" t="s">
        <v>828</v>
      </c>
      <c r="W4">
        <v>1</v>
      </c>
      <c r="X4" t="s">
        <v>977</v>
      </c>
      <c r="Y4" t="s">
        <v>978</v>
      </c>
    </row>
    <row r="5" spans="1:80" x14ac:dyDescent="0.25">
      <c r="A5" t="s">
        <v>692</v>
      </c>
      <c r="B5" t="s">
        <v>707</v>
      </c>
      <c r="C5" t="s">
        <v>708</v>
      </c>
      <c r="D5" t="s">
        <v>705</v>
      </c>
      <c r="E5" t="s">
        <v>706</v>
      </c>
      <c r="F5" t="s">
        <v>695</v>
      </c>
      <c r="G5" t="s">
        <v>697</v>
      </c>
      <c r="H5" t="s">
        <v>693</v>
      </c>
      <c r="I5" s="68" t="s">
        <v>694</v>
      </c>
      <c r="J5" t="s">
        <v>696</v>
      </c>
      <c r="K5" t="s">
        <v>698</v>
      </c>
      <c r="L5" t="s">
        <v>716</v>
      </c>
      <c r="M5" s="68" t="s">
        <v>949</v>
      </c>
      <c r="N5" t="s">
        <v>968</v>
      </c>
      <c r="T5" t="s">
        <v>973</v>
      </c>
      <c r="U5" t="s">
        <v>950</v>
      </c>
      <c r="V5" t="s">
        <v>972</v>
      </c>
      <c r="W5" t="s">
        <v>692</v>
      </c>
      <c r="X5">
        <f>+AVERAGE(US!R92:R94)/AVERAGE(US!R80:R82)</f>
        <v>1.0140044109512283</v>
      </c>
    </row>
    <row r="6" spans="1:80" s="98" customFormat="1" x14ac:dyDescent="0.25">
      <c r="A6" s="98" t="s">
        <v>701</v>
      </c>
      <c r="C6" s="97"/>
      <c r="G6" s="97"/>
      <c r="M6" s="98" t="s">
        <v>701</v>
      </c>
      <c r="X6" s="108" t="s">
        <v>974</v>
      </c>
      <c r="Y6" s="108" t="s">
        <v>975</v>
      </c>
      <c r="AC6" s="93"/>
      <c r="BB6" s="97"/>
      <c r="BC6" s="97"/>
      <c r="CA6" s="97"/>
      <c r="CB6" s="97"/>
    </row>
    <row r="7" spans="1:80" x14ac:dyDescent="0.25">
      <c r="A7" t="s">
        <v>465</v>
      </c>
      <c r="B7" s="38">
        <v>551</v>
      </c>
      <c r="C7" s="38">
        <v>560</v>
      </c>
      <c r="D7" s="38">
        <v>563</v>
      </c>
      <c r="E7" s="38">
        <v>590</v>
      </c>
      <c r="F7" s="38">
        <v>562</v>
      </c>
      <c r="G7" s="38">
        <v>581</v>
      </c>
      <c r="H7" s="38">
        <v>564</v>
      </c>
      <c r="I7" s="104">
        <v>603</v>
      </c>
      <c r="J7" s="38">
        <v>584</v>
      </c>
      <c r="K7" s="38">
        <v>594</v>
      </c>
      <c r="L7" s="38">
        <v>569</v>
      </c>
      <c r="M7" s="104">
        <v>618</v>
      </c>
      <c r="N7" s="109">
        <v>612.298</v>
      </c>
      <c r="O7" s="38"/>
      <c r="P7" t="s">
        <v>465</v>
      </c>
      <c r="Q7" s="38"/>
      <c r="R7" s="38"/>
      <c r="S7" s="37">
        <f t="shared" ref="S7:S53" si="0">(L7/(H7*$X$5)-1)*100</f>
        <v>-0.50681857680056064</v>
      </c>
      <c r="T7" s="38">
        <f>SUM(G7:J7)</f>
        <v>2332</v>
      </c>
      <c r="U7" s="38">
        <f>SUM(J7:M7)</f>
        <v>2365</v>
      </c>
      <c r="V7" s="38">
        <f>SUM(K7:N7)</f>
        <v>2393.2979999999998</v>
      </c>
      <c r="W7" t="s">
        <v>465</v>
      </c>
      <c r="X7" s="37">
        <f>(N7/J7-1)*100</f>
        <v>4.8455479452054862</v>
      </c>
      <c r="Y7" s="2">
        <f>+V7/T7-1</f>
        <v>2.6285591766723737E-2</v>
      </c>
      <c r="Z7" s="37">
        <f>+V7/U7*100-100</f>
        <v>1.1965327695560291</v>
      </c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</row>
    <row r="8" spans="1:80" x14ac:dyDescent="0.25">
      <c r="A8" t="s">
        <v>475</v>
      </c>
      <c r="B8" s="38">
        <v>720</v>
      </c>
      <c r="C8" s="38">
        <v>689</v>
      </c>
      <c r="D8" s="38">
        <v>693</v>
      </c>
      <c r="E8" s="38">
        <v>708</v>
      </c>
      <c r="F8" s="38">
        <v>713</v>
      </c>
      <c r="G8" s="38">
        <v>702</v>
      </c>
      <c r="H8" s="38">
        <v>699</v>
      </c>
      <c r="I8" s="104">
        <v>724</v>
      </c>
      <c r="J8" s="38">
        <v>806</v>
      </c>
      <c r="K8" s="38">
        <v>772</v>
      </c>
      <c r="L8" s="38">
        <v>766</v>
      </c>
      <c r="M8" s="104">
        <v>787</v>
      </c>
      <c r="N8" s="109">
        <v>806.16800000000001</v>
      </c>
      <c r="O8" s="38"/>
      <c r="P8" t="s">
        <v>475</v>
      </c>
      <c r="Q8" s="38"/>
      <c r="R8" s="38"/>
      <c r="S8" s="37">
        <f t="shared" si="0"/>
        <v>8.0716419167133466</v>
      </c>
      <c r="T8" s="38">
        <f t="shared" ref="T8:T71" si="1">SUM(G8:J8)</f>
        <v>2931</v>
      </c>
      <c r="U8" s="38">
        <f t="shared" ref="U8:U71" si="2">SUM(J8:M8)</f>
        <v>3131</v>
      </c>
      <c r="V8" s="38">
        <f t="shared" ref="V8:V71" si="3">SUM(K8:N8)</f>
        <v>3131.1680000000001</v>
      </c>
      <c r="W8" t="s">
        <v>475</v>
      </c>
      <c r="X8" s="37">
        <f t="shared" ref="X8:X53" si="4">(N8/J8-1)*100</f>
        <v>2.0843672456583029E-2</v>
      </c>
      <c r="Y8" s="2">
        <f t="shared" ref="Y8:Y53" si="5">+V8/T8-1</f>
        <v>6.8293415216649667E-2</v>
      </c>
      <c r="Z8" s="37">
        <f t="shared" ref="Z8:Z71" si="6">+V8/U8*100-100</f>
        <v>5.3656978601139826E-3</v>
      </c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</row>
    <row r="9" spans="1:80" x14ac:dyDescent="0.25">
      <c r="A9" t="s">
        <v>476</v>
      </c>
      <c r="B9" s="38">
        <v>1146</v>
      </c>
      <c r="C9" s="38">
        <v>1131</v>
      </c>
      <c r="D9" s="38">
        <v>1199</v>
      </c>
      <c r="E9" s="38">
        <v>1209</v>
      </c>
      <c r="F9" s="38">
        <v>1193</v>
      </c>
      <c r="G9" s="38">
        <v>1180</v>
      </c>
      <c r="H9" s="38">
        <v>1245</v>
      </c>
      <c r="I9" s="104">
        <v>1279</v>
      </c>
      <c r="J9" s="38">
        <v>1276</v>
      </c>
      <c r="K9" s="38">
        <v>1254</v>
      </c>
      <c r="L9" s="38">
        <v>1465</v>
      </c>
      <c r="M9" s="104">
        <v>1332</v>
      </c>
      <c r="N9" s="109">
        <v>1512.9549999999999</v>
      </c>
      <c r="O9" s="38"/>
      <c r="P9" t="s">
        <v>476</v>
      </c>
      <c r="Q9" s="38"/>
      <c r="R9" s="38"/>
      <c r="S9" s="37">
        <f t="shared" si="0"/>
        <v>16.045533392244216</v>
      </c>
      <c r="T9" s="38">
        <f t="shared" si="1"/>
        <v>4980</v>
      </c>
      <c r="U9" s="38">
        <f t="shared" si="2"/>
        <v>5327</v>
      </c>
      <c r="V9" s="38">
        <f t="shared" si="3"/>
        <v>5563.9549999999999</v>
      </c>
      <c r="W9" t="s">
        <v>476</v>
      </c>
      <c r="X9" s="37">
        <f t="shared" si="4"/>
        <v>18.570141065830725</v>
      </c>
      <c r="Y9" s="2">
        <f t="shared" si="5"/>
        <v>0.11726004016064251</v>
      </c>
      <c r="Z9" s="37">
        <f t="shared" si="6"/>
        <v>4.4481884738126496</v>
      </c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</row>
    <row r="10" spans="1:80" x14ac:dyDescent="0.25">
      <c r="A10" t="s">
        <v>467</v>
      </c>
      <c r="B10" s="38">
        <v>7501</v>
      </c>
      <c r="C10" s="38">
        <v>7513</v>
      </c>
      <c r="D10" s="38">
        <v>7892</v>
      </c>
      <c r="E10" s="38">
        <v>8579</v>
      </c>
      <c r="F10" s="38">
        <v>7431</v>
      </c>
      <c r="G10" s="38">
        <v>7676</v>
      </c>
      <c r="H10" s="38">
        <v>8941</v>
      </c>
      <c r="I10" s="104">
        <v>9381</v>
      </c>
      <c r="J10" s="38">
        <v>8412</v>
      </c>
      <c r="K10" s="38">
        <v>8888</v>
      </c>
      <c r="L10" s="38">
        <v>9116</v>
      </c>
      <c r="M10" s="104">
        <v>9749</v>
      </c>
      <c r="N10" s="109">
        <v>8703.1219999999994</v>
      </c>
      <c r="O10" s="38"/>
      <c r="P10" t="s">
        <v>467</v>
      </c>
      <c r="Q10" s="38"/>
      <c r="R10" s="38"/>
      <c r="S10" s="37">
        <f t="shared" si="0"/>
        <v>0.54914394001208677</v>
      </c>
      <c r="T10" s="38">
        <f t="shared" si="1"/>
        <v>34410</v>
      </c>
      <c r="U10" s="38">
        <f t="shared" si="2"/>
        <v>36165</v>
      </c>
      <c r="V10" s="38">
        <f t="shared" si="3"/>
        <v>36456.122000000003</v>
      </c>
      <c r="W10" t="s">
        <v>467</v>
      </c>
      <c r="X10" s="37">
        <f t="shared" si="4"/>
        <v>3.4607941036614243</v>
      </c>
      <c r="Y10" s="2">
        <f t="shared" si="5"/>
        <v>5.9463004940424335E-2</v>
      </c>
      <c r="Z10" s="37">
        <f t="shared" si="6"/>
        <v>0.80498271809761945</v>
      </c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</row>
    <row r="11" spans="1:80" x14ac:dyDescent="0.25">
      <c r="A11" t="s">
        <v>477</v>
      </c>
      <c r="B11" s="38">
        <v>580</v>
      </c>
      <c r="C11" s="38">
        <v>555</v>
      </c>
      <c r="D11" s="38">
        <v>576</v>
      </c>
      <c r="E11" s="38">
        <v>591</v>
      </c>
      <c r="F11" s="38">
        <v>617</v>
      </c>
      <c r="G11" s="38">
        <v>594</v>
      </c>
      <c r="H11" s="38">
        <v>588</v>
      </c>
      <c r="I11" s="104">
        <v>618</v>
      </c>
      <c r="J11" s="38">
        <v>653</v>
      </c>
      <c r="K11" s="38">
        <v>633</v>
      </c>
      <c r="L11" s="38">
        <v>641</v>
      </c>
      <c r="M11" s="104">
        <v>687</v>
      </c>
      <c r="N11" s="109">
        <v>715.40899999999999</v>
      </c>
      <c r="O11" s="38"/>
      <c r="P11" t="s">
        <v>477</v>
      </c>
      <c r="Q11" s="38"/>
      <c r="R11" s="38"/>
      <c r="S11" s="37">
        <f t="shared" si="0"/>
        <v>7.5080189640518435</v>
      </c>
      <c r="T11" s="38">
        <f t="shared" si="1"/>
        <v>2453</v>
      </c>
      <c r="U11" s="38">
        <f t="shared" si="2"/>
        <v>2614</v>
      </c>
      <c r="V11" s="38">
        <f t="shared" si="3"/>
        <v>2676.4090000000001</v>
      </c>
      <c r="W11" t="s">
        <v>477</v>
      </c>
      <c r="X11" s="37">
        <f t="shared" si="4"/>
        <v>9.5572741194486888</v>
      </c>
      <c r="Y11" s="2">
        <f t="shared" si="5"/>
        <v>9.1075825519771669E-2</v>
      </c>
      <c r="Z11" s="37">
        <f t="shared" si="6"/>
        <v>2.3874904361132394</v>
      </c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</row>
    <row r="12" spans="1:80" x14ac:dyDescent="0.25">
      <c r="A12" t="s">
        <v>468</v>
      </c>
      <c r="B12" s="38">
        <v>554</v>
      </c>
      <c r="C12" s="38">
        <v>889</v>
      </c>
      <c r="D12" s="38">
        <v>947</v>
      </c>
      <c r="E12" s="38">
        <v>1368</v>
      </c>
      <c r="F12" s="38">
        <v>482</v>
      </c>
      <c r="G12" s="38">
        <v>1036</v>
      </c>
      <c r="H12" s="38">
        <v>879</v>
      </c>
      <c r="I12" s="104">
        <v>1442</v>
      </c>
      <c r="J12" s="38">
        <v>589</v>
      </c>
      <c r="K12" s="38">
        <v>1046</v>
      </c>
      <c r="L12" s="38">
        <v>954</v>
      </c>
      <c r="M12" s="101">
        <f>I12-(I12*0.033)</f>
        <v>1394.414</v>
      </c>
      <c r="N12" s="109">
        <v>620.21600000000001</v>
      </c>
      <c r="O12" s="38"/>
      <c r="P12" t="s">
        <v>468</v>
      </c>
      <c r="Q12" s="38"/>
      <c r="R12" s="38"/>
      <c r="S12" s="37">
        <f t="shared" si="0"/>
        <v>7.0334823360165277</v>
      </c>
      <c r="T12" s="38">
        <f t="shared" si="1"/>
        <v>3946</v>
      </c>
      <c r="U12" s="38">
        <f t="shared" si="2"/>
        <v>3983.4139999999998</v>
      </c>
      <c r="V12" s="38">
        <f t="shared" si="3"/>
        <v>4014.6299999999997</v>
      </c>
      <c r="W12" t="s">
        <v>468</v>
      </c>
      <c r="X12" s="37">
        <f t="shared" si="4"/>
        <v>5.2998302207130754</v>
      </c>
      <c r="Y12" s="2">
        <f t="shared" si="5"/>
        <v>1.7392295995945162E-2</v>
      </c>
      <c r="Z12" s="37">
        <f t="shared" si="6"/>
        <v>0.7836494022464251</v>
      </c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</row>
    <row r="13" spans="1:80" x14ac:dyDescent="0.25">
      <c r="A13" t="s">
        <v>600</v>
      </c>
      <c r="B13" s="38">
        <v>214</v>
      </c>
      <c r="C13" s="38">
        <v>240</v>
      </c>
      <c r="D13" s="38">
        <v>237</v>
      </c>
      <c r="E13" s="38">
        <v>274</v>
      </c>
      <c r="F13" s="38">
        <v>261</v>
      </c>
      <c r="G13" s="38">
        <v>260</v>
      </c>
      <c r="H13" s="38">
        <v>260</v>
      </c>
      <c r="I13" s="104">
        <v>306</v>
      </c>
      <c r="J13" s="38">
        <v>291</v>
      </c>
      <c r="K13" s="38">
        <v>296</v>
      </c>
      <c r="L13" s="38">
        <v>248</v>
      </c>
      <c r="M13" s="104">
        <v>317</v>
      </c>
      <c r="N13" s="109">
        <v>295.50799999999998</v>
      </c>
      <c r="O13" s="38"/>
      <c r="P13" t="s">
        <v>600</v>
      </c>
      <c r="Q13" s="38"/>
      <c r="R13" s="38"/>
      <c r="S13" s="37">
        <f t="shared" si="0"/>
        <v>-5.932741165163236</v>
      </c>
      <c r="T13" s="38">
        <f t="shared" si="1"/>
        <v>1117</v>
      </c>
      <c r="U13" s="38">
        <f t="shared" si="2"/>
        <v>1152</v>
      </c>
      <c r="V13" s="38">
        <f t="shared" si="3"/>
        <v>1156.508</v>
      </c>
      <c r="W13" t="s">
        <v>600</v>
      </c>
      <c r="X13" s="37">
        <f t="shared" si="4"/>
        <v>1.5491408934707795</v>
      </c>
      <c r="Y13" s="2">
        <f t="shared" si="5"/>
        <v>3.5369740376007153E-2</v>
      </c>
      <c r="Z13" s="37">
        <f t="shared" si="6"/>
        <v>0.39131944444443434</v>
      </c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</row>
    <row r="14" spans="1:80" x14ac:dyDescent="0.25">
      <c r="A14" t="s">
        <v>470</v>
      </c>
      <c r="B14" s="38">
        <v>4561</v>
      </c>
      <c r="C14" s="38">
        <v>4595</v>
      </c>
      <c r="D14" s="38">
        <v>5107</v>
      </c>
      <c r="E14" s="38">
        <v>5140</v>
      </c>
      <c r="F14" s="38">
        <v>5031</v>
      </c>
      <c r="G14" s="38">
        <v>4897</v>
      </c>
      <c r="H14" s="38">
        <v>5417</v>
      </c>
      <c r="I14" s="104">
        <v>5441</v>
      </c>
      <c r="J14" s="38">
        <v>5209</v>
      </c>
      <c r="K14" s="38">
        <v>5121</v>
      </c>
      <c r="L14" s="38">
        <v>5832</v>
      </c>
      <c r="M14" s="104">
        <v>5693</v>
      </c>
      <c r="N14" s="109">
        <v>5635.174</v>
      </c>
      <c r="O14" s="38"/>
      <c r="P14" t="s">
        <v>470</v>
      </c>
      <c r="Q14" s="38"/>
      <c r="R14" s="38"/>
      <c r="S14" s="37">
        <f t="shared" si="0"/>
        <v>6.1741604361118974</v>
      </c>
      <c r="T14" s="38">
        <f t="shared" si="1"/>
        <v>20964</v>
      </c>
      <c r="U14" s="38">
        <f t="shared" si="2"/>
        <v>21855</v>
      </c>
      <c r="V14" s="38">
        <f t="shared" si="3"/>
        <v>22281.173999999999</v>
      </c>
      <c r="W14" t="s">
        <v>470</v>
      </c>
      <c r="X14" s="37">
        <f t="shared" si="4"/>
        <v>8.1814935688231838</v>
      </c>
      <c r="Y14" s="2">
        <f t="shared" si="5"/>
        <v>6.2830280480824285E-2</v>
      </c>
      <c r="Z14" s="37">
        <f t="shared" si="6"/>
        <v>1.9500068634179684</v>
      </c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BY14" s="38"/>
      <c r="BZ14" s="38"/>
      <c r="CA14" s="38"/>
      <c r="CB14" s="38"/>
    </row>
    <row r="15" spans="1:80" x14ac:dyDescent="0.25">
      <c r="A15" t="s">
        <v>471</v>
      </c>
      <c r="B15" s="38">
        <v>1272</v>
      </c>
      <c r="C15" s="38">
        <v>1244</v>
      </c>
      <c r="D15" s="38">
        <v>1311</v>
      </c>
      <c r="E15" s="38">
        <v>1314</v>
      </c>
      <c r="F15" s="38">
        <v>1322</v>
      </c>
      <c r="G15" s="38">
        <v>1270</v>
      </c>
      <c r="H15" s="38">
        <v>1350</v>
      </c>
      <c r="I15" s="104">
        <v>1203</v>
      </c>
      <c r="J15" s="38">
        <v>1211</v>
      </c>
      <c r="K15" s="38">
        <v>1209</v>
      </c>
      <c r="L15" s="38">
        <v>1265</v>
      </c>
      <c r="M15" s="104">
        <v>1299</v>
      </c>
      <c r="N15" s="109">
        <v>1297.2439999999999</v>
      </c>
      <c r="O15" s="38"/>
      <c r="P15" t="s">
        <v>471</v>
      </c>
      <c r="Q15" s="38"/>
      <c r="R15" s="38"/>
      <c r="S15" s="37">
        <f t="shared" si="0"/>
        <v>-7.590437781428272</v>
      </c>
      <c r="T15" s="38">
        <f t="shared" si="1"/>
        <v>5034</v>
      </c>
      <c r="U15" s="38">
        <f t="shared" si="2"/>
        <v>4984</v>
      </c>
      <c r="V15" s="38">
        <f t="shared" si="3"/>
        <v>5070.2439999999997</v>
      </c>
      <c r="W15" t="s">
        <v>471</v>
      </c>
      <c r="X15" s="37">
        <f t="shared" si="4"/>
        <v>7.1217175887696049</v>
      </c>
      <c r="Y15" s="2">
        <f>+V15/T15-1</f>
        <v>7.1998410806515256E-3</v>
      </c>
      <c r="Z15" s="37">
        <f t="shared" si="6"/>
        <v>1.7304173354735042</v>
      </c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V15" s="38"/>
      <c r="BW15" s="38"/>
      <c r="BX15" s="38"/>
      <c r="BY15" s="38"/>
      <c r="BZ15" s="38"/>
      <c r="CA15" s="38"/>
      <c r="CB15" s="38"/>
    </row>
    <row r="16" spans="1:80" x14ac:dyDescent="0.25">
      <c r="A16" t="s">
        <v>478</v>
      </c>
      <c r="B16" s="38">
        <v>655</v>
      </c>
      <c r="C16" s="38">
        <v>628</v>
      </c>
      <c r="D16" s="38">
        <v>711</v>
      </c>
      <c r="E16" s="38">
        <v>704</v>
      </c>
      <c r="F16" s="38">
        <v>739</v>
      </c>
      <c r="G16" s="38">
        <v>691</v>
      </c>
      <c r="H16" s="38">
        <v>758</v>
      </c>
      <c r="I16" s="104">
        <v>757</v>
      </c>
      <c r="J16" s="38">
        <v>643</v>
      </c>
      <c r="K16" s="38">
        <v>694</v>
      </c>
      <c r="L16" s="38">
        <v>747</v>
      </c>
      <c r="M16" s="104">
        <v>741</v>
      </c>
      <c r="N16" s="109">
        <v>675.52499999999998</v>
      </c>
      <c r="O16" s="38"/>
      <c r="P16" t="s">
        <v>478</v>
      </c>
      <c r="Q16" s="38"/>
      <c r="R16" s="38"/>
      <c r="S16" s="37">
        <f t="shared" si="0"/>
        <v>-2.8122446011256352</v>
      </c>
      <c r="T16" s="38">
        <f t="shared" si="1"/>
        <v>2849</v>
      </c>
      <c r="U16" s="38">
        <f t="shared" si="2"/>
        <v>2825</v>
      </c>
      <c r="V16" s="38">
        <f t="shared" si="3"/>
        <v>2857.5250000000001</v>
      </c>
      <c r="W16" t="s">
        <v>478</v>
      </c>
      <c r="X16" s="37">
        <f t="shared" si="4"/>
        <v>5.0583203732503801</v>
      </c>
      <c r="Y16" s="2">
        <f t="shared" si="5"/>
        <v>2.9922779922779696E-3</v>
      </c>
      <c r="Z16" s="37">
        <f t="shared" si="6"/>
        <v>1.1513274336283104</v>
      </c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8"/>
      <c r="BU16" s="38"/>
      <c r="BV16" s="38"/>
      <c r="BW16" s="38"/>
      <c r="BX16" s="38"/>
      <c r="BY16" s="38"/>
      <c r="BZ16" s="38"/>
      <c r="CA16" s="38"/>
      <c r="CB16" s="38"/>
    </row>
    <row r="17" spans="1:80" x14ac:dyDescent="0.25">
      <c r="A17" t="s">
        <v>482</v>
      </c>
      <c r="B17" s="38">
        <v>430</v>
      </c>
      <c r="C17" s="38">
        <v>593</v>
      </c>
      <c r="D17" s="38">
        <v>589</v>
      </c>
      <c r="E17" s="38">
        <v>660</v>
      </c>
      <c r="F17" s="38">
        <v>436</v>
      </c>
      <c r="G17" s="38">
        <v>619</v>
      </c>
      <c r="H17" s="38">
        <v>603</v>
      </c>
      <c r="I17" s="104">
        <v>606</v>
      </c>
      <c r="J17" s="38">
        <v>476</v>
      </c>
      <c r="K17" s="38">
        <v>651</v>
      </c>
      <c r="L17" s="38">
        <v>641</v>
      </c>
      <c r="M17" s="104">
        <v>676</v>
      </c>
      <c r="N17" s="109">
        <v>508.47899999999998</v>
      </c>
      <c r="O17" s="38"/>
      <c r="P17" t="s">
        <v>482</v>
      </c>
      <c r="Q17" s="38"/>
      <c r="R17" s="38"/>
      <c r="S17" s="37">
        <f t="shared" si="0"/>
        <v>4.8336901341003102</v>
      </c>
      <c r="T17" s="38">
        <f t="shared" si="1"/>
        <v>2304</v>
      </c>
      <c r="U17" s="38">
        <f t="shared" si="2"/>
        <v>2444</v>
      </c>
      <c r="V17" s="38">
        <f t="shared" si="3"/>
        <v>2476.4789999999998</v>
      </c>
      <c r="W17" t="s">
        <v>482</v>
      </c>
      <c r="X17" s="37">
        <f t="shared" si="4"/>
        <v>6.8233193277310811</v>
      </c>
      <c r="Y17" s="2">
        <f t="shared" si="5"/>
        <v>7.4860677083333327E-2</v>
      </c>
      <c r="Z17" s="37">
        <f t="shared" si="6"/>
        <v>1.3289279869066917</v>
      </c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8"/>
      <c r="BU17" s="38"/>
      <c r="BV17" s="38"/>
      <c r="BW17" s="38"/>
      <c r="BX17" s="38"/>
      <c r="BY17" s="38"/>
      <c r="BZ17" s="38"/>
      <c r="CA17" s="38"/>
      <c r="CB17" s="38"/>
    </row>
    <row r="18" spans="1:80" x14ac:dyDescent="0.25">
      <c r="A18" t="s">
        <v>479</v>
      </c>
      <c r="B18" s="38">
        <v>328</v>
      </c>
      <c r="C18" s="38">
        <v>296</v>
      </c>
      <c r="D18" s="38">
        <v>295</v>
      </c>
      <c r="E18" s="38">
        <v>305</v>
      </c>
      <c r="F18" s="38">
        <v>350</v>
      </c>
      <c r="G18" s="38">
        <v>324</v>
      </c>
      <c r="H18" s="38">
        <v>318</v>
      </c>
      <c r="I18" s="104">
        <v>332</v>
      </c>
      <c r="J18" s="38">
        <v>367</v>
      </c>
      <c r="K18" s="38">
        <v>333</v>
      </c>
      <c r="L18" s="38">
        <v>367</v>
      </c>
      <c r="M18" s="104">
        <v>348</v>
      </c>
      <c r="N18" s="109">
        <v>383.14600000000002</v>
      </c>
      <c r="O18" s="38"/>
      <c r="P18" t="s">
        <v>479</v>
      </c>
      <c r="Q18" s="38"/>
      <c r="R18" s="38"/>
      <c r="S18" s="37">
        <f t="shared" si="0"/>
        <v>13.814894476822426</v>
      </c>
      <c r="T18" s="38">
        <f t="shared" si="1"/>
        <v>1341</v>
      </c>
      <c r="U18" s="38">
        <f t="shared" si="2"/>
        <v>1415</v>
      </c>
      <c r="V18" s="38">
        <f t="shared" si="3"/>
        <v>1431.146</v>
      </c>
      <c r="W18" t="s">
        <v>479</v>
      </c>
      <c r="X18" s="37">
        <f t="shared" si="4"/>
        <v>4.3994550408719357</v>
      </c>
      <c r="Y18" s="2">
        <f t="shared" si="5"/>
        <v>6.7222967934377209E-2</v>
      </c>
      <c r="Z18" s="37">
        <f t="shared" si="6"/>
        <v>1.1410600706713865</v>
      </c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</row>
    <row r="19" spans="1:80" x14ac:dyDescent="0.25">
      <c r="A19" t="s">
        <v>480</v>
      </c>
      <c r="B19" s="38">
        <v>2036</v>
      </c>
      <c r="C19" s="38">
        <v>2040</v>
      </c>
      <c r="D19" s="38">
        <v>1926</v>
      </c>
      <c r="E19" s="38">
        <v>2033</v>
      </c>
      <c r="F19" s="38">
        <v>1994</v>
      </c>
      <c r="G19" s="38">
        <v>2103</v>
      </c>
      <c r="H19" s="38">
        <v>1963</v>
      </c>
      <c r="I19" s="104">
        <v>2099</v>
      </c>
      <c r="J19" s="38">
        <v>2167</v>
      </c>
      <c r="K19" s="38">
        <v>2165</v>
      </c>
      <c r="L19" s="38">
        <v>1970</v>
      </c>
      <c r="M19" s="104">
        <v>2214</v>
      </c>
      <c r="N19" s="109">
        <v>2260.3229999999999</v>
      </c>
      <c r="O19" s="38"/>
      <c r="P19" t="s">
        <v>480</v>
      </c>
      <c r="Q19" s="38"/>
      <c r="R19" s="38"/>
      <c r="S19" s="37">
        <f t="shared" si="0"/>
        <v>-1.0294275236976902</v>
      </c>
      <c r="T19" s="38">
        <f t="shared" si="1"/>
        <v>8332</v>
      </c>
      <c r="U19" s="38">
        <f t="shared" si="2"/>
        <v>8516</v>
      </c>
      <c r="V19" s="38">
        <f t="shared" si="3"/>
        <v>8609.3230000000003</v>
      </c>
      <c r="W19" t="s">
        <v>480</v>
      </c>
      <c r="X19" s="37">
        <f t="shared" si="4"/>
        <v>4.3065528380249241</v>
      </c>
      <c r="Y19" s="2">
        <f t="shared" si="5"/>
        <v>3.3284085453672674E-2</v>
      </c>
      <c r="Z19" s="37">
        <f t="shared" si="6"/>
        <v>1.0958548614373029</v>
      </c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</row>
    <row r="20" spans="1:80" x14ac:dyDescent="0.25">
      <c r="A20" t="s">
        <v>481</v>
      </c>
      <c r="B20" s="38">
        <v>1669</v>
      </c>
      <c r="C20" s="38">
        <v>1594</v>
      </c>
      <c r="D20" s="38">
        <v>1655</v>
      </c>
      <c r="E20" s="38">
        <v>1704</v>
      </c>
      <c r="F20" s="38">
        <v>1706</v>
      </c>
      <c r="G20" s="38">
        <v>1650</v>
      </c>
      <c r="H20" s="38">
        <v>1687</v>
      </c>
      <c r="I20" s="104">
        <v>1760</v>
      </c>
      <c r="J20" s="38">
        <v>1761</v>
      </c>
      <c r="K20" s="38">
        <v>1701</v>
      </c>
      <c r="L20" s="38">
        <v>1697</v>
      </c>
      <c r="M20" s="104">
        <v>1845</v>
      </c>
      <c r="N20" s="109">
        <v>1851.441</v>
      </c>
      <c r="O20" s="38"/>
      <c r="P20" t="s">
        <v>481</v>
      </c>
      <c r="Q20" s="38"/>
      <c r="R20" s="38"/>
      <c r="S20" s="37">
        <f t="shared" si="0"/>
        <v>-0.79651810068770423</v>
      </c>
      <c r="T20" s="38">
        <f t="shared" si="1"/>
        <v>6858</v>
      </c>
      <c r="U20" s="38">
        <f t="shared" si="2"/>
        <v>7004</v>
      </c>
      <c r="V20" s="38">
        <f t="shared" si="3"/>
        <v>7094.4409999999998</v>
      </c>
      <c r="W20" t="s">
        <v>481</v>
      </c>
      <c r="X20" s="37">
        <f t="shared" si="4"/>
        <v>5.135775127768305</v>
      </c>
      <c r="Y20" s="2">
        <f t="shared" si="5"/>
        <v>3.44766695829688E-2</v>
      </c>
      <c r="Z20" s="37">
        <f t="shared" si="6"/>
        <v>1.2912764134780161</v>
      </c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</row>
    <row r="21" spans="1:80" x14ac:dyDescent="0.25">
      <c r="A21" t="s">
        <v>483</v>
      </c>
      <c r="B21" s="38">
        <v>705</v>
      </c>
      <c r="C21" s="38">
        <v>700</v>
      </c>
      <c r="D21" s="38">
        <v>700</v>
      </c>
      <c r="E21" s="38">
        <v>720</v>
      </c>
      <c r="F21" s="38">
        <v>732</v>
      </c>
      <c r="G21" s="38">
        <v>721</v>
      </c>
      <c r="H21" s="38">
        <v>711</v>
      </c>
      <c r="I21" s="104">
        <v>733</v>
      </c>
      <c r="J21" s="38">
        <v>748</v>
      </c>
      <c r="K21" s="38">
        <v>740</v>
      </c>
      <c r="L21" s="38">
        <v>732</v>
      </c>
      <c r="M21" s="104">
        <v>773</v>
      </c>
      <c r="N21" s="109">
        <v>785.88499999999999</v>
      </c>
      <c r="O21" s="38"/>
      <c r="P21" t="s">
        <v>483</v>
      </c>
      <c r="Q21" s="38"/>
      <c r="R21" s="38"/>
      <c r="S21" s="37">
        <f t="shared" si="0"/>
        <v>1.5316949176882533</v>
      </c>
      <c r="T21" s="38">
        <f t="shared" si="1"/>
        <v>2913</v>
      </c>
      <c r="U21" s="38">
        <f t="shared" si="2"/>
        <v>2993</v>
      </c>
      <c r="V21" s="38">
        <f t="shared" si="3"/>
        <v>3030.8850000000002</v>
      </c>
      <c r="W21" t="s">
        <v>483</v>
      </c>
      <c r="X21" s="37">
        <f t="shared" si="4"/>
        <v>5.0648395721925032</v>
      </c>
      <c r="Y21" s="2">
        <f t="shared" si="5"/>
        <v>4.0468589083419326E-2</v>
      </c>
      <c r="Z21" s="37">
        <f t="shared" si="6"/>
        <v>1.26578683595055</v>
      </c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</row>
    <row r="22" spans="1:80" x14ac:dyDescent="0.25">
      <c r="A22" t="s">
        <v>484</v>
      </c>
      <c r="B22" s="38">
        <v>768</v>
      </c>
      <c r="C22" s="38">
        <v>743</v>
      </c>
      <c r="D22" s="38">
        <v>757</v>
      </c>
      <c r="E22" s="38">
        <v>785</v>
      </c>
      <c r="F22" s="38">
        <v>761</v>
      </c>
      <c r="G22" s="38">
        <v>751</v>
      </c>
      <c r="H22" s="38">
        <v>737</v>
      </c>
      <c r="I22" s="104">
        <v>773</v>
      </c>
      <c r="J22" s="38">
        <v>778</v>
      </c>
      <c r="K22" s="38">
        <v>779</v>
      </c>
      <c r="L22" s="38">
        <v>761</v>
      </c>
      <c r="M22" s="104">
        <v>813</v>
      </c>
      <c r="N22" s="109">
        <v>804.53899999999999</v>
      </c>
      <c r="O22" s="38"/>
      <c r="P22" t="s">
        <v>484</v>
      </c>
      <c r="Q22" s="38"/>
      <c r="R22" s="38"/>
      <c r="S22" s="37">
        <f t="shared" si="0"/>
        <v>1.830370689044547</v>
      </c>
      <c r="T22" s="38">
        <f t="shared" si="1"/>
        <v>3039</v>
      </c>
      <c r="U22" s="38">
        <f t="shared" si="2"/>
        <v>3131</v>
      </c>
      <c r="V22" s="38">
        <f t="shared" si="3"/>
        <v>3157.5389999999998</v>
      </c>
      <c r="W22" t="s">
        <v>484</v>
      </c>
      <c r="X22" s="37">
        <f t="shared" si="4"/>
        <v>3.4111825192802092</v>
      </c>
      <c r="Y22" s="2">
        <f t="shared" si="5"/>
        <v>3.9005923000987153E-2</v>
      </c>
      <c r="Z22" s="37">
        <f t="shared" si="6"/>
        <v>0.84762056850846079</v>
      </c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</row>
    <row r="23" spans="1:80" x14ac:dyDescent="0.25">
      <c r="A23" t="s">
        <v>485</v>
      </c>
      <c r="B23" s="38">
        <v>730</v>
      </c>
      <c r="C23" s="38">
        <v>696</v>
      </c>
      <c r="D23" s="38">
        <v>741</v>
      </c>
      <c r="E23" s="38">
        <v>755</v>
      </c>
      <c r="F23" s="38">
        <v>689</v>
      </c>
      <c r="G23" s="38">
        <v>722</v>
      </c>
      <c r="H23" s="38">
        <v>739</v>
      </c>
      <c r="I23" s="104">
        <v>778</v>
      </c>
      <c r="J23" s="38">
        <v>758</v>
      </c>
      <c r="K23" s="38">
        <v>742</v>
      </c>
      <c r="L23" s="38">
        <v>741</v>
      </c>
      <c r="M23" s="104">
        <v>778</v>
      </c>
      <c r="N23" s="109">
        <v>796.42100000000005</v>
      </c>
      <c r="O23" s="38"/>
      <c r="P23" t="s">
        <v>485</v>
      </c>
      <c r="Q23" s="38"/>
      <c r="R23" s="38"/>
      <c r="S23" s="37">
        <f t="shared" si="0"/>
        <v>-1.1142013667136741</v>
      </c>
      <c r="T23" s="38">
        <f t="shared" si="1"/>
        <v>2997</v>
      </c>
      <c r="U23" s="38">
        <f t="shared" si="2"/>
        <v>3019</v>
      </c>
      <c r="V23" s="38">
        <f t="shared" si="3"/>
        <v>3057.4210000000003</v>
      </c>
      <c r="W23" t="s">
        <v>485</v>
      </c>
      <c r="X23" s="37">
        <f t="shared" si="4"/>
        <v>5.068733509234824</v>
      </c>
      <c r="Y23" s="2">
        <f t="shared" si="5"/>
        <v>2.0160493827160675E-2</v>
      </c>
      <c r="Z23" s="37">
        <f t="shared" si="6"/>
        <v>1.2726399470023324</v>
      </c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</row>
    <row r="24" spans="1:80" x14ac:dyDescent="0.25">
      <c r="A24" t="s">
        <v>488</v>
      </c>
      <c r="B24" s="38">
        <v>1279</v>
      </c>
      <c r="C24" s="38">
        <v>1262</v>
      </c>
      <c r="D24" s="38">
        <v>1243</v>
      </c>
      <c r="E24" s="38">
        <v>1295</v>
      </c>
      <c r="F24" s="38">
        <v>1319</v>
      </c>
      <c r="G24" s="38">
        <v>1270</v>
      </c>
      <c r="H24" s="38">
        <v>1252</v>
      </c>
      <c r="I24" s="104">
        <v>1342</v>
      </c>
      <c r="J24" s="38">
        <v>1402</v>
      </c>
      <c r="K24" s="38">
        <v>1355</v>
      </c>
      <c r="L24" s="38">
        <v>1326</v>
      </c>
      <c r="M24" s="104">
        <v>1416</v>
      </c>
      <c r="N24" s="109">
        <v>1472.9590000000001</v>
      </c>
      <c r="O24" s="38"/>
      <c r="P24" t="s">
        <v>488</v>
      </c>
      <c r="Q24" s="38"/>
      <c r="R24" s="38"/>
      <c r="S24" s="37">
        <f t="shared" si="0"/>
        <v>4.447813034301018</v>
      </c>
      <c r="T24" s="38">
        <f t="shared" si="1"/>
        <v>5266</v>
      </c>
      <c r="U24" s="38">
        <f t="shared" si="2"/>
        <v>5499</v>
      </c>
      <c r="V24" s="38">
        <f t="shared" si="3"/>
        <v>5569.9589999999998</v>
      </c>
      <c r="W24" t="s">
        <v>488</v>
      </c>
      <c r="X24" s="37">
        <f t="shared" si="4"/>
        <v>5.0612696148359504</v>
      </c>
      <c r="Y24" s="2">
        <f t="shared" si="5"/>
        <v>5.7721040638055499E-2</v>
      </c>
      <c r="Z24" s="37">
        <f t="shared" si="6"/>
        <v>1.2903982542280374</v>
      </c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</row>
    <row r="25" spans="1:80" x14ac:dyDescent="0.25">
      <c r="A25" t="s">
        <v>487</v>
      </c>
      <c r="B25" s="38">
        <v>660</v>
      </c>
      <c r="C25" s="38">
        <v>1001</v>
      </c>
      <c r="D25" s="38">
        <v>1014</v>
      </c>
      <c r="E25" s="38">
        <v>1402</v>
      </c>
      <c r="F25" s="38">
        <v>685</v>
      </c>
      <c r="G25" s="38">
        <v>1013</v>
      </c>
      <c r="H25" s="38">
        <v>1005</v>
      </c>
      <c r="I25" s="104">
        <v>1411</v>
      </c>
      <c r="J25" s="38">
        <v>695</v>
      </c>
      <c r="K25" s="38">
        <v>1041</v>
      </c>
      <c r="L25" s="38">
        <v>1000</v>
      </c>
      <c r="M25" s="104">
        <v>1489</v>
      </c>
      <c r="N25" s="109">
        <v>721.10699999999997</v>
      </c>
      <c r="O25" s="38"/>
      <c r="P25" t="s">
        <v>487</v>
      </c>
      <c r="Q25" s="38"/>
      <c r="R25" s="38"/>
      <c r="S25" s="37">
        <f t="shared" si="0"/>
        <v>-1.8717409041182798</v>
      </c>
      <c r="T25" s="38">
        <f t="shared" si="1"/>
        <v>4124</v>
      </c>
      <c r="U25" s="38">
        <f t="shared" si="2"/>
        <v>4225</v>
      </c>
      <c r="V25" s="38">
        <f t="shared" si="3"/>
        <v>4251.107</v>
      </c>
      <c r="W25" t="s">
        <v>487</v>
      </c>
      <c r="X25" s="37">
        <f t="shared" si="4"/>
        <v>3.7564028776978287</v>
      </c>
      <c r="Y25" s="2">
        <f t="shared" si="5"/>
        <v>3.0821290009699354E-2</v>
      </c>
      <c r="Z25" s="37">
        <f t="shared" si="6"/>
        <v>0.61791715976330863</v>
      </c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BY25" s="38"/>
      <c r="BZ25" s="38"/>
      <c r="CA25" s="38"/>
      <c r="CB25" s="38"/>
    </row>
    <row r="26" spans="1:80" x14ac:dyDescent="0.25">
      <c r="A26" t="s">
        <v>486</v>
      </c>
      <c r="B26" s="38">
        <v>211</v>
      </c>
      <c r="C26" s="38">
        <v>262</v>
      </c>
      <c r="D26" s="38">
        <v>245</v>
      </c>
      <c r="E26" s="38">
        <v>346</v>
      </c>
      <c r="F26" s="38">
        <v>210</v>
      </c>
      <c r="G26" s="38">
        <v>265</v>
      </c>
      <c r="H26" s="38">
        <v>240</v>
      </c>
      <c r="I26" s="104">
        <v>356</v>
      </c>
      <c r="J26" s="38">
        <v>227</v>
      </c>
      <c r="K26" s="38">
        <v>293</v>
      </c>
      <c r="L26" s="38">
        <v>270</v>
      </c>
      <c r="M26" s="104">
        <v>401</v>
      </c>
      <c r="N26" s="109">
        <v>261.45100000000002</v>
      </c>
      <c r="O26" s="38"/>
      <c r="P26" t="s">
        <v>486</v>
      </c>
      <c r="Q26" s="38"/>
      <c r="R26" s="38"/>
      <c r="S26" s="37">
        <f t="shared" si="0"/>
        <v>10.946262940281271</v>
      </c>
      <c r="T26" s="38">
        <f t="shared" si="1"/>
        <v>1088</v>
      </c>
      <c r="U26" s="38">
        <f t="shared" si="2"/>
        <v>1191</v>
      </c>
      <c r="V26" s="38">
        <f t="shared" si="3"/>
        <v>1225.451</v>
      </c>
      <c r="W26" t="s">
        <v>486</v>
      </c>
      <c r="X26" s="37">
        <f t="shared" si="4"/>
        <v>15.176651982378875</v>
      </c>
      <c r="Y26" s="2">
        <f t="shared" si="5"/>
        <v>0.12633363970588229</v>
      </c>
      <c r="Z26" s="37">
        <f t="shared" si="6"/>
        <v>2.8926112510495443</v>
      </c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</row>
    <row r="27" spans="1:80" x14ac:dyDescent="0.25">
      <c r="A27" t="s">
        <v>489</v>
      </c>
      <c r="B27" s="38">
        <v>2827</v>
      </c>
      <c r="C27" s="38">
        <v>2438</v>
      </c>
      <c r="D27" s="38">
        <v>2270</v>
      </c>
      <c r="E27" s="38">
        <v>1935</v>
      </c>
      <c r="F27" s="38">
        <v>2291</v>
      </c>
      <c r="G27" s="38">
        <v>2046</v>
      </c>
      <c r="H27" s="38">
        <v>1972</v>
      </c>
      <c r="I27" s="104">
        <v>1977</v>
      </c>
      <c r="J27" s="38">
        <v>2471</v>
      </c>
      <c r="K27" s="38">
        <v>1912</v>
      </c>
      <c r="L27" s="38">
        <v>1840</v>
      </c>
      <c r="M27" s="104">
        <v>2071</v>
      </c>
      <c r="N27" s="109">
        <v>2595.4430000000002</v>
      </c>
      <c r="O27" s="38"/>
      <c r="P27" t="s">
        <v>489</v>
      </c>
      <c r="Q27" s="38"/>
      <c r="R27" s="38"/>
      <c r="S27" s="37">
        <f t="shared" si="0"/>
        <v>-7.9823647463973195</v>
      </c>
      <c r="T27" s="38">
        <f t="shared" si="1"/>
        <v>8466</v>
      </c>
      <c r="U27" s="38">
        <f t="shared" si="2"/>
        <v>8294</v>
      </c>
      <c r="V27" s="38">
        <f t="shared" si="3"/>
        <v>8418.4429999999993</v>
      </c>
      <c r="W27" t="s">
        <v>489</v>
      </c>
      <c r="X27" s="37">
        <f t="shared" si="4"/>
        <v>5.0361392148927653</v>
      </c>
      <c r="Y27" s="2">
        <f t="shared" si="5"/>
        <v>-5.6174108197496464E-3</v>
      </c>
      <c r="Z27" s="37">
        <f t="shared" si="6"/>
        <v>1.500397877984085</v>
      </c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</row>
    <row r="28" spans="1:80" x14ac:dyDescent="0.25">
      <c r="A28" t="s">
        <v>490</v>
      </c>
      <c r="B28" s="38">
        <v>1198</v>
      </c>
      <c r="C28" s="38">
        <v>1197</v>
      </c>
      <c r="D28" s="38">
        <v>1177</v>
      </c>
      <c r="E28" s="38">
        <v>1371</v>
      </c>
      <c r="F28" s="38">
        <v>1222</v>
      </c>
      <c r="G28" s="38">
        <v>848</v>
      </c>
      <c r="H28" s="38">
        <v>2214</v>
      </c>
      <c r="I28" s="104">
        <v>1427</v>
      </c>
      <c r="J28" s="38">
        <v>1288</v>
      </c>
      <c r="K28" s="38">
        <v>1355</v>
      </c>
      <c r="L28" s="38">
        <v>1259</v>
      </c>
      <c r="M28" s="104">
        <v>1540</v>
      </c>
      <c r="N28" s="109">
        <v>1352.992</v>
      </c>
      <c r="O28" s="38"/>
      <c r="P28" t="s">
        <v>490</v>
      </c>
      <c r="Q28" s="38"/>
      <c r="R28" s="38"/>
      <c r="S28" s="37">
        <f t="shared" si="0"/>
        <v>-43.919965856945055</v>
      </c>
      <c r="T28" s="38">
        <f t="shared" si="1"/>
        <v>5777</v>
      </c>
      <c r="U28" s="38">
        <f t="shared" si="2"/>
        <v>5442</v>
      </c>
      <c r="V28" s="38">
        <f t="shared" si="3"/>
        <v>5506.9920000000002</v>
      </c>
      <c r="W28" t="s">
        <v>490</v>
      </c>
      <c r="X28" s="37">
        <f t="shared" si="4"/>
        <v>5.0459627329192625</v>
      </c>
      <c r="Y28" s="2">
        <f t="shared" si="5"/>
        <v>-4.6738445559979191E-2</v>
      </c>
      <c r="Z28" s="37">
        <f t="shared" si="6"/>
        <v>1.1942668136714474</v>
      </c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</row>
    <row r="29" spans="1:80" x14ac:dyDescent="0.25">
      <c r="A29" t="s">
        <v>492</v>
      </c>
      <c r="B29" s="38">
        <v>781</v>
      </c>
      <c r="C29" s="38">
        <v>736</v>
      </c>
      <c r="D29" s="38">
        <v>793</v>
      </c>
      <c r="E29" s="38">
        <v>794</v>
      </c>
      <c r="F29" s="38">
        <v>793</v>
      </c>
      <c r="G29" s="38">
        <v>751</v>
      </c>
      <c r="H29" s="38">
        <v>798</v>
      </c>
      <c r="I29" s="104">
        <v>813</v>
      </c>
      <c r="J29" s="38">
        <v>835</v>
      </c>
      <c r="K29" s="38">
        <v>798</v>
      </c>
      <c r="L29" s="38">
        <v>795</v>
      </c>
      <c r="M29" s="104">
        <v>858</v>
      </c>
      <c r="N29" s="109">
        <v>857.29100000000005</v>
      </c>
      <c r="O29" s="38"/>
      <c r="P29" t="s">
        <v>492</v>
      </c>
      <c r="Q29" s="38"/>
      <c r="R29" s="38"/>
      <c r="S29" s="37">
        <f t="shared" si="0"/>
        <v>-1.7518473544710478</v>
      </c>
      <c r="T29" s="38">
        <f t="shared" si="1"/>
        <v>3197</v>
      </c>
      <c r="U29" s="38">
        <f t="shared" si="2"/>
        <v>3286</v>
      </c>
      <c r="V29" s="38">
        <f t="shared" si="3"/>
        <v>3308.2910000000002</v>
      </c>
      <c r="W29" t="s">
        <v>492</v>
      </c>
      <c r="X29" s="37">
        <f t="shared" si="4"/>
        <v>2.6695808383233599</v>
      </c>
      <c r="Y29" s="2">
        <f t="shared" si="5"/>
        <v>3.4811072880825744E-2</v>
      </c>
      <c r="Z29" s="37">
        <f t="shared" si="6"/>
        <v>0.67836275106512289</v>
      </c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</row>
    <row r="30" spans="1:80" x14ac:dyDescent="0.25">
      <c r="A30" t="s">
        <v>491</v>
      </c>
      <c r="B30" s="38">
        <v>630</v>
      </c>
      <c r="C30" s="38">
        <v>727</v>
      </c>
      <c r="D30" s="38">
        <v>763</v>
      </c>
      <c r="E30" s="38">
        <v>895</v>
      </c>
      <c r="F30" s="38">
        <v>645</v>
      </c>
      <c r="G30" s="38">
        <v>760</v>
      </c>
      <c r="H30" s="38">
        <v>785</v>
      </c>
      <c r="I30" s="104">
        <v>938</v>
      </c>
      <c r="J30" s="38">
        <v>684</v>
      </c>
      <c r="K30" s="38">
        <v>804</v>
      </c>
      <c r="L30" s="38">
        <v>817</v>
      </c>
      <c r="M30" s="104">
        <v>968</v>
      </c>
      <c r="N30" s="109">
        <v>730.28700000000003</v>
      </c>
      <c r="O30" s="38"/>
      <c r="P30" t="s">
        <v>491</v>
      </c>
      <c r="Q30" s="38"/>
      <c r="R30" s="38"/>
      <c r="S30" s="37">
        <f t="shared" si="0"/>
        <v>2.639033910499422</v>
      </c>
      <c r="T30" s="38">
        <f t="shared" si="1"/>
        <v>3167</v>
      </c>
      <c r="U30" s="38">
        <f t="shared" si="2"/>
        <v>3273</v>
      </c>
      <c r="V30" s="38">
        <f t="shared" si="3"/>
        <v>3319.2870000000003</v>
      </c>
      <c r="W30" t="s">
        <v>491</v>
      </c>
      <c r="X30" s="37">
        <f t="shared" si="4"/>
        <v>6.767105263157891</v>
      </c>
      <c r="Y30" s="2">
        <f t="shared" si="5"/>
        <v>4.8085569940006456E-2</v>
      </c>
      <c r="Z30" s="37">
        <f t="shared" si="6"/>
        <v>1.4142071494042341</v>
      </c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</row>
    <row r="31" spans="1:80" x14ac:dyDescent="0.25">
      <c r="A31" t="s">
        <v>474</v>
      </c>
      <c r="B31" s="38">
        <v>1502</v>
      </c>
      <c r="C31" s="38">
        <v>1316</v>
      </c>
      <c r="D31" s="38">
        <v>1367</v>
      </c>
      <c r="E31" s="38">
        <v>1388</v>
      </c>
      <c r="F31" s="38">
        <v>1446</v>
      </c>
      <c r="G31" s="38">
        <v>1361</v>
      </c>
      <c r="H31" s="38">
        <v>1330</v>
      </c>
      <c r="I31" s="104">
        <v>1456</v>
      </c>
      <c r="J31" s="38">
        <v>1488</v>
      </c>
      <c r="K31" s="38">
        <v>1410</v>
      </c>
      <c r="L31" s="38">
        <v>1432</v>
      </c>
      <c r="M31" s="104">
        <v>1513</v>
      </c>
      <c r="N31" s="109">
        <v>1746.8810000000001</v>
      </c>
      <c r="O31" s="38"/>
      <c r="P31" t="s">
        <v>474</v>
      </c>
      <c r="Q31" s="38"/>
      <c r="R31" s="38"/>
      <c r="S31" s="37">
        <f t="shared" si="0"/>
        <v>6.1821544063376921</v>
      </c>
      <c r="T31" s="38">
        <f t="shared" si="1"/>
        <v>5635</v>
      </c>
      <c r="U31" s="38">
        <f t="shared" si="2"/>
        <v>5843</v>
      </c>
      <c r="V31" s="38">
        <f t="shared" si="3"/>
        <v>6101.8810000000003</v>
      </c>
      <c r="W31" t="s">
        <v>474</v>
      </c>
      <c r="X31" s="37">
        <f t="shared" si="4"/>
        <v>17.397916666666681</v>
      </c>
      <c r="Y31" s="2">
        <f t="shared" si="5"/>
        <v>8.2853771073646998E-2</v>
      </c>
      <c r="Z31" s="37">
        <f t="shared" si="6"/>
        <v>4.4306178333048081</v>
      </c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</row>
    <row r="32" spans="1:80" x14ac:dyDescent="0.25">
      <c r="A32" t="s">
        <v>473</v>
      </c>
      <c r="B32" s="38">
        <v>257</v>
      </c>
      <c r="C32" s="38">
        <v>283</v>
      </c>
      <c r="D32" s="38">
        <v>289</v>
      </c>
      <c r="E32" s="38">
        <v>294</v>
      </c>
      <c r="F32" s="38">
        <v>335</v>
      </c>
      <c r="G32" s="38">
        <v>348</v>
      </c>
      <c r="H32" s="38">
        <v>282</v>
      </c>
      <c r="I32" s="104">
        <v>304</v>
      </c>
      <c r="J32" s="38">
        <v>354</v>
      </c>
      <c r="K32" s="38">
        <v>342</v>
      </c>
      <c r="L32" s="38">
        <v>300</v>
      </c>
      <c r="M32" s="104">
        <v>382</v>
      </c>
      <c r="N32" s="109">
        <v>430.44799999999998</v>
      </c>
      <c r="O32" s="38"/>
      <c r="P32" t="s">
        <v>473</v>
      </c>
      <c r="Q32" s="38"/>
      <c r="R32" s="38"/>
      <c r="S32" s="37">
        <f t="shared" si="0"/>
        <v>4.9137238205969602</v>
      </c>
      <c r="T32" s="38">
        <f t="shared" si="1"/>
        <v>1288</v>
      </c>
      <c r="U32" s="38">
        <f t="shared" si="2"/>
        <v>1378</v>
      </c>
      <c r="V32" s="38">
        <f t="shared" si="3"/>
        <v>1454.4479999999999</v>
      </c>
      <c r="W32" t="s">
        <v>473</v>
      </c>
      <c r="X32" s="37">
        <f t="shared" si="4"/>
        <v>21.595480225988695</v>
      </c>
      <c r="Y32" s="2">
        <f t="shared" si="5"/>
        <v>0.12922981366459618</v>
      </c>
      <c r="Z32" s="37">
        <f t="shared" si="6"/>
        <v>5.5477503628446954</v>
      </c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</row>
    <row r="33" spans="1:80" x14ac:dyDescent="0.25">
      <c r="A33" t="s">
        <v>494</v>
      </c>
      <c r="B33" s="38">
        <v>391</v>
      </c>
      <c r="C33" s="38">
        <v>399</v>
      </c>
      <c r="D33" s="38">
        <v>370</v>
      </c>
      <c r="E33" s="38">
        <v>411</v>
      </c>
      <c r="F33" s="38">
        <v>420</v>
      </c>
      <c r="G33" s="38">
        <v>401</v>
      </c>
      <c r="H33" s="38">
        <v>411</v>
      </c>
      <c r="I33" s="104">
        <v>438</v>
      </c>
      <c r="J33" s="38">
        <v>445</v>
      </c>
      <c r="K33" s="38">
        <v>427</v>
      </c>
      <c r="L33" s="38">
        <v>458</v>
      </c>
      <c r="M33" s="104">
        <v>434</v>
      </c>
      <c r="N33" s="109">
        <v>474.65499999999997</v>
      </c>
      <c r="O33" s="38"/>
      <c r="P33" t="s">
        <v>494</v>
      </c>
      <c r="Q33" s="38"/>
      <c r="R33" s="38"/>
      <c r="S33" s="37">
        <f t="shared" si="0"/>
        <v>9.896487540738196</v>
      </c>
      <c r="T33" s="38">
        <f t="shared" si="1"/>
        <v>1695</v>
      </c>
      <c r="U33" s="38">
        <f t="shared" si="2"/>
        <v>1764</v>
      </c>
      <c r="V33" s="38">
        <f t="shared" si="3"/>
        <v>1793.655</v>
      </c>
      <c r="W33" t="s">
        <v>494</v>
      </c>
      <c r="X33" s="37">
        <f t="shared" si="4"/>
        <v>6.6640449438202243</v>
      </c>
      <c r="Y33" s="2">
        <f t="shared" si="5"/>
        <v>5.8203539823008743E-2</v>
      </c>
      <c r="Z33" s="37">
        <f t="shared" si="6"/>
        <v>1.6811224489795933</v>
      </c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</row>
    <row r="34" spans="1:80" x14ac:dyDescent="0.25">
      <c r="A34" t="s">
        <v>497</v>
      </c>
      <c r="B34" s="38">
        <v>1311</v>
      </c>
      <c r="C34" s="38">
        <v>1976</v>
      </c>
      <c r="D34" s="38">
        <v>1904</v>
      </c>
      <c r="E34" s="38">
        <v>2908</v>
      </c>
      <c r="F34" s="38">
        <v>1307</v>
      </c>
      <c r="G34" s="38">
        <v>1951</v>
      </c>
      <c r="H34" s="38">
        <v>2089</v>
      </c>
      <c r="I34" s="104">
        <v>3108</v>
      </c>
      <c r="J34" s="38">
        <v>1443</v>
      </c>
      <c r="K34" s="38">
        <v>2094</v>
      </c>
      <c r="L34" s="38">
        <v>2071</v>
      </c>
      <c r="M34" s="104">
        <v>3279</v>
      </c>
      <c r="N34" s="109">
        <v>1477.73</v>
      </c>
      <c r="O34" s="38"/>
      <c r="P34" t="s">
        <v>497</v>
      </c>
      <c r="Q34" s="38"/>
      <c r="R34" s="38"/>
      <c r="S34" s="37">
        <f t="shared" si="0"/>
        <v>-2.2308555718004275</v>
      </c>
      <c r="T34" s="38">
        <f t="shared" si="1"/>
        <v>8591</v>
      </c>
      <c r="U34" s="38">
        <f t="shared" si="2"/>
        <v>8887</v>
      </c>
      <c r="V34" s="38">
        <f t="shared" si="3"/>
        <v>8921.73</v>
      </c>
      <c r="W34" t="s">
        <v>497</v>
      </c>
      <c r="X34" s="37">
        <f t="shared" si="4"/>
        <v>2.4067914067914087</v>
      </c>
      <c r="Y34" s="2">
        <f t="shared" si="5"/>
        <v>3.8497264579210766E-2</v>
      </c>
      <c r="Z34" s="37">
        <f t="shared" si="6"/>
        <v>0.39079554405310546</v>
      </c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</row>
    <row r="35" spans="1:80" x14ac:dyDescent="0.25">
      <c r="A35" t="s">
        <v>472</v>
      </c>
      <c r="B35" s="38">
        <v>148</v>
      </c>
      <c r="C35" s="38">
        <v>504</v>
      </c>
      <c r="D35" s="38">
        <v>513</v>
      </c>
      <c r="E35" s="38">
        <v>495</v>
      </c>
      <c r="F35" s="38">
        <v>152</v>
      </c>
      <c r="G35" s="38">
        <v>519</v>
      </c>
      <c r="H35" s="38">
        <v>506</v>
      </c>
      <c r="I35" s="104">
        <v>427</v>
      </c>
      <c r="J35" s="38">
        <v>513</v>
      </c>
      <c r="K35" s="38">
        <v>539</v>
      </c>
      <c r="L35" s="38">
        <v>541</v>
      </c>
      <c r="M35" s="104">
        <v>507</v>
      </c>
      <c r="N35" s="109">
        <v>538.37400000000002</v>
      </c>
      <c r="O35" s="38"/>
      <c r="P35" t="s">
        <v>472</v>
      </c>
      <c r="Q35" s="38"/>
      <c r="R35" s="38"/>
      <c r="S35" s="37">
        <f t="shared" si="0"/>
        <v>5.4403658334513105</v>
      </c>
      <c r="T35" s="38">
        <f t="shared" si="1"/>
        <v>1965</v>
      </c>
      <c r="U35" s="38">
        <f t="shared" si="2"/>
        <v>2100</v>
      </c>
      <c r="V35" s="38">
        <f t="shared" si="3"/>
        <v>2125.3739999999998</v>
      </c>
      <c r="W35" t="s">
        <v>472</v>
      </c>
      <c r="X35" s="37">
        <f>(N35/J35-1)*100</f>
        <v>4.9461988304093651</v>
      </c>
      <c r="Y35" s="2">
        <f t="shared" si="5"/>
        <v>8.1615267175572326E-2</v>
      </c>
      <c r="Z35" s="37">
        <f t="shared" si="6"/>
        <v>1.208285714285708</v>
      </c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</row>
    <row r="36" spans="1:80" x14ac:dyDescent="0.25">
      <c r="A36" t="s">
        <v>495</v>
      </c>
      <c r="B36" s="38">
        <v>274</v>
      </c>
      <c r="C36" s="38">
        <v>839</v>
      </c>
      <c r="D36" s="38">
        <v>675</v>
      </c>
      <c r="E36" s="38">
        <v>1461</v>
      </c>
      <c r="F36" s="38">
        <v>286</v>
      </c>
      <c r="G36" s="38">
        <v>877</v>
      </c>
      <c r="H36" s="38">
        <v>920</v>
      </c>
      <c r="I36" s="104">
        <v>1554</v>
      </c>
      <c r="J36" s="38">
        <v>302</v>
      </c>
      <c r="K36" s="38">
        <v>921</v>
      </c>
      <c r="L36" s="38">
        <v>965</v>
      </c>
      <c r="M36" s="104">
        <v>1640</v>
      </c>
      <c r="N36" s="109">
        <v>326.34699999999998</v>
      </c>
      <c r="O36" s="38"/>
      <c r="P36" t="s">
        <v>495</v>
      </c>
      <c r="Q36" s="38"/>
      <c r="R36" s="38"/>
      <c r="S36" s="37">
        <f t="shared" si="0"/>
        <v>3.4426509539820627</v>
      </c>
      <c r="T36" s="38">
        <f t="shared" si="1"/>
        <v>3653</v>
      </c>
      <c r="U36" s="38">
        <f t="shared" si="2"/>
        <v>3828</v>
      </c>
      <c r="V36" s="38">
        <f t="shared" si="3"/>
        <v>3852.3469999999998</v>
      </c>
      <c r="W36" t="s">
        <v>495</v>
      </c>
      <c r="X36" s="37">
        <f t="shared" si="4"/>
        <v>8.0619205298013252</v>
      </c>
      <c r="Y36" s="2">
        <f t="shared" si="5"/>
        <v>5.4570763755817042E-2</v>
      </c>
      <c r="Z36" s="37">
        <f t="shared" si="6"/>
        <v>0.63602403343780622</v>
      </c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</row>
    <row r="37" spans="1:80" x14ac:dyDescent="0.25">
      <c r="A37" t="s">
        <v>498</v>
      </c>
      <c r="B37" s="38">
        <v>2989</v>
      </c>
      <c r="C37" s="38">
        <v>3035</v>
      </c>
      <c r="D37" s="38">
        <v>2908</v>
      </c>
      <c r="E37" s="38">
        <v>2995</v>
      </c>
      <c r="F37" s="38">
        <v>3055</v>
      </c>
      <c r="G37" s="38">
        <v>3041</v>
      </c>
      <c r="H37" s="38">
        <v>3026</v>
      </c>
      <c r="I37" s="104">
        <v>3177</v>
      </c>
      <c r="J37" s="38">
        <v>3228</v>
      </c>
      <c r="K37" s="38">
        <v>3204</v>
      </c>
      <c r="L37" s="38">
        <v>3177</v>
      </c>
      <c r="M37" s="104">
        <v>3272</v>
      </c>
      <c r="N37" s="109">
        <v>3347.8710000000001</v>
      </c>
      <c r="O37" s="38"/>
      <c r="P37" t="s">
        <v>498</v>
      </c>
      <c r="Q37" s="38"/>
      <c r="R37" s="38"/>
      <c r="S37" s="37">
        <f t="shared" si="0"/>
        <v>3.5400682562307662</v>
      </c>
      <c r="T37" s="38">
        <f t="shared" si="1"/>
        <v>12472</v>
      </c>
      <c r="U37" s="38">
        <f t="shared" si="2"/>
        <v>12881</v>
      </c>
      <c r="V37" s="38">
        <f t="shared" si="3"/>
        <v>13000.870999999999</v>
      </c>
      <c r="W37" t="s">
        <v>498</v>
      </c>
      <c r="X37" s="37">
        <f t="shared" si="4"/>
        <v>3.7134758364312237</v>
      </c>
      <c r="Y37" s="2">
        <f t="shared" si="5"/>
        <v>4.2404666452854345E-2</v>
      </c>
      <c r="Z37" s="37">
        <f t="shared" si="6"/>
        <v>0.93060321403616797</v>
      </c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</row>
    <row r="38" spans="1:80" x14ac:dyDescent="0.25">
      <c r="A38" t="s">
        <v>499</v>
      </c>
      <c r="B38" s="38">
        <v>2043</v>
      </c>
      <c r="C38" s="38">
        <v>2073</v>
      </c>
      <c r="D38" s="38">
        <v>1997</v>
      </c>
      <c r="E38" s="38">
        <v>1883</v>
      </c>
      <c r="F38" s="38">
        <v>1861</v>
      </c>
      <c r="G38" s="38">
        <v>2154</v>
      </c>
      <c r="H38" s="38">
        <v>2063</v>
      </c>
      <c r="I38" s="104">
        <v>2274</v>
      </c>
      <c r="J38" s="38">
        <v>2221</v>
      </c>
      <c r="K38" s="38">
        <v>2381</v>
      </c>
      <c r="L38" s="38">
        <v>2252</v>
      </c>
      <c r="M38" s="104">
        <v>2492</v>
      </c>
      <c r="N38" s="109">
        <v>2507.0349999999999</v>
      </c>
      <c r="O38" s="38"/>
      <c r="P38" t="s">
        <v>499</v>
      </c>
      <c r="Q38" s="38"/>
      <c r="R38" s="38"/>
      <c r="S38" s="37">
        <f t="shared" si="0"/>
        <v>7.6537875333714256</v>
      </c>
      <c r="T38" s="38">
        <f t="shared" si="1"/>
        <v>8712</v>
      </c>
      <c r="U38" s="38">
        <f t="shared" si="2"/>
        <v>9346</v>
      </c>
      <c r="V38" s="38">
        <f t="shared" si="3"/>
        <v>9632.0349999999999</v>
      </c>
      <c r="W38" t="s">
        <v>499</v>
      </c>
      <c r="X38" s="37">
        <f t="shared" si="4"/>
        <v>12.878658262044107</v>
      </c>
      <c r="Y38" s="2">
        <f t="shared" si="5"/>
        <v>0.10560548668503222</v>
      </c>
      <c r="Z38" s="37">
        <f t="shared" si="6"/>
        <v>3.0605071688422782</v>
      </c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8"/>
      <c r="BZ38" s="38"/>
      <c r="CA38" s="38"/>
      <c r="CB38" s="38"/>
    </row>
    <row r="39" spans="1:80" x14ac:dyDescent="0.25">
      <c r="A39" t="s">
        <v>500</v>
      </c>
      <c r="B39" s="38">
        <v>585</v>
      </c>
      <c r="C39" s="38">
        <v>592</v>
      </c>
      <c r="D39" s="38">
        <v>608</v>
      </c>
      <c r="E39" s="38">
        <v>632</v>
      </c>
      <c r="F39" s="38">
        <v>642</v>
      </c>
      <c r="G39" s="38">
        <v>633</v>
      </c>
      <c r="H39" s="38">
        <v>612</v>
      </c>
      <c r="I39" s="104">
        <v>631</v>
      </c>
      <c r="J39" s="38">
        <v>648</v>
      </c>
      <c r="K39" s="38">
        <v>647</v>
      </c>
      <c r="L39" s="38">
        <v>631</v>
      </c>
      <c r="M39" s="104">
        <v>673</v>
      </c>
      <c r="N39" s="109">
        <v>683.976</v>
      </c>
      <c r="O39" s="38"/>
      <c r="P39" t="s">
        <v>500</v>
      </c>
      <c r="Q39" s="38"/>
      <c r="R39" s="38"/>
      <c r="S39" s="37">
        <f t="shared" si="0"/>
        <v>1.680598279328227</v>
      </c>
      <c r="T39" s="38">
        <f t="shared" si="1"/>
        <v>2524</v>
      </c>
      <c r="U39" s="38">
        <f t="shared" si="2"/>
        <v>2599</v>
      </c>
      <c r="V39" s="38">
        <f t="shared" si="3"/>
        <v>2634.9760000000001</v>
      </c>
      <c r="W39" t="s">
        <v>500</v>
      </c>
      <c r="X39" s="37">
        <f t="shared" si="4"/>
        <v>5.5518518518518523</v>
      </c>
      <c r="Y39" s="2">
        <f t="shared" si="5"/>
        <v>4.3968304278922288E-2</v>
      </c>
      <c r="Z39" s="37">
        <f t="shared" si="6"/>
        <v>1.3842247018083924</v>
      </c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8"/>
      <c r="BZ39" s="38"/>
      <c r="CA39" s="38"/>
      <c r="CB39" s="38"/>
    </row>
    <row r="40" spans="1:80" x14ac:dyDescent="0.25">
      <c r="A40" t="s">
        <v>502</v>
      </c>
      <c r="B40" s="38">
        <v>2315</v>
      </c>
      <c r="C40" s="38">
        <v>2279</v>
      </c>
      <c r="D40" s="38">
        <v>2216</v>
      </c>
      <c r="E40" s="38">
        <v>2357</v>
      </c>
      <c r="F40" s="38">
        <v>2327</v>
      </c>
      <c r="G40" s="38">
        <v>2336</v>
      </c>
      <c r="H40" s="38">
        <v>2196</v>
      </c>
      <c r="I40" s="104">
        <v>2384</v>
      </c>
      <c r="J40" s="38">
        <v>2392</v>
      </c>
      <c r="K40" s="38">
        <v>2372</v>
      </c>
      <c r="L40" s="38">
        <v>2196</v>
      </c>
      <c r="M40" s="104">
        <v>2535</v>
      </c>
      <c r="N40" s="109">
        <v>2535.364</v>
      </c>
      <c r="O40" s="38"/>
      <c r="P40" t="s">
        <v>502</v>
      </c>
      <c r="Q40" s="38"/>
      <c r="R40" s="38"/>
      <c r="S40" s="37">
        <f t="shared" si="0"/>
        <v>-1.3810996086388805</v>
      </c>
      <c r="T40" s="38">
        <f t="shared" si="1"/>
        <v>9308</v>
      </c>
      <c r="U40" s="38">
        <f t="shared" si="2"/>
        <v>9495</v>
      </c>
      <c r="V40" s="38">
        <f t="shared" si="3"/>
        <v>9638.3639999999996</v>
      </c>
      <c r="W40" t="s">
        <v>502</v>
      </c>
      <c r="X40" s="37">
        <f t="shared" si="4"/>
        <v>5.9934782608695558</v>
      </c>
      <c r="Y40" s="2">
        <f t="shared" si="5"/>
        <v>3.5492479587451609E-2</v>
      </c>
      <c r="Z40" s="37">
        <f t="shared" si="6"/>
        <v>1.5098894154818225</v>
      </c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8"/>
      <c r="BZ40" s="38"/>
      <c r="CA40" s="38"/>
      <c r="CB40" s="38"/>
    </row>
    <row r="41" spans="1:80" x14ac:dyDescent="0.25">
      <c r="A41" t="s">
        <v>503</v>
      </c>
      <c r="B41" s="38">
        <v>225</v>
      </c>
      <c r="C41" s="38">
        <v>211</v>
      </c>
      <c r="D41" s="38">
        <v>202</v>
      </c>
      <c r="E41" s="38">
        <v>211</v>
      </c>
      <c r="F41" s="38">
        <v>233</v>
      </c>
      <c r="G41" s="38">
        <v>218</v>
      </c>
      <c r="H41" s="38">
        <v>208</v>
      </c>
      <c r="I41" s="104">
        <v>223</v>
      </c>
      <c r="J41" s="38">
        <v>245</v>
      </c>
      <c r="K41" s="38">
        <v>225</v>
      </c>
      <c r="L41" s="38">
        <v>210</v>
      </c>
      <c r="M41" s="104">
        <v>235</v>
      </c>
      <c r="N41" s="109">
        <v>254.648</v>
      </c>
      <c r="O41" s="38"/>
      <c r="P41" t="s">
        <v>503</v>
      </c>
      <c r="Q41" s="38"/>
      <c r="R41" s="38"/>
      <c r="S41" s="37">
        <f t="shared" si="0"/>
        <v>-0.43284095102962272</v>
      </c>
      <c r="T41" s="38">
        <f t="shared" si="1"/>
        <v>894</v>
      </c>
      <c r="U41" s="38">
        <f t="shared" si="2"/>
        <v>915</v>
      </c>
      <c r="V41" s="38">
        <f t="shared" si="3"/>
        <v>924.64800000000002</v>
      </c>
      <c r="W41" t="s">
        <v>503</v>
      </c>
      <c r="X41" s="37">
        <f t="shared" si="4"/>
        <v>3.9379591836734784</v>
      </c>
      <c r="Y41" s="2">
        <f t="shared" si="5"/>
        <v>3.4281879194630882E-2</v>
      </c>
      <c r="Z41" s="37">
        <f t="shared" si="6"/>
        <v>1.054426229508195</v>
      </c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  <c r="BC41" s="38"/>
      <c r="BD41" s="38"/>
      <c r="BE41" s="38"/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8"/>
      <c r="BZ41" s="38"/>
      <c r="CA41" s="38"/>
      <c r="CB41" s="38"/>
    </row>
    <row r="42" spans="1:80" x14ac:dyDescent="0.25">
      <c r="A42" t="s">
        <v>504</v>
      </c>
      <c r="B42" s="38">
        <v>495</v>
      </c>
      <c r="C42" s="38">
        <v>686</v>
      </c>
      <c r="D42" s="38">
        <v>702</v>
      </c>
      <c r="E42" s="38">
        <v>1043</v>
      </c>
      <c r="F42" s="38">
        <v>517</v>
      </c>
      <c r="G42" s="38">
        <v>723</v>
      </c>
      <c r="H42" s="38">
        <v>720</v>
      </c>
      <c r="I42" s="104">
        <v>1081</v>
      </c>
      <c r="J42" s="38">
        <v>431</v>
      </c>
      <c r="K42" s="38">
        <v>760</v>
      </c>
      <c r="L42" s="38">
        <v>726</v>
      </c>
      <c r="M42" s="104">
        <v>1123</v>
      </c>
      <c r="N42" s="109">
        <v>758.274</v>
      </c>
      <c r="O42" s="38"/>
      <c r="P42" t="s">
        <v>504</v>
      </c>
      <c r="Q42" s="38"/>
      <c r="R42" s="38"/>
      <c r="S42" s="37">
        <f t="shared" si="0"/>
        <v>-0.55927543871086005</v>
      </c>
      <c r="T42" s="38">
        <f t="shared" si="1"/>
        <v>2955</v>
      </c>
      <c r="U42" s="38">
        <f t="shared" si="2"/>
        <v>3040</v>
      </c>
      <c r="V42" s="38">
        <f t="shared" si="3"/>
        <v>3367.2739999999999</v>
      </c>
      <c r="W42" t="s">
        <v>504</v>
      </c>
      <c r="X42" s="37">
        <f t="shared" si="4"/>
        <v>75.933642691415315</v>
      </c>
      <c r="Y42" s="2">
        <f t="shared" si="5"/>
        <v>0.13951742808798651</v>
      </c>
      <c r="Z42" s="37">
        <f t="shared" si="6"/>
        <v>10.765592105263153</v>
      </c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</row>
    <row r="43" spans="1:80" x14ac:dyDescent="0.25">
      <c r="A43" t="s">
        <v>505</v>
      </c>
      <c r="B43" s="38">
        <v>229</v>
      </c>
      <c r="C43" s="38">
        <v>219</v>
      </c>
      <c r="D43" s="38">
        <v>206</v>
      </c>
      <c r="E43" s="38">
        <v>184</v>
      </c>
      <c r="F43" s="38">
        <v>207</v>
      </c>
      <c r="G43" s="38">
        <v>225</v>
      </c>
      <c r="H43" s="38">
        <v>214</v>
      </c>
      <c r="I43" s="104">
        <v>207</v>
      </c>
      <c r="J43" s="38">
        <v>233</v>
      </c>
      <c r="K43" s="38">
        <v>238</v>
      </c>
      <c r="L43" s="38">
        <v>222</v>
      </c>
      <c r="M43" s="104">
        <v>223</v>
      </c>
      <c r="N43" s="109">
        <v>254.85499999999999</v>
      </c>
      <c r="O43" s="38"/>
      <c r="P43" t="s">
        <v>505</v>
      </c>
      <c r="Q43" s="38"/>
      <c r="R43" s="38"/>
      <c r="S43" s="37">
        <f t="shared" si="0"/>
        <v>2.305588256458746</v>
      </c>
      <c r="T43" s="38">
        <f t="shared" si="1"/>
        <v>879</v>
      </c>
      <c r="U43" s="38">
        <f t="shared" si="2"/>
        <v>916</v>
      </c>
      <c r="V43" s="38">
        <f t="shared" si="3"/>
        <v>937.85500000000002</v>
      </c>
      <c r="W43" t="s">
        <v>505</v>
      </c>
      <c r="X43" s="37">
        <f t="shared" si="4"/>
        <v>9.3798283261802506</v>
      </c>
      <c r="Y43" s="2">
        <f t="shared" si="5"/>
        <v>6.6956769055745102E-2</v>
      </c>
      <c r="Z43" s="37">
        <f t="shared" si="6"/>
        <v>2.3859170305676969</v>
      </c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</row>
    <row r="44" spans="1:80" x14ac:dyDescent="0.25">
      <c r="A44" t="s">
        <v>506</v>
      </c>
      <c r="B44" s="38">
        <v>1717</v>
      </c>
      <c r="C44" s="38">
        <v>1654</v>
      </c>
      <c r="D44" s="38">
        <v>1756</v>
      </c>
      <c r="E44" s="38">
        <v>1776</v>
      </c>
      <c r="F44" s="38">
        <v>1759</v>
      </c>
      <c r="G44" s="38">
        <v>1701</v>
      </c>
      <c r="H44" s="38">
        <v>1767</v>
      </c>
      <c r="I44" s="104">
        <v>1801</v>
      </c>
      <c r="J44" s="38">
        <v>1822</v>
      </c>
      <c r="K44" s="38">
        <v>1755</v>
      </c>
      <c r="L44" s="38">
        <v>1837</v>
      </c>
      <c r="M44" s="104">
        <v>1864</v>
      </c>
      <c r="N44" s="109">
        <v>1913.191</v>
      </c>
      <c r="O44" s="38"/>
      <c r="P44" t="s">
        <v>506</v>
      </c>
      <c r="Q44" s="38"/>
      <c r="R44" s="38"/>
      <c r="S44" s="37">
        <f t="shared" si="0"/>
        <v>2.5257045947540524</v>
      </c>
      <c r="T44" s="38">
        <f t="shared" si="1"/>
        <v>7091</v>
      </c>
      <c r="U44" s="38">
        <f t="shared" si="2"/>
        <v>7278</v>
      </c>
      <c r="V44" s="38">
        <f t="shared" si="3"/>
        <v>7369.1909999999998</v>
      </c>
      <c r="W44" t="s">
        <v>506</v>
      </c>
      <c r="X44" s="37">
        <f t="shared" si="4"/>
        <v>5.0049945115258065</v>
      </c>
      <c r="Y44" s="2">
        <f t="shared" si="5"/>
        <v>3.9231561133831638E-2</v>
      </c>
      <c r="Z44" s="37">
        <f t="shared" si="6"/>
        <v>1.2529678483099644</v>
      </c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</row>
    <row r="45" spans="1:80" x14ac:dyDescent="0.25">
      <c r="A45" t="s">
        <v>507</v>
      </c>
      <c r="B45" s="38">
        <v>5641</v>
      </c>
      <c r="C45" s="38">
        <v>5977</v>
      </c>
      <c r="D45" s="38">
        <v>5939</v>
      </c>
      <c r="E45" s="38">
        <v>6193</v>
      </c>
      <c r="F45" s="38">
        <v>6392</v>
      </c>
      <c r="G45" s="38">
        <v>6606</v>
      </c>
      <c r="H45" s="38">
        <v>6240</v>
      </c>
      <c r="I45" s="104">
        <v>6635</v>
      </c>
      <c r="J45" s="38">
        <v>6646</v>
      </c>
      <c r="K45" s="38">
        <v>6848</v>
      </c>
      <c r="L45" s="38">
        <v>6675</v>
      </c>
      <c r="M45" s="104">
        <v>7009</v>
      </c>
      <c r="N45" s="109">
        <v>7125.9139999999998</v>
      </c>
      <c r="O45" s="38"/>
      <c r="P45" t="s">
        <v>507</v>
      </c>
      <c r="Q45" s="38"/>
      <c r="R45" s="38"/>
      <c r="S45" s="37">
        <f t="shared" si="0"/>
        <v>5.4937756590281328</v>
      </c>
      <c r="T45" s="38">
        <f t="shared" si="1"/>
        <v>26127</v>
      </c>
      <c r="U45" s="38">
        <f t="shared" si="2"/>
        <v>27178</v>
      </c>
      <c r="V45" s="38">
        <f t="shared" si="3"/>
        <v>27657.914000000001</v>
      </c>
      <c r="W45" t="s">
        <v>507</v>
      </c>
      <c r="X45" s="37">
        <f t="shared" si="4"/>
        <v>7.221095395726751</v>
      </c>
      <c r="Y45" s="2">
        <f t="shared" si="5"/>
        <v>5.8595093198606785E-2</v>
      </c>
      <c r="Z45" s="37">
        <f t="shared" si="6"/>
        <v>1.7658179409816768</v>
      </c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H45" s="38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</row>
    <row r="46" spans="1:80" x14ac:dyDescent="0.25">
      <c r="A46" t="s">
        <v>508</v>
      </c>
      <c r="B46" s="38">
        <v>459</v>
      </c>
      <c r="C46" s="38">
        <v>442</v>
      </c>
      <c r="D46" s="38">
        <v>477</v>
      </c>
      <c r="E46" s="38">
        <v>478</v>
      </c>
      <c r="F46" s="38">
        <v>494</v>
      </c>
      <c r="G46" s="38">
        <v>460</v>
      </c>
      <c r="H46" s="38">
        <v>460</v>
      </c>
      <c r="I46" s="104">
        <v>470</v>
      </c>
      <c r="J46" s="38">
        <v>475</v>
      </c>
      <c r="K46" s="38">
        <v>438</v>
      </c>
      <c r="L46" s="38">
        <v>454</v>
      </c>
      <c r="M46" s="104">
        <v>308</v>
      </c>
      <c r="N46" s="109">
        <v>491.23899999999998</v>
      </c>
      <c r="O46" s="38"/>
      <c r="P46" t="s">
        <v>508</v>
      </c>
      <c r="Q46" s="38"/>
      <c r="R46" s="38"/>
      <c r="S46" s="37">
        <f t="shared" si="0"/>
        <v>-2.6674330920044564</v>
      </c>
      <c r="T46" s="38">
        <f t="shared" si="1"/>
        <v>1865</v>
      </c>
      <c r="U46" s="38">
        <f t="shared" si="2"/>
        <v>1675</v>
      </c>
      <c r="V46" s="38">
        <f t="shared" si="3"/>
        <v>1691.239</v>
      </c>
      <c r="W46" t="s">
        <v>508</v>
      </c>
      <c r="X46" s="37">
        <f t="shared" si="4"/>
        <v>3.4187368421052522</v>
      </c>
      <c r="Y46" s="2">
        <f t="shared" si="5"/>
        <v>-9.3169436997319055E-2</v>
      </c>
      <c r="Z46" s="37">
        <f t="shared" si="6"/>
        <v>0.96949253731344243</v>
      </c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</row>
    <row r="47" spans="1:80" x14ac:dyDescent="0.25">
      <c r="A47" t="s">
        <v>510</v>
      </c>
      <c r="B47" s="38">
        <v>725</v>
      </c>
      <c r="C47" s="38">
        <v>840</v>
      </c>
      <c r="D47" s="38">
        <v>873</v>
      </c>
      <c r="E47" s="38">
        <v>1050</v>
      </c>
      <c r="F47" s="38">
        <v>794</v>
      </c>
      <c r="G47" s="38">
        <v>813</v>
      </c>
      <c r="H47" s="38">
        <v>888</v>
      </c>
      <c r="I47" s="104">
        <v>1214</v>
      </c>
      <c r="J47" s="38">
        <v>769</v>
      </c>
      <c r="K47" s="38">
        <v>865</v>
      </c>
      <c r="L47" s="38">
        <v>871</v>
      </c>
      <c r="M47" s="104">
        <v>1052</v>
      </c>
      <c r="N47" s="109">
        <v>792.875</v>
      </c>
      <c r="O47" s="38"/>
      <c r="P47" t="s">
        <v>510</v>
      </c>
      <c r="Q47" s="38"/>
      <c r="R47" s="38"/>
      <c r="S47" s="37">
        <f t="shared" si="0"/>
        <v>-3.2690740530680773</v>
      </c>
      <c r="T47" s="38">
        <f t="shared" si="1"/>
        <v>3684</v>
      </c>
      <c r="U47" s="38">
        <f t="shared" si="2"/>
        <v>3557</v>
      </c>
      <c r="V47" s="38">
        <f t="shared" si="3"/>
        <v>3580.875</v>
      </c>
      <c r="W47" t="s">
        <v>510</v>
      </c>
      <c r="X47" s="37">
        <f t="shared" si="4"/>
        <v>3.1046814044213278</v>
      </c>
      <c r="Y47" s="2">
        <f t="shared" si="5"/>
        <v>-2.7992671009771986E-2</v>
      </c>
      <c r="Z47" s="37">
        <f t="shared" si="6"/>
        <v>0.67121169524880031</v>
      </c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8"/>
      <c r="BH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</row>
    <row r="48" spans="1:80" x14ac:dyDescent="0.25">
      <c r="A48" t="s">
        <v>509</v>
      </c>
      <c r="B48" s="38">
        <v>84</v>
      </c>
      <c r="C48" s="38">
        <v>86</v>
      </c>
      <c r="D48" s="38">
        <v>92</v>
      </c>
      <c r="E48" s="38">
        <v>80</v>
      </c>
      <c r="F48" s="38">
        <v>88</v>
      </c>
      <c r="G48" s="38">
        <v>84</v>
      </c>
      <c r="H48" s="38">
        <v>92</v>
      </c>
      <c r="I48" s="104">
        <v>82</v>
      </c>
      <c r="J48" s="38">
        <v>89</v>
      </c>
      <c r="K48" s="38">
        <v>89</v>
      </c>
      <c r="L48" s="38">
        <v>93</v>
      </c>
      <c r="M48" s="104">
        <v>85</v>
      </c>
      <c r="N48" s="109">
        <v>92.566000000000003</v>
      </c>
      <c r="O48" s="38"/>
      <c r="P48" t="s">
        <v>509</v>
      </c>
      <c r="Q48" s="38"/>
      <c r="R48" s="38"/>
      <c r="S48" s="37">
        <f t="shared" si="0"/>
        <v>-0.30915503916755238</v>
      </c>
      <c r="T48" s="38">
        <f t="shared" si="1"/>
        <v>347</v>
      </c>
      <c r="U48" s="38">
        <f t="shared" si="2"/>
        <v>356</v>
      </c>
      <c r="V48" s="38">
        <f t="shared" si="3"/>
        <v>359.56600000000003</v>
      </c>
      <c r="W48" t="s">
        <v>509</v>
      </c>
      <c r="X48" s="37">
        <f t="shared" si="4"/>
        <v>4.0067415730337119</v>
      </c>
      <c r="Y48" s="2">
        <f t="shared" si="5"/>
        <v>3.6213256484149969E-2</v>
      </c>
      <c r="Z48" s="37">
        <f t="shared" si="6"/>
        <v>1.0016853932584411</v>
      </c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</row>
    <row r="49" spans="1:80" x14ac:dyDescent="0.25">
      <c r="A49" t="s">
        <v>511</v>
      </c>
      <c r="B49" s="38">
        <v>2697</v>
      </c>
      <c r="C49" s="38">
        <v>2600</v>
      </c>
      <c r="D49" s="38">
        <v>2610</v>
      </c>
      <c r="E49" s="38">
        <v>2708</v>
      </c>
      <c r="F49" s="38">
        <v>2810</v>
      </c>
      <c r="G49" s="38">
        <v>2788</v>
      </c>
      <c r="H49" s="38">
        <v>2768</v>
      </c>
      <c r="I49" s="104">
        <v>2756</v>
      </c>
      <c r="J49" s="38">
        <v>3147</v>
      </c>
      <c r="K49" s="38">
        <v>2779</v>
      </c>
      <c r="L49" s="38">
        <v>2853</v>
      </c>
      <c r="M49" s="104">
        <v>2907</v>
      </c>
      <c r="N49" s="109">
        <v>3187.9650000000001</v>
      </c>
      <c r="O49" s="38"/>
      <c r="P49" t="s">
        <v>511</v>
      </c>
      <c r="Q49" s="38"/>
      <c r="R49" s="38"/>
      <c r="S49" s="37">
        <f t="shared" si="0"/>
        <v>1.6472987054022115</v>
      </c>
      <c r="T49" s="38">
        <f t="shared" si="1"/>
        <v>11459</v>
      </c>
      <c r="U49" s="38">
        <f t="shared" si="2"/>
        <v>11686</v>
      </c>
      <c r="V49" s="38">
        <f t="shared" si="3"/>
        <v>11726.965</v>
      </c>
      <c r="W49" t="s">
        <v>511</v>
      </c>
      <c r="X49" s="37">
        <f t="shared" si="4"/>
        <v>1.3017159199237405</v>
      </c>
      <c r="Y49" s="2">
        <f t="shared" si="5"/>
        <v>2.3384675800680599E-2</v>
      </c>
      <c r="Z49" s="37">
        <f t="shared" si="6"/>
        <v>0.35054766387131053</v>
      </c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</row>
    <row r="50" spans="1:80" x14ac:dyDescent="0.25">
      <c r="A50" t="s">
        <v>513</v>
      </c>
      <c r="B50" s="38">
        <v>737</v>
      </c>
      <c r="C50" s="38">
        <v>1062</v>
      </c>
      <c r="D50" s="38">
        <v>1010</v>
      </c>
      <c r="E50" s="38">
        <v>1479</v>
      </c>
      <c r="F50" s="38">
        <v>741</v>
      </c>
      <c r="G50" s="38">
        <v>1087</v>
      </c>
      <c r="H50" s="38">
        <v>1032</v>
      </c>
      <c r="I50" s="104">
        <v>1550</v>
      </c>
      <c r="J50" s="38">
        <v>810</v>
      </c>
      <c r="K50" s="38">
        <v>1163</v>
      </c>
      <c r="L50" s="38">
        <v>1060</v>
      </c>
      <c r="M50" s="104">
        <v>1596</v>
      </c>
      <c r="N50" s="109">
        <v>849.65800000000002</v>
      </c>
      <c r="O50" s="38"/>
      <c r="P50" t="s">
        <v>513</v>
      </c>
      <c r="Q50" s="38"/>
      <c r="R50" s="38"/>
      <c r="S50" s="37">
        <f t="shared" si="0"/>
        <v>1.2946069911267344</v>
      </c>
      <c r="T50" s="38">
        <f t="shared" si="1"/>
        <v>4479</v>
      </c>
      <c r="U50" s="38">
        <f t="shared" si="2"/>
        <v>4629</v>
      </c>
      <c r="V50" s="38">
        <f t="shared" si="3"/>
        <v>4668.6580000000004</v>
      </c>
      <c r="W50" t="s">
        <v>513</v>
      </c>
      <c r="X50" s="37">
        <f t="shared" si="4"/>
        <v>4.8960493827160612</v>
      </c>
      <c r="Y50" s="2">
        <f t="shared" si="5"/>
        <v>4.2343826747041735E-2</v>
      </c>
      <c r="Z50" s="37">
        <f t="shared" si="6"/>
        <v>0.85672931518688245</v>
      </c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</row>
    <row r="51" spans="1:80" x14ac:dyDescent="0.25">
      <c r="A51" t="s">
        <v>512</v>
      </c>
      <c r="B51" s="38">
        <v>316</v>
      </c>
      <c r="C51" s="38">
        <v>317</v>
      </c>
      <c r="D51" s="38">
        <v>329</v>
      </c>
      <c r="E51" s="38">
        <v>316</v>
      </c>
      <c r="F51" s="38">
        <v>314</v>
      </c>
      <c r="G51" s="38">
        <v>311</v>
      </c>
      <c r="H51" s="38">
        <v>318</v>
      </c>
      <c r="I51" s="104">
        <v>312</v>
      </c>
      <c r="J51" s="38">
        <v>314</v>
      </c>
      <c r="K51" s="38">
        <v>310</v>
      </c>
      <c r="L51" s="38">
        <v>304</v>
      </c>
      <c r="M51" s="104">
        <v>300</v>
      </c>
      <c r="N51" s="109">
        <v>329.291</v>
      </c>
      <c r="O51" s="38"/>
      <c r="P51" t="s">
        <v>512</v>
      </c>
      <c r="Q51" s="38"/>
      <c r="R51" s="38"/>
      <c r="S51" s="37">
        <f t="shared" si="0"/>
        <v>-5.7228122044849616</v>
      </c>
      <c r="T51" s="38">
        <f t="shared" si="1"/>
        <v>1255</v>
      </c>
      <c r="U51" s="38">
        <f t="shared" si="2"/>
        <v>1228</v>
      </c>
      <c r="V51" s="38">
        <f t="shared" si="3"/>
        <v>1243.2909999999999</v>
      </c>
      <c r="W51" t="s">
        <v>512</v>
      </c>
      <c r="X51" s="37">
        <f t="shared" si="4"/>
        <v>4.8697452229299332</v>
      </c>
      <c r="Y51" s="2">
        <f t="shared" si="5"/>
        <v>-9.3298804780876932E-3</v>
      </c>
      <c r="Z51" s="37">
        <f t="shared" si="6"/>
        <v>1.2451954397394047</v>
      </c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</row>
    <row r="52" spans="1:80" x14ac:dyDescent="0.25">
      <c r="A52" t="s">
        <v>514</v>
      </c>
      <c r="B52" s="38">
        <v>201</v>
      </c>
      <c r="C52" s="38">
        <v>182</v>
      </c>
      <c r="D52" s="38">
        <v>192</v>
      </c>
      <c r="E52" s="38">
        <v>173</v>
      </c>
      <c r="F52" s="38">
        <v>191</v>
      </c>
      <c r="G52" s="38">
        <v>180</v>
      </c>
      <c r="H52" s="38">
        <v>166</v>
      </c>
      <c r="I52" s="104">
        <v>165</v>
      </c>
      <c r="J52" s="38">
        <v>200</v>
      </c>
      <c r="K52" s="38">
        <v>188</v>
      </c>
      <c r="L52" s="38">
        <v>189</v>
      </c>
      <c r="M52" s="104">
        <v>188</v>
      </c>
      <c r="N52" s="109">
        <v>224.8</v>
      </c>
      <c r="O52" s="38"/>
      <c r="P52" t="s">
        <v>514</v>
      </c>
      <c r="Q52" s="38"/>
      <c r="R52" s="38"/>
      <c r="S52" s="37">
        <f t="shared" si="0"/>
        <v>12.282964903417204</v>
      </c>
      <c r="T52" s="38">
        <f t="shared" si="1"/>
        <v>711</v>
      </c>
      <c r="U52" s="38">
        <f t="shared" si="2"/>
        <v>765</v>
      </c>
      <c r="V52" s="38">
        <f t="shared" si="3"/>
        <v>789.8</v>
      </c>
      <c r="W52" t="s">
        <v>514</v>
      </c>
      <c r="X52" s="37">
        <f t="shared" si="4"/>
        <v>12.400000000000011</v>
      </c>
      <c r="Y52" s="2">
        <f t="shared" si="5"/>
        <v>0.11082981715893103</v>
      </c>
      <c r="Z52" s="37">
        <f t="shared" si="6"/>
        <v>3.2418300653594798</v>
      </c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</row>
    <row r="53" spans="1:80" x14ac:dyDescent="0.25">
      <c r="A53" t="s">
        <v>608</v>
      </c>
      <c r="B53" s="38">
        <v>57134</v>
      </c>
      <c r="C53" s="38">
        <v>59659</v>
      </c>
      <c r="D53" s="38">
        <v>60402</v>
      </c>
      <c r="E53" s="38">
        <v>65713</v>
      </c>
      <c r="F53" s="38">
        <v>58296</v>
      </c>
      <c r="G53" s="38">
        <v>61288</v>
      </c>
      <c r="H53" s="38">
        <v>63773</v>
      </c>
      <c r="I53" s="104">
        <v>69138</v>
      </c>
      <c r="J53" s="38">
        <v>61892</v>
      </c>
      <c r="K53" s="38">
        <v>64873</v>
      </c>
      <c r="L53" s="38">
        <v>65069</v>
      </c>
      <c r="M53" s="104">
        <v>72791</v>
      </c>
      <c r="N53" s="109">
        <v>66303.831999999995</v>
      </c>
      <c r="O53" s="38"/>
      <c r="P53" t="s">
        <v>608</v>
      </c>
      <c r="Q53" s="38"/>
      <c r="R53" s="38"/>
      <c r="S53" s="37">
        <f t="shared" si="0"/>
        <v>0.62304156250259091</v>
      </c>
      <c r="T53" s="38">
        <f t="shared" si="1"/>
        <v>256091</v>
      </c>
      <c r="U53" s="38">
        <f t="shared" si="2"/>
        <v>264625</v>
      </c>
      <c r="V53" s="38">
        <f t="shared" si="3"/>
        <v>269036.83199999999</v>
      </c>
      <c r="W53" t="s">
        <v>608</v>
      </c>
      <c r="X53" s="37">
        <f t="shared" si="4"/>
        <v>7.1282750597815525</v>
      </c>
      <c r="Y53" s="2">
        <f t="shared" si="5"/>
        <v>5.0551686705116561E-2</v>
      </c>
      <c r="Z53" s="37">
        <f t="shared" si="6"/>
        <v>1.6672015115729835</v>
      </c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</row>
    <row r="54" spans="1:80" s="98" customFormat="1" x14ac:dyDescent="0.25">
      <c r="A54" s="98" t="s">
        <v>702</v>
      </c>
      <c r="B54" s="96"/>
      <c r="C54" s="96"/>
      <c r="D54" s="96"/>
      <c r="E54" s="96"/>
      <c r="F54" s="96"/>
      <c r="G54" s="96"/>
      <c r="H54" s="96"/>
      <c r="I54" s="96"/>
      <c r="J54" s="96"/>
      <c r="K54" s="96"/>
      <c r="L54" s="96"/>
      <c r="M54" s="98" t="s">
        <v>702</v>
      </c>
      <c r="P54" s="96"/>
      <c r="Q54" s="96"/>
      <c r="R54" s="96"/>
      <c r="S54" s="96"/>
      <c r="T54" s="96"/>
      <c r="U54" s="96"/>
      <c r="V54" s="96"/>
      <c r="W54" s="98" t="s">
        <v>702</v>
      </c>
      <c r="X54" s="96"/>
      <c r="Y54" s="96"/>
      <c r="Z54" s="96"/>
      <c r="AA54" s="96"/>
      <c r="AB54" s="96"/>
      <c r="AC54" s="96"/>
      <c r="AD54" s="96"/>
      <c r="AE54" s="96"/>
      <c r="AF54" s="96"/>
      <c r="AG54" s="96"/>
      <c r="AH54" s="96"/>
      <c r="AI54" s="96"/>
      <c r="AJ54" s="96"/>
      <c r="AK54" s="96"/>
      <c r="AL54" s="96"/>
      <c r="AM54" s="96"/>
      <c r="AN54" s="96"/>
      <c r="AO54" s="96"/>
      <c r="AP54" s="96"/>
      <c r="AQ54" s="96"/>
      <c r="AR54" s="96"/>
      <c r="AS54" s="96"/>
      <c r="AT54" s="96"/>
      <c r="AU54" s="96"/>
      <c r="AV54" s="96"/>
      <c r="AW54" s="96"/>
      <c r="AX54" s="96"/>
      <c r="AY54" s="96"/>
      <c r="AZ54" s="96"/>
      <c r="BA54" s="96"/>
      <c r="BB54" s="96"/>
      <c r="BC54" s="96"/>
      <c r="BD54" s="96"/>
      <c r="BE54" s="96"/>
      <c r="BF54" s="96"/>
      <c r="BG54" s="96"/>
      <c r="BH54" s="96"/>
      <c r="BI54" s="96"/>
      <c r="BJ54" s="96"/>
      <c r="BK54" s="96"/>
      <c r="BL54" s="96"/>
      <c r="BM54" s="96"/>
      <c r="BN54" s="96"/>
      <c r="BO54" s="96"/>
      <c r="BP54" s="96"/>
      <c r="BQ54" s="96"/>
      <c r="BR54" s="96"/>
      <c r="BS54" s="96"/>
      <c r="BT54" s="96"/>
      <c r="BU54" s="96"/>
      <c r="BV54" s="96"/>
      <c r="BW54" s="96"/>
      <c r="BX54" s="96"/>
      <c r="BY54" s="96"/>
      <c r="BZ54" s="96"/>
      <c r="CA54" s="96"/>
      <c r="CB54" s="96"/>
    </row>
    <row r="55" spans="1:80" x14ac:dyDescent="0.25">
      <c r="A55" t="s">
        <v>465</v>
      </c>
      <c r="B55" s="38">
        <v>715</v>
      </c>
      <c r="C55" s="38">
        <v>701</v>
      </c>
      <c r="D55" s="38">
        <v>696</v>
      </c>
      <c r="E55" s="38">
        <v>877</v>
      </c>
      <c r="F55" s="38">
        <v>743</v>
      </c>
      <c r="G55" s="38">
        <v>723</v>
      </c>
      <c r="H55" s="38">
        <v>740</v>
      </c>
      <c r="I55" s="104">
        <v>956</v>
      </c>
      <c r="J55" s="38">
        <v>783</v>
      </c>
      <c r="K55" s="38">
        <v>748</v>
      </c>
      <c r="L55" s="38">
        <v>773</v>
      </c>
      <c r="M55" s="104">
        <v>907</v>
      </c>
      <c r="N55" s="38">
        <v>778.66600000000005</v>
      </c>
      <c r="O55" s="38"/>
      <c r="P55" t="s">
        <v>465</v>
      </c>
      <c r="Q55" s="38"/>
      <c r="R55" s="38"/>
      <c r="S55" s="37">
        <f t="shared" ref="S55:S99" si="7">(M55/(I55*$X$5)-1)*100</f>
        <v>-6.4358340429241156</v>
      </c>
      <c r="T55" s="38">
        <f t="shared" si="1"/>
        <v>3202</v>
      </c>
      <c r="U55" s="38">
        <f t="shared" si="2"/>
        <v>3211</v>
      </c>
      <c r="V55" s="38">
        <f t="shared" si="3"/>
        <v>3206.6660000000002</v>
      </c>
      <c r="W55" t="s">
        <v>465</v>
      </c>
      <c r="X55" s="37">
        <f>(N55/J55-1)*100</f>
        <v>-0.55351213282247569</v>
      </c>
      <c r="Y55" s="2">
        <f t="shared" ref="Y55:Y99" si="8">+V55/T55-1</f>
        <v>1.4572142410993472E-3</v>
      </c>
      <c r="Z55" s="37">
        <f t="shared" si="6"/>
        <v>-0.13497352849579158</v>
      </c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</row>
    <row r="56" spans="1:80" x14ac:dyDescent="0.25">
      <c r="A56" t="s">
        <v>475</v>
      </c>
      <c r="B56" s="38">
        <v>603</v>
      </c>
      <c r="C56" s="38">
        <v>588</v>
      </c>
      <c r="D56" s="38">
        <v>438</v>
      </c>
      <c r="E56" s="38">
        <v>773</v>
      </c>
      <c r="F56" s="38">
        <v>659</v>
      </c>
      <c r="G56" s="38">
        <v>620</v>
      </c>
      <c r="H56" s="38">
        <v>489</v>
      </c>
      <c r="I56" s="104">
        <v>882</v>
      </c>
      <c r="J56" s="38">
        <v>670</v>
      </c>
      <c r="K56" s="38">
        <v>637</v>
      </c>
      <c r="L56" s="38">
        <v>507</v>
      </c>
      <c r="M56" s="68">
        <v>789</v>
      </c>
      <c r="N56" s="38">
        <v>689.26300000000003</v>
      </c>
      <c r="O56" s="38"/>
      <c r="P56" t="s">
        <v>475</v>
      </c>
      <c r="Q56" s="38"/>
      <c r="R56" s="38"/>
      <c r="S56" s="37">
        <f t="shared" si="7"/>
        <v>-11.779691146503479</v>
      </c>
      <c r="T56" s="38">
        <f t="shared" si="1"/>
        <v>2661</v>
      </c>
      <c r="U56" s="38">
        <f t="shared" si="2"/>
        <v>2603</v>
      </c>
      <c r="V56" s="38">
        <f t="shared" si="3"/>
        <v>2622.2629999999999</v>
      </c>
      <c r="W56" t="s">
        <v>475</v>
      </c>
      <c r="X56" s="37">
        <f t="shared" ref="X56:X99" si="9">(N56/J56-1)*100</f>
        <v>2.8750746268656702</v>
      </c>
      <c r="Y56" s="2">
        <f t="shared" si="8"/>
        <v>-1.4557309282224762E-2</v>
      </c>
      <c r="Z56" s="37">
        <f t="shared" si="6"/>
        <v>0.74003073376871953</v>
      </c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</row>
    <row r="57" spans="1:80" x14ac:dyDescent="0.25">
      <c r="A57" t="s">
        <v>476</v>
      </c>
      <c r="B57" s="38">
        <v>858</v>
      </c>
      <c r="C57" s="38">
        <v>874</v>
      </c>
      <c r="D57" s="38">
        <v>424</v>
      </c>
      <c r="E57" s="38">
        <v>938</v>
      </c>
      <c r="F57" s="38">
        <v>893</v>
      </c>
      <c r="G57" s="38">
        <v>964</v>
      </c>
      <c r="H57" s="38">
        <v>461</v>
      </c>
      <c r="I57" s="104">
        <v>1080</v>
      </c>
      <c r="J57" s="38">
        <v>953</v>
      </c>
      <c r="K57" s="38">
        <v>967</v>
      </c>
      <c r="L57" s="38">
        <v>521</v>
      </c>
      <c r="M57" s="104">
        <v>1022</v>
      </c>
      <c r="N57" s="38">
        <v>976.20699999999999</v>
      </c>
      <c r="O57" s="38"/>
      <c r="P57" t="s">
        <v>476</v>
      </c>
      <c r="Q57" s="38"/>
      <c r="R57" s="38"/>
      <c r="S57" s="37">
        <f t="shared" si="7"/>
        <v>-6.6772998148416089</v>
      </c>
      <c r="T57" s="38">
        <f t="shared" si="1"/>
        <v>3458</v>
      </c>
      <c r="U57" s="38">
        <f t="shared" si="2"/>
        <v>3463</v>
      </c>
      <c r="V57" s="38">
        <f t="shared" si="3"/>
        <v>3486.2069999999999</v>
      </c>
      <c r="W57" t="s">
        <v>476</v>
      </c>
      <c r="X57" s="37">
        <f t="shared" si="9"/>
        <v>2.4351521511017937</v>
      </c>
      <c r="Y57" s="2">
        <f t="shared" si="8"/>
        <v>8.1570271833428798E-3</v>
      </c>
      <c r="Z57" s="37">
        <f t="shared" si="6"/>
        <v>0.67014149581288507</v>
      </c>
      <c r="AA57" s="38"/>
      <c r="AB57" s="38"/>
      <c r="AC57" s="38"/>
      <c r="AD57" s="38"/>
      <c r="AE57" s="38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9"/>
      <c r="CB57" s="39"/>
    </row>
    <row r="58" spans="1:80" x14ac:dyDescent="0.25">
      <c r="A58" t="s">
        <v>467</v>
      </c>
      <c r="B58" s="38">
        <v>10929</v>
      </c>
      <c r="C58" s="38">
        <v>11272</v>
      </c>
      <c r="D58" s="38">
        <v>11978</v>
      </c>
      <c r="E58" s="38">
        <v>17370</v>
      </c>
      <c r="F58" s="38">
        <v>11565</v>
      </c>
      <c r="G58" s="38">
        <v>14276</v>
      </c>
      <c r="H58" s="38">
        <v>18237</v>
      </c>
      <c r="I58" s="104">
        <v>24437</v>
      </c>
      <c r="J58" s="38">
        <v>12913</v>
      </c>
      <c r="K58" s="38">
        <v>14452</v>
      </c>
      <c r="L58" s="38">
        <v>16214</v>
      </c>
      <c r="M58" s="104">
        <v>23805</v>
      </c>
      <c r="N58" s="38">
        <v>14309.17</v>
      </c>
      <c r="O58" s="38"/>
      <c r="P58" t="s">
        <v>467</v>
      </c>
      <c r="Q58" s="38"/>
      <c r="R58" s="38"/>
      <c r="S58" s="37">
        <f t="shared" si="7"/>
        <v>-3.9316232018516306</v>
      </c>
      <c r="T58" s="38">
        <f t="shared" si="1"/>
        <v>69863</v>
      </c>
      <c r="U58" s="38">
        <f t="shared" si="2"/>
        <v>67384</v>
      </c>
      <c r="V58" s="38">
        <f t="shared" si="3"/>
        <v>68780.17</v>
      </c>
      <c r="W58" t="s">
        <v>467</v>
      </c>
      <c r="X58" s="37">
        <f t="shared" si="9"/>
        <v>10.812127313559984</v>
      </c>
      <c r="Y58" s="2">
        <f t="shared" si="8"/>
        <v>-1.5499334411634202E-2</v>
      </c>
      <c r="Z58" s="37">
        <f t="shared" si="6"/>
        <v>2.0719607028374583</v>
      </c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</row>
    <row r="59" spans="1:80" x14ac:dyDescent="0.25">
      <c r="A59" t="s">
        <v>477</v>
      </c>
      <c r="B59" s="38">
        <v>1131</v>
      </c>
      <c r="C59" s="38">
        <v>1122</v>
      </c>
      <c r="D59" s="38">
        <v>1018</v>
      </c>
      <c r="E59" s="38">
        <v>1581</v>
      </c>
      <c r="F59" s="38">
        <v>1220</v>
      </c>
      <c r="G59" s="38">
        <v>1261</v>
      </c>
      <c r="H59" s="38">
        <v>1184</v>
      </c>
      <c r="I59" s="104">
        <v>1864</v>
      </c>
      <c r="J59" s="38">
        <v>1292</v>
      </c>
      <c r="K59" s="38">
        <v>1293</v>
      </c>
      <c r="L59" s="38">
        <v>1245</v>
      </c>
      <c r="M59" s="104">
        <v>1820</v>
      </c>
      <c r="N59" s="38">
        <v>1408.819</v>
      </c>
      <c r="O59" s="38"/>
      <c r="P59" t="s">
        <v>477</v>
      </c>
      <c r="Q59" s="38"/>
      <c r="R59" s="38"/>
      <c r="S59" s="37">
        <f t="shared" si="7"/>
        <v>-3.7090135663748636</v>
      </c>
      <c r="T59" s="38">
        <f t="shared" si="1"/>
        <v>5601</v>
      </c>
      <c r="U59" s="38">
        <f t="shared" si="2"/>
        <v>5650</v>
      </c>
      <c r="V59" s="38">
        <f t="shared" si="3"/>
        <v>5766.8189999999995</v>
      </c>
      <c r="W59" t="s">
        <v>477</v>
      </c>
      <c r="X59" s="37">
        <f t="shared" si="9"/>
        <v>9.0417182662538629</v>
      </c>
      <c r="Y59" s="2">
        <f t="shared" si="8"/>
        <v>2.960524906266726E-2</v>
      </c>
      <c r="Z59" s="37">
        <f t="shared" si="6"/>
        <v>2.0675929203539738</v>
      </c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</row>
    <row r="60" spans="1:80" x14ac:dyDescent="0.25">
      <c r="A60" t="s">
        <v>468</v>
      </c>
      <c r="B60" s="38">
        <v>924</v>
      </c>
      <c r="C60" s="38">
        <v>1686</v>
      </c>
      <c r="D60" s="38">
        <v>1687</v>
      </c>
      <c r="E60" s="38">
        <v>3074</v>
      </c>
      <c r="F60" s="38">
        <v>978</v>
      </c>
      <c r="G60" s="38">
        <v>1615</v>
      </c>
      <c r="H60" s="38">
        <v>1795</v>
      </c>
      <c r="I60" s="104">
        <v>3424</v>
      </c>
      <c r="J60" s="38">
        <v>1034</v>
      </c>
      <c r="K60" s="38">
        <v>1656</v>
      </c>
      <c r="L60" s="38">
        <v>1843</v>
      </c>
      <c r="M60" s="101">
        <f>I60-(I60*0.054)</f>
        <v>3239.1039999999998</v>
      </c>
      <c r="N60" s="38">
        <v>1022.836</v>
      </c>
      <c r="O60" s="38"/>
      <c r="P60" t="s">
        <v>468</v>
      </c>
      <c r="Q60" s="38"/>
      <c r="R60" s="38"/>
      <c r="S60" s="37">
        <f t="shared" si="7"/>
        <v>-6.7065202297723729</v>
      </c>
      <c r="T60" s="38">
        <f t="shared" si="1"/>
        <v>7868</v>
      </c>
      <c r="U60" s="38">
        <f t="shared" si="2"/>
        <v>7772.1039999999994</v>
      </c>
      <c r="V60" s="38">
        <f t="shared" si="3"/>
        <v>7760.94</v>
      </c>
      <c r="W60" t="s">
        <v>468</v>
      </c>
      <c r="X60" s="37">
        <f t="shared" si="9"/>
        <v>-1.0796905222437148</v>
      </c>
      <c r="Y60" s="2">
        <f t="shared" si="8"/>
        <v>-1.3607015760040753E-2</v>
      </c>
      <c r="Z60" s="37">
        <f t="shared" si="6"/>
        <v>-0.14364192759128969</v>
      </c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</row>
    <row r="61" spans="1:80" x14ac:dyDescent="0.25">
      <c r="A61" t="s">
        <v>600</v>
      </c>
      <c r="B61" s="38">
        <v>323</v>
      </c>
      <c r="C61" s="38">
        <v>288</v>
      </c>
      <c r="D61" s="38">
        <v>298</v>
      </c>
      <c r="E61" s="38">
        <v>528</v>
      </c>
      <c r="F61" s="38">
        <v>369</v>
      </c>
      <c r="G61" s="38">
        <v>353</v>
      </c>
      <c r="H61" s="38">
        <v>378</v>
      </c>
      <c r="I61" s="104">
        <v>537</v>
      </c>
      <c r="J61" s="38">
        <v>394</v>
      </c>
      <c r="K61" s="38">
        <v>369</v>
      </c>
      <c r="L61" s="38">
        <v>366</v>
      </c>
      <c r="M61" s="104">
        <v>530</v>
      </c>
      <c r="N61" s="38">
        <v>427.40699999999998</v>
      </c>
      <c r="O61" s="38"/>
      <c r="P61" t="s">
        <v>600</v>
      </c>
      <c r="Q61" s="38"/>
      <c r="R61" s="38"/>
      <c r="S61" s="37">
        <f t="shared" si="7"/>
        <v>-2.6666346230514004</v>
      </c>
      <c r="T61" s="38">
        <f t="shared" si="1"/>
        <v>1662</v>
      </c>
      <c r="U61" s="38">
        <f t="shared" si="2"/>
        <v>1659</v>
      </c>
      <c r="V61" s="38">
        <f t="shared" si="3"/>
        <v>1692.4069999999999</v>
      </c>
      <c r="W61" t="s">
        <v>600</v>
      </c>
      <c r="X61" s="37">
        <f t="shared" si="9"/>
        <v>8.4789340101522725</v>
      </c>
      <c r="Y61" s="2">
        <f t="shared" si="8"/>
        <v>1.8295427196149072E-2</v>
      </c>
      <c r="Z61" s="37">
        <f t="shared" si="6"/>
        <v>2.0136829415310302</v>
      </c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</row>
    <row r="62" spans="1:80" x14ac:dyDescent="0.25">
      <c r="A62" t="s">
        <v>469</v>
      </c>
      <c r="B62" s="38">
        <v>263</v>
      </c>
      <c r="C62" s="38">
        <v>262</v>
      </c>
      <c r="D62" s="38">
        <v>411</v>
      </c>
      <c r="E62" s="38">
        <v>256</v>
      </c>
      <c r="F62" s="38">
        <v>273</v>
      </c>
      <c r="G62" s="38">
        <v>289</v>
      </c>
      <c r="H62" s="38">
        <v>346</v>
      </c>
      <c r="I62" s="104">
        <v>416</v>
      </c>
      <c r="J62" s="38">
        <v>394</v>
      </c>
      <c r="K62" s="38">
        <v>198</v>
      </c>
      <c r="L62" s="38">
        <v>385</v>
      </c>
      <c r="M62" s="104">
        <v>414</v>
      </c>
      <c r="N62" s="38">
        <v>302.11900000000003</v>
      </c>
      <c r="O62" s="38"/>
      <c r="P62" t="s">
        <v>469</v>
      </c>
      <c r="Q62" s="38"/>
      <c r="R62" s="38"/>
      <c r="S62" s="37">
        <f t="shared" si="7"/>
        <v>-1.8552289374434872</v>
      </c>
      <c r="T62" s="38">
        <f t="shared" si="1"/>
        <v>1445</v>
      </c>
      <c r="U62" s="38">
        <f t="shared" si="2"/>
        <v>1391</v>
      </c>
      <c r="V62" s="38">
        <f t="shared" si="3"/>
        <v>1299.1190000000001</v>
      </c>
      <c r="W62" t="s">
        <v>469</v>
      </c>
      <c r="X62" s="37">
        <f t="shared" si="9"/>
        <v>-23.320050761421317</v>
      </c>
      <c r="Y62" s="2">
        <f t="shared" si="8"/>
        <v>-0.10095570934256048</v>
      </c>
      <c r="Z62" s="37">
        <f t="shared" si="6"/>
        <v>-6.6053918044572129</v>
      </c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</row>
    <row r="63" spans="1:80" x14ac:dyDescent="0.25">
      <c r="A63" t="s">
        <v>471</v>
      </c>
      <c r="B63" s="38">
        <v>2176</v>
      </c>
      <c r="C63" s="38">
        <v>2225</v>
      </c>
      <c r="D63" s="38">
        <v>1540</v>
      </c>
      <c r="E63" s="38">
        <v>2203</v>
      </c>
      <c r="F63" s="38">
        <v>2234</v>
      </c>
      <c r="G63" s="38">
        <v>2404</v>
      </c>
      <c r="H63" s="38">
        <v>1655</v>
      </c>
      <c r="I63" s="104">
        <v>2461</v>
      </c>
      <c r="J63" s="38">
        <v>2343</v>
      </c>
      <c r="K63" s="38">
        <v>2420</v>
      </c>
      <c r="L63" s="38">
        <v>1775</v>
      </c>
      <c r="M63" s="104">
        <v>2428</v>
      </c>
      <c r="N63" s="38">
        <v>2433.4589999999998</v>
      </c>
      <c r="O63" s="38"/>
      <c r="P63" t="s">
        <v>471</v>
      </c>
      <c r="Q63" s="38"/>
      <c r="R63" s="38"/>
      <c r="S63" s="37">
        <f t="shared" si="7"/>
        <v>-2.7034985167717074</v>
      </c>
      <c r="T63" s="38">
        <f t="shared" si="1"/>
        <v>8863</v>
      </c>
      <c r="U63" s="38">
        <f t="shared" si="2"/>
        <v>8966</v>
      </c>
      <c r="V63" s="38">
        <f t="shared" si="3"/>
        <v>9056.4589999999989</v>
      </c>
      <c r="W63" t="s">
        <v>471</v>
      </c>
      <c r="X63" s="37">
        <f t="shared" si="9"/>
        <v>3.8608194622279157</v>
      </c>
      <c r="Y63" s="2">
        <f t="shared" si="8"/>
        <v>2.1827710707435388E-2</v>
      </c>
      <c r="Z63" s="37">
        <f t="shared" si="6"/>
        <v>1.0089114432299624</v>
      </c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</row>
    <row r="64" spans="1:80" x14ac:dyDescent="0.25">
      <c r="A64" t="s">
        <v>478</v>
      </c>
      <c r="B64" s="38">
        <v>396</v>
      </c>
      <c r="C64" s="38">
        <v>362</v>
      </c>
      <c r="D64" s="38">
        <v>277</v>
      </c>
      <c r="E64" s="38">
        <v>506</v>
      </c>
      <c r="F64" s="38">
        <v>435</v>
      </c>
      <c r="G64" s="38">
        <v>433</v>
      </c>
      <c r="H64" s="38">
        <v>351</v>
      </c>
      <c r="I64" s="104">
        <v>516</v>
      </c>
      <c r="J64" s="38">
        <v>454</v>
      </c>
      <c r="K64" s="38">
        <v>410</v>
      </c>
      <c r="L64" s="38">
        <v>347</v>
      </c>
      <c r="M64" s="104">
        <v>521</v>
      </c>
      <c r="N64" s="38">
        <v>472.15</v>
      </c>
      <c r="O64" s="38"/>
      <c r="P64" t="s">
        <v>478</v>
      </c>
      <c r="Q64" s="38"/>
      <c r="R64" s="38"/>
      <c r="S64" s="37">
        <f t="shared" si="7"/>
        <v>-0.42549010872258153</v>
      </c>
      <c r="T64" s="38">
        <f t="shared" si="1"/>
        <v>1754</v>
      </c>
      <c r="U64" s="38">
        <f t="shared" si="2"/>
        <v>1732</v>
      </c>
      <c r="V64" s="38">
        <f t="shared" si="3"/>
        <v>1750.15</v>
      </c>
      <c r="W64" t="s">
        <v>478</v>
      </c>
      <c r="X64" s="37">
        <f t="shared" si="9"/>
        <v>3.9977973568281922</v>
      </c>
      <c r="Y64" s="2">
        <f t="shared" si="8"/>
        <v>-2.1949828962370965E-3</v>
      </c>
      <c r="Z64" s="37">
        <f t="shared" si="6"/>
        <v>1.0479214780600614</v>
      </c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</row>
    <row r="65" spans="1:80" x14ac:dyDescent="0.25">
      <c r="A65" t="s">
        <v>482</v>
      </c>
      <c r="B65" s="38">
        <v>550</v>
      </c>
      <c r="C65" s="38">
        <v>767</v>
      </c>
      <c r="D65" s="38">
        <v>618</v>
      </c>
      <c r="E65" s="38">
        <v>873</v>
      </c>
      <c r="F65" s="38">
        <v>572</v>
      </c>
      <c r="G65" s="38">
        <v>842</v>
      </c>
      <c r="H65" s="38">
        <v>721</v>
      </c>
      <c r="I65" s="104">
        <v>1090</v>
      </c>
      <c r="J65" s="38">
        <v>609</v>
      </c>
      <c r="K65" s="38">
        <v>820</v>
      </c>
      <c r="L65" s="38">
        <v>691</v>
      </c>
      <c r="M65" s="104">
        <v>857</v>
      </c>
      <c r="N65" s="38">
        <v>636.28099999999995</v>
      </c>
      <c r="O65" s="38"/>
      <c r="P65" t="s">
        <v>482</v>
      </c>
      <c r="Q65" s="38"/>
      <c r="R65" s="38"/>
      <c r="S65" s="37">
        <f t="shared" si="7"/>
        <v>-22.462020517984882</v>
      </c>
      <c r="T65" s="38">
        <f t="shared" si="1"/>
        <v>3262</v>
      </c>
      <c r="U65" s="38">
        <f t="shared" si="2"/>
        <v>2977</v>
      </c>
      <c r="V65" s="38">
        <f t="shared" si="3"/>
        <v>3004.2809999999999</v>
      </c>
      <c r="W65" t="s">
        <v>482</v>
      </c>
      <c r="X65" s="37">
        <f t="shared" si="9"/>
        <v>4.4796387520525283</v>
      </c>
      <c r="Y65" s="2">
        <f t="shared" si="8"/>
        <v>-7.9006437768240345E-2</v>
      </c>
      <c r="Z65" s="37">
        <f t="shared" si="6"/>
        <v>0.91639234128318492</v>
      </c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</row>
    <row r="66" spans="1:80" x14ac:dyDescent="0.25">
      <c r="A66" t="s">
        <v>479</v>
      </c>
      <c r="B66" s="38">
        <v>276</v>
      </c>
      <c r="C66" s="38">
        <v>306</v>
      </c>
      <c r="D66" s="38">
        <v>221</v>
      </c>
      <c r="E66" s="38">
        <v>410</v>
      </c>
      <c r="F66" s="38">
        <v>288</v>
      </c>
      <c r="G66" s="38">
        <v>303</v>
      </c>
      <c r="H66" s="38">
        <v>220</v>
      </c>
      <c r="I66" s="104">
        <v>481</v>
      </c>
      <c r="J66" s="38">
        <v>299</v>
      </c>
      <c r="K66" s="38">
        <v>337</v>
      </c>
      <c r="L66" s="38">
        <v>299</v>
      </c>
      <c r="M66" s="104">
        <v>459</v>
      </c>
      <c r="N66" s="38">
        <v>318.279</v>
      </c>
      <c r="O66" s="38"/>
      <c r="P66" t="s">
        <v>479</v>
      </c>
      <c r="Q66" s="38"/>
      <c r="R66" s="38"/>
      <c r="S66" s="37">
        <f t="shared" si="7"/>
        <v>-5.8917353853747301</v>
      </c>
      <c r="T66" s="38">
        <f t="shared" si="1"/>
        <v>1303</v>
      </c>
      <c r="U66" s="38">
        <f t="shared" si="2"/>
        <v>1394</v>
      </c>
      <c r="V66" s="38">
        <f t="shared" si="3"/>
        <v>1413.279</v>
      </c>
      <c r="W66" t="s">
        <v>479</v>
      </c>
      <c r="X66" s="37">
        <f t="shared" si="9"/>
        <v>6.4478260869565096</v>
      </c>
      <c r="Y66" s="2">
        <f t="shared" si="8"/>
        <v>8.4634689178818112E-2</v>
      </c>
      <c r="Z66" s="37">
        <f t="shared" si="6"/>
        <v>1.3829985652797632</v>
      </c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</row>
    <row r="67" spans="1:80" x14ac:dyDescent="0.25">
      <c r="A67" t="s">
        <v>480</v>
      </c>
      <c r="B67" s="38">
        <v>3343</v>
      </c>
      <c r="C67" s="38">
        <v>3181</v>
      </c>
      <c r="D67" s="38">
        <v>4198</v>
      </c>
      <c r="E67" s="38">
        <v>4791</v>
      </c>
      <c r="F67" s="38">
        <v>3404</v>
      </c>
      <c r="G67" s="38">
        <v>3436</v>
      </c>
      <c r="H67" s="38">
        <v>4345</v>
      </c>
      <c r="I67" s="104">
        <v>5354</v>
      </c>
      <c r="J67" s="38">
        <v>3609</v>
      </c>
      <c r="K67" s="38">
        <v>3566</v>
      </c>
      <c r="L67" s="38">
        <v>4506</v>
      </c>
      <c r="M67" s="104">
        <v>4378</v>
      </c>
      <c r="N67" s="38">
        <v>3235.2069999999999</v>
      </c>
      <c r="O67" s="38"/>
      <c r="P67" t="s">
        <v>480</v>
      </c>
      <c r="Q67" s="38"/>
      <c r="R67" s="38"/>
      <c r="S67" s="37">
        <f t="shared" si="7"/>
        <v>-19.358695197351704</v>
      </c>
      <c r="T67" s="38">
        <f t="shared" si="1"/>
        <v>16744</v>
      </c>
      <c r="U67" s="38">
        <f t="shared" si="2"/>
        <v>16059</v>
      </c>
      <c r="V67" s="38">
        <f t="shared" si="3"/>
        <v>15685.207</v>
      </c>
      <c r="W67" t="s">
        <v>480</v>
      </c>
      <c r="X67" s="37">
        <f t="shared" si="9"/>
        <v>-10.35724577445276</v>
      </c>
      <c r="Y67" s="2">
        <f t="shared" si="8"/>
        <v>-6.3234173435260388E-2</v>
      </c>
      <c r="Z67" s="37">
        <f t="shared" si="6"/>
        <v>-2.327623139672454</v>
      </c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</row>
    <row r="68" spans="1:80" x14ac:dyDescent="0.25">
      <c r="A68" t="s">
        <v>481</v>
      </c>
      <c r="B68" s="38">
        <v>1128</v>
      </c>
      <c r="C68" s="38">
        <v>1070</v>
      </c>
      <c r="D68" s="38">
        <v>1005</v>
      </c>
      <c r="E68" s="38">
        <v>1562</v>
      </c>
      <c r="F68" s="38">
        <v>1224</v>
      </c>
      <c r="G68" s="38">
        <v>985</v>
      </c>
      <c r="H68" s="38">
        <v>1013</v>
      </c>
      <c r="I68" s="104">
        <v>1750</v>
      </c>
      <c r="J68" s="38">
        <v>1163</v>
      </c>
      <c r="K68" s="38">
        <v>1092</v>
      </c>
      <c r="L68" s="38">
        <v>1039</v>
      </c>
      <c r="M68" s="104">
        <v>1364</v>
      </c>
      <c r="N68" s="38">
        <v>1226.3</v>
      </c>
      <c r="O68" s="38"/>
      <c r="P68" t="s">
        <v>481</v>
      </c>
      <c r="Q68" s="38"/>
      <c r="R68" s="38"/>
      <c r="S68" s="37">
        <f t="shared" si="7"/>
        <v>-23.133611352104811</v>
      </c>
      <c r="T68" s="38">
        <f t="shared" si="1"/>
        <v>4911</v>
      </c>
      <c r="U68" s="38">
        <f t="shared" si="2"/>
        <v>4658</v>
      </c>
      <c r="V68" s="38">
        <f t="shared" si="3"/>
        <v>4721.3</v>
      </c>
      <c r="W68" t="s">
        <v>481</v>
      </c>
      <c r="X68" s="37">
        <f t="shared" si="9"/>
        <v>5.4428202923473723</v>
      </c>
      <c r="Y68" s="2">
        <f t="shared" si="8"/>
        <v>-3.8627570759519392E-2</v>
      </c>
      <c r="Z68" s="37">
        <f t="shared" si="6"/>
        <v>1.3589523400601138</v>
      </c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</row>
    <row r="69" spans="1:80" x14ac:dyDescent="0.25">
      <c r="A69" t="s">
        <v>483</v>
      </c>
      <c r="B69" s="38">
        <v>670</v>
      </c>
      <c r="C69" s="38">
        <v>667</v>
      </c>
      <c r="D69" s="38">
        <v>502</v>
      </c>
      <c r="E69" s="38">
        <v>1053</v>
      </c>
      <c r="F69" s="38">
        <v>724</v>
      </c>
      <c r="G69" s="38">
        <v>785</v>
      </c>
      <c r="H69" s="38">
        <v>509</v>
      </c>
      <c r="I69" s="104">
        <v>939</v>
      </c>
      <c r="J69" s="38">
        <v>584</v>
      </c>
      <c r="K69" s="38">
        <v>535</v>
      </c>
      <c r="L69" s="38">
        <v>514</v>
      </c>
      <c r="M69" s="104">
        <v>866</v>
      </c>
      <c r="N69" s="38">
        <v>607.83199999999999</v>
      </c>
      <c r="O69" s="38"/>
      <c r="P69" t="s">
        <v>483</v>
      </c>
      <c r="Q69" s="38"/>
      <c r="R69" s="38"/>
      <c r="S69" s="37">
        <f t="shared" si="7"/>
        <v>-9.0479576795327592</v>
      </c>
      <c r="T69" s="38">
        <f t="shared" si="1"/>
        <v>2817</v>
      </c>
      <c r="U69" s="38">
        <f t="shared" si="2"/>
        <v>2499</v>
      </c>
      <c r="V69" s="38">
        <f t="shared" si="3"/>
        <v>2522.8319999999999</v>
      </c>
      <c r="W69" t="s">
        <v>483</v>
      </c>
      <c r="X69" s="37">
        <f t="shared" si="9"/>
        <v>4.0808219178082084</v>
      </c>
      <c r="Y69" s="2">
        <f t="shared" si="8"/>
        <v>-0.10442598509052192</v>
      </c>
      <c r="Z69" s="37">
        <f t="shared" si="6"/>
        <v>0.9536614645858208</v>
      </c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</row>
    <row r="70" spans="1:80" x14ac:dyDescent="0.25">
      <c r="A70" t="s">
        <v>484</v>
      </c>
      <c r="B70" s="38">
        <v>886</v>
      </c>
      <c r="C70" s="38">
        <v>843</v>
      </c>
      <c r="D70" s="38">
        <v>697</v>
      </c>
      <c r="E70" s="38">
        <v>1086</v>
      </c>
      <c r="F70" s="38">
        <v>902</v>
      </c>
      <c r="G70" s="38">
        <v>911</v>
      </c>
      <c r="H70" s="38">
        <v>750</v>
      </c>
      <c r="I70" s="104">
        <v>1160</v>
      </c>
      <c r="J70" s="38">
        <v>931</v>
      </c>
      <c r="K70" s="38">
        <v>925</v>
      </c>
      <c r="L70" s="38">
        <v>768</v>
      </c>
      <c r="M70" s="104">
        <v>1124</v>
      </c>
      <c r="N70" s="38">
        <v>981.34900000000005</v>
      </c>
      <c r="O70" s="38"/>
      <c r="P70" t="s">
        <v>484</v>
      </c>
      <c r="Q70" s="38"/>
      <c r="R70" s="38"/>
      <c r="S70" s="37">
        <f t="shared" si="7"/>
        <v>-4.441686172508696</v>
      </c>
      <c r="T70" s="38">
        <f t="shared" si="1"/>
        <v>3752</v>
      </c>
      <c r="U70" s="38">
        <f t="shared" si="2"/>
        <v>3748</v>
      </c>
      <c r="V70" s="38">
        <f t="shared" si="3"/>
        <v>3798.3490000000002</v>
      </c>
      <c r="W70" t="s">
        <v>484</v>
      </c>
      <c r="X70" s="37">
        <f t="shared" si="9"/>
        <v>5.4080558539205237</v>
      </c>
      <c r="Y70" s="2">
        <f t="shared" si="8"/>
        <v>1.2353144989339038E-2</v>
      </c>
      <c r="Z70" s="37">
        <f t="shared" si="6"/>
        <v>1.3433564567769452</v>
      </c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</row>
    <row r="71" spans="1:80" x14ac:dyDescent="0.25">
      <c r="A71" t="s">
        <v>485</v>
      </c>
      <c r="B71" s="38">
        <v>681</v>
      </c>
      <c r="C71" s="38">
        <v>596</v>
      </c>
      <c r="D71" s="38">
        <v>443</v>
      </c>
      <c r="E71" s="38">
        <v>723</v>
      </c>
      <c r="F71" s="38">
        <v>697</v>
      </c>
      <c r="G71" s="38">
        <v>734</v>
      </c>
      <c r="H71" s="38">
        <v>524</v>
      </c>
      <c r="I71" s="104">
        <v>781</v>
      </c>
      <c r="J71" s="38">
        <v>802</v>
      </c>
      <c r="K71" s="38">
        <v>726</v>
      </c>
      <c r="L71" s="38">
        <v>550</v>
      </c>
      <c r="M71" s="104">
        <v>743</v>
      </c>
      <c r="N71" s="38">
        <v>781.43600000000004</v>
      </c>
      <c r="O71" s="38"/>
      <c r="P71" t="s">
        <v>485</v>
      </c>
      <c r="Q71" s="38"/>
      <c r="R71" s="38"/>
      <c r="S71" s="37">
        <f t="shared" si="7"/>
        <v>-6.1794583984874363</v>
      </c>
      <c r="T71" s="38">
        <f t="shared" si="1"/>
        <v>2841</v>
      </c>
      <c r="U71" s="38">
        <f t="shared" si="2"/>
        <v>2821</v>
      </c>
      <c r="V71" s="38">
        <f t="shared" si="3"/>
        <v>2800.4360000000001</v>
      </c>
      <c r="W71" t="s">
        <v>485</v>
      </c>
      <c r="X71" s="37">
        <f t="shared" si="9"/>
        <v>-2.5640897755610959</v>
      </c>
      <c r="Y71" s="2">
        <f t="shared" si="8"/>
        <v>-1.4278071101724743E-2</v>
      </c>
      <c r="Z71" s="37">
        <f t="shared" si="6"/>
        <v>-0.72896136121941879</v>
      </c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</row>
    <row r="72" spans="1:80" x14ac:dyDescent="0.25">
      <c r="A72" t="s">
        <v>488</v>
      </c>
      <c r="B72" s="38">
        <v>2781</v>
      </c>
      <c r="C72" s="38">
        <v>2727</v>
      </c>
      <c r="D72" s="38">
        <v>2506</v>
      </c>
      <c r="E72" s="38">
        <v>3919</v>
      </c>
      <c r="F72" s="38">
        <v>2825</v>
      </c>
      <c r="G72" s="38">
        <v>2872</v>
      </c>
      <c r="H72" s="38">
        <v>2748</v>
      </c>
      <c r="I72" s="104">
        <v>4409</v>
      </c>
      <c r="J72" s="38">
        <v>3061</v>
      </c>
      <c r="K72" s="38">
        <v>2982</v>
      </c>
      <c r="L72" s="38">
        <v>2991</v>
      </c>
      <c r="M72" s="104">
        <v>4066</v>
      </c>
      <c r="N72" s="38">
        <v>3183.241</v>
      </c>
      <c r="O72" s="38"/>
      <c r="P72" t="s">
        <v>488</v>
      </c>
      <c r="Q72" s="38"/>
      <c r="R72" s="38"/>
      <c r="S72" s="37">
        <f t="shared" si="7"/>
        <v>-9.0531982328704075</v>
      </c>
      <c r="T72" s="38">
        <f t="shared" ref="T72:T135" si="10">SUM(G72:J72)</f>
        <v>13090</v>
      </c>
      <c r="U72" s="38">
        <f t="shared" ref="U72:V135" si="11">SUM(J72:M72)</f>
        <v>13100</v>
      </c>
      <c r="V72" s="38">
        <f t="shared" si="11"/>
        <v>13222.241</v>
      </c>
      <c r="W72" t="s">
        <v>488</v>
      </c>
      <c r="X72" s="37">
        <f t="shared" si="9"/>
        <v>3.9934988565828222</v>
      </c>
      <c r="Y72" s="2">
        <f t="shared" si="8"/>
        <v>1.0102444614209283E-2</v>
      </c>
      <c r="Z72" s="37">
        <f t="shared" ref="Z72:Z135" si="12">+V72/U72*100-100</f>
        <v>0.93313740458013683</v>
      </c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</row>
    <row r="73" spans="1:80" x14ac:dyDescent="0.25">
      <c r="A73" t="s">
        <v>487</v>
      </c>
      <c r="B73" s="38">
        <v>1328</v>
      </c>
      <c r="C73" s="38">
        <v>1995</v>
      </c>
      <c r="D73" s="38">
        <v>1119</v>
      </c>
      <c r="E73" s="38">
        <v>2675</v>
      </c>
      <c r="F73" s="38">
        <v>1397</v>
      </c>
      <c r="G73" s="38">
        <v>1595</v>
      </c>
      <c r="H73" s="38">
        <v>1952</v>
      </c>
      <c r="I73" s="104">
        <v>2749</v>
      </c>
      <c r="J73" s="38">
        <v>1502</v>
      </c>
      <c r="K73" s="38">
        <v>1615</v>
      </c>
      <c r="L73" s="38">
        <v>1981</v>
      </c>
      <c r="M73" s="104">
        <v>2535</v>
      </c>
      <c r="N73" s="38">
        <v>1581.183</v>
      </c>
      <c r="O73" s="38"/>
      <c r="P73" t="s">
        <v>487</v>
      </c>
      <c r="Q73" s="38"/>
      <c r="R73" s="38"/>
      <c r="S73" s="37">
        <f t="shared" si="7"/>
        <v>-9.0582348155327512</v>
      </c>
      <c r="T73" s="38">
        <f t="shared" si="10"/>
        <v>7798</v>
      </c>
      <c r="U73" s="38">
        <f t="shared" si="11"/>
        <v>7633</v>
      </c>
      <c r="V73" s="38">
        <f t="shared" si="11"/>
        <v>7712.183</v>
      </c>
      <c r="W73" t="s">
        <v>487</v>
      </c>
      <c r="X73" s="37">
        <f t="shared" si="9"/>
        <v>5.2718375499334114</v>
      </c>
      <c r="Y73" s="2">
        <f t="shared" si="8"/>
        <v>-1.1005001282380134E-2</v>
      </c>
      <c r="Z73" s="37">
        <f t="shared" si="12"/>
        <v>1.0373771780427035</v>
      </c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</row>
    <row r="74" spans="1:80" x14ac:dyDescent="0.25">
      <c r="A74" t="s">
        <v>486</v>
      </c>
      <c r="B74" s="38">
        <v>320</v>
      </c>
      <c r="C74" s="38">
        <v>364</v>
      </c>
      <c r="D74" s="38">
        <v>247</v>
      </c>
      <c r="E74" s="38">
        <v>511</v>
      </c>
      <c r="F74" s="38">
        <v>312</v>
      </c>
      <c r="G74" s="38">
        <v>374</v>
      </c>
      <c r="H74" s="38">
        <v>279</v>
      </c>
      <c r="I74" s="104">
        <v>566</v>
      </c>
      <c r="J74" s="38">
        <v>306</v>
      </c>
      <c r="K74" s="38">
        <v>359</v>
      </c>
      <c r="L74" s="38">
        <v>237</v>
      </c>
      <c r="M74" s="104">
        <v>513</v>
      </c>
      <c r="N74" s="38">
        <v>306.88</v>
      </c>
      <c r="O74" s="38"/>
      <c r="P74" t="s">
        <v>486</v>
      </c>
      <c r="Q74" s="38"/>
      <c r="R74" s="38"/>
      <c r="S74" s="37">
        <f t="shared" si="7"/>
        <v>-10.615731624084358</v>
      </c>
      <c r="T74" s="38">
        <f t="shared" si="10"/>
        <v>1525</v>
      </c>
      <c r="U74" s="38">
        <f t="shared" si="11"/>
        <v>1415</v>
      </c>
      <c r="V74" s="38">
        <f t="shared" si="11"/>
        <v>1415.88</v>
      </c>
      <c r="W74" t="s">
        <v>486</v>
      </c>
      <c r="X74" s="37">
        <f t="shared" si="9"/>
        <v>0.28758169934639533</v>
      </c>
      <c r="Y74" s="2">
        <f t="shared" si="8"/>
        <v>-7.1554098360655627E-2</v>
      </c>
      <c r="Z74" s="37">
        <f t="shared" si="12"/>
        <v>6.2190812720857025E-2</v>
      </c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</row>
    <row r="75" spans="1:80" x14ac:dyDescent="0.25">
      <c r="A75" t="s">
        <v>489</v>
      </c>
      <c r="B75" s="38">
        <v>2346</v>
      </c>
      <c r="C75" s="38">
        <v>1716</v>
      </c>
      <c r="D75" s="38">
        <v>1030</v>
      </c>
      <c r="E75" s="38">
        <v>1627</v>
      </c>
      <c r="F75" s="38">
        <v>2547</v>
      </c>
      <c r="G75" s="38">
        <v>1870</v>
      </c>
      <c r="H75" s="38">
        <v>1511</v>
      </c>
      <c r="I75" s="104">
        <v>2208</v>
      </c>
      <c r="J75" s="38">
        <v>2537</v>
      </c>
      <c r="K75" s="38">
        <v>1860</v>
      </c>
      <c r="L75" s="38">
        <v>1249</v>
      </c>
      <c r="M75" s="104">
        <v>2234</v>
      </c>
      <c r="N75" s="38">
        <v>2638.2550000000001</v>
      </c>
      <c r="O75" s="38"/>
      <c r="P75" t="s">
        <v>489</v>
      </c>
      <c r="Q75" s="38"/>
      <c r="R75" s="38"/>
      <c r="S75" s="37">
        <f t="shared" si="7"/>
        <v>-0.21982632504493615</v>
      </c>
      <c r="T75" s="38">
        <f t="shared" si="10"/>
        <v>8126</v>
      </c>
      <c r="U75" s="38">
        <f t="shared" si="11"/>
        <v>7880</v>
      </c>
      <c r="V75" s="38">
        <f t="shared" si="11"/>
        <v>7981.2550000000001</v>
      </c>
      <c r="W75" t="s">
        <v>489</v>
      </c>
      <c r="X75" s="37">
        <f t="shared" si="9"/>
        <v>3.9911312573906121</v>
      </c>
      <c r="Y75" s="2">
        <f t="shared" si="8"/>
        <v>-1.78125769136106E-2</v>
      </c>
      <c r="Z75" s="37">
        <f t="shared" si="12"/>
        <v>1.2849619289340097</v>
      </c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  <c r="BZ75" s="38"/>
      <c r="CA75" s="38"/>
      <c r="CB75" s="38"/>
    </row>
    <row r="76" spans="1:80" x14ac:dyDescent="0.25">
      <c r="A76" t="s">
        <v>490</v>
      </c>
      <c r="B76" s="38">
        <v>1926</v>
      </c>
      <c r="C76" s="38">
        <v>1861</v>
      </c>
      <c r="D76" s="38">
        <v>1598</v>
      </c>
      <c r="E76" s="38">
        <v>2603</v>
      </c>
      <c r="F76" s="38">
        <v>2042</v>
      </c>
      <c r="G76" s="38">
        <v>1982</v>
      </c>
      <c r="H76" s="38">
        <v>2175</v>
      </c>
      <c r="I76" s="104">
        <v>3130</v>
      </c>
      <c r="J76" s="38">
        <v>2122</v>
      </c>
      <c r="K76" s="38">
        <v>2153</v>
      </c>
      <c r="L76" s="38">
        <v>2130</v>
      </c>
      <c r="M76" s="104">
        <v>3123</v>
      </c>
      <c r="N76" s="38">
        <v>2207.1880000000001</v>
      </c>
      <c r="O76" s="38"/>
      <c r="P76" t="s">
        <v>490</v>
      </c>
      <c r="Q76" s="38"/>
      <c r="R76" s="38"/>
      <c r="S76" s="37">
        <f t="shared" si="7"/>
        <v>-1.6016530599933576</v>
      </c>
      <c r="T76" s="38">
        <f t="shared" si="10"/>
        <v>9409</v>
      </c>
      <c r="U76" s="38">
        <f t="shared" si="11"/>
        <v>9528</v>
      </c>
      <c r="V76" s="38">
        <f t="shared" si="11"/>
        <v>9613.1880000000001</v>
      </c>
      <c r="W76" t="s">
        <v>490</v>
      </c>
      <c r="X76" s="37">
        <f t="shared" si="9"/>
        <v>4.0145146088595762</v>
      </c>
      <c r="Y76" s="2">
        <f t="shared" si="8"/>
        <v>2.1701349771495293E-2</v>
      </c>
      <c r="Z76" s="37">
        <f t="shared" si="12"/>
        <v>0.89408060453399685</v>
      </c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  <c r="BZ76" s="38"/>
      <c r="CA76" s="38"/>
      <c r="CB76" s="38"/>
    </row>
    <row r="77" spans="1:80" x14ac:dyDescent="0.25">
      <c r="A77" t="s">
        <v>492</v>
      </c>
      <c r="B77" s="38">
        <v>1153</v>
      </c>
      <c r="C77" s="38">
        <v>1164</v>
      </c>
      <c r="D77" s="38">
        <v>971</v>
      </c>
      <c r="E77" s="38">
        <v>1844</v>
      </c>
      <c r="F77" s="38">
        <v>1222</v>
      </c>
      <c r="G77" s="38">
        <v>1258</v>
      </c>
      <c r="H77" s="38">
        <v>1079</v>
      </c>
      <c r="I77" s="104">
        <v>1821</v>
      </c>
      <c r="J77" s="38">
        <v>1280</v>
      </c>
      <c r="K77" s="38">
        <v>1296</v>
      </c>
      <c r="L77" s="38">
        <v>1140</v>
      </c>
      <c r="M77" s="104">
        <v>1646</v>
      </c>
      <c r="N77" s="38">
        <v>1331.4829999999999</v>
      </c>
      <c r="O77" s="38"/>
      <c r="P77" t="s">
        <v>492</v>
      </c>
      <c r="Q77" s="38"/>
      <c r="R77" s="38"/>
      <c r="S77" s="37">
        <f t="shared" si="7"/>
        <v>-10.858478833508833</v>
      </c>
      <c r="T77" s="38">
        <f t="shared" si="10"/>
        <v>5438</v>
      </c>
      <c r="U77" s="38">
        <f t="shared" si="11"/>
        <v>5362</v>
      </c>
      <c r="V77" s="38">
        <f t="shared" si="11"/>
        <v>5413.4830000000002</v>
      </c>
      <c r="W77" t="s">
        <v>492</v>
      </c>
      <c r="X77" s="37">
        <f t="shared" si="9"/>
        <v>4.0221093750000048</v>
      </c>
      <c r="Y77" s="2">
        <f t="shared" si="8"/>
        <v>-4.5084589922765872E-3</v>
      </c>
      <c r="Z77" s="37">
        <f t="shared" si="12"/>
        <v>0.96014546810891943</v>
      </c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38"/>
    </row>
    <row r="78" spans="1:80" x14ac:dyDescent="0.25">
      <c r="A78" t="s">
        <v>491</v>
      </c>
      <c r="B78" s="38">
        <v>358</v>
      </c>
      <c r="C78" s="38">
        <v>366</v>
      </c>
      <c r="D78" s="38">
        <v>200</v>
      </c>
      <c r="E78" s="38">
        <v>576</v>
      </c>
      <c r="F78" s="38">
        <v>361</v>
      </c>
      <c r="G78" s="38">
        <v>473</v>
      </c>
      <c r="H78" s="38">
        <v>333</v>
      </c>
      <c r="I78" s="104">
        <v>589</v>
      </c>
      <c r="J78" s="38">
        <v>358</v>
      </c>
      <c r="K78" s="38">
        <v>443</v>
      </c>
      <c r="L78" s="38">
        <v>321</v>
      </c>
      <c r="M78" s="104">
        <v>543</v>
      </c>
      <c r="N78" s="38">
        <v>424.75299999999999</v>
      </c>
      <c r="O78" s="38"/>
      <c r="P78" t="s">
        <v>491</v>
      </c>
      <c r="Q78" s="38"/>
      <c r="R78" s="38"/>
      <c r="S78" s="37">
        <f t="shared" si="7"/>
        <v>-9.0830850381849011</v>
      </c>
      <c r="T78" s="38">
        <f t="shared" si="10"/>
        <v>1753</v>
      </c>
      <c r="U78" s="38">
        <f t="shared" si="11"/>
        <v>1665</v>
      </c>
      <c r="V78" s="38">
        <f t="shared" si="11"/>
        <v>1731.7529999999999</v>
      </c>
      <c r="W78" t="s">
        <v>491</v>
      </c>
      <c r="X78" s="37">
        <f t="shared" si="9"/>
        <v>18.646089385474852</v>
      </c>
      <c r="Y78" s="2">
        <f t="shared" si="8"/>
        <v>-1.2120365088419849E-2</v>
      </c>
      <c r="Z78" s="37">
        <f t="shared" si="12"/>
        <v>4.009189189189172</v>
      </c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  <c r="BA78" s="38"/>
      <c r="BB78" s="38"/>
      <c r="BC78" s="38"/>
      <c r="BD78" s="38"/>
      <c r="BE78" s="38"/>
      <c r="BF78" s="38"/>
      <c r="BG78" s="38"/>
      <c r="BH78" s="38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</row>
    <row r="79" spans="1:80" x14ac:dyDescent="0.25">
      <c r="A79" t="s">
        <v>493</v>
      </c>
      <c r="B79" s="38">
        <v>220</v>
      </c>
      <c r="C79" s="38">
        <v>215</v>
      </c>
      <c r="D79" s="38">
        <v>159</v>
      </c>
      <c r="E79" s="38">
        <v>306</v>
      </c>
      <c r="F79" s="38">
        <v>232</v>
      </c>
      <c r="G79" s="38">
        <v>247</v>
      </c>
      <c r="H79" s="38">
        <v>182</v>
      </c>
      <c r="I79" s="104">
        <v>385</v>
      </c>
      <c r="J79" s="38">
        <v>252</v>
      </c>
      <c r="K79" s="38">
        <v>248</v>
      </c>
      <c r="L79" s="38">
        <v>205</v>
      </c>
      <c r="M79" s="104">
        <v>358</v>
      </c>
      <c r="N79" s="38">
        <v>269.791</v>
      </c>
      <c r="O79" s="38"/>
      <c r="P79" t="s">
        <v>493</v>
      </c>
      <c r="Q79" s="38"/>
      <c r="R79" s="38"/>
      <c r="S79" s="37">
        <f t="shared" si="7"/>
        <v>-8.297230285435619</v>
      </c>
      <c r="T79" s="38">
        <f t="shared" si="10"/>
        <v>1066</v>
      </c>
      <c r="U79" s="38">
        <f t="shared" si="11"/>
        <v>1063</v>
      </c>
      <c r="V79" s="38">
        <f t="shared" si="11"/>
        <v>1080.7909999999999</v>
      </c>
      <c r="W79" t="s">
        <v>493</v>
      </c>
      <c r="X79" s="37">
        <f t="shared" si="9"/>
        <v>7.0599206349206245</v>
      </c>
      <c r="Y79" s="2">
        <f t="shared" si="8"/>
        <v>1.3875234521576019E-2</v>
      </c>
      <c r="Z79" s="37">
        <f t="shared" si="12"/>
        <v>1.6736594543744161</v>
      </c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  <c r="BA79" s="38"/>
      <c r="BB79" s="38"/>
      <c r="BC79" s="38"/>
      <c r="BD79" s="38"/>
      <c r="BE79" s="38"/>
      <c r="BF79" s="38"/>
      <c r="BG79" s="38"/>
      <c r="BH79" s="38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38"/>
    </row>
    <row r="80" spans="1:80" x14ac:dyDescent="0.25">
      <c r="A80" t="s">
        <v>474</v>
      </c>
      <c r="B80" s="38">
        <v>2568</v>
      </c>
      <c r="C80" s="38">
        <v>2687</v>
      </c>
      <c r="D80" s="38">
        <v>2278</v>
      </c>
      <c r="E80" s="38">
        <v>2850</v>
      </c>
      <c r="F80" s="38">
        <v>2688</v>
      </c>
      <c r="G80" s="38">
        <v>2797</v>
      </c>
      <c r="H80" s="38">
        <v>2403</v>
      </c>
      <c r="I80" s="104">
        <v>3179</v>
      </c>
      <c r="J80" s="38">
        <v>2763</v>
      </c>
      <c r="K80" s="38">
        <v>2834</v>
      </c>
      <c r="L80" s="38">
        <v>2147</v>
      </c>
      <c r="M80" s="104">
        <v>2646</v>
      </c>
      <c r="N80" s="38">
        <v>2401.88</v>
      </c>
      <c r="O80" s="38"/>
      <c r="P80" t="s">
        <v>474</v>
      </c>
      <c r="Q80" s="38"/>
      <c r="R80" s="38"/>
      <c r="S80" s="37">
        <f t="shared" si="7"/>
        <v>-17.915819303069657</v>
      </c>
      <c r="T80" s="38">
        <f t="shared" si="10"/>
        <v>11142</v>
      </c>
      <c r="U80" s="38">
        <f t="shared" si="11"/>
        <v>10390</v>
      </c>
      <c r="V80" s="38">
        <f t="shared" si="11"/>
        <v>10028.880000000001</v>
      </c>
      <c r="W80" t="s">
        <v>474</v>
      </c>
      <c r="X80" s="37">
        <f t="shared" si="9"/>
        <v>-13.069851610568218</v>
      </c>
      <c r="Y80" s="2">
        <f t="shared" si="8"/>
        <v>-9.9903069466881989E-2</v>
      </c>
      <c r="Z80" s="37">
        <f t="shared" si="12"/>
        <v>-3.4756496631376308</v>
      </c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  <c r="BA80" s="38"/>
      <c r="BB80" s="38"/>
      <c r="BC80" s="38"/>
      <c r="BD80" s="38"/>
      <c r="BE80" s="38"/>
      <c r="BF80" s="38"/>
      <c r="BG80" s="38"/>
      <c r="BH80" s="38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  <c r="BZ80" s="38"/>
      <c r="CA80" s="38"/>
      <c r="CB80" s="38"/>
    </row>
    <row r="81" spans="1:80" x14ac:dyDescent="0.25">
      <c r="A81" t="s">
        <v>473</v>
      </c>
      <c r="B81" s="38">
        <v>92</v>
      </c>
      <c r="C81" s="38">
        <v>80</v>
      </c>
      <c r="D81" s="38">
        <v>93</v>
      </c>
      <c r="E81" s="38">
        <v>168</v>
      </c>
      <c r="F81" s="38">
        <v>98</v>
      </c>
      <c r="G81" s="38">
        <v>105</v>
      </c>
      <c r="H81" s="38">
        <v>129</v>
      </c>
      <c r="I81" s="104">
        <v>311</v>
      </c>
      <c r="J81" s="38">
        <v>118</v>
      </c>
      <c r="K81" s="38">
        <v>86</v>
      </c>
      <c r="L81" s="38">
        <v>108</v>
      </c>
      <c r="M81" s="104">
        <v>187</v>
      </c>
      <c r="N81" s="38">
        <v>119.95099999999999</v>
      </c>
      <c r="O81" s="38"/>
      <c r="P81" t="s">
        <v>473</v>
      </c>
      <c r="Q81" s="38"/>
      <c r="R81" s="38"/>
      <c r="S81" s="37">
        <f t="shared" si="7"/>
        <v>-40.701818735741057</v>
      </c>
      <c r="T81" s="38">
        <f t="shared" si="10"/>
        <v>663</v>
      </c>
      <c r="U81" s="38">
        <f t="shared" si="11"/>
        <v>499</v>
      </c>
      <c r="V81" s="38">
        <f t="shared" si="11"/>
        <v>500.95100000000002</v>
      </c>
      <c r="W81" t="s">
        <v>473</v>
      </c>
      <c r="X81" s="37">
        <f t="shared" si="9"/>
        <v>1.6533898305084671</v>
      </c>
      <c r="Y81" s="2">
        <f t="shared" si="8"/>
        <v>-0.24441779788838613</v>
      </c>
      <c r="Z81" s="37">
        <f t="shared" si="12"/>
        <v>0.39098196392785667</v>
      </c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38"/>
      <c r="AX81" s="38"/>
      <c r="AY81" s="38"/>
      <c r="AZ81" s="38"/>
      <c r="BA81" s="38"/>
      <c r="BB81" s="38"/>
      <c r="BC81" s="38"/>
      <c r="BD81" s="38"/>
      <c r="BE81" s="38"/>
      <c r="BF81" s="38"/>
      <c r="BG81" s="38"/>
      <c r="BH81" s="38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  <c r="BZ81" s="38"/>
      <c r="CA81" s="38"/>
      <c r="CB81" s="38"/>
    </row>
    <row r="82" spans="1:80" x14ac:dyDescent="0.25">
      <c r="A82" t="s">
        <v>494</v>
      </c>
      <c r="B82" s="38">
        <v>440</v>
      </c>
      <c r="C82" s="38">
        <v>412</v>
      </c>
      <c r="D82" s="38">
        <v>375</v>
      </c>
      <c r="E82" s="38">
        <v>612</v>
      </c>
      <c r="F82" s="38">
        <v>475</v>
      </c>
      <c r="G82" s="38">
        <v>431</v>
      </c>
      <c r="H82" s="38">
        <v>379</v>
      </c>
      <c r="I82" s="104">
        <v>817</v>
      </c>
      <c r="J82" s="38">
        <v>485</v>
      </c>
      <c r="K82" s="38">
        <v>450</v>
      </c>
      <c r="L82" s="38">
        <v>506</v>
      </c>
      <c r="M82" s="104">
        <v>684</v>
      </c>
      <c r="N82" s="38">
        <v>535.07399999999996</v>
      </c>
      <c r="O82" s="38"/>
      <c r="P82" t="s">
        <v>494</v>
      </c>
      <c r="Q82" s="38"/>
      <c r="R82" s="38"/>
      <c r="S82" s="37">
        <f t="shared" si="7"/>
        <v>-17.435339207232548</v>
      </c>
      <c r="T82" s="38">
        <f t="shared" si="10"/>
        <v>2112</v>
      </c>
      <c r="U82" s="38">
        <f t="shared" si="11"/>
        <v>2125</v>
      </c>
      <c r="V82" s="38">
        <f t="shared" si="11"/>
        <v>2175.0740000000001</v>
      </c>
      <c r="W82" t="s">
        <v>494</v>
      </c>
      <c r="X82" s="37">
        <f t="shared" si="9"/>
        <v>10.324536082474211</v>
      </c>
      <c r="Y82" s="2">
        <f t="shared" si="8"/>
        <v>2.9864583333333306E-2</v>
      </c>
      <c r="Z82" s="37">
        <f t="shared" si="12"/>
        <v>2.3564235294117708</v>
      </c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  <c r="BA82" s="38"/>
      <c r="BB82" s="38"/>
      <c r="BC82" s="38"/>
      <c r="BD82" s="38"/>
      <c r="BE82" s="38"/>
      <c r="BF82" s="38"/>
      <c r="BG82" s="38"/>
      <c r="BH82" s="38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/>
    </row>
    <row r="83" spans="1:80" x14ac:dyDescent="0.25">
      <c r="A83" t="s">
        <v>496</v>
      </c>
      <c r="B83" s="38">
        <v>13</v>
      </c>
      <c r="C83" s="38">
        <v>3</v>
      </c>
      <c r="D83" s="38">
        <v>15</v>
      </c>
      <c r="E83" s="38">
        <v>50</v>
      </c>
      <c r="F83" s="38">
        <v>15</v>
      </c>
      <c r="G83" s="38">
        <v>8</v>
      </c>
      <c r="H83" s="38">
        <v>16</v>
      </c>
      <c r="I83" s="104">
        <v>59</v>
      </c>
      <c r="J83" s="38">
        <v>16</v>
      </c>
      <c r="K83" s="38">
        <v>6</v>
      </c>
      <c r="L83" s="38">
        <v>17</v>
      </c>
      <c r="M83" s="104">
        <v>55</v>
      </c>
      <c r="N83" s="38">
        <v>15.348000000000001</v>
      </c>
      <c r="O83" s="38"/>
      <c r="P83" t="s">
        <v>496</v>
      </c>
      <c r="Q83" s="38"/>
      <c r="R83" s="38"/>
      <c r="S83" s="37">
        <f t="shared" si="7"/>
        <v>-8.0671267538158897</v>
      </c>
      <c r="T83" s="38">
        <f t="shared" si="10"/>
        <v>99</v>
      </c>
      <c r="U83" s="38">
        <f t="shared" si="11"/>
        <v>94</v>
      </c>
      <c r="V83" s="38">
        <f t="shared" si="11"/>
        <v>93.347999999999999</v>
      </c>
      <c r="W83" t="s">
        <v>496</v>
      </c>
      <c r="X83" s="37">
        <f t="shared" si="9"/>
        <v>-4.0749999999999957</v>
      </c>
      <c r="Y83" s="2">
        <f t="shared" si="8"/>
        <v>-5.7090909090909081E-2</v>
      </c>
      <c r="Z83" s="37">
        <f t="shared" si="12"/>
        <v>-0.69361702127659441</v>
      </c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38"/>
      <c r="AM83" s="38"/>
      <c r="AN83" s="38"/>
      <c r="AO83" s="38"/>
      <c r="AP83" s="38"/>
      <c r="AQ83" s="38"/>
      <c r="AR83" s="38"/>
      <c r="AS83" s="38"/>
      <c r="AT83" s="38"/>
      <c r="AU83" s="38"/>
      <c r="AV83" s="38"/>
      <c r="AW83" s="38"/>
      <c r="AX83" s="38"/>
      <c r="AY83" s="38"/>
      <c r="AZ83" s="38"/>
      <c r="BA83" s="38"/>
      <c r="BB83" s="38"/>
      <c r="BC83" s="38"/>
      <c r="BD83" s="38"/>
      <c r="BE83" s="38"/>
      <c r="BF83" s="38"/>
      <c r="BG83" s="38"/>
      <c r="BH83" s="38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</row>
    <row r="84" spans="1:80" x14ac:dyDescent="0.25">
      <c r="A84" t="s">
        <v>497</v>
      </c>
      <c r="B84" s="38">
        <v>1743</v>
      </c>
      <c r="C84" s="38">
        <v>2384</v>
      </c>
      <c r="D84" s="38">
        <v>2696</v>
      </c>
      <c r="E84" s="38">
        <v>4306</v>
      </c>
      <c r="F84" s="38">
        <v>1807</v>
      </c>
      <c r="G84" s="38">
        <v>2551</v>
      </c>
      <c r="H84" s="38">
        <v>3052</v>
      </c>
      <c r="I84" s="104">
        <v>4699</v>
      </c>
      <c r="J84" s="38">
        <v>1945</v>
      </c>
      <c r="K84" s="38">
        <v>2612</v>
      </c>
      <c r="L84" s="38">
        <v>3083</v>
      </c>
      <c r="M84" s="104">
        <v>4333</v>
      </c>
      <c r="N84" s="38">
        <v>2106.0650000000001</v>
      </c>
      <c r="O84" s="38"/>
      <c r="P84" t="s">
        <v>497</v>
      </c>
      <c r="Q84" s="38"/>
      <c r="R84" s="38"/>
      <c r="S84" s="37">
        <f t="shared" si="7"/>
        <v>-9.0624185154782424</v>
      </c>
      <c r="T84" s="38">
        <f t="shared" si="10"/>
        <v>12247</v>
      </c>
      <c r="U84" s="38">
        <f t="shared" si="11"/>
        <v>11973</v>
      </c>
      <c r="V84" s="38">
        <f t="shared" si="11"/>
        <v>12134.065000000001</v>
      </c>
      <c r="W84" t="s">
        <v>497</v>
      </c>
      <c r="X84" s="37">
        <f t="shared" si="9"/>
        <v>8.2809768637532208</v>
      </c>
      <c r="Y84" s="2">
        <f t="shared" si="8"/>
        <v>-9.2214419857924446E-3</v>
      </c>
      <c r="Z84" s="37">
        <f t="shared" si="12"/>
        <v>1.3452351123360842</v>
      </c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K84" s="38"/>
      <c r="AL84" s="38"/>
      <c r="AM84" s="38"/>
      <c r="AN84" s="38"/>
      <c r="AO84" s="38"/>
      <c r="AP84" s="38"/>
      <c r="AQ84" s="38"/>
      <c r="AR84" s="38"/>
      <c r="AS84" s="38"/>
      <c r="AT84" s="38"/>
      <c r="AU84" s="38"/>
      <c r="AV84" s="38"/>
      <c r="AW84" s="38"/>
      <c r="AX84" s="38"/>
      <c r="AY84" s="38"/>
      <c r="AZ84" s="38"/>
      <c r="BA84" s="38"/>
      <c r="BB84" s="38"/>
      <c r="BC84" s="38"/>
      <c r="BD84" s="38"/>
      <c r="BE84" s="38"/>
      <c r="BF84" s="38"/>
      <c r="BG84" s="38"/>
      <c r="BH84" s="38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</row>
    <row r="85" spans="1:80" x14ac:dyDescent="0.25">
      <c r="A85" t="s">
        <v>472</v>
      </c>
      <c r="B85" s="38">
        <v>88</v>
      </c>
      <c r="C85" s="38">
        <v>314</v>
      </c>
      <c r="D85" s="38">
        <v>184</v>
      </c>
      <c r="E85" s="38">
        <v>328</v>
      </c>
      <c r="F85" s="38">
        <v>78</v>
      </c>
      <c r="G85" s="38">
        <v>551</v>
      </c>
      <c r="H85" s="38">
        <v>218</v>
      </c>
      <c r="I85" s="104">
        <v>347</v>
      </c>
      <c r="J85" s="38">
        <v>344</v>
      </c>
      <c r="K85" s="38">
        <v>353</v>
      </c>
      <c r="L85" s="38">
        <v>211</v>
      </c>
      <c r="M85" s="104">
        <v>391</v>
      </c>
      <c r="N85" s="38">
        <v>357.32499999999999</v>
      </c>
      <c r="O85" s="38"/>
      <c r="P85" t="s">
        <v>472</v>
      </c>
      <c r="Q85" s="38"/>
      <c r="R85" s="38"/>
      <c r="S85" s="37">
        <f t="shared" si="7"/>
        <v>11.123890642715285</v>
      </c>
      <c r="T85" s="38">
        <f t="shared" si="10"/>
        <v>1460</v>
      </c>
      <c r="U85" s="38">
        <f t="shared" si="11"/>
        <v>1299</v>
      </c>
      <c r="V85" s="38">
        <f t="shared" si="11"/>
        <v>1312.325</v>
      </c>
      <c r="W85" t="s">
        <v>472</v>
      </c>
      <c r="X85" s="37">
        <f t="shared" si="9"/>
        <v>3.8735465116279011</v>
      </c>
      <c r="Y85" s="2">
        <f t="shared" si="8"/>
        <v>-0.10114726027397258</v>
      </c>
      <c r="Z85" s="37">
        <f t="shared" si="12"/>
        <v>1.0257890685142428</v>
      </c>
      <c r="AA85" s="38"/>
      <c r="AB85" s="38"/>
      <c r="AC85" s="38"/>
      <c r="AD85" s="38"/>
      <c r="AE85" s="38"/>
      <c r="AF85" s="38"/>
      <c r="AG85" s="38"/>
      <c r="AH85" s="38"/>
      <c r="AI85" s="38"/>
      <c r="AJ85" s="38"/>
      <c r="AK85" s="38"/>
      <c r="AL85" s="38"/>
      <c r="AM85" s="38"/>
      <c r="AN85" s="38"/>
      <c r="AO85" s="38"/>
      <c r="AP85" s="38"/>
      <c r="AQ85" s="38"/>
      <c r="AR85" s="38"/>
      <c r="AS85" s="38"/>
      <c r="AT85" s="38"/>
      <c r="AU85" s="38"/>
      <c r="AV85" s="38"/>
      <c r="AW85" s="38"/>
      <c r="AX85" s="38"/>
      <c r="AY85" s="38"/>
      <c r="AZ85" s="38"/>
      <c r="BA85" s="38"/>
      <c r="BB85" s="38"/>
      <c r="BC85" s="38"/>
      <c r="BD85" s="38"/>
      <c r="BE85" s="38"/>
      <c r="BF85" s="38"/>
      <c r="BG85" s="38"/>
      <c r="BH85" s="38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</row>
    <row r="86" spans="1:80" x14ac:dyDescent="0.25">
      <c r="A86" t="s">
        <v>498</v>
      </c>
      <c r="B86" s="38">
        <v>8460</v>
      </c>
      <c r="C86" s="38">
        <v>7888</v>
      </c>
      <c r="D86" s="38">
        <v>11450</v>
      </c>
      <c r="E86" s="38">
        <v>10631</v>
      </c>
      <c r="F86" s="38">
        <v>8737</v>
      </c>
      <c r="G86" s="38">
        <v>8425</v>
      </c>
      <c r="H86" s="38">
        <v>12434</v>
      </c>
      <c r="I86" s="104">
        <v>12870</v>
      </c>
      <c r="J86" s="38">
        <v>8705</v>
      </c>
      <c r="K86" s="38">
        <v>8262</v>
      </c>
      <c r="L86" s="38">
        <v>12870</v>
      </c>
      <c r="M86" s="104">
        <v>11700</v>
      </c>
      <c r="N86" s="38">
        <v>9186.2780000000002</v>
      </c>
      <c r="O86" s="38"/>
      <c r="P86" t="s">
        <v>498</v>
      </c>
      <c r="Q86" s="38"/>
      <c r="R86" s="38"/>
      <c r="S86" s="37">
        <f t="shared" si="7"/>
        <v>-10.346454189671695</v>
      </c>
      <c r="T86" s="38">
        <f t="shared" si="10"/>
        <v>42434</v>
      </c>
      <c r="U86" s="38">
        <f t="shared" si="11"/>
        <v>41537</v>
      </c>
      <c r="V86" s="38">
        <f t="shared" si="11"/>
        <v>42018.277999999998</v>
      </c>
      <c r="W86" t="s">
        <v>498</v>
      </c>
      <c r="X86" s="37">
        <f t="shared" si="9"/>
        <v>5.5287535898908668</v>
      </c>
      <c r="Y86" s="2">
        <f t="shared" si="8"/>
        <v>-9.7969081396993563E-3</v>
      </c>
      <c r="Z86" s="37">
        <f t="shared" si="12"/>
        <v>1.1586729903459485</v>
      </c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38"/>
      <c r="AM86" s="38"/>
      <c r="AN86" s="38"/>
      <c r="AO86" s="38"/>
      <c r="AP86" s="38"/>
      <c r="AQ86" s="38"/>
      <c r="AR86" s="38"/>
      <c r="AS86" s="38"/>
      <c r="AT86" s="38"/>
      <c r="AU86" s="38"/>
      <c r="AV86" s="38"/>
      <c r="AW86" s="38"/>
      <c r="AX86" s="38"/>
      <c r="AY86" s="38"/>
      <c r="AZ86" s="38"/>
      <c r="BA86" s="38"/>
      <c r="BB86" s="38"/>
      <c r="BC86" s="38"/>
      <c r="BD86" s="38"/>
      <c r="BE86" s="38"/>
      <c r="BF86" s="38"/>
      <c r="BG86" s="38"/>
      <c r="BH86" s="38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</row>
    <row r="87" spans="1:80" x14ac:dyDescent="0.25">
      <c r="A87" t="s">
        <v>499</v>
      </c>
      <c r="B87" s="38">
        <v>2105</v>
      </c>
      <c r="C87" s="38">
        <v>2099</v>
      </c>
      <c r="D87" s="38">
        <v>1891</v>
      </c>
      <c r="E87" s="38">
        <v>3215</v>
      </c>
      <c r="F87" s="38">
        <v>2217</v>
      </c>
      <c r="G87" s="38">
        <v>2231</v>
      </c>
      <c r="H87" s="38">
        <v>2062</v>
      </c>
      <c r="I87" s="104">
        <v>3359</v>
      </c>
      <c r="J87" s="38">
        <v>2288</v>
      </c>
      <c r="K87" s="38">
        <v>2163</v>
      </c>
      <c r="L87" s="38">
        <v>1682</v>
      </c>
      <c r="M87" s="104">
        <v>2291</v>
      </c>
      <c r="N87" s="38">
        <v>2141.5920000000001</v>
      </c>
      <c r="O87" s="38"/>
      <c r="P87" t="s">
        <v>499</v>
      </c>
      <c r="Q87" s="38"/>
      <c r="R87" s="38"/>
      <c r="S87" s="37">
        <f t="shared" si="7"/>
        <v>-32.737153677699204</v>
      </c>
      <c r="T87" s="38">
        <f t="shared" si="10"/>
        <v>9940</v>
      </c>
      <c r="U87" s="38">
        <f t="shared" si="11"/>
        <v>8424</v>
      </c>
      <c r="V87" s="38">
        <f t="shared" si="11"/>
        <v>8277.5920000000006</v>
      </c>
      <c r="W87" t="s">
        <v>499</v>
      </c>
      <c r="X87" s="37">
        <f t="shared" si="9"/>
        <v>-6.3989510489510408</v>
      </c>
      <c r="Y87" s="2">
        <f t="shared" si="8"/>
        <v>-0.16724426559356131</v>
      </c>
      <c r="Z87" s="37">
        <f t="shared" si="12"/>
        <v>-1.7379867046533661</v>
      </c>
      <c r="AA87" s="38"/>
      <c r="AB87" s="38"/>
      <c r="AC87" s="38"/>
      <c r="AD87" s="38"/>
      <c r="AE87" s="38"/>
      <c r="AF87" s="38"/>
      <c r="AG87" s="38"/>
      <c r="AH87" s="38"/>
      <c r="AI87" s="38"/>
      <c r="AJ87" s="38"/>
      <c r="AK87" s="38"/>
      <c r="AL87" s="38"/>
      <c r="AM87" s="38"/>
      <c r="AN87" s="38"/>
      <c r="AO87" s="38"/>
      <c r="AP87" s="38"/>
      <c r="AQ87" s="38"/>
      <c r="AR87" s="38"/>
      <c r="AS87" s="38"/>
      <c r="AT87" s="38"/>
      <c r="AU87" s="38"/>
      <c r="AV87" s="38"/>
      <c r="AW87" s="38"/>
      <c r="AX87" s="38"/>
      <c r="AY87" s="38"/>
      <c r="AZ87" s="38"/>
      <c r="BA87" s="38"/>
      <c r="BB87" s="38"/>
      <c r="BC87" s="38"/>
      <c r="BD87" s="38"/>
      <c r="BE87" s="38"/>
      <c r="BF87" s="38"/>
      <c r="BG87" s="38"/>
      <c r="BH87" s="38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</row>
    <row r="88" spans="1:80" x14ac:dyDescent="0.25">
      <c r="A88" t="s">
        <v>500</v>
      </c>
      <c r="B88" s="38">
        <v>684</v>
      </c>
      <c r="C88" s="38">
        <v>702</v>
      </c>
      <c r="D88" s="38">
        <v>506</v>
      </c>
      <c r="E88" s="38">
        <v>883</v>
      </c>
      <c r="F88" s="38">
        <v>704</v>
      </c>
      <c r="G88" s="38">
        <v>749</v>
      </c>
      <c r="H88" s="38">
        <v>516</v>
      </c>
      <c r="I88" s="104">
        <v>947</v>
      </c>
      <c r="J88" s="38">
        <v>702</v>
      </c>
      <c r="K88" s="38">
        <v>741</v>
      </c>
      <c r="L88" s="38">
        <v>576</v>
      </c>
      <c r="M88" s="104">
        <v>943</v>
      </c>
      <c r="N88" s="38">
        <v>810.34400000000005</v>
      </c>
      <c r="O88" s="38"/>
      <c r="P88" t="s">
        <v>500</v>
      </c>
      <c r="Q88" s="38"/>
      <c r="R88" s="38"/>
      <c r="S88" s="37">
        <f t="shared" si="7"/>
        <v>-1.7976525141989996</v>
      </c>
      <c r="T88" s="38">
        <f t="shared" si="10"/>
        <v>2914</v>
      </c>
      <c r="U88" s="38">
        <f t="shared" si="11"/>
        <v>2962</v>
      </c>
      <c r="V88" s="38">
        <f t="shared" si="11"/>
        <v>3070.3440000000001</v>
      </c>
      <c r="W88" t="s">
        <v>500</v>
      </c>
      <c r="X88" s="37">
        <f t="shared" si="9"/>
        <v>15.43361823361824</v>
      </c>
      <c r="Y88" s="2">
        <f t="shared" si="8"/>
        <v>5.3652711050103052E-2</v>
      </c>
      <c r="Z88" s="37">
        <f t="shared" si="12"/>
        <v>3.6577987846049922</v>
      </c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  <c r="AM88" s="38"/>
      <c r="AN88" s="38"/>
      <c r="AO88" s="38"/>
      <c r="AP88" s="38"/>
      <c r="AQ88" s="38"/>
      <c r="AR88" s="38"/>
      <c r="AS88" s="38"/>
      <c r="AT88" s="38"/>
      <c r="AU88" s="38"/>
      <c r="AV88" s="38"/>
      <c r="AW88" s="38"/>
      <c r="AX88" s="38"/>
      <c r="AY88" s="38"/>
      <c r="AZ88" s="38"/>
      <c r="BA88" s="38"/>
      <c r="BB88" s="38"/>
      <c r="BC88" s="38"/>
      <c r="BD88" s="38"/>
      <c r="BE88" s="38"/>
      <c r="BF88" s="38"/>
      <c r="BG88" s="38"/>
      <c r="BH88" s="38"/>
      <c r="BI88" s="38"/>
      <c r="BJ88" s="38"/>
      <c r="BK88" s="38"/>
      <c r="BL88" s="38"/>
      <c r="BM88" s="38"/>
      <c r="BN88" s="38"/>
      <c r="BO88" s="38"/>
      <c r="BP88" s="38"/>
      <c r="BQ88" s="38"/>
      <c r="BR88" s="38"/>
      <c r="BS88" s="38"/>
      <c r="BT88" s="38"/>
      <c r="BU88" s="38"/>
      <c r="BV88" s="38"/>
      <c r="BW88" s="38"/>
      <c r="BX88" s="38"/>
      <c r="BY88" s="38"/>
      <c r="BZ88" s="38"/>
      <c r="CA88" s="38"/>
      <c r="CB88" s="38"/>
    </row>
    <row r="89" spans="1:80" x14ac:dyDescent="0.25">
      <c r="A89" t="s">
        <v>501</v>
      </c>
      <c r="B89" s="38">
        <v>1451</v>
      </c>
      <c r="C89" s="38">
        <v>1403</v>
      </c>
      <c r="D89" s="38">
        <v>1134</v>
      </c>
      <c r="E89" s="38">
        <v>1837</v>
      </c>
      <c r="F89" s="38">
        <v>1538</v>
      </c>
      <c r="G89" s="38">
        <v>1558</v>
      </c>
      <c r="H89" s="38">
        <v>1350</v>
      </c>
      <c r="I89" s="104">
        <v>2186</v>
      </c>
      <c r="J89" s="38">
        <v>1599</v>
      </c>
      <c r="K89" s="38">
        <v>1568</v>
      </c>
      <c r="L89" s="38">
        <v>1364</v>
      </c>
      <c r="M89" s="104">
        <v>2016</v>
      </c>
      <c r="N89" s="38">
        <v>1636.3420000000001</v>
      </c>
      <c r="O89" s="38"/>
      <c r="P89" t="s">
        <v>501</v>
      </c>
      <c r="Q89" s="38"/>
      <c r="R89" s="38"/>
      <c r="S89" s="37">
        <f t="shared" si="7"/>
        <v>-9.0504559977200199</v>
      </c>
      <c r="T89" s="38">
        <f t="shared" si="10"/>
        <v>6693</v>
      </c>
      <c r="U89" s="38">
        <f t="shared" si="11"/>
        <v>6547</v>
      </c>
      <c r="V89" s="38">
        <f t="shared" si="11"/>
        <v>6584.3420000000006</v>
      </c>
      <c r="W89" t="s">
        <v>501</v>
      </c>
      <c r="X89" s="37">
        <f t="shared" si="9"/>
        <v>2.3353345841150785</v>
      </c>
      <c r="Y89" s="2">
        <f t="shared" si="8"/>
        <v>-1.6234573434931954E-2</v>
      </c>
      <c r="Z89" s="37">
        <f t="shared" si="12"/>
        <v>0.57036810753017164</v>
      </c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  <c r="AM89" s="38"/>
      <c r="AN89" s="38"/>
      <c r="AO89" s="38"/>
      <c r="AP89" s="38"/>
      <c r="AQ89" s="38"/>
      <c r="AR89" s="38"/>
      <c r="AS89" s="38"/>
      <c r="AT89" s="38"/>
      <c r="AU89" s="38"/>
      <c r="AV89" s="38"/>
      <c r="AW89" s="38"/>
      <c r="AX89" s="38"/>
      <c r="AY89" s="38"/>
      <c r="AZ89" s="38"/>
      <c r="BA89" s="38"/>
      <c r="BB89" s="38"/>
      <c r="BC89" s="38"/>
      <c r="BD89" s="38"/>
      <c r="BE89" s="38"/>
      <c r="BF89" s="38"/>
      <c r="BG89" s="38"/>
      <c r="BH89" s="38"/>
      <c r="BI89" s="38"/>
      <c r="BJ89" s="38"/>
      <c r="BK89" s="38"/>
      <c r="BL89" s="38"/>
      <c r="BM89" s="38"/>
      <c r="BN89" s="38"/>
      <c r="BO89" s="38"/>
      <c r="BP89" s="38"/>
      <c r="BQ89" s="38"/>
      <c r="BR89" s="38"/>
      <c r="BS89" s="38"/>
      <c r="BT89" s="38"/>
      <c r="BU89" s="38"/>
      <c r="BV89" s="38"/>
      <c r="BW89" s="38"/>
      <c r="BX89" s="38"/>
      <c r="BY89" s="38"/>
      <c r="BZ89" s="38"/>
      <c r="CA89" s="38"/>
      <c r="CB89" s="38"/>
    </row>
    <row r="90" spans="1:80" x14ac:dyDescent="0.25">
      <c r="A90" t="s">
        <v>502</v>
      </c>
      <c r="B90" s="38">
        <v>2236</v>
      </c>
      <c r="C90" s="38">
        <v>2237</v>
      </c>
      <c r="D90" s="38">
        <v>2352</v>
      </c>
      <c r="E90" s="38">
        <v>3275</v>
      </c>
      <c r="F90" s="38">
        <v>2342</v>
      </c>
      <c r="G90" s="38">
        <v>2330</v>
      </c>
      <c r="H90" s="38">
        <v>2516</v>
      </c>
      <c r="I90" s="104">
        <v>3583</v>
      </c>
      <c r="J90" s="38">
        <v>2407</v>
      </c>
      <c r="K90" s="38">
        <v>2372</v>
      </c>
      <c r="L90" s="38">
        <v>2565</v>
      </c>
      <c r="M90" s="104">
        <v>3459</v>
      </c>
      <c r="N90" s="38">
        <v>2475.3119999999999</v>
      </c>
      <c r="O90" s="38"/>
      <c r="P90" t="s">
        <v>502</v>
      </c>
      <c r="Q90" s="38"/>
      <c r="R90" s="38"/>
      <c r="S90" s="37">
        <f t="shared" si="7"/>
        <v>-4.7940897421942079</v>
      </c>
      <c r="T90" s="38">
        <f t="shared" si="10"/>
        <v>10836</v>
      </c>
      <c r="U90" s="38">
        <f t="shared" si="11"/>
        <v>10803</v>
      </c>
      <c r="V90" s="38">
        <f t="shared" si="11"/>
        <v>10871.312</v>
      </c>
      <c r="W90" t="s">
        <v>502</v>
      </c>
      <c r="X90" s="37">
        <f t="shared" si="9"/>
        <v>2.8380556709596938</v>
      </c>
      <c r="Y90" s="2">
        <f t="shared" si="8"/>
        <v>3.2587670727206586E-3</v>
      </c>
      <c r="Z90" s="37">
        <f t="shared" si="12"/>
        <v>0.63234286772193116</v>
      </c>
      <c r="AA90" s="38"/>
      <c r="AB90" s="38"/>
      <c r="AC90" s="38"/>
      <c r="AD90" s="38"/>
      <c r="AE90" s="38"/>
      <c r="AF90" s="38"/>
      <c r="AG90" s="38"/>
      <c r="AH90" s="38"/>
      <c r="AI90" s="38"/>
      <c r="AJ90" s="38"/>
      <c r="AK90" s="38"/>
      <c r="AL90" s="38"/>
      <c r="AM90" s="38"/>
      <c r="AN90" s="38"/>
      <c r="AO90" s="38"/>
      <c r="AP90" s="38"/>
      <c r="AQ90" s="38"/>
      <c r="AR90" s="38"/>
      <c r="AS90" s="38"/>
      <c r="AT90" s="38"/>
      <c r="AU90" s="38"/>
      <c r="AV90" s="38"/>
      <c r="AW90" s="38"/>
      <c r="AX90" s="38"/>
      <c r="AY90" s="38"/>
      <c r="AZ90" s="38"/>
      <c r="BA90" s="38"/>
      <c r="BB90" s="38"/>
      <c r="BC90" s="38"/>
      <c r="BD90" s="38"/>
      <c r="BE90" s="38"/>
      <c r="BF90" s="38"/>
      <c r="BG90" s="38"/>
      <c r="BH90" s="38"/>
      <c r="BI90" s="38"/>
      <c r="BJ90" s="38"/>
      <c r="BK90" s="38"/>
      <c r="BL90" s="38"/>
      <c r="BM90" s="38"/>
      <c r="BN90" s="38"/>
      <c r="BO90" s="38"/>
      <c r="BP90" s="38"/>
      <c r="BQ90" s="38"/>
      <c r="BR90" s="38"/>
      <c r="BS90" s="38"/>
      <c r="BT90" s="38"/>
      <c r="BU90" s="38"/>
      <c r="BV90" s="38"/>
      <c r="BW90" s="38"/>
      <c r="BX90" s="38"/>
      <c r="BY90" s="38"/>
      <c r="BZ90" s="38"/>
      <c r="CA90" s="38"/>
      <c r="CB90" s="38"/>
    </row>
    <row r="91" spans="1:80" x14ac:dyDescent="0.25">
      <c r="A91" t="s">
        <v>503</v>
      </c>
      <c r="B91" s="38">
        <v>270</v>
      </c>
      <c r="C91" s="38">
        <v>265</v>
      </c>
      <c r="D91" s="38">
        <v>202</v>
      </c>
      <c r="E91" s="38">
        <v>331</v>
      </c>
      <c r="F91" s="38">
        <v>267</v>
      </c>
      <c r="G91" s="38">
        <v>277</v>
      </c>
      <c r="H91" s="38">
        <v>189</v>
      </c>
      <c r="I91" s="104">
        <v>357</v>
      </c>
      <c r="J91" s="38">
        <v>278</v>
      </c>
      <c r="K91" s="38">
        <v>288</v>
      </c>
      <c r="L91" s="38">
        <v>194</v>
      </c>
      <c r="M91" s="104">
        <v>329</v>
      </c>
      <c r="N91" s="38">
        <v>268.55900000000003</v>
      </c>
      <c r="O91" s="38"/>
      <c r="P91" t="s">
        <v>503</v>
      </c>
      <c r="Q91" s="38"/>
      <c r="R91" s="38"/>
      <c r="S91" s="37">
        <f t="shared" si="7"/>
        <v>-9.1159153256083698</v>
      </c>
      <c r="T91" s="38">
        <f t="shared" si="10"/>
        <v>1101</v>
      </c>
      <c r="U91" s="38">
        <f t="shared" si="11"/>
        <v>1089</v>
      </c>
      <c r="V91" s="38">
        <f t="shared" si="11"/>
        <v>1079.559</v>
      </c>
      <c r="W91" t="s">
        <v>503</v>
      </c>
      <c r="X91" s="37">
        <f t="shared" si="9"/>
        <v>-3.3960431654676215</v>
      </c>
      <c r="Y91" s="2">
        <f t="shared" si="8"/>
        <v>-1.947411444141689E-2</v>
      </c>
      <c r="Z91" s="37">
        <f t="shared" si="12"/>
        <v>-0.86694214876033016</v>
      </c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  <c r="AM91" s="38"/>
      <c r="AN91" s="38"/>
      <c r="AO91" s="38"/>
      <c r="AP91" s="38"/>
      <c r="AQ91" s="38"/>
      <c r="AR91" s="38"/>
      <c r="AS91" s="38"/>
      <c r="AT91" s="38"/>
      <c r="AU91" s="38"/>
      <c r="AV91" s="38"/>
      <c r="AW91" s="38"/>
      <c r="AX91" s="38"/>
      <c r="AY91" s="38"/>
      <c r="AZ91" s="38"/>
      <c r="BA91" s="38"/>
      <c r="BB91" s="38"/>
      <c r="BC91" s="38"/>
      <c r="BD91" s="38"/>
      <c r="BE91" s="38"/>
      <c r="BF91" s="38"/>
      <c r="BG91" s="38"/>
      <c r="BH91" s="38"/>
      <c r="BI91" s="38"/>
      <c r="BJ91" s="38"/>
      <c r="BK91" s="38"/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V91" s="38"/>
      <c r="BW91" s="38"/>
      <c r="BX91" s="38"/>
      <c r="BY91" s="38"/>
      <c r="BZ91" s="38"/>
      <c r="CA91" s="38"/>
      <c r="CB91" s="38"/>
    </row>
    <row r="92" spans="1:80" x14ac:dyDescent="0.25">
      <c r="A92" t="s">
        <v>504</v>
      </c>
      <c r="B92" s="38">
        <v>490</v>
      </c>
      <c r="C92" s="38">
        <v>976</v>
      </c>
      <c r="D92" s="38">
        <v>243</v>
      </c>
      <c r="E92" s="38">
        <v>891</v>
      </c>
      <c r="F92" s="38">
        <v>1034</v>
      </c>
      <c r="G92" s="38">
        <v>1060</v>
      </c>
      <c r="H92" s="38">
        <v>321</v>
      </c>
      <c r="I92" s="104">
        <v>944</v>
      </c>
      <c r="J92" s="38">
        <v>1071</v>
      </c>
      <c r="K92" s="38">
        <v>1072</v>
      </c>
      <c r="L92" s="38">
        <v>325</v>
      </c>
      <c r="M92" s="104">
        <v>953</v>
      </c>
      <c r="N92" s="38">
        <v>1134.171</v>
      </c>
      <c r="O92" s="38"/>
      <c r="P92" t="s">
        <v>504</v>
      </c>
      <c r="Q92" s="38"/>
      <c r="R92" s="38"/>
      <c r="S92" s="37">
        <f t="shared" si="7"/>
        <v>-0.44087704134834205</v>
      </c>
      <c r="T92" s="38">
        <f t="shared" si="10"/>
        <v>3396</v>
      </c>
      <c r="U92" s="38">
        <f t="shared" si="11"/>
        <v>3421</v>
      </c>
      <c r="V92" s="38">
        <f t="shared" si="11"/>
        <v>3484.1710000000003</v>
      </c>
      <c r="W92" t="s">
        <v>504</v>
      </c>
      <c r="X92" s="37">
        <f t="shared" si="9"/>
        <v>5.8983193277311052</v>
      </c>
      <c r="Y92" s="2">
        <f t="shared" si="8"/>
        <v>2.5963191990577172E-2</v>
      </c>
      <c r="Z92" s="37">
        <f t="shared" si="12"/>
        <v>1.8465653317743431</v>
      </c>
      <c r="AA92" s="38"/>
      <c r="AB92" s="38"/>
      <c r="AC92" s="38"/>
      <c r="AD92" s="38"/>
      <c r="AE92" s="38"/>
      <c r="AF92" s="38"/>
      <c r="AG92" s="38"/>
      <c r="AH92" s="38"/>
      <c r="AI92" s="38"/>
      <c r="AJ92" s="38"/>
      <c r="AK92" s="38"/>
      <c r="AL92" s="38"/>
      <c r="AM92" s="38"/>
      <c r="AN92" s="38"/>
      <c r="AO92" s="38"/>
      <c r="AP92" s="38"/>
      <c r="AQ92" s="38"/>
      <c r="AR92" s="38"/>
      <c r="AS92" s="38"/>
      <c r="AT92" s="38"/>
      <c r="AU92" s="38"/>
      <c r="AV92" s="38"/>
      <c r="AW92" s="38"/>
      <c r="AX92" s="38"/>
      <c r="AY92" s="38"/>
      <c r="AZ92" s="38"/>
      <c r="BA92" s="38"/>
      <c r="BB92" s="38"/>
      <c r="BC92" s="38"/>
      <c r="BD92" s="38"/>
      <c r="BE92" s="38"/>
      <c r="BF92" s="38"/>
      <c r="BG92" s="38"/>
      <c r="BH92" s="38"/>
      <c r="BI92" s="38"/>
      <c r="BJ92" s="38"/>
      <c r="BK92" s="38"/>
      <c r="BL92" s="38"/>
      <c r="BM92" s="38"/>
      <c r="BN92" s="38"/>
      <c r="BO92" s="38"/>
      <c r="BP92" s="38"/>
      <c r="BQ92" s="38"/>
      <c r="BR92" s="38"/>
      <c r="BS92" s="38"/>
      <c r="BT92" s="38"/>
      <c r="BU92" s="38"/>
      <c r="BV92" s="38"/>
      <c r="BW92" s="38"/>
      <c r="BX92" s="38"/>
      <c r="BY92" s="38"/>
      <c r="BZ92" s="38"/>
      <c r="CA92" s="38"/>
      <c r="CB92" s="38"/>
    </row>
    <row r="93" spans="1:80" x14ac:dyDescent="0.25">
      <c r="A93" t="s">
        <v>506</v>
      </c>
      <c r="B93" s="38">
        <v>2</v>
      </c>
      <c r="C93" s="38">
        <v>5</v>
      </c>
      <c r="D93" s="38">
        <v>19</v>
      </c>
      <c r="E93" s="38">
        <v>156</v>
      </c>
      <c r="F93" s="38">
        <v>4</v>
      </c>
      <c r="G93" s="38">
        <v>10</v>
      </c>
      <c r="H93" s="38">
        <v>21</v>
      </c>
      <c r="I93" s="104">
        <v>227</v>
      </c>
      <c r="J93" s="38">
        <v>4</v>
      </c>
      <c r="K93" s="38">
        <v>6</v>
      </c>
      <c r="L93" s="38">
        <v>19</v>
      </c>
      <c r="M93" s="104">
        <v>210</v>
      </c>
      <c r="N93" s="38">
        <v>4.4939999999999998</v>
      </c>
      <c r="O93" s="38"/>
      <c r="P93" t="s">
        <v>506</v>
      </c>
      <c r="Q93" s="38"/>
      <c r="R93" s="38"/>
      <c r="S93" s="37">
        <f t="shared" si="7"/>
        <v>-8.7666560256130506</v>
      </c>
      <c r="T93" s="38">
        <f t="shared" si="10"/>
        <v>262</v>
      </c>
      <c r="U93" s="38">
        <f t="shared" si="11"/>
        <v>239</v>
      </c>
      <c r="V93" s="38">
        <f t="shared" si="11"/>
        <v>239.494</v>
      </c>
      <c r="W93" t="s">
        <v>506</v>
      </c>
      <c r="X93" s="37">
        <f t="shared" si="9"/>
        <v>12.349999999999994</v>
      </c>
      <c r="Y93" s="2">
        <f t="shared" si="8"/>
        <v>-8.5900763358778609E-2</v>
      </c>
      <c r="Z93" s="37">
        <f t="shared" si="12"/>
        <v>0.20669456066946168</v>
      </c>
      <c r="AA93" s="38"/>
      <c r="AB93" s="38"/>
      <c r="AC93" s="38"/>
      <c r="AD93" s="38"/>
      <c r="AE93" s="38"/>
      <c r="AF93" s="38"/>
      <c r="AG93" s="38"/>
      <c r="AH93" s="38"/>
      <c r="AI93" s="38"/>
      <c r="AJ93" s="38"/>
      <c r="AK93" s="38"/>
      <c r="AL93" s="38"/>
      <c r="AM93" s="38"/>
      <c r="AN93" s="38"/>
      <c r="AO93" s="38"/>
      <c r="AP93" s="38"/>
      <c r="AQ93" s="38"/>
      <c r="AR93" s="38"/>
      <c r="AS93" s="38"/>
      <c r="AT93" s="38"/>
      <c r="AU93" s="38"/>
      <c r="AV93" s="38"/>
      <c r="AW93" s="38"/>
      <c r="AX93" s="38"/>
      <c r="AY93" s="38"/>
      <c r="AZ93" s="38"/>
      <c r="BA93" s="38"/>
      <c r="BB93" s="38"/>
      <c r="BC93" s="38"/>
      <c r="BD93" s="38"/>
      <c r="BE93" s="38"/>
      <c r="BF93" s="38"/>
      <c r="BG93" s="38"/>
      <c r="BH93" s="38"/>
      <c r="BI93" s="38"/>
      <c r="BJ93" s="38"/>
      <c r="BK93" s="38"/>
      <c r="BL93" s="38"/>
      <c r="BM93" s="38"/>
      <c r="BN93" s="38"/>
      <c r="BO93" s="38"/>
      <c r="BP93" s="38"/>
      <c r="BQ93" s="38"/>
      <c r="BR93" s="38"/>
      <c r="BS93" s="38"/>
      <c r="BT93" s="38"/>
      <c r="BU93" s="38"/>
      <c r="BV93" s="38"/>
      <c r="BW93" s="38"/>
      <c r="BX93" s="38"/>
      <c r="BY93" s="38"/>
      <c r="BZ93" s="38"/>
      <c r="CA93" s="38"/>
      <c r="CB93" s="38"/>
    </row>
    <row r="94" spans="1:80" x14ac:dyDescent="0.25">
      <c r="A94" t="s">
        <v>508</v>
      </c>
      <c r="B94" s="38">
        <v>538</v>
      </c>
      <c r="C94" s="38">
        <v>574</v>
      </c>
      <c r="D94" s="38">
        <v>491</v>
      </c>
      <c r="E94" s="38">
        <v>863</v>
      </c>
      <c r="F94" s="38">
        <v>592</v>
      </c>
      <c r="G94" s="38">
        <v>686</v>
      </c>
      <c r="H94" s="38">
        <v>489</v>
      </c>
      <c r="I94" s="104">
        <v>1085</v>
      </c>
      <c r="J94" s="38">
        <v>611</v>
      </c>
      <c r="K94" s="38">
        <v>728</v>
      </c>
      <c r="L94" s="38">
        <v>550</v>
      </c>
      <c r="M94" s="104">
        <v>992</v>
      </c>
      <c r="N94" s="38">
        <v>631.83100000000002</v>
      </c>
      <c r="O94" s="38"/>
      <c r="P94" t="s">
        <v>508</v>
      </c>
      <c r="Q94" s="38"/>
      <c r="R94" s="38"/>
      <c r="S94" s="37">
        <f t="shared" si="7"/>
        <v>-9.8341482136126821</v>
      </c>
      <c r="T94" s="38">
        <f t="shared" si="10"/>
        <v>2871</v>
      </c>
      <c r="U94" s="38">
        <f t="shared" si="11"/>
        <v>2881</v>
      </c>
      <c r="V94" s="38">
        <f t="shared" si="11"/>
        <v>2901.8310000000001</v>
      </c>
      <c r="W94" t="s">
        <v>508</v>
      </c>
      <c r="X94" s="37">
        <f t="shared" si="9"/>
        <v>3.4093289689034467</v>
      </c>
      <c r="Y94" s="2">
        <f t="shared" si="8"/>
        <v>1.0738766980146419E-2</v>
      </c>
      <c r="Z94" s="37">
        <f t="shared" si="12"/>
        <v>0.72304755293302492</v>
      </c>
      <c r="AA94" s="38"/>
      <c r="AB94" s="38"/>
      <c r="AC94" s="38"/>
      <c r="AD94" s="38"/>
      <c r="AE94" s="38"/>
      <c r="AF94" s="38"/>
      <c r="AG94" s="38"/>
      <c r="AH94" s="38"/>
      <c r="AI94" s="38"/>
      <c r="AJ94" s="38"/>
      <c r="AK94" s="38"/>
      <c r="AL94" s="38"/>
      <c r="AM94" s="38"/>
      <c r="AN94" s="38"/>
      <c r="AO94" s="38"/>
      <c r="AP94" s="38"/>
      <c r="AQ94" s="38"/>
      <c r="AR94" s="38"/>
      <c r="AS94" s="38"/>
      <c r="AT94" s="38"/>
      <c r="AU94" s="38"/>
      <c r="AV94" s="38"/>
      <c r="AW94" s="38"/>
      <c r="AX94" s="38"/>
      <c r="AY94" s="38"/>
      <c r="AZ94" s="38"/>
      <c r="BA94" s="38"/>
      <c r="BB94" s="38"/>
      <c r="BC94" s="38"/>
      <c r="BD94" s="38"/>
      <c r="BE94" s="38"/>
      <c r="BF94" s="38"/>
      <c r="BG94" s="38"/>
      <c r="BH94" s="38"/>
      <c r="BI94" s="38"/>
      <c r="BJ94" s="38"/>
      <c r="BK94" s="38"/>
      <c r="BL94" s="38"/>
      <c r="BM94" s="38"/>
      <c r="BN94" s="38"/>
      <c r="BO94" s="38"/>
      <c r="BP94" s="38"/>
      <c r="BQ94" s="38"/>
      <c r="BR94" s="38"/>
      <c r="BS94" s="38"/>
      <c r="BT94" s="38"/>
      <c r="BU94" s="38"/>
      <c r="BV94" s="38"/>
      <c r="BW94" s="38"/>
      <c r="BX94" s="38"/>
      <c r="BY94" s="38"/>
      <c r="BZ94" s="38"/>
      <c r="CA94" s="38"/>
      <c r="CB94" s="38"/>
    </row>
    <row r="95" spans="1:80" x14ac:dyDescent="0.25">
      <c r="A95" t="s">
        <v>510</v>
      </c>
      <c r="B95" s="38">
        <v>2472</v>
      </c>
      <c r="C95" s="38">
        <v>2625</v>
      </c>
      <c r="D95" s="38">
        <v>2113</v>
      </c>
      <c r="E95" s="38">
        <v>3007</v>
      </c>
      <c r="F95" s="38">
        <v>2580</v>
      </c>
      <c r="G95" s="38">
        <v>2743</v>
      </c>
      <c r="H95" s="38">
        <v>2377</v>
      </c>
      <c r="I95" s="104">
        <v>3201</v>
      </c>
      <c r="J95" s="38">
        <v>2597</v>
      </c>
      <c r="K95" s="38">
        <v>2767</v>
      </c>
      <c r="L95" s="38">
        <v>2350</v>
      </c>
      <c r="M95" s="104">
        <v>3165</v>
      </c>
      <c r="N95" s="38">
        <v>2828.3609999999999</v>
      </c>
      <c r="O95" s="38"/>
      <c r="P95" t="s">
        <v>510</v>
      </c>
      <c r="Q95" s="38"/>
      <c r="R95" s="38"/>
      <c r="S95" s="37">
        <f t="shared" si="7"/>
        <v>-2.4902156392821007</v>
      </c>
      <c r="T95" s="38">
        <f t="shared" si="10"/>
        <v>10918</v>
      </c>
      <c r="U95" s="38">
        <f t="shared" si="11"/>
        <v>10879</v>
      </c>
      <c r="V95" s="38">
        <f t="shared" si="11"/>
        <v>11110.361000000001</v>
      </c>
      <c r="W95" t="s">
        <v>510</v>
      </c>
      <c r="X95" s="37">
        <f t="shared" si="9"/>
        <v>8.9087793608009225</v>
      </c>
      <c r="Y95" s="2">
        <f t="shared" si="8"/>
        <v>1.761870305916835E-2</v>
      </c>
      <c r="Z95" s="37">
        <f t="shared" si="12"/>
        <v>2.1266752458865597</v>
      </c>
      <c r="AA95" s="38"/>
      <c r="AB95" s="38"/>
      <c r="AC95" s="38"/>
      <c r="AD95" s="38"/>
      <c r="AE95" s="38"/>
      <c r="AF95" s="38"/>
      <c r="AG95" s="38"/>
      <c r="AH95" s="38"/>
      <c r="AI95" s="38"/>
      <c r="AJ95" s="38"/>
      <c r="AK95" s="38"/>
      <c r="AL95" s="38"/>
      <c r="AM95" s="38"/>
      <c r="AN95" s="38"/>
      <c r="AO95" s="38"/>
      <c r="AP95" s="38"/>
      <c r="AQ95" s="38"/>
      <c r="AR95" s="38"/>
      <c r="AS95" s="38"/>
      <c r="AT95" s="38"/>
      <c r="AU95" s="38"/>
      <c r="AV95" s="38"/>
      <c r="AW95" s="38"/>
      <c r="AX95" s="38"/>
      <c r="AY95" s="38"/>
      <c r="AZ95" s="38"/>
      <c r="BA95" s="38"/>
      <c r="BB95" s="38"/>
      <c r="BC95" s="38"/>
      <c r="BD95" s="38"/>
      <c r="BE95" s="38"/>
      <c r="BF95" s="38"/>
      <c r="BG95" s="38"/>
      <c r="BH95" s="38"/>
      <c r="BI95" s="38"/>
      <c r="BJ95" s="38"/>
      <c r="BK95" s="38"/>
      <c r="BL95" s="38"/>
      <c r="BM95" s="38"/>
      <c r="BN95" s="38"/>
      <c r="BO95" s="38"/>
      <c r="BP95" s="38"/>
      <c r="BQ95" s="38"/>
      <c r="BR95" s="38"/>
      <c r="BS95" s="38"/>
      <c r="BT95" s="38"/>
      <c r="BU95" s="38"/>
      <c r="BV95" s="38"/>
      <c r="BW95" s="38"/>
      <c r="BX95" s="38"/>
      <c r="BY95" s="38"/>
      <c r="BZ95" s="38"/>
      <c r="CA95" s="38"/>
      <c r="CB95" s="38"/>
    </row>
    <row r="96" spans="1:80" x14ac:dyDescent="0.25">
      <c r="A96" t="s">
        <v>509</v>
      </c>
      <c r="B96" s="38">
        <v>146</v>
      </c>
      <c r="C96" s="38">
        <v>139</v>
      </c>
      <c r="D96" s="38">
        <v>99</v>
      </c>
      <c r="E96" s="38">
        <v>215</v>
      </c>
      <c r="F96" s="38">
        <v>147</v>
      </c>
      <c r="G96" s="38">
        <v>148</v>
      </c>
      <c r="H96" s="38">
        <v>108</v>
      </c>
      <c r="I96" s="104">
        <v>260</v>
      </c>
      <c r="J96" s="38">
        <v>158</v>
      </c>
      <c r="K96" s="38">
        <v>164</v>
      </c>
      <c r="L96" s="38">
        <v>123</v>
      </c>
      <c r="M96" s="104">
        <v>230</v>
      </c>
      <c r="N96" s="38">
        <v>164.744</v>
      </c>
      <c r="O96" s="38"/>
      <c r="P96" t="s">
        <v>509</v>
      </c>
      <c r="Q96" s="38"/>
      <c r="R96" s="38"/>
      <c r="S96" s="37">
        <f t="shared" si="7"/>
        <v>-12.760203499949775</v>
      </c>
      <c r="T96" s="38">
        <f t="shared" si="10"/>
        <v>674</v>
      </c>
      <c r="U96" s="38">
        <f t="shared" si="11"/>
        <v>675</v>
      </c>
      <c r="V96" s="38">
        <f t="shared" si="11"/>
        <v>681.74400000000003</v>
      </c>
      <c r="W96" t="s">
        <v>509</v>
      </c>
      <c r="X96" s="37">
        <f t="shared" si="9"/>
        <v>4.2683544303797394</v>
      </c>
      <c r="Y96" s="2">
        <f t="shared" si="8"/>
        <v>1.1489614243323398E-2</v>
      </c>
      <c r="Z96" s="37">
        <f t="shared" si="12"/>
        <v>0.99911111111110529</v>
      </c>
      <c r="AA96" s="38"/>
      <c r="AB96" s="38"/>
      <c r="AC96" s="38"/>
      <c r="AD96" s="38"/>
      <c r="AE96" s="38"/>
      <c r="AF96" s="38"/>
      <c r="AG96" s="38"/>
      <c r="AH96" s="38"/>
      <c r="AI96" s="38"/>
      <c r="AJ96" s="38"/>
      <c r="AK96" s="38"/>
      <c r="AL96" s="38"/>
      <c r="AM96" s="38"/>
      <c r="AN96" s="38"/>
      <c r="AO96" s="38"/>
      <c r="AP96" s="38"/>
      <c r="AQ96" s="38"/>
      <c r="AR96" s="38"/>
      <c r="AS96" s="38"/>
      <c r="AT96" s="38"/>
      <c r="AU96" s="38"/>
      <c r="AV96" s="38"/>
      <c r="AW96" s="38"/>
      <c r="AX96" s="38"/>
      <c r="AY96" s="38"/>
      <c r="AZ96" s="38"/>
      <c r="BA96" s="38"/>
      <c r="BB96" s="38"/>
      <c r="BC96" s="38"/>
      <c r="BD96" s="38"/>
      <c r="BE96" s="38"/>
      <c r="BF96" s="38"/>
      <c r="BG96" s="38"/>
      <c r="BH96" s="38"/>
      <c r="BI96" s="38"/>
      <c r="BJ96" s="38"/>
      <c r="BK96" s="38"/>
      <c r="BL96" s="38"/>
      <c r="BM96" s="38"/>
      <c r="BN96" s="38"/>
      <c r="BO96" s="38"/>
      <c r="BP96" s="38"/>
      <c r="BQ96" s="38"/>
      <c r="BR96" s="38"/>
      <c r="BS96" s="38"/>
      <c r="BT96" s="38"/>
      <c r="BU96" s="38"/>
      <c r="BV96" s="38"/>
      <c r="BW96" s="38"/>
      <c r="BX96" s="38"/>
      <c r="BY96" s="38"/>
      <c r="BZ96" s="38"/>
      <c r="CA96" s="38"/>
      <c r="CB96" s="38"/>
    </row>
    <row r="97" spans="1:80" x14ac:dyDescent="0.25">
      <c r="A97" t="s">
        <v>513</v>
      </c>
      <c r="B97" s="38">
        <v>1468</v>
      </c>
      <c r="C97" s="38">
        <v>1701</v>
      </c>
      <c r="D97" s="38">
        <v>1051</v>
      </c>
      <c r="E97" s="38">
        <v>2543</v>
      </c>
      <c r="F97" s="38">
        <v>1414</v>
      </c>
      <c r="G97" s="38">
        <v>1956</v>
      </c>
      <c r="H97" s="38">
        <v>1106</v>
      </c>
      <c r="I97" s="104">
        <v>2753</v>
      </c>
      <c r="J97" s="38">
        <v>1595</v>
      </c>
      <c r="K97" s="38">
        <v>1853</v>
      </c>
      <c r="L97" s="38">
        <v>1289</v>
      </c>
      <c r="M97" s="104">
        <v>2057</v>
      </c>
      <c r="N97" s="38">
        <v>1498.7</v>
      </c>
      <c r="O97" s="38"/>
      <c r="P97" t="s">
        <v>513</v>
      </c>
      <c r="Q97" s="38"/>
      <c r="R97" s="38"/>
      <c r="S97" s="37">
        <f t="shared" si="7"/>
        <v>-26.313447836894355</v>
      </c>
      <c r="T97" s="38">
        <f t="shared" si="10"/>
        <v>7410</v>
      </c>
      <c r="U97" s="38">
        <f t="shared" si="11"/>
        <v>6794</v>
      </c>
      <c r="V97" s="38">
        <f t="shared" si="11"/>
        <v>6697.7</v>
      </c>
      <c r="W97" t="s">
        <v>513</v>
      </c>
      <c r="X97" s="37">
        <f t="shared" si="9"/>
        <v>-6.0376175548589313</v>
      </c>
      <c r="Y97" s="2">
        <f t="shared" si="8"/>
        <v>-9.6126855600539796E-2</v>
      </c>
      <c r="Z97" s="37">
        <f t="shared" si="12"/>
        <v>-1.4174271415955246</v>
      </c>
      <c r="AA97" s="38"/>
      <c r="AB97" s="38"/>
      <c r="AC97" s="38"/>
      <c r="AD97" s="38"/>
      <c r="AE97" s="38"/>
      <c r="AF97" s="38"/>
      <c r="AG97" s="38"/>
      <c r="AH97" s="38"/>
      <c r="AI97" s="38"/>
      <c r="AJ97" s="38"/>
      <c r="AK97" s="38"/>
      <c r="AL97" s="38"/>
      <c r="AM97" s="38"/>
      <c r="AN97" s="38"/>
      <c r="AO97" s="38"/>
      <c r="AP97" s="38"/>
      <c r="AQ97" s="38"/>
      <c r="AR97" s="38"/>
      <c r="AS97" s="38"/>
      <c r="AT97" s="38"/>
      <c r="AU97" s="38"/>
      <c r="AV97" s="38"/>
      <c r="AW97" s="38"/>
      <c r="AX97" s="38"/>
      <c r="AY97" s="38"/>
      <c r="AZ97" s="38"/>
      <c r="BA97" s="38"/>
      <c r="BB97" s="38"/>
      <c r="BC97" s="38"/>
      <c r="BD97" s="38"/>
      <c r="BE97" s="38"/>
      <c r="BF97" s="38"/>
      <c r="BG97" s="38"/>
      <c r="BH97" s="38"/>
      <c r="BI97" s="38"/>
      <c r="BJ97" s="38"/>
      <c r="BK97" s="38"/>
      <c r="BL97" s="38"/>
      <c r="BM97" s="38"/>
      <c r="BN97" s="38"/>
      <c r="BO97" s="38"/>
      <c r="BP97" s="38"/>
      <c r="BQ97" s="38"/>
      <c r="BR97" s="38"/>
      <c r="BS97" s="38"/>
      <c r="BT97" s="38"/>
      <c r="BU97" s="38"/>
      <c r="BV97" s="38"/>
      <c r="BW97" s="38"/>
      <c r="BX97" s="38"/>
      <c r="BY97" s="38"/>
      <c r="BZ97" s="38"/>
      <c r="CA97" s="38"/>
      <c r="CB97" s="38"/>
    </row>
    <row r="98" spans="1:80" x14ac:dyDescent="0.25">
      <c r="A98" t="s">
        <v>512</v>
      </c>
      <c r="B98" s="38">
        <v>390</v>
      </c>
      <c r="C98" s="38">
        <v>390</v>
      </c>
      <c r="D98" s="38">
        <v>384</v>
      </c>
      <c r="E98" s="38">
        <v>591</v>
      </c>
      <c r="F98" s="38">
        <v>434</v>
      </c>
      <c r="G98" s="38">
        <v>406</v>
      </c>
      <c r="H98" s="38">
        <v>365</v>
      </c>
      <c r="I98" s="104">
        <v>591</v>
      </c>
      <c r="J98" s="38">
        <v>415</v>
      </c>
      <c r="K98" s="38">
        <v>405</v>
      </c>
      <c r="L98" s="38">
        <v>375</v>
      </c>
      <c r="M98" s="104">
        <v>576</v>
      </c>
      <c r="N98" s="38">
        <v>431.21699999999998</v>
      </c>
      <c r="O98" s="38"/>
      <c r="P98" t="s">
        <v>512</v>
      </c>
      <c r="Q98" s="38"/>
      <c r="R98" s="38"/>
      <c r="S98" s="37">
        <f t="shared" si="7"/>
        <v>-3.8841173850693522</v>
      </c>
      <c r="T98" s="38">
        <f t="shared" si="10"/>
        <v>1777</v>
      </c>
      <c r="U98" s="38">
        <f t="shared" si="11"/>
        <v>1771</v>
      </c>
      <c r="V98" s="38">
        <f t="shared" si="11"/>
        <v>1787.2170000000001</v>
      </c>
      <c r="W98" t="s">
        <v>512</v>
      </c>
      <c r="X98" s="37">
        <f t="shared" si="9"/>
        <v>3.9077108433734908</v>
      </c>
      <c r="Y98" s="2">
        <f t="shared" si="8"/>
        <v>5.7495779403489156E-3</v>
      </c>
      <c r="Z98" s="37">
        <f t="shared" si="12"/>
        <v>0.91569734613213427</v>
      </c>
      <c r="AA98" s="38"/>
      <c r="AB98" s="38"/>
      <c r="AC98" s="38"/>
      <c r="AD98" s="38"/>
      <c r="AE98" s="38"/>
      <c r="AF98" s="38"/>
      <c r="AG98" s="38"/>
      <c r="AH98" s="38"/>
      <c r="AI98" s="38"/>
      <c r="AJ98" s="38"/>
      <c r="AK98" s="38"/>
      <c r="AL98" s="38"/>
      <c r="AM98" s="38"/>
      <c r="AN98" s="38"/>
      <c r="AO98" s="38"/>
      <c r="AP98" s="38"/>
      <c r="AQ98" s="38"/>
      <c r="AR98" s="38"/>
      <c r="AS98" s="38"/>
      <c r="AT98" s="38"/>
      <c r="AU98" s="38"/>
      <c r="AV98" s="38"/>
      <c r="AW98" s="38"/>
      <c r="AX98" s="38"/>
      <c r="AY98" s="38"/>
      <c r="AZ98" s="38"/>
      <c r="BA98" s="38"/>
      <c r="BB98" s="38"/>
      <c r="BC98" s="38"/>
      <c r="BD98" s="38"/>
      <c r="BE98" s="38"/>
      <c r="BF98" s="38"/>
      <c r="BG98" s="38"/>
      <c r="BH98" s="38"/>
      <c r="BI98" s="38"/>
      <c r="BJ98" s="38"/>
      <c r="BK98" s="38"/>
      <c r="BL98" s="38"/>
      <c r="BM98" s="38"/>
      <c r="BN98" s="38"/>
      <c r="BO98" s="38"/>
      <c r="BP98" s="38"/>
      <c r="BQ98" s="38"/>
      <c r="BR98" s="38"/>
      <c r="BS98" s="38"/>
      <c r="BT98" s="38"/>
      <c r="BU98" s="38"/>
      <c r="BV98" s="38"/>
      <c r="BW98" s="38"/>
      <c r="BX98" s="38"/>
      <c r="BY98" s="38"/>
      <c r="BZ98" s="38"/>
      <c r="CA98" s="38"/>
      <c r="CB98" s="38"/>
    </row>
    <row r="99" spans="1:80" x14ac:dyDescent="0.25">
      <c r="A99" t="s">
        <v>608</v>
      </c>
      <c r="B99" s="38">
        <v>61620</v>
      </c>
      <c r="C99" s="38">
        <v>63814</v>
      </c>
      <c r="D99" s="38">
        <v>61556</v>
      </c>
      <c r="E99" s="38">
        <v>88890</v>
      </c>
      <c r="F99" s="38">
        <v>64919</v>
      </c>
      <c r="G99" s="38">
        <v>70275</v>
      </c>
      <c r="H99" s="38">
        <v>73650</v>
      </c>
      <c r="I99" s="104">
        <v>105267</v>
      </c>
      <c r="J99" s="38">
        <v>68092</v>
      </c>
      <c r="K99" s="38">
        <v>70470</v>
      </c>
      <c r="L99" s="38">
        <v>72590</v>
      </c>
      <c r="M99" s="104">
        <v>98175</v>
      </c>
      <c r="N99" s="38">
        <v>70869.73</v>
      </c>
      <c r="O99" s="38"/>
      <c r="P99" t="s">
        <v>608</v>
      </c>
      <c r="Q99" s="38"/>
      <c r="R99" s="38"/>
      <c r="S99" s="37">
        <f t="shared" si="7"/>
        <v>-8.0252068936905285</v>
      </c>
      <c r="T99" s="38">
        <f t="shared" si="10"/>
        <v>317284</v>
      </c>
      <c r="U99" s="38">
        <f t="shared" si="11"/>
        <v>309327</v>
      </c>
      <c r="V99" s="38">
        <f t="shared" si="11"/>
        <v>312104.73</v>
      </c>
      <c r="W99" t="s">
        <v>608</v>
      </c>
      <c r="X99" s="37">
        <f t="shared" si="9"/>
        <v>4.0793779004875796</v>
      </c>
      <c r="Y99" s="2">
        <f t="shared" si="8"/>
        <v>-1.6323766720036326E-2</v>
      </c>
      <c r="Z99" s="37">
        <f t="shared" si="12"/>
        <v>0.89799144594555003</v>
      </c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</row>
    <row r="100" spans="1:80" s="98" customFormat="1" x14ac:dyDescent="0.25">
      <c r="A100" s="98" t="s">
        <v>699</v>
      </c>
      <c r="B100" s="96"/>
      <c r="C100" s="96"/>
      <c r="D100" s="96"/>
      <c r="E100" s="96"/>
      <c r="F100" s="96"/>
      <c r="G100" s="96"/>
      <c r="H100" s="96"/>
      <c r="I100" s="96"/>
      <c r="J100" s="96"/>
      <c r="K100" s="96"/>
      <c r="L100" s="96"/>
      <c r="M100" s="98" t="s">
        <v>699</v>
      </c>
      <c r="P100" s="96"/>
      <c r="Q100" s="96"/>
      <c r="R100" s="96"/>
      <c r="S100" s="96"/>
      <c r="T100" s="96"/>
      <c r="U100" s="96"/>
      <c r="V100" s="96"/>
      <c r="W100" s="98" t="s">
        <v>699</v>
      </c>
      <c r="X100" s="96"/>
      <c r="Y100" s="96"/>
      <c r="Z100" s="96"/>
      <c r="AA100" s="96"/>
      <c r="AB100" s="96"/>
      <c r="AC100" s="96"/>
      <c r="AD100" s="96"/>
      <c r="AE100" s="96"/>
      <c r="AF100" s="96"/>
      <c r="AG100" s="96"/>
      <c r="AH100" s="96"/>
      <c r="AI100" s="96"/>
      <c r="AJ100" s="96"/>
      <c r="AK100" s="96"/>
      <c r="AL100" s="96"/>
      <c r="AM100" s="96"/>
      <c r="AN100" s="96"/>
      <c r="AO100" s="96"/>
      <c r="AP100" s="96"/>
      <c r="AQ100" s="96"/>
      <c r="AR100" s="96"/>
      <c r="AS100" s="96"/>
      <c r="AT100" s="96"/>
      <c r="AU100" s="96"/>
      <c r="AV100" s="96"/>
      <c r="AW100" s="96"/>
      <c r="AX100" s="96"/>
      <c r="AY100" s="96"/>
      <c r="AZ100" s="96"/>
      <c r="BA100" s="96"/>
      <c r="BB100" s="96"/>
      <c r="BC100" s="96"/>
      <c r="BD100" s="96"/>
      <c r="BE100" s="96"/>
      <c r="BF100" s="96"/>
      <c r="BG100" s="96"/>
      <c r="BH100" s="96"/>
      <c r="BI100" s="96"/>
      <c r="BJ100" s="96"/>
      <c r="BK100" s="96"/>
      <c r="BL100" s="96"/>
      <c r="BM100" s="96"/>
      <c r="BN100" s="96"/>
      <c r="BO100" s="96"/>
      <c r="BP100" s="96"/>
      <c r="BQ100" s="96"/>
      <c r="BR100" s="96"/>
      <c r="BS100" s="96"/>
      <c r="BT100" s="96"/>
      <c r="BU100" s="96"/>
      <c r="BV100" s="96"/>
      <c r="BW100" s="96"/>
      <c r="BX100" s="96"/>
      <c r="BY100" s="96"/>
      <c r="BZ100" s="96"/>
      <c r="CA100" s="96"/>
      <c r="CB100" s="96"/>
    </row>
    <row r="101" spans="1:80" x14ac:dyDescent="0.25">
      <c r="A101" t="s">
        <v>466</v>
      </c>
      <c r="B101" s="38">
        <v>192</v>
      </c>
      <c r="C101" s="38">
        <v>137</v>
      </c>
      <c r="D101" s="38">
        <v>34</v>
      </c>
      <c r="E101" s="38">
        <v>308</v>
      </c>
      <c r="F101" s="38">
        <v>242</v>
      </c>
      <c r="G101" s="38">
        <v>90</v>
      </c>
      <c r="H101" s="38">
        <v>29</v>
      </c>
      <c r="I101" s="104">
        <v>273</v>
      </c>
      <c r="J101" s="38">
        <v>141</v>
      </c>
      <c r="K101" s="38">
        <v>84</v>
      </c>
      <c r="L101" s="38">
        <v>-28</v>
      </c>
      <c r="M101" s="104">
        <v>212</v>
      </c>
      <c r="N101" s="38">
        <v>154.84800000000001</v>
      </c>
      <c r="O101" s="38"/>
      <c r="P101" t="s">
        <v>466</v>
      </c>
      <c r="Q101" s="38"/>
      <c r="R101" s="38"/>
      <c r="S101" s="37">
        <f t="shared" ref="S101:S148" si="13">(M101/(I101*$X$5)-1)*100</f>
        <v>-23.416824604510765</v>
      </c>
      <c r="T101" s="38">
        <f t="shared" si="10"/>
        <v>533</v>
      </c>
      <c r="U101" s="38">
        <f t="shared" si="11"/>
        <v>409</v>
      </c>
      <c r="V101" s="38">
        <f t="shared" si="11"/>
        <v>422.84800000000001</v>
      </c>
      <c r="W101" t="s">
        <v>466</v>
      </c>
      <c r="X101" s="37">
        <f t="shared" ref="X101:X148" si="14">(M101/I101-1)*100</f>
        <v>-22.344322344322343</v>
      </c>
      <c r="Y101" s="2">
        <f t="shared" ref="Y101:Y148" si="15">+V101/T101-1</f>
        <v>-0.20666416510318952</v>
      </c>
      <c r="Z101" s="37">
        <f t="shared" si="12"/>
        <v>3.3858190709046454</v>
      </c>
      <c r="AA101" s="38"/>
      <c r="AB101" s="38"/>
      <c r="AC101" s="38"/>
      <c r="AD101" s="38"/>
      <c r="AE101" s="38"/>
      <c r="AF101" s="38"/>
      <c r="AG101" s="38"/>
      <c r="AH101" s="38"/>
      <c r="AI101" s="38"/>
      <c r="AJ101" s="38"/>
      <c r="AK101" s="38"/>
      <c r="AL101" s="38"/>
      <c r="AM101" s="38"/>
      <c r="AN101" s="38"/>
      <c r="AO101" s="38"/>
      <c r="AP101" s="38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  <c r="BA101" s="38"/>
      <c r="BB101" s="38"/>
      <c r="BC101" s="38"/>
      <c r="BD101" s="38"/>
      <c r="BE101" s="38"/>
      <c r="BF101" s="38"/>
      <c r="BG101" s="38"/>
      <c r="BH101" s="38"/>
      <c r="BI101" s="38"/>
      <c r="BJ101" s="38"/>
      <c r="BK101" s="38"/>
      <c r="BL101" s="38"/>
      <c r="BM101" s="38"/>
      <c r="BN101" s="38"/>
      <c r="BO101" s="38"/>
      <c r="BP101" s="38"/>
      <c r="BQ101" s="38"/>
      <c r="BR101" s="38"/>
      <c r="BS101" s="38"/>
      <c r="BT101" s="38"/>
      <c r="BU101" s="38"/>
      <c r="BV101" s="38"/>
      <c r="BW101" s="38"/>
      <c r="BX101" s="38"/>
      <c r="BY101" s="38"/>
      <c r="BZ101" s="38"/>
      <c r="CA101" s="38"/>
      <c r="CB101" s="38"/>
    </row>
    <row r="102" spans="1:80" x14ac:dyDescent="0.25">
      <c r="A102" t="s">
        <v>465</v>
      </c>
      <c r="B102" s="38">
        <v>47</v>
      </c>
      <c r="C102" s="38">
        <v>99</v>
      </c>
      <c r="D102" s="38">
        <v>99</v>
      </c>
      <c r="E102" s="38">
        <v>139</v>
      </c>
      <c r="F102" s="38">
        <v>76</v>
      </c>
      <c r="G102" s="38">
        <v>68</v>
      </c>
      <c r="H102" s="38">
        <v>107</v>
      </c>
      <c r="I102" s="104">
        <v>146</v>
      </c>
      <c r="J102" s="38">
        <v>60</v>
      </c>
      <c r="K102" s="38">
        <v>74</v>
      </c>
      <c r="L102" s="38">
        <v>74</v>
      </c>
      <c r="M102" s="104">
        <v>158</v>
      </c>
      <c r="N102" s="38">
        <v>99.215999999999994</v>
      </c>
      <c r="O102" s="38"/>
      <c r="P102" t="s">
        <v>465</v>
      </c>
      <c r="Q102" s="38"/>
      <c r="R102" s="38"/>
      <c r="S102" s="37">
        <f t="shared" si="13"/>
        <v>6.7245634372264274</v>
      </c>
      <c r="T102" s="38">
        <f t="shared" si="10"/>
        <v>381</v>
      </c>
      <c r="U102" s="38">
        <f t="shared" si="11"/>
        <v>366</v>
      </c>
      <c r="V102" s="38">
        <f t="shared" si="11"/>
        <v>405.21600000000001</v>
      </c>
      <c r="W102" t="s">
        <v>465</v>
      </c>
      <c r="X102" s="37">
        <f t="shared" si="14"/>
        <v>8.2191780821917924</v>
      </c>
      <c r="Y102" s="2">
        <f t="shared" si="15"/>
        <v>6.3559055118110219E-2</v>
      </c>
      <c r="Z102" s="37">
        <f t="shared" si="12"/>
        <v>10.714754098360672</v>
      </c>
      <c r="AA102" s="38"/>
      <c r="AB102" s="38"/>
      <c r="AC102" s="38"/>
      <c r="AD102" s="38"/>
      <c r="AE102" s="38"/>
      <c r="AF102" s="38"/>
      <c r="AG102" s="38"/>
      <c r="AH102" s="38"/>
      <c r="AI102" s="38"/>
      <c r="AJ102" s="38"/>
      <c r="AK102" s="38"/>
      <c r="AL102" s="38"/>
      <c r="AM102" s="38"/>
      <c r="AN102" s="38"/>
      <c r="AO102" s="38"/>
      <c r="AP102" s="38"/>
      <c r="AQ102" s="38"/>
      <c r="AR102" s="38"/>
      <c r="AS102" s="38"/>
      <c r="AT102" s="38"/>
      <c r="AU102" s="38"/>
      <c r="AV102" s="38"/>
      <c r="AW102" s="38"/>
      <c r="AX102" s="38"/>
      <c r="AY102" s="38"/>
      <c r="AZ102" s="38"/>
      <c r="BA102" s="38"/>
      <c r="BB102" s="38"/>
      <c r="BC102" s="38"/>
      <c r="BD102" s="38"/>
      <c r="BE102" s="38"/>
      <c r="BF102" s="38"/>
      <c r="BG102" s="38"/>
      <c r="BH102" s="38"/>
      <c r="BI102" s="38"/>
      <c r="BJ102" s="38"/>
      <c r="BK102" s="38"/>
      <c r="BL102" s="38"/>
      <c r="BM102" s="38"/>
      <c r="BN102" s="38"/>
      <c r="BO102" s="38"/>
      <c r="BP102" s="38"/>
      <c r="BQ102" s="38"/>
      <c r="BR102" s="38"/>
      <c r="BS102" s="38"/>
      <c r="BT102" s="38"/>
      <c r="BU102" s="38"/>
      <c r="BV102" s="38"/>
      <c r="BW102" s="38"/>
      <c r="BX102" s="38"/>
      <c r="BY102" s="38"/>
      <c r="BZ102" s="38"/>
      <c r="CA102" s="38"/>
      <c r="CB102" s="38"/>
    </row>
    <row r="103" spans="1:80" x14ac:dyDescent="0.25">
      <c r="A103" t="s">
        <v>475</v>
      </c>
      <c r="B103" s="38">
        <v>103</v>
      </c>
      <c r="C103" s="38">
        <v>70</v>
      </c>
      <c r="D103" s="38">
        <v>89</v>
      </c>
      <c r="E103" s="38">
        <v>142</v>
      </c>
      <c r="F103" s="38">
        <v>96</v>
      </c>
      <c r="G103" s="38">
        <v>71</v>
      </c>
      <c r="H103" s="38">
        <v>103</v>
      </c>
      <c r="I103" s="104">
        <v>133</v>
      </c>
      <c r="J103" s="38">
        <v>110</v>
      </c>
      <c r="K103" s="38">
        <v>68</v>
      </c>
      <c r="L103" s="38">
        <v>99</v>
      </c>
      <c r="M103" s="104">
        <v>122</v>
      </c>
      <c r="N103" s="38">
        <v>105.18300000000001</v>
      </c>
      <c r="O103" s="38"/>
      <c r="P103" t="s">
        <v>475</v>
      </c>
      <c r="Q103" s="38"/>
      <c r="R103" s="38"/>
      <c r="S103" s="37">
        <f t="shared" si="13"/>
        <v>-9.5375500169469376</v>
      </c>
      <c r="T103" s="38">
        <f t="shared" si="10"/>
        <v>417</v>
      </c>
      <c r="U103" s="38">
        <f t="shared" si="11"/>
        <v>399</v>
      </c>
      <c r="V103" s="38">
        <f t="shared" si="11"/>
        <v>394.18299999999999</v>
      </c>
      <c r="W103" t="s">
        <v>475</v>
      </c>
      <c r="X103" s="37">
        <f t="shared" si="14"/>
        <v>-8.270676691729328</v>
      </c>
      <c r="Y103" s="2">
        <f t="shared" si="15"/>
        <v>-5.471702637889686E-2</v>
      </c>
      <c r="Z103" s="37">
        <f t="shared" si="12"/>
        <v>-1.2072681704260617</v>
      </c>
      <c r="AA103" s="38"/>
      <c r="AB103" s="38"/>
      <c r="AC103" s="38"/>
      <c r="AD103" s="38"/>
      <c r="AE103" s="38"/>
      <c r="AF103" s="38"/>
      <c r="AG103" s="38"/>
      <c r="AH103" s="38"/>
      <c r="AI103" s="38"/>
      <c r="AJ103" s="38"/>
      <c r="AK103" s="38"/>
      <c r="AL103" s="38"/>
      <c r="AM103" s="38"/>
      <c r="AN103" s="38"/>
      <c r="AO103" s="38"/>
      <c r="AP103" s="38"/>
      <c r="AQ103" s="38"/>
      <c r="AR103" s="38"/>
      <c r="AS103" s="38"/>
      <c r="AT103" s="38"/>
      <c r="AU103" s="38"/>
      <c r="AV103" s="38"/>
      <c r="AW103" s="38"/>
      <c r="AX103" s="38"/>
      <c r="AY103" s="38"/>
      <c r="AZ103" s="38"/>
      <c r="BA103" s="38"/>
      <c r="BB103" s="38"/>
      <c r="BC103" s="38"/>
      <c r="BD103" s="38"/>
      <c r="BE103" s="38"/>
      <c r="BF103" s="38"/>
      <c r="BG103" s="38"/>
      <c r="BH103" s="38"/>
      <c r="BI103" s="38"/>
      <c r="BJ103" s="38"/>
      <c r="BK103" s="38"/>
      <c r="BL103" s="38"/>
      <c r="BM103" s="38"/>
      <c r="BN103" s="38"/>
      <c r="BO103" s="38"/>
      <c r="BP103" s="38"/>
      <c r="BQ103" s="38"/>
      <c r="BR103" s="38"/>
      <c r="BS103" s="38"/>
      <c r="BT103" s="38"/>
      <c r="BU103" s="38"/>
      <c r="BV103" s="38"/>
      <c r="BW103" s="38"/>
      <c r="BX103" s="38"/>
      <c r="BY103" s="38"/>
      <c r="BZ103" s="38"/>
      <c r="CA103" s="38"/>
      <c r="CB103" s="38"/>
    </row>
    <row r="104" spans="1:80" x14ac:dyDescent="0.25">
      <c r="A104" t="s">
        <v>476</v>
      </c>
      <c r="B104" s="38">
        <v>177</v>
      </c>
      <c r="C104" s="38">
        <v>149</v>
      </c>
      <c r="D104" s="38">
        <v>111</v>
      </c>
      <c r="E104" s="38">
        <v>210</v>
      </c>
      <c r="F104" s="38">
        <v>176</v>
      </c>
      <c r="G104" s="38">
        <v>119</v>
      </c>
      <c r="H104" s="38">
        <v>109</v>
      </c>
      <c r="I104" s="104">
        <v>258</v>
      </c>
      <c r="J104" s="38">
        <v>134</v>
      </c>
      <c r="K104" s="38">
        <v>118</v>
      </c>
      <c r="L104" s="38">
        <v>110</v>
      </c>
      <c r="M104" s="104">
        <v>214</v>
      </c>
      <c r="N104" s="38">
        <v>144.178</v>
      </c>
      <c r="O104" s="38"/>
      <c r="P104" t="s">
        <v>476</v>
      </c>
      <c r="Q104" s="38"/>
      <c r="R104" s="38"/>
      <c r="S104" s="37">
        <f t="shared" si="13"/>
        <v>-18.199826807165575</v>
      </c>
      <c r="T104" s="38">
        <f t="shared" si="10"/>
        <v>620</v>
      </c>
      <c r="U104" s="38">
        <f t="shared" si="11"/>
        <v>576</v>
      </c>
      <c r="V104" s="38">
        <f t="shared" si="11"/>
        <v>586.178</v>
      </c>
      <c r="W104" t="s">
        <v>476</v>
      </c>
      <c r="X104" s="37">
        <f t="shared" si="14"/>
        <v>-17.054263565891471</v>
      </c>
      <c r="Y104" s="2">
        <f t="shared" si="15"/>
        <v>-5.4551612903225855E-2</v>
      </c>
      <c r="Z104" s="37">
        <f t="shared" si="12"/>
        <v>1.7670138888888971</v>
      </c>
      <c r="AA104" s="38"/>
      <c r="AB104" s="38"/>
      <c r="AC104" s="38"/>
      <c r="AD104" s="38"/>
      <c r="AE104" s="38"/>
      <c r="AF104" s="38"/>
      <c r="AG104" s="38"/>
      <c r="AH104" s="38"/>
      <c r="AI104" s="38"/>
      <c r="AJ104" s="38"/>
      <c r="AK104" s="38"/>
      <c r="AL104" s="38"/>
      <c r="AM104" s="38"/>
      <c r="AN104" s="38"/>
      <c r="AO104" s="38"/>
      <c r="AP104" s="38"/>
      <c r="AQ104" s="38"/>
      <c r="AR104" s="38"/>
      <c r="AS104" s="38"/>
      <c r="AT104" s="38"/>
      <c r="AU104" s="38"/>
      <c r="AV104" s="38"/>
      <c r="AW104" s="38"/>
      <c r="AX104" s="38"/>
      <c r="AY104" s="38"/>
      <c r="AZ104" s="38"/>
      <c r="BA104" s="38"/>
      <c r="BB104" s="38"/>
      <c r="BC104" s="38"/>
      <c r="BD104" s="38"/>
      <c r="BE104" s="38"/>
      <c r="BF104" s="38"/>
      <c r="BG104" s="38"/>
      <c r="BH104" s="38"/>
      <c r="BI104" s="38"/>
      <c r="BJ104" s="38"/>
      <c r="BK104" s="38"/>
      <c r="BL104" s="38"/>
      <c r="BM104" s="38"/>
      <c r="BN104" s="38"/>
      <c r="BO104" s="38"/>
      <c r="BP104" s="38"/>
      <c r="BQ104" s="38"/>
      <c r="BR104" s="38"/>
      <c r="BS104" s="38"/>
      <c r="BT104" s="38"/>
      <c r="BU104" s="38"/>
      <c r="BV104" s="38"/>
      <c r="BW104" s="38"/>
      <c r="BX104" s="38"/>
      <c r="BY104" s="38"/>
      <c r="BZ104" s="38"/>
      <c r="CA104" s="38"/>
      <c r="CB104" s="38"/>
    </row>
    <row r="105" spans="1:80" x14ac:dyDescent="0.25">
      <c r="A105" t="s">
        <v>467</v>
      </c>
      <c r="B105" s="38">
        <v>1354</v>
      </c>
      <c r="C105" s="38">
        <v>1773</v>
      </c>
      <c r="D105" s="38">
        <v>1624</v>
      </c>
      <c r="E105" s="38">
        <v>3300</v>
      </c>
      <c r="F105" s="38">
        <v>1080</v>
      </c>
      <c r="G105" s="38">
        <v>1032</v>
      </c>
      <c r="H105" s="38">
        <v>1682</v>
      </c>
      <c r="I105" s="104">
        <v>3827</v>
      </c>
      <c r="J105" s="38">
        <v>1096</v>
      </c>
      <c r="K105" s="38">
        <v>1362</v>
      </c>
      <c r="L105" s="38">
        <v>1881</v>
      </c>
      <c r="M105" s="104">
        <v>4172</v>
      </c>
      <c r="N105" s="38">
        <v>1561.454</v>
      </c>
      <c r="O105" s="38"/>
      <c r="P105" t="s">
        <v>467</v>
      </c>
      <c r="Q105" s="38"/>
      <c r="R105" s="38"/>
      <c r="S105" s="37">
        <f t="shared" si="13"/>
        <v>7.5092898962003218</v>
      </c>
      <c r="T105" s="38">
        <f t="shared" si="10"/>
        <v>7637</v>
      </c>
      <c r="U105" s="38">
        <f t="shared" si="11"/>
        <v>8511</v>
      </c>
      <c r="V105" s="38">
        <f t="shared" si="11"/>
        <v>8976.4539999999997</v>
      </c>
      <c r="W105" t="s">
        <v>467</v>
      </c>
      <c r="X105" s="37">
        <f t="shared" si="14"/>
        <v>9.014894172981446</v>
      </c>
      <c r="Y105" s="2">
        <f t="shared" si="15"/>
        <v>0.17539007463663747</v>
      </c>
      <c r="Z105" s="37">
        <f t="shared" si="12"/>
        <v>5.4688520737868629</v>
      </c>
      <c r="AA105" s="38"/>
      <c r="AB105" s="38"/>
      <c r="AC105" s="38"/>
      <c r="AD105" s="38"/>
      <c r="AE105" s="38"/>
      <c r="AF105" s="38"/>
      <c r="AG105" s="38"/>
      <c r="AH105" s="38"/>
      <c r="AI105" s="38"/>
      <c r="AJ105" s="38"/>
      <c r="AK105" s="38"/>
      <c r="AL105" s="38"/>
      <c r="AM105" s="38"/>
      <c r="AN105" s="38"/>
      <c r="AO105" s="38"/>
      <c r="AP105" s="38"/>
      <c r="AQ105" s="38"/>
      <c r="AR105" s="38"/>
      <c r="AS105" s="38"/>
      <c r="AT105" s="38"/>
      <c r="AU105" s="38"/>
      <c r="AV105" s="38"/>
      <c r="AW105" s="38"/>
      <c r="AX105" s="38"/>
      <c r="AY105" s="38"/>
      <c r="AZ105" s="38"/>
      <c r="BA105" s="38"/>
      <c r="BB105" s="38"/>
      <c r="BC105" s="38"/>
      <c r="BD105" s="38"/>
      <c r="BE105" s="38"/>
      <c r="BF105" s="38"/>
      <c r="BG105" s="38"/>
      <c r="BH105" s="38"/>
      <c r="BI105" s="38"/>
      <c r="BJ105" s="38"/>
      <c r="BK105" s="38"/>
      <c r="BL105" s="38"/>
      <c r="BM105" s="38"/>
      <c r="BN105" s="38"/>
      <c r="BO105" s="38"/>
      <c r="BP105" s="38"/>
      <c r="BQ105" s="38"/>
      <c r="BR105" s="38"/>
      <c r="BS105" s="38"/>
      <c r="BT105" s="38"/>
      <c r="BU105" s="38"/>
      <c r="BV105" s="38"/>
      <c r="BW105" s="38"/>
      <c r="BX105" s="38"/>
      <c r="BY105" s="38"/>
      <c r="BZ105" s="38"/>
      <c r="CA105" s="38"/>
      <c r="CB105" s="38"/>
    </row>
    <row r="106" spans="1:80" x14ac:dyDescent="0.25">
      <c r="A106" t="s">
        <v>477</v>
      </c>
      <c r="B106" s="38">
        <v>92</v>
      </c>
      <c r="C106" s="38">
        <v>109</v>
      </c>
      <c r="D106" s="38">
        <v>51</v>
      </c>
      <c r="E106" s="38">
        <v>240</v>
      </c>
      <c r="F106" s="38">
        <v>155</v>
      </c>
      <c r="G106" s="38">
        <v>131</v>
      </c>
      <c r="H106" s="38">
        <v>89</v>
      </c>
      <c r="I106" s="104">
        <v>278</v>
      </c>
      <c r="J106" s="38">
        <v>146</v>
      </c>
      <c r="K106" s="38">
        <v>166</v>
      </c>
      <c r="L106" s="38">
        <v>118</v>
      </c>
      <c r="M106" s="104">
        <v>287</v>
      </c>
      <c r="N106" s="38">
        <v>160.65199999999999</v>
      </c>
      <c r="O106" s="38"/>
      <c r="P106" t="s">
        <v>477</v>
      </c>
      <c r="Q106" s="38"/>
      <c r="R106" s="38"/>
      <c r="S106" s="37">
        <f t="shared" si="13"/>
        <v>1.8115986054699551</v>
      </c>
      <c r="T106" s="38">
        <f t="shared" si="10"/>
        <v>644</v>
      </c>
      <c r="U106" s="38">
        <f t="shared" si="11"/>
        <v>717</v>
      </c>
      <c r="V106" s="38">
        <f t="shared" si="11"/>
        <v>731.65200000000004</v>
      </c>
      <c r="W106" t="s">
        <v>477</v>
      </c>
      <c r="X106" s="37">
        <f t="shared" si="14"/>
        <v>3.2374100719424481</v>
      </c>
      <c r="Y106" s="2">
        <f t="shared" si="15"/>
        <v>0.13610559006211176</v>
      </c>
      <c r="Z106" s="37">
        <f t="shared" si="12"/>
        <v>2.0435146443514611</v>
      </c>
      <c r="AA106" s="38"/>
      <c r="AB106" s="38"/>
      <c r="AC106" s="38"/>
      <c r="AD106" s="38"/>
      <c r="AE106" s="38"/>
      <c r="AF106" s="38"/>
      <c r="AG106" s="38"/>
      <c r="AH106" s="38"/>
      <c r="AI106" s="38"/>
      <c r="AJ106" s="38"/>
      <c r="AK106" s="38"/>
      <c r="AL106" s="38"/>
      <c r="AM106" s="38"/>
      <c r="AN106" s="38"/>
      <c r="AO106" s="38"/>
      <c r="AP106" s="38"/>
      <c r="AQ106" s="38"/>
      <c r="AR106" s="38"/>
      <c r="AS106" s="38"/>
      <c r="AT106" s="38"/>
      <c r="AU106" s="38"/>
      <c r="AV106" s="38"/>
      <c r="AW106" s="38"/>
      <c r="AX106" s="38"/>
      <c r="AY106" s="38"/>
      <c r="AZ106" s="38"/>
      <c r="BA106" s="38"/>
      <c r="BB106" s="38"/>
      <c r="BC106" s="38"/>
      <c r="BD106" s="38"/>
      <c r="BE106" s="38"/>
      <c r="BF106" s="38"/>
      <c r="BG106" s="38"/>
      <c r="BH106" s="38"/>
      <c r="BI106" s="38"/>
      <c r="BJ106" s="38"/>
      <c r="BK106" s="38"/>
      <c r="BL106" s="38"/>
      <c r="BM106" s="38"/>
      <c r="BN106" s="38"/>
      <c r="BO106" s="38"/>
      <c r="BP106" s="38"/>
      <c r="BQ106" s="38"/>
      <c r="BR106" s="38"/>
      <c r="BS106" s="38"/>
      <c r="BT106" s="38"/>
      <c r="BU106" s="38"/>
      <c r="BV106" s="38"/>
      <c r="BW106" s="38"/>
      <c r="BX106" s="38"/>
      <c r="BY106" s="38"/>
      <c r="BZ106" s="38"/>
      <c r="CA106" s="38"/>
      <c r="CB106" s="38"/>
    </row>
    <row r="107" spans="1:80" x14ac:dyDescent="0.25">
      <c r="A107" t="s">
        <v>468</v>
      </c>
      <c r="B107" s="38">
        <v>83</v>
      </c>
      <c r="C107" s="38">
        <v>106</v>
      </c>
      <c r="D107" s="38">
        <v>213</v>
      </c>
      <c r="E107" s="38">
        <v>224</v>
      </c>
      <c r="F107" s="38">
        <v>65</v>
      </c>
      <c r="G107" s="38">
        <v>48</v>
      </c>
      <c r="H107" s="38">
        <v>208</v>
      </c>
      <c r="I107" s="104">
        <v>247</v>
      </c>
      <c r="J107" s="38">
        <v>79</v>
      </c>
      <c r="K107" s="38">
        <v>192</v>
      </c>
      <c r="L107" s="38">
        <v>141</v>
      </c>
      <c r="M107" s="104">
        <f>I107-(I107*0.028)</f>
        <v>240.084</v>
      </c>
      <c r="N107" s="38">
        <v>87.715999999999994</v>
      </c>
      <c r="O107" s="38"/>
      <c r="P107" t="s">
        <v>468</v>
      </c>
      <c r="Q107" s="38"/>
      <c r="R107" s="38"/>
      <c r="S107" s="37">
        <f t="shared" si="13"/>
        <v>-4.1424288195969883</v>
      </c>
      <c r="T107" s="38">
        <f t="shared" si="10"/>
        <v>582</v>
      </c>
      <c r="U107" s="38">
        <f t="shared" si="11"/>
        <v>652.08400000000006</v>
      </c>
      <c r="V107" s="38">
        <f t="shared" si="11"/>
        <v>660.80000000000007</v>
      </c>
      <c r="W107" t="s">
        <v>468</v>
      </c>
      <c r="X107" s="37">
        <f t="shared" si="14"/>
        <v>-2.8000000000000025</v>
      </c>
      <c r="Y107" s="2">
        <f t="shared" si="15"/>
        <v>0.13539518900343661</v>
      </c>
      <c r="Z107" s="37">
        <f t="shared" si="12"/>
        <v>1.3366376111053171</v>
      </c>
      <c r="AA107" s="38"/>
      <c r="AB107" s="38"/>
      <c r="AC107" s="38"/>
      <c r="AD107" s="38"/>
      <c r="AE107" s="38"/>
      <c r="AF107" s="38"/>
      <c r="AG107" s="38"/>
      <c r="AH107" s="38"/>
      <c r="AI107" s="38"/>
      <c r="AJ107" s="38"/>
      <c r="AK107" s="38"/>
      <c r="AL107" s="38"/>
      <c r="AM107" s="38"/>
      <c r="AN107" s="38"/>
      <c r="AO107" s="38"/>
      <c r="AP107" s="38"/>
      <c r="AQ107" s="38"/>
      <c r="AR107" s="38"/>
      <c r="AS107" s="38"/>
      <c r="AT107" s="38"/>
      <c r="AU107" s="38"/>
      <c r="AV107" s="38"/>
      <c r="AW107" s="38"/>
      <c r="AX107" s="38"/>
      <c r="AY107" s="38"/>
      <c r="AZ107" s="38"/>
      <c r="BA107" s="38"/>
      <c r="BB107" s="38"/>
      <c r="BC107" s="38"/>
      <c r="BD107" s="38"/>
      <c r="BE107" s="38"/>
      <c r="BF107" s="38"/>
      <c r="BG107" s="38"/>
      <c r="BH107" s="38"/>
      <c r="BI107" s="38"/>
      <c r="BJ107" s="38"/>
      <c r="BK107" s="38"/>
      <c r="BL107" s="38"/>
      <c r="BM107" s="38"/>
      <c r="BN107" s="38"/>
      <c r="BO107" s="38"/>
      <c r="BP107" s="38"/>
      <c r="BQ107" s="38"/>
      <c r="BR107" s="38"/>
      <c r="BS107" s="38"/>
      <c r="BT107" s="38"/>
      <c r="BU107" s="38"/>
      <c r="BV107" s="38"/>
      <c r="BW107" s="38"/>
      <c r="BX107" s="38"/>
      <c r="BY107" s="38"/>
      <c r="BZ107" s="38"/>
      <c r="CA107" s="38"/>
      <c r="CB107" s="38"/>
    </row>
    <row r="108" spans="1:80" x14ac:dyDescent="0.25">
      <c r="A108" t="s">
        <v>600</v>
      </c>
      <c r="B108" s="38">
        <v>85</v>
      </c>
      <c r="C108" s="38">
        <v>78</v>
      </c>
      <c r="D108" s="38">
        <v>110</v>
      </c>
      <c r="E108" s="38">
        <v>167</v>
      </c>
      <c r="F108" s="38">
        <v>108</v>
      </c>
      <c r="G108" s="38">
        <v>98</v>
      </c>
      <c r="H108" s="38">
        <v>116</v>
      </c>
      <c r="I108" s="104">
        <v>149</v>
      </c>
      <c r="J108" s="38">
        <v>98</v>
      </c>
      <c r="K108" s="38">
        <v>87</v>
      </c>
      <c r="L108" s="38">
        <v>95</v>
      </c>
      <c r="M108" s="104">
        <v>149</v>
      </c>
      <c r="N108" s="38">
        <v>96.268000000000001</v>
      </c>
      <c r="O108" s="38"/>
      <c r="P108" t="s">
        <v>600</v>
      </c>
      <c r="Q108" s="38"/>
      <c r="R108" s="38"/>
      <c r="S108" s="37">
        <f t="shared" si="13"/>
        <v>-1.3810996086388805</v>
      </c>
      <c r="T108" s="38">
        <f t="shared" si="10"/>
        <v>461</v>
      </c>
      <c r="U108" s="38">
        <f t="shared" si="11"/>
        <v>429</v>
      </c>
      <c r="V108" s="38">
        <f t="shared" si="11"/>
        <v>427.26800000000003</v>
      </c>
      <c r="W108" t="s">
        <v>600</v>
      </c>
      <c r="X108" s="37">
        <f t="shared" si="14"/>
        <v>0</v>
      </c>
      <c r="Y108" s="2">
        <f t="shared" si="15"/>
        <v>-7.3171366594360077E-2</v>
      </c>
      <c r="Z108" s="37">
        <f t="shared" si="12"/>
        <v>-0.40372960372960165</v>
      </c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38"/>
      <c r="BI108" s="38"/>
      <c r="BJ108" s="38"/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V108" s="38"/>
      <c r="BW108" s="38"/>
      <c r="BX108" s="38"/>
      <c r="BY108" s="38"/>
      <c r="BZ108" s="38"/>
      <c r="CA108" s="38"/>
      <c r="CB108" s="38"/>
    </row>
    <row r="109" spans="1:80" x14ac:dyDescent="0.25">
      <c r="A109" t="s">
        <v>469</v>
      </c>
      <c r="B109" s="38">
        <v>44</v>
      </c>
      <c r="C109" s="38">
        <v>44</v>
      </c>
      <c r="D109" s="38">
        <v>65</v>
      </c>
      <c r="E109" s="38">
        <v>109</v>
      </c>
      <c r="F109" s="38">
        <v>63</v>
      </c>
      <c r="G109" s="38">
        <v>61</v>
      </c>
      <c r="H109" s="38">
        <v>73</v>
      </c>
      <c r="I109" s="104">
        <v>114</v>
      </c>
      <c r="J109" s="38">
        <v>59</v>
      </c>
      <c r="K109" s="38">
        <v>45</v>
      </c>
      <c r="L109" s="38">
        <v>59</v>
      </c>
      <c r="M109" s="104">
        <v>115</v>
      </c>
      <c r="N109" s="38">
        <v>49.887999999999998</v>
      </c>
      <c r="O109" s="38"/>
      <c r="P109" t="s">
        <v>469</v>
      </c>
      <c r="Q109" s="38"/>
      <c r="R109" s="38"/>
      <c r="S109" s="37">
        <f t="shared" si="13"/>
        <v>-0.51602153503044201</v>
      </c>
      <c r="T109" s="38">
        <f t="shared" si="10"/>
        <v>307</v>
      </c>
      <c r="U109" s="38">
        <f t="shared" si="11"/>
        <v>278</v>
      </c>
      <c r="V109" s="38">
        <f t="shared" si="11"/>
        <v>268.88799999999998</v>
      </c>
      <c r="W109" t="s">
        <v>469</v>
      </c>
      <c r="X109" s="37">
        <f t="shared" si="14"/>
        <v>0.87719298245614308</v>
      </c>
      <c r="Y109" s="2">
        <f t="shared" si="15"/>
        <v>-0.12414332247557014</v>
      </c>
      <c r="Z109" s="37">
        <f t="shared" si="12"/>
        <v>-3.2776978417266207</v>
      </c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38"/>
      <c r="BI109" s="38"/>
      <c r="BJ109" s="38"/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V109" s="38"/>
      <c r="BW109" s="38"/>
      <c r="BX109" s="38"/>
      <c r="BY109" s="38"/>
      <c r="BZ109" s="38"/>
      <c r="CA109" s="38"/>
      <c r="CB109" s="38"/>
    </row>
    <row r="110" spans="1:80" x14ac:dyDescent="0.25">
      <c r="A110" t="s">
        <v>470</v>
      </c>
      <c r="B110" s="38">
        <v>422</v>
      </c>
      <c r="C110" s="38">
        <v>397</v>
      </c>
      <c r="D110" s="38">
        <v>425</v>
      </c>
      <c r="E110" s="38">
        <v>760</v>
      </c>
      <c r="F110" s="38">
        <v>440</v>
      </c>
      <c r="G110" s="38">
        <v>531</v>
      </c>
      <c r="H110" s="38">
        <v>422</v>
      </c>
      <c r="I110" s="104">
        <v>680</v>
      </c>
      <c r="J110" s="38">
        <v>442</v>
      </c>
      <c r="K110" s="38">
        <v>450</v>
      </c>
      <c r="L110" s="38">
        <v>394</v>
      </c>
      <c r="M110" s="104">
        <v>758</v>
      </c>
      <c r="N110" s="38">
        <v>469.8</v>
      </c>
      <c r="O110" s="38"/>
      <c r="P110" t="s">
        <v>470</v>
      </c>
      <c r="Q110" s="38"/>
      <c r="R110" s="38"/>
      <c r="S110" s="37">
        <f t="shared" si="13"/>
        <v>9.9310683774290318</v>
      </c>
      <c r="T110" s="38">
        <f t="shared" si="10"/>
        <v>2075</v>
      </c>
      <c r="U110" s="38">
        <f t="shared" si="11"/>
        <v>2044</v>
      </c>
      <c r="V110" s="38">
        <f t="shared" si="11"/>
        <v>2071.8000000000002</v>
      </c>
      <c r="W110" t="s">
        <v>470</v>
      </c>
      <c r="X110" s="37">
        <f t="shared" si="14"/>
        <v>11.470588235294121</v>
      </c>
      <c r="Y110" s="2">
        <f t="shared" si="15"/>
        <v>-1.5421686746986962E-3</v>
      </c>
      <c r="Z110" s="37">
        <f t="shared" si="12"/>
        <v>1.3600782778865153</v>
      </c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38"/>
      <c r="BI110" s="38"/>
      <c r="BJ110" s="38"/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V110" s="38"/>
      <c r="BW110" s="38"/>
      <c r="BX110" s="38"/>
      <c r="BY110" s="38"/>
      <c r="BZ110" s="38"/>
      <c r="CA110" s="38"/>
      <c r="CB110" s="38"/>
    </row>
    <row r="111" spans="1:80" x14ac:dyDescent="0.25">
      <c r="A111" t="s">
        <v>471</v>
      </c>
      <c r="B111" s="38">
        <v>97</v>
      </c>
      <c r="C111" s="38">
        <v>126</v>
      </c>
      <c r="D111" s="38">
        <v>136</v>
      </c>
      <c r="E111" s="38">
        <v>230</v>
      </c>
      <c r="F111" s="38">
        <v>180</v>
      </c>
      <c r="G111" s="38">
        <v>122</v>
      </c>
      <c r="H111" s="38">
        <v>193</v>
      </c>
      <c r="I111" s="104">
        <v>302</v>
      </c>
      <c r="J111" s="38">
        <v>209</v>
      </c>
      <c r="K111" s="38">
        <v>185</v>
      </c>
      <c r="L111" s="38">
        <v>234</v>
      </c>
      <c r="M111" s="104">
        <v>316</v>
      </c>
      <c r="N111" s="38">
        <v>224.45599999999999</v>
      </c>
      <c r="O111" s="38"/>
      <c r="P111" t="s">
        <v>471</v>
      </c>
      <c r="Q111" s="38"/>
      <c r="R111" s="38"/>
      <c r="S111" s="37">
        <f t="shared" si="13"/>
        <v>3.1906374955964267</v>
      </c>
      <c r="T111" s="38">
        <f t="shared" si="10"/>
        <v>826</v>
      </c>
      <c r="U111" s="38">
        <f t="shared" si="11"/>
        <v>944</v>
      </c>
      <c r="V111" s="38">
        <f t="shared" si="11"/>
        <v>959.45600000000002</v>
      </c>
      <c r="W111" t="s">
        <v>471</v>
      </c>
      <c r="X111" s="37">
        <f t="shared" si="14"/>
        <v>4.635761589403975</v>
      </c>
      <c r="Y111" s="2">
        <f t="shared" si="15"/>
        <v>0.16156900726392265</v>
      </c>
      <c r="Z111" s="37">
        <f t="shared" si="12"/>
        <v>1.6372881355932236</v>
      </c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38"/>
      <c r="BI111" s="38"/>
      <c r="BJ111" s="38"/>
      <c r="BK111" s="38"/>
      <c r="BL111" s="38"/>
      <c r="BM111" s="38"/>
      <c r="BN111" s="38"/>
      <c r="BO111" s="38"/>
      <c r="BP111" s="38"/>
      <c r="BQ111" s="38"/>
      <c r="BR111" s="38"/>
      <c r="BS111" s="38"/>
      <c r="BT111" s="38"/>
      <c r="BU111" s="38"/>
      <c r="BV111" s="38"/>
      <c r="BW111" s="38"/>
      <c r="BX111" s="38"/>
      <c r="BY111" s="38"/>
      <c r="BZ111" s="38"/>
      <c r="CA111" s="38"/>
      <c r="CB111" s="38"/>
    </row>
    <row r="112" spans="1:80" x14ac:dyDescent="0.25">
      <c r="A112" t="s">
        <v>478</v>
      </c>
      <c r="B112" s="38">
        <v>17</v>
      </c>
      <c r="C112" s="38">
        <v>-25</v>
      </c>
      <c r="D112" s="38">
        <v>40</v>
      </c>
      <c r="E112" s="38">
        <v>48</v>
      </c>
      <c r="F112" s="38">
        <v>26</v>
      </c>
      <c r="G112" s="38">
        <v>6</v>
      </c>
      <c r="H112" s="38">
        <v>19</v>
      </c>
      <c r="I112" s="104">
        <v>72</v>
      </c>
      <c r="J112" s="38">
        <v>45</v>
      </c>
      <c r="K112" s="38">
        <v>35</v>
      </c>
      <c r="L112" s="38">
        <v>11</v>
      </c>
      <c r="M112" s="104">
        <v>50</v>
      </c>
      <c r="N112" s="38">
        <v>51.139000000000003</v>
      </c>
      <c r="O112" s="38"/>
      <c r="P112" t="s">
        <v>478</v>
      </c>
      <c r="Q112" s="38"/>
      <c r="R112" s="38"/>
      <c r="S112" s="37">
        <f t="shared" si="13"/>
        <v>-31.514652505999219</v>
      </c>
      <c r="T112" s="38">
        <f t="shared" si="10"/>
        <v>142</v>
      </c>
      <c r="U112" s="38">
        <f t="shared" si="11"/>
        <v>141</v>
      </c>
      <c r="V112" s="38">
        <f t="shared" si="11"/>
        <v>147.13900000000001</v>
      </c>
      <c r="W112" t="s">
        <v>478</v>
      </c>
      <c r="X112" s="37">
        <f t="shared" si="14"/>
        <v>-30.555555555555557</v>
      </c>
      <c r="Y112" s="2">
        <f t="shared" si="15"/>
        <v>3.619014084507044E-2</v>
      </c>
      <c r="Z112" s="37">
        <f t="shared" si="12"/>
        <v>4.3539007092198574</v>
      </c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38"/>
      <c r="BI112" s="38"/>
      <c r="BJ112" s="38"/>
      <c r="BK112" s="38"/>
      <c r="BL112" s="38"/>
      <c r="BM112" s="38"/>
      <c r="BN112" s="38"/>
      <c r="BO112" s="38"/>
      <c r="BP112" s="38"/>
      <c r="BQ112" s="38"/>
      <c r="BR112" s="38"/>
      <c r="BS112" s="38"/>
      <c r="BT112" s="38"/>
      <c r="BU112" s="38"/>
      <c r="BV112" s="38"/>
      <c r="BW112" s="38"/>
      <c r="BX112" s="38"/>
      <c r="BY112" s="38"/>
      <c r="BZ112" s="38"/>
      <c r="CA112" s="38"/>
      <c r="CB112" s="38"/>
    </row>
    <row r="113" spans="1:80" x14ac:dyDescent="0.25">
      <c r="A113" t="s">
        <v>482</v>
      </c>
      <c r="B113" s="38">
        <v>31</v>
      </c>
      <c r="C113" s="38">
        <v>81</v>
      </c>
      <c r="D113" s="38">
        <v>93</v>
      </c>
      <c r="E113" s="38">
        <v>180</v>
      </c>
      <c r="F113" s="38">
        <v>38</v>
      </c>
      <c r="G113" s="38">
        <v>118</v>
      </c>
      <c r="H113" s="38">
        <v>66</v>
      </c>
      <c r="I113" s="104">
        <v>162</v>
      </c>
      <c r="J113" s="38">
        <v>53</v>
      </c>
      <c r="K113" s="38">
        <v>70</v>
      </c>
      <c r="L113" s="38">
        <v>95</v>
      </c>
      <c r="M113" s="104">
        <v>161</v>
      </c>
      <c r="N113" s="38">
        <v>75.108000000000004</v>
      </c>
      <c r="O113" s="38"/>
      <c r="P113" t="s">
        <v>482</v>
      </c>
      <c r="Q113" s="38"/>
      <c r="R113" s="38"/>
      <c r="S113" s="37">
        <f t="shared" si="13"/>
        <v>-1.9898582530299969</v>
      </c>
      <c r="T113" s="38">
        <f t="shared" si="10"/>
        <v>399</v>
      </c>
      <c r="U113" s="38">
        <f t="shared" si="11"/>
        <v>379</v>
      </c>
      <c r="V113" s="38">
        <f t="shared" si="11"/>
        <v>401.108</v>
      </c>
      <c r="W113" t="s">
        <v>482</v>
      </c>
      <c r="X113" s="37">
        <f t="shared" si="14"/>
        <v>-0.61728395061728669</v>
      </c>
      <c r="Y113" s="2">
        <f t="shared" si="15"/>
        <v>5.2832080200502229E-3</v>
      </c>
      <c r="Z113" s="37">
        <f t="shared" si="12"/>
        <v>5.8332453825857584</v>
      </c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38"/>
      <c r="BI113" s="38"/>
      <c r="BJ113" s="38"/>
      <c r="BK113" s="38"/>
      <c r="BL113" s="38"/>
      <c r="BM113" s="38"/>
      <c r="BN113" s="38"/>
      <c r="BO113" s="38"/>
      <c r="BP113" s="38"/>
      <c r="BQ113" s="38"/>
      <c r="BR113" s="38"/>
      <c r="BS113" s="38"/>
      <c r="BT113" s="38"/>
      <c r="BU113" s="38"/>
      <c r="BV113" s="38"/>
      <c r="BW113" s="38"/>
      <c r="BX113" s="38"/>
      <c r="BY113" s="38"/>
      <c r="BZ113" s="38"/>
      <c r="CA113" s="38"/>
      <c r="CB113" s="38"/>
    </row>
    <row r="114" spans="1:80" x14ac:dyDescent="0.25">
      <c r="A114" t="s">
        <v>479</v>
      </c>
      <c r="B114" s="38">
        <v>41</v>
      </c>
      <c r="C114" s="38">
        <v>38</v>
      </c>
      <c r="D114" s="38">
        <v>30</v>
      </c>
      <c r="E114" s="38">
        <v>80</v>
      </c>
      <c r="F114" s="38">
        <v>39</v>
      </c>
      <c r="G114" s="38">
        <v>35</v>
      </c>
      <c r="H114" s="38">
        <v>31</v>
      </c>
      <c r="I114" s="104">
        <v>95</v>
      </c>
      <c r="J114" s="38">
        <v>49</v>
      </c>
      <c r="K114" s="38">
        <v>38</v>
      </c>
      <c r="L114" s="38">
        <v>49</v>
      </c>
      <c r="M114" s="104">
        <v>83</v>
      </c>
      <c r="N114" s="38">
        <v>51.164999999999999</v>
      </c>
      <c r="O114" s="38"/>
      <c r="P114" t="s">
        <v>479</v>
      </c>
      <c r="Q114" s="38"/>
      <c r="R114" s="38"/>
      <c r="S114" s="37">
        <f t="shared" si="13"/>
        <v>-13.838223868600274</v>
      </c>
      <c r="T114" s="38">
        <f t="shared" si="10"/>
        <v>210</v>
      </c>
      <c r="U114" s="38">
        <f t="shared" si="11"/>
        <v>219</v>
      </c>
      <c r="V114" s="38">
        <f t="shared" si="11"/>
        <v>221.16499999999999</v>
      </c>
      <c r="W114" t="s">
        <v>479</v>
      </c>
      <c r="X114" s="37">
        <f t="shared" si="14"/>
        <v>-12.631578947368416</v>
      </c>
      <c r="Y114" s="2">
        <f t="shared" si="15"/>
        <v>5.3166666666666584E-2</v>
      </c>
      <c r="Z114" s="37">
        <f t="shared" si="12"/>
        <v>0.98858447488584034</v>
      </c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38"/>
      <c r="BI114" s="38"/>
      <c r="BJ114" s="38"/>
      <c r="BK114" s="38"/>
      <c r="BL114" s="38"/>
      <c r="BM114" s="38"/>
      <c r="BN114" s="38"/>
      <c r="BO114" s="38"/>
      <c r="BP114" s="38"/>
      <c r="BQ114" s="38"/>
      <c r="BR114" s="38"/>
      <c r="BS114" s="38"/>
      <c r="BT114" s="38"/>
      <c r="BU114" s="38"/>
      <c r="BV114" s="38"/>
      <c r="BW114" s="38"/>
      <c r="BX114" s="38"/>
      <c r="BY114" s="38"/>
      <c r="BZ114" s="38"/>
      <c r="CA114" s="38"/>
      <c r="CB114" s="38"/>
    </row>
    <row r="115" spans="1:80" x14ac:dyDescent="0.25">
      <c r="A115" t="s">
        <v>480</v>
      </c>
      <c r="B115" s="38">
        <v>655</v>
      </c>
      <c r="C115" s="38">
        <v>639</v>
      </c>
      <c r="D115" s="38">
        <v>834</v>
      </c>
      <c r="E115" s="38">
        <v>1366</v>
      </c>
      <c r="F115" s="38">
        <v>778</v>
      </c>
      <c r="G115" s="38">
        <v>891</v>
      </c>
      <c r="H115" s="38">
        <v>1028</v>
      </c>
      <c r="I115" s="104">
        <v>1765</v>
      </c>
      <c r="J115" s="38">
        <v>878</v>
      </c>
      <c r="K115" s="38">
        <v>948</v>
      </c>
      <c r="L115" s="38">
        <v>1105</v>
      </c>
      <c r="M115" s="104">
        <v>1353</v>
      </c>
      <c r="N115" s="38">
        <v>695.85400000000004</v>
      </c>
      <c r="O115" s="38"/>
      <c r="P115" t="s">
        <v>480</v>
      </c>
      <c r="Q115" s="38"/>
      <c r="R115" s="38"/>
      <c r="S115" s="37">
        <f t="shared" si="13"/>
        <v>-24.401488821806449</v>
      </c>
      <c r="T115" s="38">
        <f t="shared" si="10"/>
        <v>4562</v>
      </c>
      <c r="U115" s="38">
        <f t="shared" si="11"/>
        <v>4284</v>
      </c>
      <c r="V115" s="38">
        <f t="shared" si="11"/>
        <v>4101.8540000000003</v>
      </c>
      <c r="W115" t="s">
        <v>480</v>
      </c>
      <c r="X115" s="37">
        <f t="shared" si="14"/>
        <v>-23.342776203966011</v>
      </c>
      <c r="Y115" s="2">
        <f t="shared" si="15"/>
        <v>-0.10086497150372642</v>
      </c>
      <c r="Z115" s="37">
        <f t="shared" si="12"/>
        <v>-4.2517740429505011</v>
      </c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38"/>
      <c r="BI115" s="38"/>
      <c r="BJ115" s="38"/>
      <c r="BK115" s="38"/>
      <c r="BL115" s="38"/>
      <c r="BM115" s="38"/>
      <c r="BN115" s="38"/>
      <c r="BO115" s="38"/>
      <c r="BP115" s="38"/>
      <c r="BQ115" s="38"/>
      <c r="BR115" s="38"/>
      <c r="BS115" s="38"/>
      <c r="BT115" s="38"/>
      <c r="BU115" s="38"/>
      <c r="BV115" s="38"/>
      <c r="BW115" s="38"/>
      <c r="BX115" s="38"/>
      <c r="BY115" s="38"/>
      <c r="BZ115" s="38"/>
      <c r="CA115" s="38"/>
      <c r="CB115" s="38"/>
    </row>
    <row r="116" spans="1:80" x14ac:dyDescent="0.25">
      <c r="A116" t="s">
        <v>481</v>
      </c>
      <c r="B116" s="38">
        <v>220</v>
      </c>
      <c r="C116" s="38">
        <v>221</v>
      </c>
      <c r="D116" s="38">
        <v>34</v>
      </c>
      <c r="E116" s="38">
        <v>483</v>
      </c>
      <c r="F116" s="38">
        <v>232</v>
      </c>
      <c r="G116" s="38">
        <v>199</v>
      </c>
      <c r="H116" s="38">
        <v>-6</v>
      </c>
      <c r="I116" s="104">
        <v>359</v>
      </c>
      <c r="J116" s="38">
        <v>219</v>
      </c>
      <c r="K116" s="38">
        <v>195</v>
      </c>
      <c r="L116" s="38">
        <v>79</v>
      </c>
      <c r="M116" s="104">
        <v>373</v>
      </c>
      <c r="N116" s="38">
        <v>200.45699999999999</v>
      </c>
      <c r="O116" s="38"/>
      <c r="P116" t="s">
        <v>481</v>
      </c>
      <c r="Q116" s="38"/>
      <c r="R116" s="38"/>
      <c r="S116" s="37">
        <f t="shared" si="13"/>
        <v>2.4647628021662982</v>
      </c>
      <c r="T116" s="38">
        <f t="shared" si="10"/>
        <v>771</v>
      </c>
      <c r="U116" s="38">
        <f t="shared" si="11"/>
        <v>866</v>
      </c>
      <c r="V116" s="38">
        <f t="shared" si="11"/>
        <v>847.45699999999999</v>
      </c>
      <c r="W116" t="s">
        <v>481</v>
      </c>
      <c r="X116" s="37">
        <f t="shared" si="14"/>
        <v>3.8997214484679743</v>
      </c>
      <c r="Y116" s="2">
        <f t="shared" si="15"/>
        <v>9.9166018158236113E-2</v>
      </c>
      <c r="Z116" s="37">
        <f t="shared" si="12"/>
        <v>-2.1412240184757536</v>
      </c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38"/>
      <c r="BI116" s="38"/>
      <c r="BJ116" s="38"/>
      <c r="BK116" s="38"/>
      <c r="BL116" s="38"/>
      <c r="BM116" s="38"/>
      <c r="BN116" s="38"/>
      <c r="BO116" s="38"/>
      <c r="BP116" s="38"/>
      <c r="BQ116" s="38"/>
      <c r="BR116" s="38"/>
      <c r="BS116" s="38"/>
      <c r="BT116" s="38"/>
      <c r="BU116" s="38"/>
      <c r="BV116" s="38"/>
      <c r="BW116" s="38"/>
      <c r="BX116" s="38"/>
      <c r="BY116" s="38"/>
      <c r="BZ116" s="38"/>
      <c r="CA116" s="38"/>
      <c r="CB116" s="38"/>
    </row>
    <row r="117" spans="1:80" x14ac:dyDescent="0.25">
      <c r="A117" t="s">
        <v>483</v>
      </c>
      <c r="B117" s="38">
        <v>60</v>
      </c>
      <c r="C117" s="38">
        <v>59</v>
      </c>
      <c r="D117" s="38">
        <v>51</v>
      </c>
      <c r="E117" s="38">
        <v>141</v>
      </c>
      <c r="F117" s="38">
        <v>109</v>
      </c>
      <c r="G117" s="38">
        <v>103</v>
      </c>
      <c r="H117" s="38">
        <v>38</v>
      </c>
      <c r="I117" s="104">
        <v>190</v>
      </c>
      <c r="J117" s="38">
        <v>83</v>
      </c>
      <c r="K117" s="38">
        <v>96</v>
      </c>
      <c r="L117" s="38">
        <v>39</v>
      </c>
      <c r="M117" s="104">
        <v>174</v>
      </c>
      <c r="N117" s="38">
        <v>93.756</v>
      </c>
      <c r="O117" s="38"/>
      <c r="P117" t="s">
        <v>483</v>
      </c>
      <c r="Q117" s="38"/>
      <c r="R117" s="38"/>
      <c r="S117" s="37">
        <f t="shared" si="13"/>
        <v>-9.6858491152798099</v>
      </c>
      <c r="T117" s="38">
        <f t="shared" si="10"/>
        <v>414</v>
      </c>
      <c r="U117" s="38">
        <f t="shared" si="11"/>
        <v>392</v>
      </c>
      <c r="V117" s="38">
        <f t="shared" si="11"/>
        <v>402.75599999999997</v>
      </c>
      <c r="W117" t="s">
        <v>483</v>
      </c>
      <c r="X117" s="37">
        <f t="shared" si="14"/>
        <v>-8.4210526315789522</v>
      </c>
      <c r="Y117" s="2">
        <f t="shared" si="15"/>
        <v>-2.7159420289855185E-2</v>
      </c>
      <c r="Z117" s="37">
        <f t="shared" si="12"/>
        <v>2.7438775510203897</v>
      </c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38"/>
      <c r="BI117" s="38"/>
      <c r="BJ117" s="38"/>
      <c r="BK117" s="38"/>
      <c r="BL117" s="38"/>
      <c r="BM117" s="38"/>
      <c r="BN117" s="38"/>
      <c r="BO117" s="38"/>
      <c r="BP117" s="38"/>
      <c r="BQ117" s="38"/>
      <c r="BR117" s="38"/>
      <c r="BS117" s="38"/>
      <c r="BT117" s="38"/>
      <c r="BU117" s="38"/>
      <c r="BV117" s="38"/>
      <c r="BW117" s="38"/>
      <c r="BX117" s="38"/>
      <c r="BY117" s="38"/>
      <c r="BZ117" s="38"/>
      <c r="CA117" s="38"/>
      <c r="CB117" s="38"/>
    </row>
    <row r="118" spans="1:80" x14ac:dyDescent="0.25">
      <c r="A118" t="s">
        <v>484</v>
      </c>
      <c r="B118" s="38">
        <v>141</v>
      </c>
      <c r="C118" s="38">
        <v>133</v>
      </c>
      <c r="D118" s="38">
        <v>70</v>
      </c>
      <c r="E118" s="38">
        <v>232</v>
      </c>
      <c r="F118" s="38">
        <v>160</v>
      </c>
      <c r="G118" s="38">
        <v>143</v>
      </c>
      <c r="H118" s="38">
        <v>103</v>
      </c>
      <c r="I118" s="104">
        <v>241</v>
      </c>
      <c r="J118" s="38">
        <v>199</v>
      </c>
      <c r="K118" s="38">
        <v>125</v>
      </c>
      <c r="L118" s="38">
        <v>98</v>
      </c>
      <c r="M118" s="104">
        <v>252</v>
      </c>
      <c r="N118" s="38">
        <v>156.488</v>
      </c>
      <c r="O118" s="38"/>
      <c r="P118" t="s">
        <v>484</v>
      </c>
      <c r="Q118" s="38"/>
      <c r="R118" s="38"/>
      <c r="S118" s="37">
        <f t="shared" si="13"/>
        <v>3.1201780025850834</v>
      </c>
      <c r="T118" s="38">
        <f t="shared" si="10"/>
        <v>686</v>
      </c>
      <c r="U118" s="38">
        <f t="shared" si="11"/>
        <v>674</v>
      </c>
      <c r="V118" s="38">
        <f t="shared" si="11"/>
        <v>631.48800000000006</v>
      </c>
      <c r="W118" t="s">
        <v>484</v>
      </c>
      <c r="X118" s="37">
        <f t="shared" si="14"/>
        <v>4.5643153526971014</v>
      </c>
      <c r="Y118" s="2">
        <f t="shared" si="15"/>
        <v>-7.9463556851311901E-2</v>
      </c>
      <c r="Z118" s="37">
        <f t="shared" si="12"/>
        <v>-6.3074183976261082</v>
      </c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38"/>
      <c r="BI118" s="38"/>
      <c r="BJ118" s="38"/>
      <c r="BK118" s="38"/>
      <c r="BL118" s="38"/>
      <c r="BM118" s="38"/>
      <c r="BN118" s="38"/>
      <c r="BO118" s="38"/>
      <c r="BP118" s="38"/>
      <c r="BQ118" s="38"/>
      <c r="BR118" s="38"/>
      <c r="BS118" s="38"/>
      <c r="BT118" s="38"/>
      <c r="BU118" s="38"/>
      <c r="BV118" s="38"/>
      <c r="BW118" s="38"/>
      <c r="BX118" s="38"/>
      <c r="BY118" s="38"/>
      <c r="BZ118" s="38"/>
      <c r="CA118" s="38"/>
      <c r="CB118" s="38"/>
    </row>
    <row r="119" spans="1:80" x14ac:dyDescent="0.25">
      <c r="A119" t="s">
        <v>485</v>
      </c>
      <c r="B119" s="38">
        <v>22</v>
      </c>
      <c r="C119" s="38">
        <v>8</v>
      </c>
      <c r="D119" s="38">
        <v>-57</v>
      </c>
      <c r="E119" s="38">
        <v>254</v>
      </c>
      <c r="F119" s="38">
        <v>78</v>
      </c>
      <c r="G119" s="38">
        <v>17</v>
      </c>
      <c r="H119" s="38">
        <v>-25</v>
      </c>
      <c r="I119" s="104">
        <v>218</v>
      </c>
      <c r="J119" s="38">
        <v>36</v>
      </c>
      <c r="K119" s="38">
        <v>198</v>
      </c>
      <c r="L119" s="38">
        <v>88</v>
      </c>
      <c r="M119" s="104">
        <v>145</v>
      </c>
      <c r="N119" s="38">
        <v>71.766000000000005</v>
      </c>
      <c r="O119" s="38"/>
      <c r="P119" t="s">
        <v>485</v>
      </c>
      <c r="Q119" s="38"/>
      <c r="R119" s="37"/>
      <c r="S119" s="37">
        <f t="shared" si="13"/>
        <v>-34.404859831434109</v>
      </c>
      <c r="T119" s="38">
        <f t="shared" si="10"/>
        <v>246</v>
      </c>
      <c r="U119" s="38">
        <f t="shared" si="11"/>
        <v>467</v>
      </c>
      <c r="V119" s="38">
        <f t="shared" si="11"/>
        <v>502.76600000000002</v>
      </c>
      <c r="W119" t="s">
        <v>485</v>
      </c>
      <c r="X119" s="37">
        <f t="shared" si="14"/>
        <v>-33.486238532110093</v>
      </c>
      <c r="Y119" s="2">
        <f t="shared" si="15"/>
        <v>1.0437642276422765</v>
      </c>
      <c r="Z119" s="37">
        <f t="shared" si="12"/>
        <v>7.6586723768736817</v>
      </c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38"/>
      <c r="BI119" s="38"/>
      <c r="BJ119" s="38"/>
      <c r="BK119" s="38"/>
      <c r="BL119" s="38"/>
      <c r="BM119" s="38"/>
      <c r="BN119" s="38"/>
      <c r="BO119" s="38"/>
      <c r="BP119" s="38"/>
      <c r="BQ119" s="38"/>
      <c r="BR119" s="38"/>
      <c r="BS119" s="38"/>
      <c r="BT119" s="38"/>
      <c r="BU119" s="38"/>
      <c r="BV119" s="38"/>
      <c r="BW119" s="38"/>
      <c r="BX119" s="38"/>
      <c r="BY119" s="38"/>
      <c r="BZ119" s="38"/>
      <c r="CA119" s="38"/>
      <c r="CB119" s="38"/>
    </row>
    <row r="120" spans="1:80" x14ac:dyDescent="0.25">
      <c r="A120" t="s">
        <v>488</v>
      </c>
      <c r="B120" s="38">
        <v>457</v>
      </c>
      <c r="C120" s="38">
        <v>320</v>
      </c>
      <c r="D120" s="38">
        <v>581</v>
      </c>
      <c r="E120" s="38">
        <v>643</v>
      </c>
      <c r="F120" s="38">
        <v>402</v>
      </c>
      <c r="G120" s="38">
        <v>347</v>
      </c>
      <c r="H120" s="38">
        <v>634</v>
      </c>
      <c r="I120" s="104">
        <v>505</v>
      </c>
      <c r="J120" s="38">
        <v>469</v>
      </c>
      <c r="K120" s="38">
        <v>359</v>
      </c>
      <c r="L120" s="38">
        <v>834</v>
      </c>
      <c r="M120" s="104">
        <v>461</v>
      </c>
      <c r="N120" s="38">
        <v>531.71199999999999</v>
      </c>
      <c r="O120" s="38"/>
      <c r="P120" t="s">
        <v>488</v>
      </c>
      <c r="Q120" s="38"/>
      <c r="R120" s="38"/>
      <c r="S120" s="37">
        <f t="shared" si="13"/>
        <v>-9.973637464519836</v>
      </c>
      <c r="T120" s="38">
        <f t="shared" si="10"/>
        <v>1955</v>
      </c>
      <c r="U120" s="38">
        <f t="shared" si="11"/>
        <v>2123</v>
      </c>
      <c r="V120" s="38">
        <f t="shared" si="11"/>
        <v>2185.712</v>
      </c>
      <c r="W120" t="s">
        <v>488</v>
      </c>
      <c r="X120" s="37">
        <f t="shared" si="14"/>
        <v>-8.71287128712871</v>
      </c>
      <c r="Y120" s="2">
        <f t="shared" si="15"/>
        <v>0.11801125319693084</v>
      </c>
      <c r="Z120" s="37">
        <f t="shared" si="12"/>
        <v>2.953933113518616</v>
      </c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38"/>
      <c r="BI120" s="38"/>
      <c r="BJ120" s="38"/>
      <c r="BK120" s="38"/>
      <c r="BL120" s="38"/>
      <c r="BM120" s="38"/>
      <c r="BN120" s="38"/>
      <c r="BO120" s="38"/>
      <c r="BP120" s="38"/>
      <c r="BQ120" s="38"/>
      <c r="BR120" s="38"/>
      <c r="BS120" s="38"/>
      <c r="BT120" s="38"/>
      <c r="BU120" s="38"/>
      <c r="BV120" s="38"/>
      <c r="BW120" s="38"/>
      <c r="BX120" s="38"/>
      <c r="BY120" s="38"/>
      <c r="BZ120" s="38"/>
      <c r="CA120" s="38"/>
      <c r="CB120" s="38"/>
    </row>
    <row r="121" spans="1:80" x14ac:dyDescent="0.25">
      <c r="A121" t="s">
        <v>487</v>
      </c>
      <c r="B121" s="38">
        <v>153</v>
      </c>
      <c r="C121" s="38">
        <v>166</v>
      </c>
      <c r="D121" s="38">
        <v>229</v>
      </c>
      <c r="E121" s="38">
        <v>333</v>
      </c>
      <c r="F121" s="38">
        <v>245</v>
      </c>
      <c r="G121" s="38">
        <v>152</v>
      </c>
      <c r="H121" s="38">
        <v>213</v>
      </c>
      <c r="I121" s="104">
        <v>342</v>
      </c>
      <c r="J121" s="38">
        <v>208</v>
      </c>
      <c r="K121" s="38">
        <v>145</v>
      </c>
      <c r="L121" s="38">
        <v>223</v>
      </c>
      <c r="M121" s="104">
        <v>313</v>
      </c>
      <c r="N121" s="38">
        <v>193.30500000000001</v>
      </c>
      <c r="O121" s="38"/>
      <c r="P121" t="s">
        <v>487</v>
      </c>
      <c r="Q121" s="38"/>
      <c r="R121" s="38"/>
      <c r="S121" s="37">
        <f t="shared" si="13"/>
        <v>-9.7435209868537047</v>
      </c>
      <c r="T121" s="38">
        <f t="shared" si="10"/>
        <v>915</v>
      </c>
      <c r="U121" s="38">
        <f t="shared" si="11"/>
        <v>889</v>
      </c>
      <c r="V121" s="38">
        <f t="shared" si="11"/>
        <v>874.30500000000006</v>
      </c>
      <c r="W121" t="s">
        <v>487</v>
      </c>
      <c r="X121" s="37">
        <f t="shared" si="14"/>
        <v>-8.4795321637426859</v>
      </c>
      <c r="Y121" s="2">
        <f t="shared" si="15"/>
        <v>-4.447540983606546E-2</v>
      </c>
      <c r="Z121" s="37">
        <f t="shared" si="12"/>
        <v>-1.6529808773903198</v>
      </c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38"/>
      <c r="BI121" s="38"/>
      <c r="BJ121" s="38"/>
      <c r="BK121" s="38"/>
      <c r="BL121" s="38"/>
      <c r="BM121" s="38"/>
      <c r="BN121" s="38"/>
      <c r="BO121" s="38"/>
      <c r="BP121" s="38"/>
      <c r="BQ121" s="38"/>
      <c r="BR121" s="38"/>
      <c r="BS121" s="38"/>
      <c r="BT121" s="38"/>
      <c r="BU121" s="38"/>
      <c r="BV121" s="38"/>
      <c r="BW121" s="38"/>
      <c r="BX121" s="38"/>
      <c r="BY121" s="38"/>
      <c r="BZ121" s="38"/>
      <c r="CA121" s="38"/>
      <c r="CB121" s="38"/>
    </row>
    <row r="122" spans="1:80" x14ac:dyDescent="0.25">
      <c r="A122" t="s">
        <v>486</v>
      </c>
      <c r="B122" s="38">
        <v>53</v>
      </c>
      <c r="C122" s="38">
        <v>56</v>
      </c>
      <c r="D122" s="38">
        <v>48</v>
      </c>
      <c r="E122" s="38">
        <v>75</v>
      </c>
      <c r="F122" s="38">
        <v>37</v>
      </c>
      <c r="G122" s="38">
        <v>34</v>
      </c>
      <c r="H122" s="38">
        <v>33</v>
      </c>
      <c r="I122" s="104">
        <v>68</v>
      </c>
      <c r="J122" s="38">
        <v>40</v>
      </c>
      <c r="K122" s="38">
        <v>39</v>
      </c>
      <c r="L122" s="38">
        <v>34</v>
      </c>
      <c r="M122" s="104">
        <v>70</v>
      </c>
      <c r="N122" s="38">
        <v>45.046999999999997</v>
      </c>
      <c r="O122" s="38"/>
      <c r="P122" t="s">
        <v>486</v>
      </c>
      <c r="Q122" s="38"/>
      <c r="R122" s="38"/>
      <c r="S122" s="37">
        <f t="shared" si="13"/>
        <v>1.5194562852246962</v>
      </c>
      <c r="T122" s="38">
        <f t="shared" si="10"/>
        <v>175</v>
      </c>
      <c r="U122" s="38">
        <f t="shared" si="11"/>
        <v>183</v>
      </c>
      <c r="V122" s="38">
        <f t="shared" si="11"/>
        <v>188.047</v>
      </c>
      <c r="W122" t="s">
        <v>486</v>
      </c>
      <c r="X122" s="37">
        <f t="shared" si="14"/>
        <v>2.9411764705882248</v>
      </c>
      <c r="Y122" s="2">
        <f t="shared" si="15"/>
        <v>7.4554285714285795E-2</v>
      </c>
      <c r="Z122" s="37">
        <f t="shared" si="12"/>
        <v>2.757923497267754</v>
      </c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38"/>
      <c r="BI122" s="38"/>
      <c r="BJ122" s="38"/>
      <c r="BK122" s="38"/>
      <c r="BL122" s="38"/>
      <c r="BM122" s="38"/>
      <c r="BN122" s="38"/>
      <c r="BO122" s="38"/>
      <c r="BP122" s="38"/>
      <c r="BQ122" s="38"/>
      <c r="BR122" s="38"/>
      <c r="BS122" s="38"/>
      <c r="BT122" s="38"/>
      <c r="BU122" s="38"/>
      <c r="BV122" s="38"/>
      <c r="BW122" s="38"/>
      <c r="BX122" s="38"/>
      <c r="BY122" s="38"/>
      <c r="BZ122" s="38"/>
      <c r="CA122" s="38"/>
      <c r="CB122" s="38"/>
    </row>
    <row r="123" spans="1:80" x14ac:dyDescent="0.25">
      <c r="A123" t="s">
        <v>489</v>
      </c>
      <c r="B123" s="38">
        <v>180</v>
      </c>
      <c r="C123" s="38">
        <v>197</v>
      </c>
      <c r="D123" s="38">
        <v>159</v>
      </c>
      <c r="E123" s="38">
        <v>298</v>
      </c>
      <c r="F123" s="38">
        <v>150</v>
      </c>
      <c r="G123" s="38">
        <v>251</v>
      </c>
      <c r="H123" s="38">
        <v>206</v>
      </c>
      <c r="I123" s="104">
        <v>291</v>
      </c>
      <c r="J123" s="38">
        <v>148</v>
      </c>
      <c r="K123" s="38">
        <v>191</v>
      </c>
      <c r="L123" s="38">
        <v>266</v>
      </c>
      <c r="M123" s="104">
        <v>258</v>
      </c>
      <c r="N123" s="38">
        <v>167.48699999999999</v>
      </c>
      <c r="O123" s="38"/>
      <c r="P123" t="s">
        <v>489</v>
      </c>
      <c r="Q123" s="38"/>
      <c r="R123" s="38"/>
      <c r="S123" s="37">
        <f t="shared" si="13"/>
        <v>-12.564686250958168</v>
      </c>
      <c r="T123" s="38">
        <f t="shared" si="10"/>
        <v>896</v>
      </c>
      <c r="U123" s="38">
        <f t="shared" si="11"/>
        <v>863</v>
      </c>
      <c r="V123" s="38">
        <f t="shared" si="11"/>
        <v>882.48699999999997</v>
      </c>
      <c r="W123" t="s">
        <v>489</v>
      </c>
      <c r="X123" s="37">
        <f t="shared" si="14"/>
        <v>-11.340206185567014</v>
      </c>
      <c r="Y123" s="2">
        <f t="shared" si="15"/>
        <v>-1.5081473214285768E-2</v>
      </c>
      <c r="Z123" s="37">
        <f t="shared" si="12"/>
        <v>2.2580533024333533</v>
      </c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38"/>
      <c r="BI123" s="38"/>
      <c r="BJ123" s="38"/>
      <c r="BK123" s="38"/>
      <c r="BL123" s="38"/>
      <c r="BM123" s="38"/>
      <c r="BN123" s="38"/>
      <c r="BO123" s="38"/>
      <c r="BP123" s="38"/>
      <c r="BQ123" s="38"/>
      <c r="BR123" s="38"/>
      <c r="BS123" s="38"/>
      <c r="BT123" s="38"/>
      <c r="BU123" s="38"/>
      <c r="BV123" s="38"/>
      <c r="BW123" s="38"/>
      <c r="BX123" s="38"/>
      <c r="BY123" s="38"/>
      <c r="BZ123" s="38"/>
      <c r="CA123" s="38"/>
      <c r="CB123" s="38"/>
    </row>
    <row r="124" spans="1:80" x14ac:dyDescent="0.25">
      <c r="A124" t="s">
        <v>490</v>
      </c>
      <c r="B124" s="38">
        <v>232</v>
      </c>
      <c r="C124" s="38">
        <v>228</v>
      </c>
      <c r="D124" s="38">
        <v>281</v>
      </c>
      <c r="E124" s="38">
        <v>325</v>
      </c>
      <c r="F124" s="38">
        <v>253</v>
      </c>
      <c r="G124" s="38">
        <v>284</v>
      </c>
      <c r="H124" s="38">
        <v>302</v>
      </c>
      <c r="I124" s="104">
        <v>384</v>
      </c>
      <c r="J124" s="38">
        <v>254</v>
      </c>
      <c r="K124" s="38">
        <v>349</v>
      </c>
      <c r="L124" s="38">
        <v>348</v>
      </c>
      <c r="M124" s="104">
        <v>364</v>
      </c>
      <c r="N124" s="38">
        <v>288.45299999999997</v>
      </c>
      <c r="O124" s="38"/>
      <c r="P124" t="s">
        <v>490</v>
      </c>
      <c r="Q124" s="38"/>
      <c r="R124" s="38"/>
      <c r="S124" s="37">
        <f t="shared" si="13"/>
        <v>-6.5175006706889249</v>
      </c>
      <c r="T124" s="38">
        <f t="shared" si="10"/>
        <v>1224</v>
      </c>
      <c r="U124" s="38">
        <f t="shared" si="11"/>
        <v>1315</v>
      </c>
      <c r="V124" s="38">
        <f t="shared" si="11"/>
        <v>1349.453</v>
      </c>
      <c r="W124" t="s">
        <v>490</v>
      </c>
      <c r="X124" s="37">
        <f t="shared" si="14"/>
        <v>-5.2083333333333375</v>
      </c>
      <c r="Y124" s="2">
        <f t="shared" si="15"/>
        <v>0.10249428104575165</v>
      </c>
      <c r="Z124" s="37">
        <f t="shared" si="12"/>
        <v>2.6200000000000045</v>
      </c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38"/>
      <c r="BI124" s="38"/>
      <c r="BJ124" s="38"/>
      <c r="BK124" s="38"/>
      <c r="BL124" s="38"/>
      <c r="BM124" s="38"/>
      <c r="BN124" s="38"/>
      <c r="BO124" s="38"/>
      <c r="BP124" s="38"/>
      <c r="BQ124" s="38"/>
      <c r="BR124" s="38"/>
      <c r="BS124" s="38"/>
      <c r="BT124" s="38"/>
      <c r="BU124" s="38"/>
      <c r="BV124" s="38"/>
      <c r="BW124" s="38"/>
      <c r="BX124" s="38"/>
      <c r="BY124" s="38"/>
      <c r="BZ124" s="38"/>
      <c r="CA124" s="38"/>
      <c r="CB124" s="38"/>
    </row>
    <row r="125" spans="1:80" x14ac:dyDescent="0.25">
      <c r="A125" t="s">
        <v>492</v>
      </c>
      <c r="B125" s="38">
        <v>65</v>
      </c>
      <c r="C125" s="38">
        <v>29</v>
      </c>
      <c r="D125" s="38">
        <v>7</v>
      </c>
      <c r="E125" s="38">
        <v>200</v>
      </c>
      <c r="F125" s="38">
        <v>81</v>
      </c>
      <c r="G125" s="38">
        <v>59</v>
      </c>
      <c r="H125" s="38">
        <v>43</v>
      </c>
      <c r="I125" s="104">
        <v>194</v>
      </c>
      <c r="J125" s="38">
        <v>99</v>
      </c>
      <c r="K125" s="38">
        <v>56</v>
      </c>
      <c r="L125" s="38">
        <v>36</v>
      </c>
      <c r="M125" s="104">
        <v>166</v>
      </c>
      <c r="N125" s="38">
        <v>105.703</v>
      </c>
      <c r="O125" s="38"/>
      <c r="P125" t="s">
        <v>492</v>
      </c>
      <c r="Q125" s="38"/>
      <c r="R125" s="38"/>
      <c r="S125" s="37">
        <f t="shared" si="13"/>
        <v>-15.61475533522707</v>
      </c>
      <c r="T125" s="38">
        <f t="shared" si="10"/>
        <v>395</v>
      </c>
      <c r="U125" s="38">
        <f t="shared" si="11"/>
        <v>357</v>
      </c>
      <c r="V125" s="38">
        <f t="shared" si="11"/>
        <v>363.70299999999997</v>
      </c>
      <c r="W125" t="s">
        <v>492</v>
      </c>
      <c r="X125" s="37">
        <f t="shared" si="14"/>
        <v>-14.432989690721653</v>
      </c>
      <c r="Y125" s="2">
        <f t="shared" si="15"/>
        <v>-7.9232911392405181E-2</v>
      </c>
      <c r="Z125" s="37">
        <f t="shared" si="12"/>
        <v>1.8775910364145574</v>
      </c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38"/>
      <c r="BI125" s="38"/>
      <c r="BJ125" s="38"/>
      <c r="BK125" s="38"/>
      <c r="BL125" s="38"/>
      <c r="BM125" s="38"/>
      <c r="BN125" s="38"/>
      <c r="BO125" s="38"/>
      <c r="BP125" s="38"/>
      <c r="BQ125" s="38"/>
      <c r="BR125" s="38"/>
      <c r="BS125" s="38"/>
      <c r="BT125" s="38"/>
      <c r="BU125" s="38"/>
      <c r="BV125" s="38"/>
      <c r="BW125" s="38"/>
      <c r="BX125" s="38"/>
      <c r="BY125" s="38"/>
      <c r="BZ125" s="38"/>
      <c r="CA125" s="38"/>
      <c r="CB125" s="38"/>
    </row>
    <row r="126" spans="1:80" x14ac:dyDescent="0.25">
      <c r="A126" t="s">
        <v>491</v>
      </c>
      <c r="B126" s="38">
        <v>68</v>
      </c>
      <c r="C126" s="38">
        <v>58</v>
      </c>
      <c r="D126" s="38">
        <v>187</v>
      </c>
      <c r="E126" s="38">
        <v>82</v>
      </c>
      <c r="F126" s="38">
        <v>67</v>
      </c>
      <c r="G126" s="38">
        <v>60</v>
      </c>
      <c r="H126" s="38">
        <v>159</v>
      </c>
      <c r="I126" s="104">
        <v>130</v>
      </c>
      <c r="J126" s="38">
        <v>107</v>
      </c>
      <c r="K126" s="38">
        <v>104</v>
      </c>
      <c r="L126" s="38">
        <v>193</v>
      </c>
      <c r="M126" s="104">
        <v>123</v>
      </c>
      <c r="N126" s="38">
        <v>107.113</v>
      </c>
      <c r="O126" s="38"/>
      <c r="P126" t="s">
        <v>491</v>
      </c>
      <c r="Q126" s="38"/>
      <c r="R126" s="38"/>
      <c r="S126" s="37">
        <f t="shared" si="13"/>
        <v>-6.6913480912506262</v>
      </c>
      <c r="T126" s="38">
        <f t="shared" si="10"/>
        <v>456</v>
      </c>
      <c r="U126" s="38">
        <f t="shared" si="11"/>
        <v>527</v>
      </c>
      <c r="V126" s="38">
        <f t="shared" si="11"/>
        <v>527.11300000000006</v>
      </c>
      <c r="W126" t="s">
        <v>491</v>
      </c>
      <c r="X126" s="37">
        <f t="shared" si="14"/>
        <v>-5.3846153846153877</v>
      </c>
      <c r="Y126" s="2">
        <f t="shared" si="15"/>
        <v>0.15594956140350891</v>
      </c>
      <c r="Z126" s="37">
        <f t="shared" si="12"/>
        <v>2.1442125237200571E-2</v>
      </c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38"/>
      <c r="BI126" s="38"/>
      <c r="BJ126" s="38"/>
      <c r="BK126" s="38"/>
      <c r="BL126" s="38"/>
      <c r="BM126" s="38"/>
      <c r="BN126" s="38"/>
      <c r="BO126" s="38"/>
      <c r="BP126" s="38"/>
      <c r="BQ126" s="38"/>
      <c r="BR126" s="38"/>
      <c r="BS126" s="38"/>
      <c r="BT126" s="38"/>
      <c r="BU126" s="38"/>
      <c r="BV126" s="38"/>
      <c r="BW126" s="38"/>
      <c r="BX126" s="38"/>
      <c r="BY126" s="38"/>
      <c r="BZ126" s="38"/>
      <c r="CA126" s="38"/>
      <c r="CB126" s="38"/>
    </row>
    <row r="127" spans="1:80" x14ac:dyDescent="0.25">
      <c r="A127" t="s">
        <v>493</v>
      </c>
      <c r="B127" s="38">
        <v>38</v>
      </c>
      <c r="C127" s="38">
        <v>33</v>
      </c>
      <c r="D127" s="38">
        <v>3</v>
      </c>
      <c r="E127" s="38">
        <v>58</v>
      </c>
      <c r="F127" s="38">
        <v>42</v>
      </c>
      <c r="G127" s="38">
        <v>41</v>
      </c>
      <c r="H127" s="38">
        <v>23</v>
      </c>
      <c r="I127" s="104">
        <v>65</v>
      </c>
      <c r="J127" s="38">
        <v>33</v>
      </c>
      <c r="K127" s="38">
        <v>28</v>
      </c>
      <c r="L127" s="38">
        <v>16</v>
      </c>
      <c r="M127" s="104">
        <v>73</v>
      </c>
      <c r="N127" s="38">
        <v>37.134</v>
      </c>
      <c r="O127" s="38"/>
      <c r="P127" t="s">
        <v>493</v>
      </c>
      <c r="Q127" s="38"/>
      <c r="R127" s="38"/>
      <c r="S127" s="37">
        <f t="shared" si="13"/>
        <v>10.756611208759415</v>
      </c>
      <c r="T127" s="38">
        <f t="shared" si="10"/>
        <v>162</v>
      </c>
      <c r="U127" s="38">
        <f t="shared" si="11"/>
        <v>150</v>
      </c>
      <c r="V127" s="38">
        <f t="shared" si="11"/>
        <v>154.13400000000001</v>
      </c>
      <c r="W127" t="s">
        <v>493</v>
      </c>
      <c r="X127" s="37">
        <f t="shared" si="14"/>
        <v>12.307692307692308</v>
      </c>
      <c r="Y127" s="2">
        <f t="shared" si="15"/>
        <v>-4.8555555555555463E-2</v>
      </c>
      <c r="Z127" s="37">
        <f t="shared" si="12"/>
        <v>2.7560000000000002</v>
      </c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38"/>
      <c r="BI127" s="38"/>
      <c r="BJ127" s="38"/>
      <c r="BK127" s="38"/>
      <c r="BL127" s="38"/>
      <c r="BM127" s="38"/>
      <c r="BN127" s="38"/>
      <c r="BO127" s="38"/>
      <c r="BP127" s="38"/>
      <c r="BQ127" s="38"/>
      <c r="BR127" s="38"/>
      <c r="BS127" s="38"/>
      <c r="BT127" s="38"/>
      <c r="BU127" s="38"/>
      <c r="BV127" s="38"/>
      <c r="BW127" s="38"/>
      <c r="BX127" s="38"/>
      <c r="BY127" s="38"/>
      <c r="BZ127" s="38"/>
      <c r="CA127" s="38"/>
      <c r="CB127" s="38"/>
    </row>
    <row r="128" spans="1:80" x14ac:dyDescent="0.25">
      <c r="A128" t="s">
        <v>474</v>
      </c>
      <c r="B128" s="38">
        <v>279</v>
      </c>
      <c r="C128" s="38">
        <v>226</v>
      </c>
      <c r="D128" s="38">
        <v>196</v>
      </c>
      <c r="E128" s="38">
        <v>519</v>
      </c>
      <c r="F128" s="38">
        <v>294</v>
      </c>
      <c r="G128" s="38">
        <v>203</v>
      </c>
      <c r="H128" s="38">
        <v>218</v>
      </c>
      <c r="I128" s="104">
        <v>570</v>
      </c>
      <c r="J128" s="38">
        <v>359</v>
      </c>
      <c r="K128" s="38">
        <v>227</v>
      </c>
      <c r="L128" s="38">
        <v>223</v>
      </c>
      <c r="M128" s="104">
        <v>551</v>
      </c>
      <c r="N128" s="38">
        <v>290.94400000000002</v>
      </c>
      <c r="O128" s="38"/>
      <c r="P128" t="s">
        <v>474</v>
      </c>
      <c r="Q128" s="38"/>
      <c r="R128" s="38"/>
      <c r="S128" s="37">
        <f t="shared" si="13"/>
        <v>-4.6683962883508956</v>
      </c>
      <c r="T128" s="38">
        <f t="shared" si="10"/>
        <v>1350</v>
      </c>
      <c r="U128" s="38">
        <f t="shared" si="11"/>
        <v>1360</v>
      </c>
      <c r="V128" s="38">
        <f t="shared" si="11"/>
        <v>1291.944</v>
      </c>
      <c r="W128" t="s">
        <v>474</v>
      </c>
      <c r="X128" s="37">
        <f t="shared" si="14"/>
        <v>-3.3333333333333326</v>
      </c>
      <c r="Y128" s="2">
        <f t="shared" si="15"/>
        <v>-4.3004444444444512E-2</v>
      </c>
      <c r="Z128" s="37">
        <f t="shared" si="12"/>
        <v>-5.0041176470588198</v>
      </c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38"/>
      <c r="BI128" s="38"/>
      <c r="BJ128" s="38"/>
      <c r="BK128" s="38"/>
      <c r="BL128" s="38"/>
      <c r="BM128" s="38"/>
      <c r="BN128" s="38"/>
      <c r="BO128" s="38"/>
      <c r="BP128" s="38"/>
      <c r="BQ128" s="38"/>
      <c r="BR128" s="38"/>
      <c r="BS128" s="38"/>
      <c r="BT128" s="38"/>
      <c r="BU128" s="38"/>
      <c r="BV128" s="38"/>
      <c r="BW128" s="38"/>
      <c r="BX128" s="38"/>
      <c r="BY128" s="38"/>
      <c r="BZ128" s="38"/>
      <c r="CA128" s="38"/>
      <c r="CB128" s="38"/>
    </row>
    <row r="129" spans="1:80" x14ac:dyDescent="0.25">
      <c r="A129" t="s">
        <v>473</v>
      </c>
      <c r="B129" s="38">
        <v>27</v>
      </c>
      <c r="C129" s="38">
        <v>41</v>
      </c>
      <c r="D129" s="38">
        <v>34</v>
      </c>
      <c r="E129" s="38">
        <v>114</v>
      </c>
      <c r="F129" s="38">
        <v>40</v>
      </c>
      <c r="G129" s="38">
        <v>38</v>
      </c>
      <c r="H129" s="38">
        <v>40</v>
      </c>
      <c r="I129" s="104">
        <v>107</v>
      </c>
      <c r="J129" s="38">
        <v>49</v>
      </c>
      <c r="K129" s="38">
        <v>54</v>
      </c>
      <c r="L129" s="38">
        <v>42</v>
      </c>
      <c r="M129" s="104">
        <v>106</v>
      </c>
      <c r="N129" s="38">
        <v>55.954999999999998</v>
      </c>
      <c r="O129" s="38"/>
      <c r="P129" t="s">
        <v>473</v>
      </c>
      <c r="Q129" s="38"/>
      <c r="R129" s="38"/>
      <c r="S129" s="37">
        <f t="shared" si="13"/>
        <v>-2.302771574913276</v>
      </c>
      <c r="T129" s="38">
        <f t="shared" si="10"/>
        <v>234</v>
      </c>
      <c r="U129" s="38">
        <f t="shared" si="11"/>
        <v>251</v>
      </c>
      <c r="V129" s="38">
        <f t="shared" si="11"/>
        <v>257.95499999999998</v>
      </c>
      <c r="W129" t="s">
        <v>473</v>
      </c>
      <c r="X129" s="37">
        <f t="shared" si="14"/>
        <v>-0.93457943925233655</v>
      </c>
      <c r="Y129" s="2">
        <f t="shared" si="15"/>
        <v>0.10237179487179482</v>
      </c>
      <c r="Z129" s="37">
        <f t="shared" si="12"/>
        <v>2.7709163346613508</v>
      </c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38"/>
      <c r="BI129" s="38"/>
      <c r="BJ129" s="38"/>
      <c r="BK129" s="38"/>
      <c r="BL129" s="38"/>
      <c r="BM129" s="38"/>
      <c r="BN129" s="38"/>
      <c r="BO129" s="38"/>
      <c r="BP129" s="38"/>
      <c r="BQ129" s="38"/>
      <c r="BR129" s="38"/>
      <c r="BS129" s="38"/>
      <c r="BT129" s="38"/>
      <c r="BU129" s="38"/>
      <c r="BV129" s="38"/>
      <c r="BW129" s="38"/>
      <c r="BX129" s="38"/>
      <c r="BY129" s="38"/>
      <c r="BZ129" s="38"/>
      <c r="CA129" s="38"/>
      <c r="CB129" s="38"/>
    </row>
    <row r="130" spans="1:80" x14ac:dyDescent="0.25">
      <c r="A130" t="s">
        <v>494</v>
      </c>
      <c r="B130" s="38">
        <v>50</v>
      </c>
      <c r="C130" s="38">
        <v>41</v>
      </c>
      <c r="D130" s="38">
        <v>67</v>
      </c>
      <c r="E130" s="38">
        <v>76</v>
      </c>
      <c r="F130" s="38">
        <v>50</v>
      </c>
      <c r="G130" s="38">
        <v>67</v>
      </c>
      <c r="H130" s="38">
        <v>69</v>
      </c>
      <c r="I130" s="104">
        <v>90</v>
      </c>
      <c r="J130" s="38">
        <v>66</v>
      </c>
      <c r="K130" s="38">
        <v>61</v>
      </c>
      <c r="L130" s="38">
        <v>83</v>
      </c>
      <c r="M130" s="104">
        <v>96</v>
      </c>
      <c r="N130" s="38">
        <v>85.405000000000001</v>
      </c>
      <c r="O130" s="38"/>
      <c r="P130" t="s">
        <v>494</v>
      </c>
      <c r="Q130" s="38"/>
      <c r="R130" s="38"/>
      <c r="S130" s="37">
        <f t="shared" si="13"/>
        <v>5.1934937507852164</v>
      </c>
      <c r="T130" s="38">
        <f t="shared" si="10"/>
        <v>292</v>
      </c>
      <c r="U130" s="38">
        <f t="shared" si="11"/>
        <v>306</v>
      </c>
      <c r="V130" s="38">
        <f t="shared" si="11"/>
        <v>325.40499999999997</v>
      </c>
      <c r="W130" t="s">
        <v>494</v>
      </c>
      <c r="X130" s="37">
        <f t="shared" si="14"/>
        <v>6.6666666666666652</v>
      </c>
      <c r="Y130" s="2">
        <f t="shared" si="15"/>
        <v>0.11440068493150668</v>
      </c>
      <c r="Z130" s="37">
        <f t="shared" si="12"/>
        <v>6.3415032679738488</v>
      </c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38"/>
      <c r="BI130" s="38"/>
      <c r="BJ130" s="38"/>
      <c r="BK130" s="38"/>
      <c r="BL130" s="38"/>
      <c r="BM130" s="38"/>
      <c r="BN130" s="38"/>
      <c r="BO130" s="38"/>
      <c r="BP130" s="38"/>
      <c r="BQ130" s="38"/>
      <c r="BR130" s="38"/>
      <c r="BS130" s="38"/>
      <c r="BT130" s="38"/>
      <c r="BU130" s="38"/>
      <c r="BV130" s="38"/>
      <c r="BW130" s="38"/>
      <c r="BX130" s="38"/>
      <c r="BY130" s="38"/>
      <c r="BZ130" s="38"/>
      <c r="CA130" s="38"/>
      <c r="CB130" s="38"/>
    </row>
    <row r="131" spans="1:80" x14ac:dyDescent="0.25">
      <c r="A131" t="s">
        <v>496</v>
      </c>
      <c r="B131" s="38">
        <v>124</v>
      </c>
      <c r="C131" s="38">
        <v>115</v>
      </c>
      <c r="D131" s="38">
        <v>114</v>
      </c>
      <c r="E131" s="38">
        <v>168</v>
      </c>
      <c r="F131" s="38">
        <v>124</v>
      </c>
      <c r="G131" s="38">
        <v>124</v>
      </c>
      <c r="H131" s="38">
        <v>121</v>
      </c>
      <c r="I131" s="104">
        <v>185</v>
      </c>
      <c r="J131" s="38">
        <v>138</v>
      </c>
      <c r="K131" s="38">
        <v>113</v>
      </c>
      <c r="L131" s="38">
        <v>123</v>
      </c>
      <c r="M131" s="104">
        <v>169</v>
      </c>
      <c r="N131" s="38">
        <v>129.928</v>
      </c>
      <c r="O131" s="38"/>
      <c r="P131" t="s">
        <v>496</v>
      </c>
      <c r="Q131" s="38"/>
      <c r="R131" s="38"/>
      <c r="S131" s="37">
        <f t="shared" si="13"/>
        <v>-9.9103018046484799</v>
      </c>
      <c r="T131" s="38">
        <f t="shared" si="10"/>
        <v>568</v>
      </c>
      <c r="U131" s="38">
        <f t="shared" si="11"/>
        <v>543</v>
      </c>
      <c r="V131" s="38">
        <f t="shared" si="11"/>
        <v>534.928</v>
      </c>
      <c r="W131" t="s">
        <v>496</v>
      </c>
      <c r="X131" s="37">
        <f t="shared" si="14"/>
        <v>-8.6486486486486491</v>
      </c>
      <c r="Y131" s="2">
        <f t="shared" si="15"/>
        <v>-5.8225352112676099E-2</v>
      </c>
      <c r="Z131" s="37">
        <f t="shared" si="12"/>
        <v>-1.4865561694290932</v>
      </c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38"/>
      <c r="BI131" s="38"/>
      <c r="BJ131" s="38"/>
      <c r="BK131" s="38"/>
      <c r="BL131" s="38"/>
      <c r="BM131" s="38"/>
      <c r="BN131" s="38"/>
      <c r="BO131" s="38"/>
      <c r="BP131" s="38"/>
      <c r="BQ131" s="38"/>
      <c r="BR131" s="38"/>
      <c r="BS131" s="38"/>
      <c r="BT131" s="38"/>
      <c r="BU131" s="38"/>
      <c r="BV131" s="38"/>
      <c r="BW131" s="38"/>
      <c r="BX131" s="38"/>
      <c r="BY131" s="38"/>
      <c r="BZ131" s="38"/>
      <c r="CA131" s="38"/>
      <c r="CB131" s="38"/>
    </row>
    <row r="132" spans="1:80" x14ac:dyDescent="0.25">
      <c r="A132" t="s">
        <v>497</v>
      </c>
      <c r="B132" s="38">
        <v>392</v>
      </c>
      <c r="C132" s="38">
        <v>494</v>
      </c>
      <c r="D132" s="38">
        <v>356</v>
      </c>
      <c r="E132" s="38">
        <v>687</v>
      </c>
      <c r="F132" s="38">
        <v>443</v>
      </c>
      <c r="G132" s="38">
        <v>460</v>
      </c>
      <c r="H132" s="38">
        <v>287</v>
      </c>
      <c r="I132" s="104">
        <v>1093</v>
      </c>
      <c r="J132" s="38">
        <v>423</v>
      </c>
      <c r="K132" s="38">
        <v>500</v>
      </c>
      <c r="L132" s="38">
        <v>447</v>
      </c>
      <c r="M132" s="104">
        <v>999</v>
      </c>
      <c r="N132" s="38">
        <v>525.08900000000006</v>
      </c>
      <c r="O132" s="38"/>
      <c r="P132" t="s">
        <v>497</v>
      </c>
      <c r="Q132" s="38"/>
      <c r="R132" s="38"/>
      <c r="S132" s="37">
        <f t="shared" si="13"/>
        <v>-9.8625054977403703</v>
      </c>
      <c r="T132" s="38">
        <f t="shared" si="10"/>
        <v>2263</v>
      </c>
      <c r="U132" s="38">
        <f t="shared" si="11"/>
        <v>2369</v>
      </c>
      <c r="V132" s="38">
        <f t="shared" si="11"/>
        <v>2471.0889999999999</v>
      </c>
      <c r="W132" t="s">
        <v>497</v>
      </c>
      <c r="X132" s="37">
        <f t="shared" si="14"/>
        <v>-8.6001829826166549</v>
      </c>
      <c r="Y132" s="2">
        <f t="shared" si="15"/>
        <v>9.1952717631462733E-2</v>
      </c>
      <c r="Z132" s="37">
        <f t="shared" si="12"/>
        <v>4.3093710426340266</v>
      </c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38"/>
      <c r="BI132" s="38"/>
      <c r="BJ132" s="38"/>
      <c r="BK132" s="38"/>
      <c r="BL132" s="38"/>
      <c r="BM132" s="38"/>
      <c r="BN132" s="38"/>
      <c r="BO132" s="38"/>
      <c r="BP132" s="38"/>
      <c r="BQ132" s="38"/>
      <c r="BR132" s="38"/>
      <c r="BS132" s="38"/>
      <c r="BT132" s="38"/>
      <c r="BU132" s="38"/>
      <c r="BV132" s="38"/>
      <c r="BW132" s="38"/>
      <c r="BX132" s="38"/>
      <c r="BY132" s="38"/>
      <c r="BZ132" s="38"/>
      <c r="CA132" s="38"/>
      <c r="CB132" s="38"/>
    </row>
    <row r="133" spans="1:80" x14ac:dyDescent="0.25">
      <c r="A133" t="s">
        <v>472</v>
      </c>
      <c r="B133" s="38">
        <v>2</v>
      </c>
      <c r="C133" s="38">
        <v>53</v>
      </c>
      <c r="D133" s="38">
        <v>63</v>
      </c>
      <c r="E133" s="38">
        <v>67</v>
      </c>
      <c r="F133" s="38">
        <v>3</v>
      </c>
      <c r="G133" s="38">
        <v>42</v>
      </c>
      <c r="H133" s="38">
        <v>72</v>
      </c>
      <c r="I133" s="104">
        <v>90</v>
      </c>
      <c r="J133" s="38">
        <v>63</v>
      </c>
      <c r="K133" s="38">
        <v>62</v>
      </c>
      <c r="L133" s="38">
        <v>41</v>
      </c>
      <c r="M133" s="104">
        <v>40</v>
      </c>
      <c r="N133" s="38">
        <v>71.724000000000004</v>
      </c>
      <c r="O133" s="38"/>
      <c r="P133" t="s">
        <v>472</v>
      </c>
      <c r="Q133" s="38"/>
      <c r="R133" s="38"/>
      <c r="S133" s="37">
        <f t="shared" si="13"/>
        <v>-56.169377603839486</v>
      </c>
      <c r="T133" s="38">
        <f t="shared" si="10"/>
        <v>267</v>
      </c>
      <c r="U133" s="38">
        <f t="shared" si="11"/>
        <v>206</v>
      </c>
      <c r="V133" s="38">
        <f t="shared" si="11"/>
        <v>214.72399999999999</v>
      </c>
      <c r="W133" t="s">
        <v>472</v>
      </c>
      <c r="X133" s="37">
        <f t="shared" si="14"/>
        <v>-55.555555555555557</v>
      </c>
      <c r="Y133" s="2">
        <f t="shared" si="15"/>
        <v>-0.19579026217228468</v>
      </c>
      <c r="Z133" s="37">
        <f t="shared" si="12"/>
        <v>4.2349514563106823</v>
      </c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38"/>
      <c r="BI133" s="38"/>
      <c r="BJ133" s="38"/>
      <c r="BK133" s="38"/>
      <c r="BL133" s="38"/>
      <c r="BM133" s="38"/>
      <c r="BN133" s="38"/>
      <c r="BO133" s="38"/>
      <c r="BP133" s="38"/>
      <c r="BQ133" s="38"/>
      <c r="BR133" s="38"/>
      <c r="BS133" s="38"/>
      <c r="BT133" s="38"/>
      <c r="BU133" s="38"/>
      <c r="BV133" s="38"/>
      <c r="BW133" s="38"/>
      <c r="BX133" s="38"/>
      <c r="BY133" s="38"/>
      <c r="BZ133" s="38"/>
      <c r="CA133" s="38"/>
      <c r="CB133" s="38"/>
    </row>
    <row r="134" spans="1:80" x14ac:dyDescent="0.25">
      <c r="A134" t="s">
        <v>498</v>
      </c>
      <c r="B134" s="38">
        <v>721</v>
      </c>
      <c r="C134" s="38">
        <v>1132</v>
      </c>
      <c r="D134" s="38">
        <v>1542</v>
      </c>
      <c r="E134" s="38">
        <v>1027</v>
      </c>
      <c r="F134" s="38">
        <v>922</v>
      </c>
      <c r="G134" s="38">
        <v>1191</v>
      </c>
      <c r="H134" s="38">
        <v>1781</v>
      </c>
      <c r="I134" s="104">
        <v>1205</v>
      </c>
      <c r="J134" s="38">
        <v>871</v>
      </c>
      <c r="K134" s="38">
        <v>879</v>
      </c>
      <c r="L134" s="38">
        <v>1205</v>
      </c>
      <c r="M134" s="104">
        <v>1601</v>
      </c>
      <c r="N134" s="38">
        <v>713.202</v>
      </c>
      <c r="O134" s="38"/>
      <c r="P134" t="s">
        <v>498</v>
      </c>
      <c r="Q134" s="38"/>
      <c r="R134" s="38"/>
      <c r="S134" s="37">
        <f t="shared" si="13"/>
        <v>31.028099192173599</v>
      </c>
      <c r="T134" s="38">
        <f t="shared" si="10"/>
        <v>5048</v>
      </c>
      <c r="U134" s="38">
        <f t="shared" si="11"/>
        <v>4556</v>
      </c>
      <c r="V134" s="38">
        <f t="shared" si="11"/>
        <v>4398.2020000000002</v>
      </c>
      <c r="W134" t="s">
        <v>498</v>
      </c>
      <c r="X134" s="37">
        <f t="shared" si="14"/>
        <v>32.863070539419084</v>
      </c>
      <c r="Y134" s="2">
        <f t="shared" si="15"/>
        <v>-0.12872385103011086</v>
      </c>
      <c r="Z134" s="37">
        <f t="shared" si="12"/>
        <v>-3.463520632133438</v>
      </c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38"/>
      <c r="BI134" s="38"/>
      <c r="BJ134" s="38"/>
      <c r="BK134" s="38"/>
      <c r="BL134" s="38"/>
      <c r="BM134" s="38"/>
      <c r="BN134" s="38"/>
      <c r="BO134" s="38"/>
      <c r="BP134" s="38"/>
      <c r="BQ134" s="38"/>
      <c r="BR134" s="38"/>
      <c r="BS134" s="38"/>
      <c r="BT134" s="38"/>
      <c r="BU134" s="38"/>
      <c r="BV134" s="38"/>
      <c r="BW134" s="38"/>
      <c r="BX134" s="38"/>
      <c r="BY134" s="38"/>
      <c r="BZ134" s="38"/>
      <c r="CA134" s="38"/>
      <c r="CB134" s="38"/>
    </row>
    <row r="135" spans="1:80" x14ac:dyDescent="0.25">
      <c r="A135" t="s">
        <v>499</v>
      </c>
      <c r="B135" s="38">
        <v>-4</v>
      </c>
      <c r="C135" s="38">
        <v>10</v>
      </c>
      <c r="D135" s="38">
        <v>86</v>
      </c>
      <c r="E135" s="38">
        <v>25</v>
      </c>
      <c r="F135" s="38">
        <v>47</v>
      </c>
      <c r="G135" s="38">
        <v>5</v>
      </c>
      <c r="H135" s="38">
        <v>151</v>
      </c>
      <c r="I135" s="104">
        <v>59</v>
      </c>
      <c r="J135" s="38">
        <v>2</v>
      </c>
      <c r="K135" s="38">
        <v>-21</v>
      </c>
      <c r="L135" s="38">
        <v>13</v>
      </c>
      <c r="M135" s="104">
        <v>6</v>
      </c>
      <c r="N135" s="38">
        <v>7.0869999999999997</v>
      </c>
      <c r="O135" s="38"/>
      <c r="P135" t="s">
        <v>499</v>
      </c>
      <c r="Q135" s="38"/>
      <c r="R135" s="38"/>
      <c r="S135" s="37">
        <f t="shared" si="13"/>
        <v>-89.97095928223446</v>
      </c>
      <c r="T135" s="38">
        <f t="shared" si="10"/>
        <v>217</v>
      </c>
      <c r="U135" s="38">
        <f t="shared" si="11"/>
        <v>0</v>
      </c>
      <c r="V135" s="38">
        <f t="shared" si="11"/>
        <v>5.0869999999999997</v>
      </c>
      <c r="W135" t="s">
        <v>499</v>
      </c>
      <c r="X135" s="37">
        <f t="shared" si="14"/>
        <v>-89.830508474576277</v>
      </c>
      <c r="Y135" s="2">
        <f t="shared" si="15"/>
        <v>-0.97655760368663591</v>
      </c>
      <c r="Z135" s="37" t="e">
        <f t="shared" si="12"/>
        <v>#DIV/0!</v>
      </c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38"/>
      <c r="BI135" s="38"/>
      <c r="BJ135" s="38"/>
      <c r="BK135" s="38"/>
      <c r="BL135" s="38"/>
      <c r="BM135" s="38"/>
      <c r="BN135" s="38"/>
      <c r="BO135" s="38"/>
      <c r="BP135" s="38"/>
      <c r="BQ135" s="38"/>
      <c r="BR135" s="38"/>
      <c r="BS135" s="38"/>
      <c r="BT135" s="38"/>
      <c r="BU135" s="38"/>
      <c r="BV135" s="38"/>
      <c r="BW135" s="38"/>
      <c r="BX135" s="38"/>
      <c r="BY135" s="38"/>
      <c r="BZ135" s="38"/>
      <c r="CA135" s="38"/>
      <c r="CB135" s="38"/>
    </row>
    <row r="136" spans="1:80" x14ac:dyDescent="0.25">
      <c r="A136" t="s">
        <v>500</v>
      </c>
      <c r="B136" s="38">
        <v>69</v>
      </c>
      <c r="C136" s="38">
        <v>87</v>
      </c>
      <c r="D136" s="38">
        <v>112</v>
      </c>
      <c r="E136" s="38">
        <v>177</v>
      </c>
      <c r="F136" s="38">
        <v>123</v>
      </c>
      <c r="G136" s="38">
        <v>112</v>
      </c>
      <c r="H136" s="38">
        <v>148</v>
      </c>
      <c r="I136" s="104">
        <v>202</v>
      </c>
      <c r="J136" s="38">
        <v>85</v>
      </c>
      <c r="K136" s="38">
        <v>56</v>
      </c>
      <c r="L136" s="38">
        <v>112</v>
      </c>
      <c r="M136" s="104">
        <v>144</v>
      </c>
      <c r="N136" s="38">
        <v>68.323999999999998</v>
      </c>
      <c r="O136" s="38"/>
      <c r="P136" t="s">
        <v>500</v>
      </c>
      <c r="Q136" s="38"/>
      <c r="R136" s="38"/>
      <c r="S136" s="37">
        <f t="shared" si="13"/>
        <v>-29.697417542792071</v>
      </c>
      <c r="T136" s="38">
        <f t="shared" ref="T136:T199" si="16">SUM(G136:J136)</f>
        <v>547</v>
      </c>
      <c r="U136" s="38">
        <f t="shared" ref="U136:V199" si="17">SUM(J136:M136)</f>
        <v>397</v>
      </c>
      <c r="V136" s="38">
        <f t="shared" si="17"/>
        <v>380.32400000000001</v>
      </c>
      <c r="W136" t="s">
        <v>500</v>
      </c>
      <c r="X136" s="37">
        <f t="shared" si="14"/>
        <v>-28.712871287128717</v>
      </c>
      <c r="Y136" s="2">
        <f t="shared" si="15"/>
        <v>-0.30470932358318092</v>
      </c>
      <c r="Z136" s="37">
        <f t="shared" ref="Z136:Z199" si="18">+V136/U136*100-100</f>
        <v>-4.2005037783375343</v>
      </c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38"/>
      <c r="BI136" s="38"/>
      <c r="BJ136" s="38"/>
      <c r="BK136" s="38"/>
      <c r="BL136" s="38"/>
      <c r="BM136" s="38"/>
      <c r="BN136" s="38"/>
      <c r="BO136" s="38"/>
      <c r="BP136" s="38"/>
      <c r="BQ136" s="38"/>
      <c r="BR136" s="38"/>
      <c r="BS136" s="38"/>
      <c r="BT136" s="38"/>
      <c r="BU136" s="38"/>
      <c r="BV136" s="38"/>
      <c r="BW136" s="38"/>
      <c r="BX136" s="38"/>
      <c r="BY136" s="38"/>
      <c r="BZ136" s="38"/>
      <c r="CA136" s="38"/>
      <c r="CB136" s="38"/>
    </row>
    <row r="137" spans="1:80" x14ac:dyDescent="0.25">
      <c r="A137" t="s">
        <v>501</v>
      </c>
      <c r="B137" s="38">
        <v>105</v>
      </c>
      <c r="C137" s="38">
        <v>90</v>
      </c>
      <c r="D137" s="38">
        <v>64</v>
      </c>
      <c r="E137" s="38">
        <v>174</v>
      </c>
      <c r="F137" s="38">
        <v>113</v>
      </c>
      <c r="G137" s="38">
        <v>93</v>
      </c>
      <c r="H137" s="38">
        <v>70</v>
      </c>
      <c r="I137" s="104">
        <v>191</v>
      </c>
      <c r="J137" s="38">
        <v>114</v>
      </c>
      <c r="K137" s="38">
        <v>103</v>
      </c>
      <c r="L137" s="38">
        <v>72</v>
      </c>
      <c r="M137" s="104">
        <v>175</v>
      </c>
      <c r="N137" s="38">
        <v>172.11099999999999</v>
      </c>
      <c r="O137" s="38"/>
      <c r="P137" t="s">
        <v>501</v>
      </c>
      <c r="Q137" s="38"/>
      <c r="R137" s="38"/>
      <c r="S137" s="37">
        <f t="shared" si="13"/>
        <v>-9.6423687513707002</v>
      </c>
      <c r="T137" s="38">
        <f t="shared" si="16"/>
        <v>468</v>
      </c>
      <c r="U137" s="38">
        <f t="shared" si="17"/>
        <v>464</v>
      </c>
      <c r="V137" s="38">
        <f t="shared" si="17"/>
        <v>522.11099999999999</v>
      </c>
      <c r="W137" t="s">
        <v>501</v>
      </c>
      <c r="X137" s="37">
        <f t="shared" si="14"/>
        <v>-8.3769633507853385</v>
      </c>
      <c r="Y137" s="2">
        <f t="shared" si="15"/>
        <v>0.1156217948717948</v>
      </c>
      <c r="Z137" s="37">
        <f t="shared" si="18"/>
        <v>12.523922413793102</v>
      </c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38"/>
      <c r="BI137" s="38"/>
      <c r="BJ137" s="38"/>
      <c r="BK137" s="38"/>
      <c r="BL137" s="38"/>
      <c r="BM137" s="38"/>
      <c r="BN137" s="38"/>
      <c r="BO137" s="38"/>
      <c r="BP137" s="38"/>
      <c r="BQ137" s="38"/>
      <c r="BR137" s="38"/>
      <c r="BS137" s="38"/>
      <c r="BT137" s="38"/>
      <c r="BU137" s="38"/>
      <c r="BV137" s="38"/>
      <c r="BW137" s="38"/>
      <c r="BX137" s="38"/>
      <c r="BY137" s="38"/>
      <c r="BZ137" s="38"/>
      <c r="CA137" s="38"/>
      <c r="CB137" s="38"/>
    </row>
    <row r="138" spans="1:80" x14ac:dyDescent="0.25">
      <c r="A138" t="s">
        <v>502</v>
      </c>
      <c r="B138" s="38">
        <v>385</v>
      </c>
      <c r="C138" s="38">
        <v>289</v>
      </c>
      <c r="D138" s="38">
        <v>399</v>
      </c>
      <c r="E138" s="38">
        <v>765</v>
      </c>
      <c r="F138" s="38">
        <v>401</v>
      </c>
      <c r="G138" s="38">
        <v>515</v>
      </c>
      <c r="H138" s="38">
        <v>445</v>
      </c>
      <c r="I138" s="104">
        <v>847</v>
      </c>
      <c r="J138" s="38">
        <v>392</v>
      </c>
      <c r="K138" s="38">
        <v>575</v>
      </c>
      <c r="L138" s="38">
        <v>513</v>
      </c>
      <c r="M138" s="104">
        <v>821</v>
      </c>
      <c r="N138" s="38">
        <v>516.74</v>
      </c>
      <c r="O138" s="38"/>
      <c r="P138" t="s">
        <v>502</v>
      </c>
      <c r="Q138" s="38"/>
      <c r="R138" s="38"/>
      <c r="S138" s="37">
        <f t="shared" si="13"/>
        <v>-4.4083621944421614</v>
      </c>
      <c r="T138" s="38">
        <f t="shared" si="16"/>
        <v>2199</v>
      </c>
      <c r="U138" s="38">
        <f t="shared" si="17"/>
        <v>2301</v>
      </c>
      <c r="V138" s="38">
        <f t="shared" si="17"/>
        <v>2425.7399999999998</v>
      </c>
      <c r="W138" t="s">
        <v>502</v>
      </c>
      <c r="X138" s="37">
        <f t="shared" si="14"/>
        <v>-3.0696576151121646</v>
      </c>
      <c r="Y138" s="2">
        <f t="shared" si="15"/>
        <v>0.10311050477489747</v>
      </c>
      <c r="Z138" s="37">
        <f t="shared" si="18"/>
        <v>5.421121251629728</v>
      </c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38"/>
      <c r="BI138" s="38"/>
      <c r="BJ138" s="38"/>
      <c r="BK138" s="38"/>
      <c r="BL138" s="38"/>
      <c r="BM138" s="38"/>
      <c r="BN138" s="38"/>
      <c r="BO138" s="38"/>
      <c r="BP138" s="38"/>
      <c r="BQ138" s="38"/>
      <c r="BR138" s="38"/>
      <c r="BS138" s="38"/>
      <c r="BT138" s="38"/>
      <c r="BU138" s="38"/>
      <c r="BV138" s="38"/>
      <c r="BW138" s="38"/>
      <c r="BX138" s="38"/>
      <c r="BY138" s="38"/>
      <c r="BZ138" s="38"/>
      <c r="CA138" s="38"/>
      <c r="CB138" s="38"/>
    </row>
    <row r="139" spans="1:80" x14ac:dyDescent="0.25">
      <c r="A139" t="s">
        <v>503</v>
      </c>
      <c r="B139" s="38">
        <v>18</v>
      </c>
      <c r="C139" s="38">
        <v>11</v>
      </c>
      <c r="D139" s="38">
        <v>56</v>
      </c>
      <c r="E139" s="38">
        <v>51</v>
      </c>
      <c r="F139" s="38">
        <v>21</v>
      </c>
      <c r="G139" s="38">
        <v>29</v>
      </c>
      <c r="H139" s="38">
        <v>47</v>
      </c>
      <c r="I139" s="104">
        <v>47</v>
      </c>
      <c r="J139" s="38">
        <v>19</v>
      </c>
      <c r="K139" s="38">
        <v>6</v>
      </c>
      <c r="L139" s="38">
        <v>53</v>
      </c>
      <c r="M139" s="104">
        <v>43</v>
      </c>
      <c r="N139" s="38">
        <v>14.302</v>
      </c>
      <c r="O139" s="38"/>
      <c r="P139" t="s">
        <v>503</v>
      </c>
      <c r="Q139" s="38"/>
      <c r="R139" s="38"/>
      <c r="S139" s="37">
        <f t="shared" si="13"/>
        <v>-9.7741975142866302</v>
      </c>
      <c r="T139" s="38">
        <f t="shared" si="16"/>
        <v>142</v>
      </c>
      <c r="U139" s="38">
        <f t="shared" si="17"/>
        <v>121</v>
      </c>
      <c r="V139" s="38">
        <f t="shared" si="17"/>
        <v>116.30199999999999</v>
      </c>
      <c r="W139" t="s">
        <v>503</v>
      </c>
      <c r="X139" s="37">
        <f t="shared" si="14"/>
        <v>-8.5106382978723421</v>
      </c>
      <c r="Y139" s="2">
        <f t="shared" si="15"/>
        <v>-0.18097183098591552</v>
      </c>
      <c r="Z139" s="37">
        <f t="shared" si="18"/>
        <v>-3.8826446280991718</v>
      </c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38"/>
      <c r="BI139" s="38"/>
      <c r="BJ139" s="38"/>
      <c r="BK139" s="38"/>
      <c r="BL139" s="38"/>
      <c r="BM139" s="38"/>
      <c r="BN139" s="38"/>
      <c r="BO139" s="38"/>
      <c r="BP139" s="38"/>
      <c r="BQ139" s="38"/>
      <c r="BR139" s="38"/>
      <c r="BS139" s="38"/>
      <c r="BT139" s="38"/>
      <c r="BU139" s="38"/>
      <c r="BV139" s="38"/>
      <c r="BW139" s="38"/>
      <c r="BX139" s="38"/>
      <c r="BY139" s="38"/>
      <c r="BZ139" s="38"/>
      <c r="CA139" s="38"/>
      <c r="CB139" s="38"/>
    </row>
    <row r="140" spans="1:80" x14ac:dyDescent="0.25">
      <c r="A140" t="s">
        <v>504</v>
      </c>
      <c r="B140" s="38">
        <v>35</v>
      </c>
      <c r="C140" s="38">
        <v>43</v>
      </c>
      <c r="D140" s="38">
        <v>60</v>
      </c>
      <c r="E140" s="38">
        <v>90</v>
      </c>
      <c r="F140" s="38">
        <v>82</v>
      </c>
      <c r="G140" s="38">
        <v>58</v>
      </c>
      <c r="H140" s="38">
        <v>105</v>
      </c>
      <c r="I140" s="104">
        <v>141</v>
      </c>
      <c r="J140" s="38">
        <v>73</v>
      </c>
      <c r="K140" s="38">
        <v>59</v>
      </c>
      <c r="L140" s="38">
        <v>108</v>
      </c>
      <c r="M140" s="104">
        <v>117</v>
      </c>
      <c r="N140" s="38">
        <v>89.203999999999994</v>
      </c>
      <c r="O140" s="38"/>
      <c r="P140" t="s">
        <v>504</v>
      </c>
      <c r="Q140" s="38"/>
      <c r="R140" s="38"/>
      <c r="S140" s="37">
        <f t="shared" si="13"/>
        <v>-18.167295419934383</v>
      </c>
      <c r="T140" s="38">
        <f t="shared" si="16"/>
        <v>377</v>
      </c>
      <c r="U140" s="38">
        <f t="shared" si="17"/>
        <v>357</v>
      </c>
      <c r="V140" s="38">
        <f t="shared" si="17"/>
        <v>373.20400000000001</v>
      </c>
      <c r="W140" t="s">
        <v>504</v>
      </c>
      <c r="X140" s="37">
        <f t="shared" si="14"/>
        <v>-17.021276595744684</v>
      </c>
      <c r="Y140" s="2">
        <f t="shared" si="15"/>
        <v>-1.0068965517241346E-2</v>
      </c>
      <c r="Z140" s="37">
        <f t="shared" si="18"/>
        <v>4.5389355742296829</v>
      </c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38"/>
      <c r="BI140" s="38"/>
      <c r="BJ140" s="38"/>
      <c r="BK140" s="38"/>
      <c r="BL140" s="38"/>
      <c r="BM140" s="38"/>
      <c r="BN140" s="38"/>
      <c r="BO140" s="38"/>
      <c r="BP140" s="38"/>
      <c r="BQ140" s="38"/>
      <c r="BR140" s="38"/>
      <c r="BS140" s="38"/>
      <c r="BT140" s="38"/>
      <c r="BU140" s="38"/>
      <c r="BV140" s="38"/>
      <c r="BW140" s="38"/>
      <c r="BX140" s="38"/>
      <c r="BY140" s="38"/>
      <c r="BZ140" s="38"/>
      <c r="CA140" s="38"/>
      <c r="CB140" s="38"/>
    </row>
    <row r="141" spans="1:80" x14ac:dyDescent="0.25">
      <c r="A141" t="s">
        <v>505</v>
      </c>
      <c r="B141" s="38">
        <v>29</v>
      </c>
      <c r="C141" s="38">
        <v>4</v>
      </c>
      <c r="D141" s="38">
        <v>13</v>
      </c>
      <c r="E141" s="38">
        <v>13</v>
      </c>
      <c r="F141" s="38">
        <v>11</v>
      </c>
      <c r="G141" s="38">
        <v>5</v>
      </c>
      <c r="H141" s="38">
        <v>5</v>
      </c>
      <c r="I141" s="104">
        <v>16</v>
      </c>
      <c r="J141" s="38">
        <v>6</v>
      </c>
      <c r="K141" s="38">
        <v>6</v>
      </c>
      <c r="L141" s="38">
        <v>6</v>
      </c>
      <c r="M141" s="104">
        <v>7</v>
      </c>
      <c r="N141" s="38">
        <v>6.3789999999999996</v>
      </c>
      <c r="O141" s="38"/>
      <c r="P141" t="s">
        <v>505</v>
      </c>
      <c r="Q141" s="38"/>
      <c r="R141" s="38"/>
      <c r="S141" s="37">
        <f t="shared" si="13"/>
        <v>-56.854231078779506</v>
      </c>
      <c r="T141" s="38">
        <f t="shared" si="16"/>
        <v>32</v>
      </c>
      <c r="U141" s="38">
        <f t="shared" si="17"/>
        <v>25</v>
      </c>
      <c r="V141" s="38">
        <f t="shared" si="17"/>
        <v>25.378999999999998</v>
      </c>
      <c r="W141" t="s">
        <v>505</v>
      </c>
      <c r="X141" s="37">
        <f t="shared" si="14"/>
        <v>-56.25</v>
      </c>
      <c r="Y141" s="2">
        <f t="shared" si="15"/>
        <v>-0.20690625000000007</v>
      </c>
      <c r="Z141" s="37">
        <f t="shared" si="18"/>
        <v>1.5159999999999911</v>
      </c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38"/>
      <c r="BI141" s="38"/>
      <c r="BJ141" s="38"/>
      <c r="BK141" s="38"/>
      <c r="BL141" s="38"/>
      <c r="BM141" s="38"/>
      <c r="BN141" s="38"/>
      <c r="BO141" s="38"/>
      <c r="BP141" s="38"/>
      <c r="BQ141" s="38"/>
      <c r="BR141" s="38"/>
      <c r="BS141" s="38"/>
      <c r="BT141" s="38"/>
      <c r="BU141" s="38"/>
      <c r="BV141" s="38"/>
      <c r="BW141" s="38"/>
      <c r="BX141" s="38"/>
      <c r="BY141" s="38"/>
      <c r="BZ141" s="38"/>
      <c r="CA141" s="38"/>
      <c r="CB141" s="38"/>
    </row>
    <row r="142" spans="1:80" x14ac:dyDescent="0.25">
      <c r="A142" t="s">
        <v>506</v>
      </c>
      <c r="B142" s="38">
        <v>229</v>
      </c>
      <c r="C142" s="38">
        <v>220</v>
      </c>
      <c r="D142" s="38">
        <v>256</v>
      </c>
      <c r="E142" s="38">
        <v>522</v>
      </c>
      <c r="F142" s="38">
        <v>256</v>
      </c>
      <c r="G142" s="38">
        <v>214</v>
      </c>
      <c r="H142" s="38">
        <v>274</v>
      </c>
      <c r="I142" s="104">
        <v>545</v>
      </c>
      <c r="J142" s="38">
        <v>267</v>
      </c>
      <c r="K142" s="38">
        <v>162</v>
      </c>
      <c r="L142" s="38">
        <v>222</v>
      </c>
      <c r="M142" s="104">
        <v>526</v>
      </c>
      <c r="N142" s="38">
        <v>290.54599999999999</v>
      </c>
      <c r="O142" s="38"/>
      <c r="P142" t="s">
        <v>506</v>
      </c>
      <c r="Q142" s="38"/>
      <c r="R142" s="38"/>
      <c r="S142" s="37">
        <f t="shared" si="13"/>
        <v>-4.8191897140257733</v>
      </c>
      <c r="T142" s="38">
        <f t="shared" si="16"/>
        <v>1300</v>
      </c>
      <c r="U142" s="38">
        <f t="shared" si="17"/>
        <v>1177</v>
      </c>
      <c r="V142" s="38">
        <f t="shared" si="17"/>
        <v>1200.546</v>
      </c>
      <c r="W142" t="s">
        <v>506</v>
      </c>
      <c r="X142" s="37">
        <f t="shared" si="14"/>
        <v>-3.4862385321100864</v>
      </c>
      <c r="Y142" s="2">
        <f t="shared" si="15"/>
        <v>-7.6503076923076896E-2</v>
      </c>
      <c r="Z142" s="37">
        <f t="shared" si="18"/>
        <v>2.0005097706032444</v>
      </c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38"/>
      <c r="BI142" s="38"/>
      <c r="BJ142" s="38"/>
      <c r="BK142" s="38"/>
      <c r="BL142" s="38"/>
      <c r="BM142" s="38"/>
      <c r="BN142" s="38"/>
      <c r="BO142" s="38"/>
      <c r="BP142" s="38"/>
      <c r="BQ142" s="38"/>
      <c r="BR142" s="38"/>
      <c r="BS142" s="38"/>
      <c r="BT142" s="38"/>
      <c r="BU142" s="38"/>
      <c r="BV142" s="38"/>
      <c r="BW142" s="38"/>
      <c r="BX142" s="38"/>
      <c r="BY142" s="38"/>
      <c r="BZ142" s="38"/>
      <c r="CA142" s="38"/>
      <c r="CB142" s="38"/>
    </row>
    <row r="143" spans="1:80" x14ac:dyDescent="0.25">
      <c r="A143" t="s">
        <v>508</v>
      </c>
      <c r="B143" s="38">
        <v>58</v>
      </c>
      <c r="C143" s="38">
        <v>27</v>
      </c>
      <c r="D143" s="38">
        <v>47</v>
      </c>
      <c r="E143" s="38">
        <v>127</v>
      </c>
      <c r="F143" s="38">
        <v>68</v>
      </c>
      <c r="G143" s="38">
        <v>59</v>
      </c>
      <c r="H143" s="38">
        <v>63</v>
      </c>
      <c r="I143" s="104">
        <v>140</v>
      </c>
      <c r="J143" s="38">
        <v>56</v>
      </c>
      <c r="K143" s="38">
        <v>48</v>
      </c>
      <c r="L143" s="38">
        <v>58</v>
      </c>
      <c r="M143" s="104">
        <v>158</v>
      </c>
      <c r="N143" s="38">
        <v>90.551000000000002</v>
      </c>
      <c r="O143" s="38"/>
      <c r="P143" t="s">
        <v>508</v>
      </c>
      <c r="Q143" s="38"/>
      <c r="R143" s="38"/>
      <c r="S143" s="37">
        <f t="shared" si="13"/>
        <v>11.298473298821854</v>
      </c>
      <c r="T143" s="38">
        <f t="shared" si="16"/>
        <v>318</v>
      </c>
      <c r="U143" s="38">
        <f t="shared" si="17"/>
        <v>320</v>
      </c>
      <c r="V143" s="38">
        <f t="shared" si="17"/>
        <v>354.55099999999999</v>
      </c>
      <c r="W143" t="s">
        <v>508</v>
      </c>
      <c r="X143" s="37">
        <f t="shared" si="14"/>
        <v>12.857142857142856</v>
      </c>
      <c r="Y143" s="2">
        <f t="shared" si="15"/>
        <v>0.11494025157232701</v>
      </c>
      <c r="Z143" s="37">
        <f t="shared" si="18"/>
        <v>10.797187500000007</v>
      </c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38"/>
      <c r="BI143" s="38"/>
      <c r="BJ143" s="38"/>
      <c r="BK143" s="38"/>
      <c r="BL143" s="38"/>
      <c r="BM143" s="38"/>
      <c r="BN143" s="38"/>
      <c r="BO143" s="38"/>
      <c r="BP143" s="38"/>
      <c r="BQ143" s="38"/>
      <c r="BR143" s="38"/>
      <c r="BS143" s="38"/>
      <c r="BT143" s="38"/>
      <c r="BU143" s="38"/>
      <c r="BV143" s="38"/>
      <c r="BW143" s="38"/>
      <c r="BX143" s="38"/>
      <c r="BY143" s="38"/>
      <c r="BZ143" s="38"/>
      <c r="CA143" s="38"/>
      <c r="CB143" s="38"/>
    </row>
    <row r="144" spans="1:80" x14ac:dyDescent="0.25">
      <c r="A144" t="s">
        <v>510</v>
      </c>
      <c r="B144" s="38">
        <v>186</v>
      </c>
      <c r="C144" s="38">
        <v>137</v>
      </c>
      <c r="D144" s="38">
        <v>150</v>
      </c>
      <c r="E144" s="38">
        <v>366</v>
      </c>
      <c r="F144" s="38">
        <v>162</v>
      </c>
      <c r="G144" s="38">
        <v>206</v>
      </c>
      <c r="H144" s="38">
        <v>63</v>
      </c>
      <c r="I144" s="104">
        <v>341</v>
      </c>
      <c r="J144" s="38">
        <v>198</v>
      </c>
      <c r="K144" s="38">
        <v>95</v>
      </c>
      <c r="L144" s="38">
        <v>121</v>
      </c>
      <c r="M144" s="104">
        <v>327</v>
      </c>
      <c r="N144" s="38">
        <v>223.209</v>
      </c>
      <c r="O144" s="38"/>
      <c r="P144" t="s">
        <v>510</v>
      </c>
      <c r="Q144" s="38"/>
      <c r="R144" s="38"/>
      <c r="S144" s="37">
        <f t="shared" si="13"/>
        <v>-5.4299694194278931</v>
      </c>
      <c r="T144" s="38">
        <f t="shared" si="16"/>
        <v>808</v>
      </c>
      <c r="U144" s="38">
        <f t="shared" si="17"/>
        <v>741</v>
      </c>
      <c r="V144" s="38">
        <f t="shared" si="17"/>
        <v>766.20900000000006</v>
      </c>
      <c r="W144" t="s">
        <v>510</v>
      </c>
      <c r="X144" s="37">
        <f t="shared" si="14"/>
        <v>-4.1055718475073277</v>
      </c>
      <c r="Y144" s="2">
        <f t="shared" si="15"/>
        <v>-5.1721534653465295E-2</v>
      </c>
      <c r="Z144" s="37">
        <f t="shared" si="18"/>
        <v>3.4020242914979804</v>
      </c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38"/>
      <c r="BI144" s="38"/>
      <c r="BJ144" s="38"/>
      <c r="BK144" s="38"/>
      <c r="BL144" s="38"/>
      <c r="BM144" s="38"/>
      <c r="BN144" s="38"/>
      <c r="BO144" s="38"/>
      <c r="BP144" s="38"/>
      <c r="BQ144" s="38"/>
      <c r="BR144" s="38"/>
      <c r="BS144" s="38"/>
      <c r="BT144" s="38"/>
      <c r="BU144" s="38"/>
      <c r="BV144" s="38"/>
      <c r="BW144" s="38"/>
      <c r="BX144" s="38"/>
      <c r="BY144" s="38"/>
      <c r="BZ144" s="38"/>
      <c r="CA144" s="38"/>
      <c r="CB144" s="38"/>
    </row>
    <row r="145" spans="1:80" x14ac:dyDescent="0.25">
      <c r="A145" t="s">
        <v>509</v>
      </c>
      <c r="B145" s="38">
        <v>25</v>
      </c>
      <c r="C145" s="38">
        <v>19</v>
      </c>
      <c r="D145" s="38">
        <v>22</v>
      </c>
      <c r="E145" s="38">
        <v>31</v>
      </c>
      <c r="F145" s="38">
        <v>24</v>
      </c>
      <c r="G145" s="38">
        <v>30</v>
      </c>
      <c r="H145" s="38">
        <v>25</v>
      </c>
      <c r="I145" s="104">
        <v>26</v>
      </c>
      <c r="J145" s="38">
        <v>23</v>
      </c>
      <c r="K145" s="38">
        <v>19</v>
      </c>
      <c r="L145" s="38">
        <v>29</v>
      </c>
      <c r="M145" s="104">
        <v>35</v>
      </c>
      <c r="N145" s="38">
        <v>29.053000000000001</v>
      </c>
      <c r="O145" s="38"/>
      <c r="P145" t="s">
        <v>509</v>
      </c>
      <c r="Q145" s="38"/>
      <c r="R145" s="38"/>
      <c r="S145" s="37">
        <f t="shared" si="13"/>
        <v>32.756212065293845</v>
      </c>
      <c r="T145" s="38">
        <f t="shared" si="16"/>
        <v>104</v>
      </c>
      <c r="U145" s="38">
        <f t="shared" si="17"/>
        <v>106</v>
      </c>
      <c r="V145" s="38">
        <f t="shared" si="17"/>
        <v>112.053</v>
      </c>
      <c r="W145" t="s">
        <v>509</v>
      </c>
      <c r="X145" s="37">
        <f t="shared" si="14"/>
        <v>34.615384615384627</v>
      </c>
      <c r="Y145" s="2">
        <f t="shared" si="15"/>
        <v>7.743269230769223E-2</v>
      </c>
      <c r="Z145" s="37">
        <f t="shared" si="18"/>
        <v>5.7103773584905611</v>
      </c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38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  <c r="BZ145" s="38"/>
      <c r="CA145" s="38"/>
      <c r="CB145" s="38"/>
    </row>
    <row r="146" spans="1:80" x14ac:dyDescent="0.25">
      <c r="A146" t="s">
        <v>513</v>
      </c>
      <c r="B146" s="38">
        <v>219</v>
      </c>
      <c r="C146" s="38">
        <v>160</v>
      </c>
      <c r="D146" s="38">
        <v>245</v>
      </c>
      <c r="E146" s="38">
        <v>311</v>
      </c>
      <c r="F146" s="38">
        <v>192</v>
      </c>
      <c r="G146" s="38">
        <v>184</v>
      </c>
      <c r="H146" s="38">
        <v>279</v>
      </c>
      <c r="I146" s="104">
        <v>301</v>
      </c>
      <c r="J146" s="38">
        <v>239</v>
      </c>
      <c r="K146" s="38">
        <v>219</v>
      </c>
      <c r="L146" s="38">
        <v>238</v>
      </c>
      <c r="M146" s="104">
        <v>283</v>
      </c>
      <c r="N146" s="38">
        <v>236.69499999999999</v>
      </c>
      <c r="O146" s="38"/>
      <c r="P146" t="s">
        <v>513</v>
      </c>
      <c r="Q146" s="38"/>
      <c r="R146" s="38"/>
      <c r="S146" s="37">
        <f t="shared" si="13"/>
        <v>-7.2785753795508334</v>
      </c>
      <c r="T146" s="38">
        <f t="shared" si="16"/>
        <v>1003</v>
      </c>
      <c r="U146" s="38">
        <f t="shared" si="17"/>
        <v>979</v>
      </c>
      <c r="V146" s="38">
        <f t="shared" si="17"/>
        <v>976.69499999999994</v>
      </c>
      <c r="W146" t="s">
        <v>513</v>
      </c>
      <c r="X146" s="37">
        <f t="shared" si="14"/>
        <v>-5.980066445182719</v>
      </c>
      <c r="Y146" s="2">
        <f t="shared" si="15"/>
        <v>-2.6226321036889377E-2</v>
      </c>
      <c r="Z146" s="37">
        <f t="shared" si="18"/>
        <v>-0.23544433094994588</v>
      </c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38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  <c r="BZ146" s="38"/>
      <c r="CA146" s="38"/>
      <c r="CB146" s="38"/>
    </row>
    <row r="147" spans="1:80" x14ac:dyDescent="0.25">
      <c r="A147" t="s">
        <v>512</v>
      </c>
      <c r="B147" s="38">
        <v>75</v>
      </c>
      <c r="C147" s="38">
        <v>29</v>
      </c>
      <c r="D147" s="38">
        <v>7</v>
      </c>
      <c r="E147" s="38">
        <v>82</v>
      </c>
      <c r="F147" s="38">
        <v>68</v>
      </c>
      <c r="G147" s="38">
        <v>60</v>
      </c>
      <c r="H147" s="38">
        <v>34</v>
      </c>
      <c r="I147" s="104">
        <v>79</v>
      </c>
      <c r="J147" s="38">
        <v>61</v>
      </c>
      <c r="K147" s="38">
        <v>52</v>
      </c>
      <c r="L147" s="38">
        <v>32</v>
      </c>
      <c r="M147" s="104">
        <v>58</v>
      </c>
      <c r="N147" s="38">
        <v>69.5</v>
      </c>
      <c r="O147" s="38"/>
      <c r="P147" t="s">
        <v>512</v>
      </c>
      <c r="Q147" s="38"/>
      <c r="R147" s="38"/>
      <c r="S147" s="37">
        <f t="shared" si="13"/>
        <v>-27.596250345582973</v>
      </c>
      <c r="T147" s="38">
        <f t="shared" si="16"/>
        <v>234</v>
      </c>
      <c r="U147" s="38">
        <f t="shared" si="17"/>
        <v>203</v>
      </c>
      <c r="V147" s="38">
        <f t="shared" si="17"/>
        <v>211.5</v>
      </c>
      <c r="W147" t="s">
        <v>512</v>
      </c>
      <c r="X147" s="37">
        <f t="shared" si="14"/>
        <v>-26.582278481012654</v>
      </c>
      <c r="Y147" s="2">
        <f t="shared" si="15"/>
        <v>-9.6153846153846145E-2</v>
      </c>
      <c r="Z147" s="37">
        <f t="shared" si="18"/>
        <v>4.187192118226605</v>
      </c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38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  <c r="BZ147" s="38"/>
      <c r="CA147" s="38"/>
      <c r="CB147" s="38"/>
    </row>
    <row r="148" spans="1:80" x14ac:dyDescent="0.25">
      <c r="A148" t="s">
        <v>608</v>
      </c>
      <c r="B148" s="38">
        <f t="shared" ref="B148:C148" si="19">SUM(B101:B147)-B108</f>
        <v>8068</v>
      </c>
      <c r="C148" s="38">
        <f t="shared" si="19"/>
        <v>8479</v>
      </c>
      <c r="D148" s="38">
        <v>9330</v>
      </c>
      <c r="E148" s="38">
        <v>15852</v>
      </c>
      <c r="F148" s="38">
        <v>8756</v>
      </c>
      <c r="G148" s="38">
        <v>8708</v>
      </c>
      <c r="H148" s="38">
        <v>10183</v>
      </c>
      <c r="I148" s="104">
        <v>17597</v>
      </c>
      <c r="J148" s="38">
        <v>8842</v>
      </c>
      <c r="K148" s="38">
        <v>8996</v>
      </c>
      <c r="L148" s="38">
        <v>10371</v>
      </c>
      <c r="M148" s="104">
        <v>17399</v>
      </c>
      <c r="N148" s="38">
        <v>9615.0259999999998</v>
      </c>
      <c r="O148" s="38"/>
      <c r="P148" t="s">
        <v>608</v>
      </c>
      <c r="Q148" s="38"/>
      <c r="R148" s="38"/>
      <c r="S148" s="37">
        <f t="shared" si="13"/>
        <v>-2.4907513832305272</v>
      </c>
      <c r="T148" s="38">
        <f t="shared" si="16"/>
        <v>45330</v>
      </c>
      <c r="U148" s="38">
        <f t="shared" si="17"/>
        <v>45608</v>
      </c>
      <c r="V148" s="38">
        <f t="shared" si="17"/>
        <v>46381.025999999998</v>
      </c>
      <c r="W148" t="s">
        <v>608</v>
      </c>
      <c r="X148" s="37">
        <f t="shared" si="14"/>
        <v>-1.1251917940558021</v>
      </c>
      <c r="Y148" s="2">
        <f t="shared" si="15"/>
        <v>2.3186101919258739E-2</v>
      </c>
      <c r="Z148" s="37">
        <f t="shared" si="18"/>
        <v>1.6949350991054075</v>
      </c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38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  <c r="BZ148" s="38"/>
      <c r="CA148" s="38"/>
      <c r="CB148" s="38"/>
    </row>
    <row r="149" spans="1:80" s="98" customFormat="1" x14ac:dyDescent="0.25">
      <c r="A149" s="98" t="s">
        <v>700</v>
      </c>
      <c r="B149" s="96"/>
      <c r="C149" s="96"/>
      <c r="D149" s="96"/>
      <c r="E149" s="96"/>
      <c r="F149" s="96"/>
      <c r="G149" s="96"/>
      <c r="H149" s="96"/>
      <c r="I149" s="96"/>
      <c r="J149" s="96"/>
      <c r="K149" s="96"/>
      <c r="L149" s="96"/>
      <c r="M149" s="98" t="s">
        <v>700</v>
      </c>
      <c r="P149" s="96"/>
      <c r="Q149" s="96"/>
      <c r="R149" s="96"/>
      <c r="S149" s="96"/>
      <c r="T149" s="96"/>
      <c r="U149" s="96"/>
      <c r="V149" s="96"/>
      <c r="W149" s="98" t="s">
        <v>700</v>
      </c>
      <c r="X149" s="96"/>
      <c r="Y149" s="96"/>
      <c r="Z149" s="96"/>
      <c r="AA149" s="96"/>
      <c r="AB149" s="96"/>
      <c r="AC149" s="96"/>
      <c r="AD149" s="96"/>
      <c r="AE149" s="96"/>
      <c r="AF149" s="96"/>
      <c r="AG149" s="96"/>
      <c r="AH149" s="96"/>
      <c r="AI149" s="96"/>
      <c r="AJ149" s="96"/>
      <c r="AK149" s="96"/>
      <c r="AL149" s="96"/>
      <c r="AM149" s="96"/>
      <c r="AN149" s="96"/>
      <c r="AO149" s="96"/>
      <c r="AP149" s="96"/>
      <c r="AQ149" s="96"/>
      <c r="AR149" s="96"/>
      <c r="AS149" s="96"/>
      <c r="AT149" s="96"/>
      <c r="AU149" s="96"/>
      <c r="AV149" s="96"/>
      <c r="AW149" s="96"/>
      <c r="AX149" s="96"/>
      <c r="AY149" s="96"/>
      <c r="AZ149" s="96"/>
      <c r="BA149" s="96"/>
      <c r="BB149" s="96"/>
      <c r="BC149" s="96"/>
      <c r="BD149" s="96"/>
      <c r="BE149" s="96"/>
      <c r="BF149" s="96"/>
      <c r="BG149" s="96"/>
      <c r="BH149" s="96"/>
      <c r="BI149" s="96"/>
      <c r="BJ149" s="96"/>
      <c r="BK149" s="96"/>
      <c r="BL149" s="96"/>
      <c r="BM149" s="96"/>
      <c r="BN149" s="96"/>
      <c r="BO149" s="96"/>
      <c r="BP149" s="96"/>
      <c r="BQ149" s="96"/>
      <c r="BR149" s="96"/>
      <c r="BS149" s="96"/>
      <c r="BT149" s="96"/>
      <c r="BU149" s="96"/>
      <c r="BV149" s="96"/>
      <c r="BW149" s="96"/>
      <c r="BX149" s="96"/>
      <c r="BY149" s="96"/>
      <c r="BZ149" s="96"/>
      <c r="CA149" s="96"/>
      <c r="CB149" s="96"/>
    </row>
    <row r="150" spans="1:80" x14ac:dyDescent="0.25">
      <c r="A150" t="s">
        <v>466</v>
      </c>
      <c r="B150" s="38">
        <v>1560</v>
      </c>
      <c r="C150" s="38">
        <v>1419</v>
      </c>
      <c r="D150" s="38">
        <v>1715</v>
      </c>
      <c r="E150" s="38">
        <v>2353</v>
      </c>
      <c r="F150" s="38">
        <v>1088</v>
      </c>
      <c r="G150" s="38">
        <v>1553</v>
      </c>
      <c r="H150" s="38">
        <v>995</v>
      </c>
      <c r="I150" s="104">
        <v>1496</v>
      </c>
      <c r="J150" s="38">
        <v>945</v>
      </c>
      <c r="K150" s="38">
        <v>855</v>
      </c>
      <c r="L150" s="38">
        <v>321</v>
      </c>
      <c r="M150" s="104">
        <v>1268</v>
      </c>
      <c r="N150" s="38">
        <v>257.589</v>
      </c>
      <c r="O150" s="38"/>
      <c r="P150" t="s">
        <v>466</v>
      </c>
      <c r="Q150" s="38"/>
      <c r="S150" s="37">
        <f t="shared" ref="S150:S181" si="20">(M150/(I150*$X$5)-1)*100</f>
        <v>-16.411252876840965</v>
      </c>
      <c r="T150" s="38">
        <f t="shared" si="16"/>
        <v>4989</v>
      </c>
      <c r="U150" s="38">
        <f t="shared" si="17"/>
        <v>3389</v>
      </c>
      <c r="V150" s="38">
        <f t="shared" si="17"/>
        <v>2701.5889999999999</v>
      </c>
      <c r="W150" t="s">
        <v>466</v>
      </c>
      <c r="X150" s="37">
        <f>(N150/J150-1)*100</f>
        <v>-72.741904761904763</v>
      </c>
      <c r="Y150" s="2">
        <f>+V150/T150-1</f>
        <v>-0.45849087993585891</v>
      </c>
      <c r="Z150" s="37">
        <f t="shared" si="18"/>
        <v>-20.283593980525225</v>
      </c>
      <c r="AA150" s="2">
        <f t="shared" ref="AA150:AA181" si="21">SUM(J150:L150)/SUM(F150:H150)-1</f>
        <v>-0.41666666666666663</v>
      </c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38"/>
      <c r="BI150" s="38"/>
      <c r="BJ150" s="38"/>
      <c r="BK150" s="38"/>
      <c r="BL150" s="38"/>
      <c r="BM150" s="38"/>
      <c r="BN150" s="38"/>
      <c r="BO150" s="38"/>
      <c r="BP150" s="38"/>
      <c r="BQ150" s="38"/>
      <c r="BR150" s="38"/>
      <c r="BS150" s="38"/>
      <c r="BT150" s="38"/>
      <c r="BU150" s="38"/>
      <c r="BV150" s="38"/>
      <c r="BW150" s="38"/>
      <c r="BX150" s="38"/>
      <c r="BY150" s="38"/>
      <c r="BZ150" s="38"/>
      <c r="CA150" s="38"/>
      <c r="CB150" s="38"/>
    </row>
    <row r="151" spans="1:80" x14ac:dyDescent="0.25">
      <c r="A151" t="s">
        <v>465</v>
      </c>
      <c r="B151" s="38">
        <v>2059</v>
      </c>
      <c r="C151" s="38">
        <v>2182</v>
      </c>
      <c r="D151" s="38">
        <v>2218</v>
      </c>
      <c r="E151" s="38">
        <v>2293</v>
      </c>
      <c r="F151" s="38">
        <v>2134</v>
      </c>
      <c r="G151" s="38">
        <v>2178</v>
      </c>
      <c r="H151" s="38">
        <v>2293</v>
      </c>
      <c r="I151" s="104">
        <v>2412</v>
      </c>
      <c r="J151" s="38">
        <v>2147</v>
      </c>
      <c r="K151" s="38">
        <v>2237</v>
      </c>
      <c r="L151" s="38">
        <v>2206</v>
      </c>
      <c r="M151" s="104">
        <v>2357</v>
      </c>
      <c r="N151" s="38">
        <v>2235.4780000000001</v>
      </c>
      <c r="O151" s="38"/>
      <c r="P151" t="s">
        <v>465</v>
      </c>
      <c r="Q151" s="38"/>
      <c r="S151" s="37">
        <f t="shared" si="20"/>
        <v>-3.6298722129194938</v>
      </c>
      <c r="T151" s="38">
        <f t="shared" si="16"/>
        <v>9030</v>
      </c>
      <c r="U151" s="38">
        <f t="shared" si="17"/>
        <v>8947</v>
      </c>
      <c r="V151" s="38">
        <f t="shared" si="17"/>
        <v>9035.4779999999992</v>
      </c>
      <c r="W151" t="s">
        <v>465</v>
      </c>
      <c r="X151" s="37">
        <f t="shared" ref="X151:X201" si="22">(N151/J151-1)*100</f>
        <v>4.1210060549604188</v>
      </c>
      <c r="Y151" s="2">
        <f t="shared" ref="Y151:Y201" si="23">+V151/T151-1</f>
        <v>6.066445182724145E-4</v>
      </c>
      <c r="Z151" s="37">
        <f t="shared" si="18"/>
        <v>0.98891248463171166</v>
      </c>
      <c r="AA151" s="2">
        <f t="shared" si="21"/>
        <v>-2.2710068130203931E-3</v>
      </c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38"/>
      <c r="BI151" s="38"/>
      <c r="BJ151" s="38"/>
      <c r="BK151" s="38"/>
      <c r="BL151" s="38"/>
      <c r="BM151" s="38"/>
      <c r="BN151" s="38"/>
      <c r="BO151" s="38"/>
      <c r="BP151" s="38"/>
      <c r="BQ151" s="38"/>
      <c r="BR151" s="38"/>
      <c r="BS151" s="38"/>
      <c r="BT151" s="38"/>
      <c r="BU151" s="38"/>
      <c r="BV151" s="38"/>
      <c r="BW151" s="38"/>
      <c r="BX151" s="38"/>
      <c r="BY151" s="38"/>
      <c r="BZ151" s="38"/>
      <c r="CA151" s="38"/>
      <c r="CB151" s="38"/>
    </row>
    <row r="152" spans="1:80" x14ac:dyDescent="0.25">
      <c r="A152" t="s">
        <v>475</v>
      </c>
      <c r="B152" s="38">
        <v>1942</v>
      </c>
      <c r="C152" s="38">
        <v>2241</v>
      </c>
      <c r="D152" s="38">
        <v>1681</v>
      </c>
      <c r="E152" s="38">
        <v>2417</v>
      </c>
      <c r="F152" s="38">
        <v>1984</v>
      </c>
      <c r="G152" s="38">
        <v>2283</v>
      </c>
      <c r="H152" s="38">
        <v>1753</v>
      </c>
      <c r="I152" s="104">
        <v>2563</v>
      </c>
      <c r="J152" s="38">
        <v>2123</v>
      </c>
      <c r="K152" s="38">
        <v>2404</v>
      </c>
      <c r="L152" s="38">
        <v>1837</v>
      </c>
      <c r="M152" s="105">
        <v>2545</v>
      </c>
      <c r="N152" s="38">
        <v>2162.4690000000001</v>
      </c>
      <c r="O152" s="38"/>
      <c r="P152" t="s">
        <v>475</v>
      </c>
      <c r="Q152" s="38"/>
      <c r="S152" s="37">
        <f t="shared" si="20"/>
        <v>-2.0737021084611507</v>
      </c>
      <c r="T152" s="38">
        <f t="shared" si="16"/>
        <v>8722</v>
      </c>
      <c r="U152" s="38">
        <f t="shared" si="17"/>
        <v>8909</v>
      </c>
      <c r="V152" s="38">
        <f t="shared" si="17"/>
        <v>8948.469000000001</v>
      </c>
      <c r="W152" t="s">
        <v>475</v>
      </c>
      <c r="X152" s="37">
        <f t="shared" si="22"/>
        <v>1.8591144606688648</v>
      </c>
      <c r="Y152" s="2">
        <f t="shared" si="23"/>
        <v>2.5965260261407996E-2</v>
      </c>
      <c r="Z152" s="37">
        <f t="shared" si="18"/>
        <v>0.44302390840724115</v>
      </c>
      <c r="AA152" s="2">
        <f t="shared" si="21"/>
        <v>5.7142857142857162E-2</v>
      </c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38"/>
      <c r="BI152" s="38"/>
      <c r="BJ152" s="38"/>
      <c r="BK152" s="38"/>
      <c r="BL152" s="38"/>
      <c r="BM152" s="38"/>
      <c r="BN152" s="38"/>
      <c r="BO152" s="38"/>
      <c r="BP152" s="38"/>
      <c r="BQ152" s="38"/>
      <c r="BR152" s="38"/>
      <c r="BS152" s="38"/>
      <c r="BT152" s="38"/>
      <c r="BU152" s="38"/>
      <c r="BV152" s="38"/>
      <c r="BW152" s="38"/>
      <c r="BX152" s="38"/>
      <c r="BY152" s="38"/>
      <c r="BZ152" s="38"/>
      <c r="CA152" s="38"/>
      <c r="CB152" s="38"/>
    </row>
    <row r="153" spans="1:80" x14ac:dyDescent="0.25">
      <c r="A153" t="s">
        <v>476</v>
      </c>
      <c r="B153" s="38">
        <v>2921</v>
      </c>
      <c r="C153" s="38">
        <v>2877</v>
      </c>
      <c r="D153" s="38">
        <v>2459</v>
      </c>
      <c r="E153" s="38">
        <v>3131</v>
      </c>
      <c r="F153" s="38">
        <v>3004</v>
      </c>
      <c r="G153" s="38">
        <v>2996</v>
      </c>
      <c r="H153" s="38">
        <v>2538</v>
      </c>
      <c r="I153" s="104">
        <v>3376</v>
      </c>
      <c r="J153" s="38">
        <v>3106</v>
      </c>
      <c r="K153" s="38">
        <v>3053</v>
      </c>
      <c r="L153" s="38">
        <v>2841</v>
      </c>
      <c r="M153" s="104">
        <v>3343</v>
      </c>
      <c r="N153" s="38">
        <v>3364.489</v>
      </c>
      <c r="O153" s="38"/>
      <c r="P153" t="s">
        <v>476</v>
      </c>
      <c r="Q153" s="38"/>
      <c r="S153" s="37">
        <f t="shared" si="20"/>
        <v>-2.345087675260582</v>
      </c>
      <c r="T153" s="38">
        <f t="shared" si="16"/>
        <v>12016</v>
      </c>
      <c r="U153" s="38">
        <f t="shared" si="17"/>
        <v>12343</v>
      </c>
      <c r="V153" s="38">
        <f t="shared" si="17"/>
        <v>12601.489</v>
      </c>
      <c r="W153" t="s">
        <v>476</v>
      </c>
      <c r="X153" s="37">
        <f t="shared" si="22"/>
        <v>8.3222472633612377</v>
      </c>
      <c r="Y153" s="2">
        <f t="shared" si="23"/>
        <v>4.8725782290279573E-2</v>
      </c>
      <c r="Z153" s="37">
        <f t="shared" si="18"/>
        <v>2.094215344729804</v>
      </c>
      <c r="AA153" s="2">
        <f t="shared" si="21"/>
        <v>5.4111033028812372E-2</v>
      </c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38"/>
      <c r="BI153" s="38"/>
      <c r="BJ153" s="38"/>
      <c r="BK153" s="38"/>
      <c r="BL153" s="38"/>
      <c r="BM153" s="38"/>
      <c r="BN153" s="38"/>
      <c r="BO153" s="38"/>
      <c r="BP153" s="38"/>
      <c r="BQ153" s="38"/>
      <c r="BR153" s="38"/>
      <c r="BS153" s="38"/>
      <c r="BT153" s="38"/>
      <c r="BU153" s="38"/>
      <c r="BV153" s="38"/>
      <c r="BW153" s="38"/>
      <c r="BX153" s="38"/>
      <c r="BY153" s="38"/>
      <c r="BZ153" s="38"/>
      <c r="CA153" s="38"/>
      <c r="CB153" s="38"/>
    </row>
    <row r="154" spans="1:80" x14ac:dyDescent="0.25">
      <c r="A154" t="s">
        <v>467</v>
      </c>
      <c r="B154" s="38">
        <v>25053</v>
      </c>
      <c r="C154" s="38">
        <v>25746</v>
      </c>
      <c r="D154" s="38">
        <v>26202</v>
      </c>
      <c r="E154" s="38">
        <v>35111</v>
      </c>
      <c r="F154" s="38">
        <v>26213</v>
      </c>
      <c r="G154" s="38">
        <v>29184</v>
      </c>
      <c r="H154" s="38">
        <v>34913</v>
      </c>
      <c r="I154" s="104">
        <v>44583</v>
      </c>
      <c r="J154" s="38">
        <v>28954</v>
      </c>
      <c r="K154" s="38">
        <v>31300</v>
      </c>
      <c r="L154" s="38">
        <v>33391</v>
      </c>
      <c r="M154" s="104">
        <v>45189</v>
      </c>
      <c r="N154" s="38">
        <v>31464.75</v>
      </c>
      <c r="O154" s="38"/>
      <c r="P154" t="s">
        <v>467</v>
      </c>
      <c r="Q154" s="38"/>
      <c r="S154" s="37">
        <f t="shared" si="20"/>
        <v>-4.0609878536257416E-2</v>
      </c>
      <c r="T154" s="38">
        <f t="shared" si="16"/>
        <v>137634</v>
      </c>
      <c r="U154" s="38">
        <f t="shared" si="17"/>
        <v>138834</v>
      </c>
      <c r="V154" s="38">
        <f t="shared" si="17"/>
        <v>141344.75</v>
      </c>
      <c r="W154" t="s">
        <v>467</v>
      </c>
      <c r="X154" s="37">
        <f t="shared" si="22"/>
        <v>8.6715134351039502</v>
      </c>
      <c r="Y154" s="2">
        <f t="shared" si="23"/>
        <v>2.6960998009212922E-2</v>
      </c>
      <c r="Z154" s="37">
        <f t="shared" si="18"/>
        <v>1.8084547012979613</v>
      </c>
      <c r="AA154" s="2">
        <f t="shared" si="21"/>
        <v>3.6928357878418749E-2</v>
      </c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38"/>
      <c r="BI154" s="38"/>
      <c r="BJ154" s="38"/>
      <c r="BK154" s="38"/>
      <c r="BL154" s="38"/>
      <c r="BM154" s="38"/>
      <c r="BN154" s="38"/>
      <c r="BO154" s="38"/>
      <c r="BP154" s="38"/>
      <c r="BQ154" s="38"/>
      <c r="BR154" s="38"/>
      <c r="BS154" s="38"/>
      <c r="BT154" s="38"/>
      <c r="BU154" s="38"/>
      <c r="BV154" s="38"/>
      <c r="BW154" s="38"/>
      <c r="BX154" s="38"/>
      <c r="BY154" s="38"/>
      <c r="BZ154" s="38"/>
      <c r="CA154" s="38"/>
      <c r="CB154" s="38"/>
    </row>
    <row r="155" spans="1:80" x14ac:dyDescent="0.25">
      <c r="A155" t="s">
        <v>477</v>
      </c>
      <c r="B155" s="38">
        <v>2453</v>
      </c>
      <c r="C155" s="38">
        <v>2444</v>
      </c>
      <c r="D155" s="38">
        <v>2291</v>
      </c>
      <c r="E155" s="38">
        <v>3061</v>
      </c>
      <c r="F155" s="38">
        <v>2639</v>
      </c>
      <c r="G155" s="38">
        <v>2631</v>
      </c>
      <c r="H155" s="38">
        <v>2492</v>
      </c>
      <c r="I155" s="104">
        <v>3435</v>
      </c>
      <c r="J155" s="38">
        <v>2774</v>
      </c>
      <c r="K155" s="38">
        <v>2792</v>
      </c>
      <c r="L155" s="38">
        <v>2708</v>
      </c>
      <c r="M155" s="104">
        <v>3526</v>
      </c>
      <c r="N155" s="38">
        <v>3043.7240000000002</v>
      </c>
      <c r="O155" s="38"/>
      <c r="P155" t="s">
        <v>477</v>
      </c>
      <c r="Q155" s="38"/>
      <c r="S155" s="37">
        <f t="shared" si="20"/>
        <v>1.23151172632876</v>
      </c>
      <c r="T155" s="38">
        <f t="shared" si="16"/>
        <v>11332</v>
      </c>
      <c r="U155" s="38">
        <f t="shared" si="17"/>
        <v>11800</v>
      </c>
      <c r="V155" s="38">
        <f t="shared" si="17"/>
        <v>12069.724</v>
      </c>
      <c r="W155" t="s">
        <v>477</v>
      </c>
      <c r="X155" s="37">
        <f t="shared" si="22"/>
        <v>9.7232876712328711</v>
      </c>
      <c r="Y155" s="2">
        <f t="shared" si="23"/>
        <v>6.5100953053300437E-2</v>
      </c>
      <c r="Z155" s="37">
        <f t="shared" si="18"/>
        <v>2.2857966101694984</v>
      </c>
      <c r="AA155" s="2">
        <f t="shared" si="21"/>
        <v>6.5962380829682976E-2</v>
      </c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38"/>
      <c r="BI155" s="38"/>
      <c r="BJ155" s="38"/>
      <c r="BK155" s="38"/>
      <c r="BL155" s="38"/>
      <c r="BM155" s="38"/>
      <c r="BN155" s="38"/>
      <c r="BO155" s="38"/>
      <c r="BP155" s="38"/>
      <c r="BQ155" s="38"/>
      <c r="BR155" s="38"/>
      <c r="BS155" s="38"/>
      <c r="BT155" s="38"/>
      <c r="BU155" s="38"/>
      <c r="BV155" s="38"/>
      <c r="BW155" s="38"/>
      <c r="BX155" s="38"/>
      <c r="BY155" s="38"/>
      <c r="BZ155" s="38"/>
      <c r="CA155" s="38"/>
      <c r="CB155" s="38"/>
    </row>
    <row r="156" spans="1:80" x14ac:dyDescent="0.25">
      <c r="A156" t="s">
        <v>468</v>
      </c>
      <c r="B156" s="38">
        <v>2064</v>
      </c>
      <c r="C156" s="38">
        <v>3534</v>
      </c>
      <c r="D156" s="38">
        <v>3754</v>
      </c>
      <c r="E156" s="38">
        <v>6049</v>
      </c>
      <c r="F156" s="38">
        <v>2018</v>
      </c>
      <c r="G156" s="38">
        <v>3581</v>
      </c>
      <c r="H156" s="38">
        <v>3784</v>
      </c>
      <c r="I156" s="104">
        <v>6587</v>
      </c>
      <c r="J156" s="38">
        <v>2208</v>
      </c>
      <c r="K156" s="38">
        <v>3757</v>
      </c>
      <c r="L156" s="38">
        <v>3759</v>
      </c>
      <c r="M156" s="101">
        <f>I156-(I156*0.077)</f>
        <v>6079.8010000000004</v>
      </c>
      <c r="N156" s="38">
        <v>2237.165</v>
      </c>
      <c r="O156" s="38"/>
      <c r="P156" t="s">
        <v>468</v>
      </c>
      <c r="Q156" s="38"/>
      <c r="S156" s="37">
        <f t="shared" si="20"/>
        <v>-8.9747549387736658</v>
      </c>
      <c r="T156" s="38">
        <f t="shared" si="16"/>
        <v>16160</v>
      </c>
      <c r="U156" s="38">
        <f t="shared" si="17"/>
        <v>15803.800999999999</v>
      </c>
      <c r="V156" s="38">
        <f t="shared" si="17"/>
        <v>15832.966</v>
      </c>
      <c r="W156" t="s">
        <v>468</v>
      </c>
      <c r="X156" s="37">
        <f t="shared" si="22"/>
        <v>1.3208786231884151</v>
      </c>
      <c r="Y156" s="2">
        <f t="shared" si="23"/>
        <v>-2.0237252475247547E-2</v>
      </c>
      <c r="Z156" s="37">
        <f t="shared" si="18"/>
        <v>0.18454421186397951</v>
      </c>
      <c r="AA156" s="2">
        <f t="shared" si="21"/>
        <v>3.6342321219226204E-2</v>
      </c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38"/>
      <c r="BI156" s="38"/>
      <c r="BJ156" s="38"/>
      <c r="BK156" s="38"/>
      <c r="BL156" s="38"/>
      <c r="BM156" s="38"/>
      <c r="BN156" s="38"/>
      <c r="BO156" s="38"/>
      <c r="BP156" s="38"/>
      <c r="BQ156" s="38"/>
      <c r="BR156" s="38"/>
      <c r="BS156" s="38"/>
      <c r="BT156" s="38"/>
      <c r="BU156" s="38"/>
      <c r="BV156" s="38"/>
      <c r="BW156" s="38"/>
      <c r="BX156" s="38"/>
      <c r="BY156" s="38"/>
      <c r="BZ156" s="38"/>
      <c r="CA156" s="38"/>
      <c r="CB156" s="38"/>
    </row>
    <row r="157" spans="1:80" x14ac:dyDescent="0.25">
      <c r="A157" t="s">
        <v>600</v>
      </c>
      <c r="B157" s="38">
        <v>1720</v>
      </c>
      <c r="C157" s="38">
        <v>821</v>
      </c>
      <c r="D157" s="38">
        <v>1371</v>
      </c>
      <c r="E157" s="38">
        <v>1747</v>
      </c>
      <c r="F157" s="38">
        <v>1963</v>
      </c>
      <c r="G157" s="38">
        <v>921</v>
      </c>
      <c r="H157" s="38">
        <v>1729</v>
      </c>
      <c r="I157" s="104">
        <v>1534</v>
      </c>
      <c r="J157" s="38">
        <v>2062</v>
      </c>
      <c r="K157" s="38">
        <v>950</v>
      </c>
      <c r="L157" s="38">
        <v>1618</v>
      </c>
      <c r="M157" s="104">
        <v>1675</v>
      </c>
      <c r="N157" s="38">
        <v>1995.83</v>
      </c>
      <c r="O157" s="38"/>
      <c r="P157" t="s">
        <v>600</v>
      </c>
      <c r="Q157" s="38"/>
      <c r="S157" s="37">
        <f t="shared" si="20"/>
        <v>7.6836102708799814</v>
      </c>
      <c r="T157" s="38">
        <f t="shared" si="16"/>
        <v>6246</v>
      </c>
      <c r="U157" s="38">
        <f t="shared" si="17"/>
        <v>6305</v>
      </c>
      <c r="V157" s="38">
        <f t="shared" si="17"/>
        <v>6238.83</v>
      </c>
      <c r="W157" t="s">
        <v>600</v>
      </c>
      <c r="X157" s="37">
        <f t="shared" si="22"/>
        <v>-3.2090203685742003</v>
      </c>
      <c r="Y157" s="2">
        <f t="shared" si="23"/>
        <v>-1.1479346781940736E-3</v>
      </c>
      <c r="Z157" s="37">
        <f t="shared" si="18"/>
        <v>-1.0494845360824741</v>
      </c>
      <c r="AA157" s="2">
        <f t="shared" si="21"/>
        <v>3.6852373726425913E-3</v>
      </c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38"/>
      <c r="BI157" s="38"/>
      <c r="BJ157" s="38"/>
      <c r="BK157" s="38"/>
      <c r="BL157" s="38"/>
      <c r="BM157" s="38"/>
      <c r="BN157" s="38"/>
      <c r="BO157" s="38"/>
      <c r="BP157" s="38"/>
      <c r="BQ157" s="38"/>
      <c r="BR157" s="38"/>
      <c r="BS157" s="38"/>
      <c r="BT157" s="38"/>
      <c r="BU157" s="38"/>
      <c r="BV157" s="38"/>
      <c r="BW157" s="38"/>
      <c r="BX157" s="38"/>
      <c r="BY157" s="38"/>
      <c r="BZ157" s="38"/>
      <c r="CA157" s="38"/>
      <c r="CB157" s="38"/>
    </row>
    <row r="158" spans="1:80" s="112" customFormat="1" x14ac:dyDescent="0.25">
      <c r="A158" s="112" t="s">
        <v>469</v>
      </c>
      <c r="B158" s="113">
        <v>721</v>
      </c>
      <c r="C158" s="113">
        <v>662</v>
      </c>
      <c r="D158" s="113">
        <v>956</v>
      </c>
      <c r="E158" s="113">
        <v>984</v>
      </c>
      <c r="F158" s="113">
        <v>750</v>
      </c>
      <c r="G158" s="113">
        <v>706</v>
      </c>
      <c r="H158" s="113">
        <v>884</v>
      </c>
      <c r="I158" s="113">
        <v>1173</v>
      </c>
      <c r="J158" s="113">
        <v>913</v>
      </c>
      <c r="K158" s="113">
        <v>529</v>
      </c>
      <c r="L158" s="113">
        <v>915</v>
      </c>
      <c r="M158" s="113">
        <v>1171</v>
      </c>
      <c r="N158" s="113">
        <v>721.57</v>
      </c>
      <c r="O158" s="113"/>
      <c r="P158" s="112" t="s">
        <v>469</v>
      </c>
      <c r="Q158" s="113"/>
      <c r="S158" s="114">
        <f t="shared" si="20"/>
        <v>-1.5492477763990653</v>
      </c>
      <c r="T158" s="113">
        <f t="shared" si="16"/>
        <v>3676</v>
      </c>
      <c r="U158" s="113">
        <f t="shared" si="17"/>
        <v>3528</v>
      </c>
      <c r="V158" s="113">
        <f t="shared" si="17"/>
        <v>3336.57</v>
      </c>
      <c r="W158" s="112" t="s">
        <v>469</v>
      </c>
      <c r="X158" s="114">
        <f t="shared" si="22"/>
        <v>-20.967141292442491</v>
      </c>
      <c r="Y158" s="115">
        <f t="shared" si="23"/>
        <v>-9.2336779107725753E-2</v>
      </c>
      <c r="Z158" s="114">
        <f t="shared" si="18"/>
        <v>-5.4260204081632537</v>
      </c>
      <c r="AA158" s="115">
        <f t="shared" si="21"/>
        <v>7.2649572649572391E-3</v>
      </c>
      <c r="AB158" s="113"/>
      <c r="AC158" s="113"/>
      <c r="AD158" s="113"/>
      <c r="AE158" s="113"/>
      <c r="AF158" s="113"/>
      <c r="AG158" s="113"/>
      <c r="AH158" s="113"/>
      <c r="AI158" s="113"/>
      <c r="AJ158" s="113"/>
      <c r="AK158" s="113"/>
      <c r="AL158" s="113"/>
      <c r="AM158" s="113"/>
      <c r="AN158" s="113"/>
      <c r="AO158" s="113"/>
      <c r="AP158" s="113"/>
      <c r="AQ158" s="113"/>
      <c r="AR158" s="113"/>
      <c r="AS158" s="113"/>
      <c r="AT158" s="113"/>
      <c r="AU158" s="113"/>
      <c r="AV158" s="113"/>
      <c r="AW158" s="113"/>
      <c r="AX158" s="113"/>
      <c r="AY158" s="113"/>
      <c r="AZ158" s="113"/>
      <c r="BA158" s="113"/>
      <c r="BB158" s="113"/>
      <c r="BC158" s="113"/>
      <c r="BD158" s="113"/>
      <c r="BE158" s="113"/>
      <c r="BF158" s="113"/>
      <c r="BG158" s="113"/>
      <c r="BH158" s="113"/>
      <c r="BI158" s="113"/>
      <c r="BJ158" s="113"/>
      <c r="BK158" s="113"/>
      <c r="BL158" s="113"/>
      <c r="BM158" s="113"/>
      <c r="BN158" s="113"/>
      <c r="BO158" s="113"/>
      <c r="BP158" s="113"/>
      <c r="BQ158" s="113"/>
      <c r="BR158" s="113"/>
      <c r="BS158" s="113"/>
      <c r="BT158" s="113"/>
      <c r="BU158" s="113"/>
      <c r="BV158" s="113"/>
      <c r="BW158" s="113"/>
      <c r="BX158" s="113"/>
      <c r="BY158" s="113"/>
      <c r="BZ158" s="113"/>
      <c r="CA158" s="113"/>
      <c r="CB158" s="113"/>
    </row>
    <row r="159" spans="1:80" x14ac:dyDescent="0.25">
      <c r="A159" t="s">
        <v>470</v>
      </c>
      <c r="B159" s="38">
        <v>7730</v>
      </c>
      <c r="C159" s="38">
        <v>7991</v>
      </c>
      <c r="D159" s="38">
        <v>8672</v>
      </c>
      <c r="E159" s="38">
        <v>9353</v>
      </c>
      <c r="F159" s="38">
        <v>8289</v>
      </c>
      <c r="G159" s="38">
        <v>8544</v>
      </c>
      <c r="H159" s="38">
        <v>9026</v>
      </c>
      <c r="I159" s="104">
        <v>9769</v>
      </c>
      <c r="J159" s="38">
        <v>8616</v>
      </c>
      <c r="K159" s="38">
        <v>8885</v>
      </c>
      <c r="L159" s="38">
        <v>9201</v>
      </c>
      <c r="M159" s="104">
        <v>10634</v>
      </c>
      <c r="N159" s="38">
        <v>9100.348</v>
      </c>
      <c r="O159" s="38"/>
      <c r="P159" t="s">
        <v>470</v>
      </c>
      <c r="Q159" s="38"/>
      <c r="S159" s="37">
        <f t="shared" si="20"/>
        <v>7.3511502468762702</v>
      </c>
      <c r="T159" s="38">
        <f t="shared" si="16"/>
        <v>35955</v>
      </c>
      <c r="U159" s="38">
        <f t="shared" si="17"/>
        <v>37336</v>
      </c>
      <c r="V159" s="38">
        <f t="shared" si="17"/>
        <v>37820.347999999998</v>
      </c>
      <c r="W159" t="s">
        <v>470</v>
      </c>
      <c r="X159" s="37">
        <f t="shared" si="22"/>
        <v>5.6214948932219233</v>
      </c>
      <c r="Y159" s="2">
        <f t="shared" si="23"/>
        <v>5.1880072312612935E-2</v>
      </c>
      <c r="Z159" s="37">
        <f t="shared" si="18"/>
        <v>1.2972680522819928</v>
      </c>
      <c r="AA159" s="2">
        <f t="shared" si="21"/>
        <v>3.2599868517730668E-2</v>
      </c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38"/>
      <c r="BI159" s="38"/>
      <c r="BJ159" s="38"/>
      <c r="BK159" s="38"/>
      <c r="BL159" s="38"/>
      <c r="BM159" s="38"/>
      <c r="BN159" s="38"/>
      <c r="BO159" s="38"/>
      <c r="BP159" s="38"/>
      <c r="BQ159" s="38"/>
      <c r="BR159" s="38"/>
      <c r="BS159" s="38"/>
      <c r="BT159" s="38"/>
      <c r="BU159" s="38"/>
      <c r="BV159" s="38"/>
      <c r="BW159" s="38"/>
      <c r="BX159" s="38"/>
      <c r="BY159" s="38"/>
      <c r="BZ159" s="38"/>
      <c r="CA159" s="38"/>
      <c r="CB159" s="38"/>
    </row>
    <row r="160" spans="1:80" x14ac:dyDescent="0.25">
      <c r="A160" t="s">
        <v>471</v>
      </c>
      <c r="B160" s="38">
        <v>4101</v>
      </c>
      <c r="C160" s="38">
        <v>4177</v>
      </c>
      <c r="D160" s="38">
        <v>3560</v>
      </c>
      <c r="E160" s="38">
        <v>4313</v>
      </c>
      <c r="F160" s="38">
        <v>4279</v>
      </c>
      <c r="G160" s="38">
        <v>4383</v>
      </c>
      <c r="H160" s="38">
        <v>3826</v>
      </c>
      <c r="I160" s="104">
        <v>4763</v>
      </c>
      <c r="J160" s="38">
        <v>4603</v>
      </c>
      <c r="K160" s="38">
        <v>4637</v>
      </c>
      <c r="L160" s="38">
        <v>4086</v>
      </c>
      <c r="M160" s="104">
        <v>4905</v>
      </c>
      <c r="N160" s="38">
        <v>4801.3140000000003</v>
      </c>
      <c r="O160" s="38"/>
      <c r="P160" t="s">
        <v>471</v>
      </c>
      <c r="Q160" s="38"/>
      <c r="S160" s="37">
        <f t="shared" si="20"/>
        <v>1.5590397689746682</v>
      </c>
      <c r="T160" s="38">
        <f t="shared" si="16"/>
        <v>17575</v>
      </c>
      <c r="U160" s="38">
        <f t="shared" si="17"/>
        <v>18231</v>
      </c>
      <c r="V160" s="38">
        <f t="shared" si="17"/>
        <v>18429.313999999998</v>
      </c>
      <c r="W160" t="s">
        <v>471</v>
      </c>
      <c r="X160" s="37">
        <f t="shared" si="22"/>
        <v>4.3083641103628167</v>
      </c>
      <c r="Y160" s="2">
        <f t="shared" si="23"/>
        <v>4.8609615931721084E-2</v>
      </c>
      <c r="Z160" s="37">
        <f t="shared" si="18"/>
        <v>1.0877845428116899</v>
      </c>
      <c r="AA160" s="2">
        <f t="shared" si="21"/>
        <v>6.710442024343366E-2</v>
      </c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38"/>
      <c r="BI160" s="38"/>
      <c r="BJ160" s="38"/>
      <c r="BK160" s="38"/>
      <c r="BL160" s="38"/>
      <c r="BM160" s="38"/>
      <c r="BN160" s="38"/>
      <c r="BO160" s="38"/>
      <c r="BP160" s="38"/>
      <c r="BQ160" s="38"/>
      <c r="BR160" s="38"/>
      <c r="BS160" s="38"/>
      <c r="BT160" s="38"/>
      <c r="BU160" s="38"/>
      <c r="BV160" s="38"/>
      <c r="BW160" s="38"/>
      <c r="BX160" s="38"/>
      <c r="BY160" s="38"/>
      <c r="BZ160" s="38"/>
      <c r="CA160" s="38"/>
      <c r="CB160" s="38"/>
    </row>
    <row r="161" spans="1:80" x14ac:dyDescent="0.25">
      <c r="A161" t="s">
        <v>478</v>
      </c>
      <c r="B161" s="38">
        <v>1288</v>
      </c>
      <c r="C161" s="38">
        <v>1257</v>
      </c>
      <c r="D161" s="38">
        <v>1343</v>
      </c>
      <c r="E161" s="38">
        <v>1600</v>
      </c>
      <c r="F161" s="38">
        <v>1443</v>
      </c>
      <c r="G161" s="38">
        <v>1432</v>
      </c>
      <c r="H161" s="38">
        <v>1471</v>
      </c>
      <c r="I161" s="104">
        <v>1714</v>
      </c>
      <c r="J161" s="38">
        <v>1458</v>
      </c>
      <c r="K161" s="38">
        <v>1441</v>
      </c>
      <c r="L161" s="38">
        <v>1465</v>
      </c>
      <c r="M161" s="104">
        <v>1680</v>
      </c>
      <c r="N161" s="38">
        <v>1526.5050000000001</v>
      </c>
      <c r="O161" s="38"/>
      <c r="P161" t="s">
        <v>478</v>
      </c>
      <c r="Q161" s="38"/>
      <c r="S161" s="37">
        <f t="shared" si="20"/>
        <v>-3.3373671776623648</v>
      </c>
      <c r="T161" s="38">
        <f t="shared" si="16"/>
        <v>6075</v>
      </c>
      <c r="U161" s="38">
        <f t="shared" si="17"/>
        <v>6044</v>
      </c>
      <c r="V161" s="38">
        <f t="shared" si="17"/>
        <v>6112.5050000000001</v>
      </c>
      <c r="W161" t="s">
        <v>478</v>
      </c>
      <c r="X161" s="37">
        <f t="shared" si="22"/>
        <v>4.6985596707818988</v>
      </c>
      <c r="Y161" s="2">
        <f t="shared" si="23"/>
        <v>6.173662551440362E-3</v>
      </c>
      <c r="Z161" s="37">
        <f t="shared" si="18"/>
        <v>1.1334381204500374</v>
      </c>
      <c r="AA161" s="2">
        <f t="shared" si="21"/>
        <v>4.1417395306029281E-3</v>
      </c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38"/>
      <c r="BI161" s="38"/>
      <c r="BJ161" s="38"/>
      <c r="BK161" s="38"/>
      <c r="BL161" s="38"/>
      <c r="BM161" s="38"/>
      <c r="BN161" s="38"/>
      <c r="BO161" s="38"/>
      <c r="BP161" s="38"/>
      <c r="BQ161" s="38"/>
      <c r="BR161" s="38"/>
      <c r="BS161" s="38"/>
      <c r="BT161" s="38"/>
      <c r="BU161" s="38"/>
      <c r="BV161" s="38"/>
      <c r="BW161" s="38"/>
      <c r="BX161" s="38"/>
      <c r="BY161" s="38"/>
      <c r="BZ161" s="38"/>
      <c r="CA161" s="38"/>
      <c r="CB161" s="38"/>
    </row>
    <row r="162" spans="1:80" x14ac:dyDescent="0.25">
      <c r="A162" t="s">
        <v>482</v>
      </c>
      <c r="B162" s="38">
        <v>1388</v>
      </c>
      <c r="C162" s="38">
        <v>1892</v>
      </c>
      <c r="D162" s="38">
        <v>1811</v>
      </c>
      <c r="E162" s="38">
        <v>2209</v>
      </c>
      <c r="F162" s="38">
        <v>1428</v>
      </c>
      <c r="G162" s="38">
        <v>2057</v>
      </c>
      <c r="H162" s="38">
        <v>1897</v>
      </c>
      <c r="I162" s="104">
        <v>2383</v>
      </c>
      <c r="J162" s="38">
        <v>1545</v>
      </c>
      <c r="K162" s="38">
        <v>1979</v>
      </c>
      <c r="L162" s="38">
        <v>1919</v>
      </c>
      <c r="M162" s="105">
        <v>2228</v>
      </c>
      <c r="N162" s="38">
        <v>1624.9760000000001</v>
      </c>
      <c r="O162" s="38"/>
      <c r="P162" t="s">
        <v>482</v>
      </c>
      <c r="Q162" s="38"/>
      <c r="S162" s="37">
        <f t="shared" si="20"/>
        <v>-7.7956734905780039</v>
      </c>
      <c r="T162" s="38">
        <f t="shared" si="16"/>
        <v>7882</v>
      </c>
      <c r="U162" s="38">
        <f t="shared" si="17"/>
        <v>7671</v>
      </c>
      <c r="V162" s="38">
        <f t="shared" si="17"/>
        <v>7750.9760000000006</v>
      </c>
      <c r="W162" t="s">
        <v>482</v>
      </c>
      <c r="X162" s="37">
        <f t="shared" si="22"/>
        <v>5.1764401294498441</v>
      </c>
      <c r="Y162" s="2">
        <f t="shared" si="23"/>
        <v>-1.6623192083227489E-2</v>
      </c>
      <c r="Z162" s="37">
        <f t="shared" si="18"/>
        <v>1.0425759353408921</v>
      </c>
      <c r="AA162" s="2">
        <f t="shared" si="21"/>
        <v>1.1334076551467787E-2</v>
      </c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38"/>
      <c r="BI162" s="38"/>
      <c r="BJ162" s="38"/>
      <c r="BK162" s="38"/>
      <c r="BL162" s="38"/>
      <c r="BM162" s="38"/>
      <c r="BN162" s="38"/>
      <c r="BO162" s="38"/>
      <c r="BP162" s="38"/>
      <c r="BQ162" s="38"/>
      <c r="BR162" s="38"/>
      <c r="BS162" s="38"/>
      <c r="BT162" s="38"/>
      <c r="BU162" s="38"/>
      <c r="BV162" s="38"/>
      <c r="BW162" s="38"/>
      <c r="BX162" s="38"/>
      <c r="BY162" s="38"/>
      <c r="BZ162" s="38"/>
      <c r="CA162" s="38"/>
      <c r="CB162" s="38"/>
    </row>
    <row r="163" spans="1:80" x14ac:dyDescent="0.25">
      <c r="A163" t="s">
        <v>479</v>
      </c>
      <c r="B163" s="38">
        <v>808</v>
      </c>
      <c r="C163" s="38">
        <v>802</v>
      </c>
      <c r="D163" s="38">
        <v>737</v>
      </c>
      <c r="E163" s="38">
        <v>1027</v>
      </c>
      <c r="F163" s="38">
        <v>836</v>
      </c>
      <c r="G163" s="38">
        <v>867</v>
      </c>
      <c r="H163" s="38">
        <v>756</v>
      </c>
      <c r="I163" s="104">
        <v>1120</v>
      </c>
      <c r="J163" s="38">
        <v>887</v>
      </c>
      <c r="K163" s="38">
        <v>893</v>
      </c>
      <c r="L163" s="38">
        <v>887</v>
      </c>
      <c r="M163" s="104">
        <v>1091</v>
      </c>
      <c r="N163" s="38">
        <v>937.505</v>
      </c>
      <c r="O163" s="38"/>
      <c r="P163" t="s">
        <v>479</v>
      </c>
      <c r="Q163" s="38"/>
      <c r="S163" s="37">
        <f t="shared" si="20"/>
        <v>-3.9346247080580432</v>
      </c>
      <c r="T163" s="38">
        <f t="shared" si="16"/>
        <v>3630</v>
      </c>
      <c r="U163" s="38">
        <f t="shared" si="17"/>
        <v>3758</v>
      </c>
      <c r="V163" s="38">
        <f t="shared" si="17"/>
        <v>3808.5050000000001</v>
      </c>
      <c r="W163" t="s">
        <v>479</v>
      </c>
      <c r="X163" s="37">
        <f t="shared" si="22"/>
        <v>5.6939120631341655</v>
      </c>
      <c r="Y163" s="2">
        <f t="shared" si="23"/>
        <v>4.9174931129476684E-2</v>
      </c>
      <c r="Z163" s="37">
        <f t="shared" si="18"/>
        <v>1.3439329430548099</v>
      </c>
      <c r="AA163" s="2">
        <f t="shared" si="21"/>
        <v>8.4587230581537165E-2</v>
      </c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38"/>
      <c r="BI163" s="38"/>
      <c r="BJ163" s="38"/>
      <c r="BK163" s="38"/>
      <c r="BL163" s="38"/>
      <c r="BM163" s="38"/>
      <c r="BN163" s="38"/>
      <c r="BO163" s="38"/>
      <c r="BP163" s="38"/>
      <c r="BQ163" s="38"/>
      <c r="BR163" s="38"/>
      <c r="BS163" s="38"/>
      <c r="BT163" s="38"/>
      <c r="BU163" s="38"/>
      <c r="BV163" s="38"/>
      <c r="BW163" s="38"/>
      <c r="BX163" s="38"/>
      <c r="BY163" s="38"/>
      <c r="BZ163" s="38"/>
      <c r="CA163" s="38"/>
      <c r="CB163" s="38"/>
    </row>
    <row r="164" spans="1:80" x14ac:dyDescent="0.25">
      <c r="A164" t="s">
        <v>480</v>
      </c>
      <c r="B164" s="38">
        <v>8539</v>
      </c>
      <c r="C164" s="38">
        <v>8177</v>
      </c>
      <c r="D164" s="38">
        <v>9083</v>
      </c>
      <c r="E164" s="38">
        <v>10459</v>
      </c>
      <c r="F164" s="38">
        <v>8555</v>
      </c>
      <c r="G164" s="38">
        <v>8719</v>
      </c>
      <c r="H164" s="38">
        <v>9833</v>
      </c>
      <c r="I164" s="104">
        <v>11623</v>
      </c>
      <c r="J164" s="38">
        <v>9098</v>
      </c>
      <c r="K164" s="38">
        <v>9440</v>
      </c>
      <c r="L164" s="38">
        <v>10046</v>
      </c>
      <c r="M164" s="104">
        <v>10599</v>
      </c>
      <c r="N164" s="38">
        <v>8852.4439999999995</v>
      </c>
      <c r="O164" s="38"/>
      <c r="P164" t="s">
        <v>480</v>
      </c>
      <c r="Q164" s="38"/>
      <c r="S164" s="37">
        <f t="shared" si="20"/>
        <v>-10.069540974960278</v>
      </c>
      <c r="T164" s="38">
        <f t="shared" si="16"/>
        <v>39273</v>
      </c>
      <c r="U164" s="38">
        <f t="shared" si="17"/>
        <v>39183</v>
      </c>
      <c r="V164" s="38">
        <f t="shared" si="17"/>
        <v>38937.444000000003</v>
      </c>
      <c r="W164" t="s">
        <v>480</v>
      </c>
      <c r="X164" s="37">
        <f t="shared" si="22"/>
        <v>-2.6990107715981537</v>
      </c>
      <c r="Y164" s="2">
        <f t="shared" si="23"/>
        <v>-8.5441906653425104E-3</v>
      </c>
      <c r="Z164" s="37">
        <f t="shared" si="18"/>
        <v>-0.62669014623688213</v>
      </c>
      <c r="AA164" s="2">
        <f t="shared" si="21"/>
        <v>5.4487770686538539E-2</v>
      </c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38"/>
      <c r="BI164" s="38"/>
      <c r="BJ164" s="38"/>
      <c r="BK164" s="38"/>
      <c r="BL164" s="38"/>
      <c r="BM164" s="38"/>
      <c r="BN164" s="38"/>
      <c r="BO164" s="38"/>
      <c r="BP164" s="38"/>
      <c r="BQ164" s="38"/>
      <c r="BR164" s="38"/>
      <c r="BS164" s="38"/>
      <c r="BT164" s="38"/>
      <c r="BU164" s="38"/>
      <c r="BV164" s="38"/>
      <c r="BW164" s="38"/>
      <c r="BX164" s="38"/>
      <c r="BY164" s="38"/>
      <c r="BZ164" s="38"/>
      <c r="CA164" s="38"/>
      <c r="CB164" s="38"/>
    </row>
    <row r="165" spans="1:80" x14ac:dyDescent="0.25">
      <c r="A165" t="s">
        <v>481</v>
      </c>
      <c r="B165" s="38">
        <v>3702</v>
      </c>
      <c r="C165" s="38">
        <v>3661</v>
      </c>
      <c r="D165" s="38">
        <v>3472</v>
      </c>
      <c r="E165" s="38">
        <v>4665</v>
      </c>
      <c r="F165" s="38">
        <v>4261</v>
      </c>
      <c r="G165" s="38">
        <v>3939</v>
      </c>
      <c r="H165" s="38">
        <v>3780</v>
      </c>
      <c r="I165" s="104">
        <v>4958</v>
      </c>
      <c r="J165" s="38">
        <v>4263</v>
      </c>
      <c r="K165" s="38">
        <v>4068</v>
      </c>
      <c r="L165" s="38">
        <v>3855</v>
      </c>
      <c r="M165" s="104">
        <v>4629</v>
      </c>
      <c r="N165" s="38">
        <v>4333.6679999999997</v>
      </c>
      <c r="O165" s="38"/>
      <c r="P165" t="s">
        <v>481</v>
      </c>
      <c r="Q165" s="38"/>
      <c r="S165" s="37">
        <f t="shared" si="20"/>
        <v>-7.9251936442898963</v>
      </c>
      <c r="T165" s="38">
        <f t="shared" si="16"/>
        <v>16940</v>
      </c>
      <c r="U165" s="38">
        <f t="shared" si="17"/>
        <v>16815</v>
      </c>
      <c r="V165" s="38">
        <f t="shared" si="17"/>
        <v>16885.667999999998</v>
      </c>
      <c r="W165" t="s">
        <v>481</v>
      </c>
      <c r="X165" s="37">
        <f t="shared" si="22"/>
        <v>1.6577058409570578</v>
      </c>
      <c r="Y165" s="2">
        <f t="shared" si="23"/>
        <v>-3.2073199527746787E-3</v>
      </c>
      <c r="Z165" s="37">
        <f t="shared" si="18"/>
        <v>0.42026761819802516</v>
      </c>
      <c r="AA165" s="2">
        <f t="shared" si="21"/>
        <v>1.7195325542570972E-2</v>
      </c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38"/>
      <c r="BI165" s="38"/>
      <c r="BJ165" s="38"/>
      <c r="BK165" s="38"/>
      <c r="BL165" s="38"/>
      <c r="BM165" s="38"/>
      <c r="BN165" s="38"/>
      <c r="BO165" s="38"/>
      <c r="BP165" s="38"/>
      <c r="BQ165" s="38"/>
      <c r="BR165" s="38"/>
      <c r="BS165" s="38"/>
      <c r="BT165" s="38"/>
      <c r="BU165" s="38"/>
      <c r="BV165" s="38"/>
      <c r="BW165" s="38"/>
      <c r="BX165" s="38"/>
      <c r="BY165" s="38"/>
      <c r="BZ165" s="38"/>
      <c r="CA165" s="38"/>
      <c r="CB165" s="38"/>
    </row>
    <row r="166" spans="1:80" x14ac:dyDescent="0.25">
      <c r="A166" t="s">
        <v>483</v>
      </c>
      <c r="B166" s="38">
        <v>1710</v>
      </c>
      <c r="C166" s="38">
        <v>1762</v>
      </c>
      <c r="D166" s="38">
        <v>1635</v>
      </c>
      <c r="E166" s="38">
        <v>2287</v>
      </c>
      <c r="F166" s="38">
        <v>1864</v>
      </c>
      <c r="G166" s="38">
        <v>1924</v>
      </c>
      <c r="H166" s="38">
        <v>1645</v>
      </c>
      <c r="I166" s="104">
        <v>2311</v>
      </c>
      <c r="J166" s="38">
        <v>1763</v>
      </c>
      <c r="K166" s="38">
        <v>1735</v>
      </c>
      <c r="L166" s="38">
        <v>1675</v>
      </c>
      <c r="M166" s="104">
        <v>2182</v>
      </c>
      <c r="N166" s="38">
        <v>1840.5630000000001</v>
      </c>
      <c r="O166" s="38"/>
      <c r="P166" t="s">
        <v>483</v>
      </c>
      <c r="Q166" s="38"/>
      <c r="S166" s="37">
        <f t="shared" si="20"/>
        <v>-6.8860057750108172</v>
      </c>
      <c r="T166" s="38">
        <f t="shared" si="16"/>
        <v>7643</v>
      </c>
      <c r="U166" s="38">
        <f t="shared" si="17"/>
        <v>7355</v>
      </c>
      <c r="V166" s="38">
        <f t="shared" si="17"/>
        <v>7432.5630000000001</v>
      </c>
      <c r="W166" t="s">
        <v>483</v>
      </c>
      <c r="X166" s="37">
        <f t="shared" si="22"/>
        <v>4.39948950652298</v>
      </c>
      <c r="Y166" s="2">
        <f t="shared" si="23"/>
        <v>-2.7533298443019771E-2</v>
      </c>
      <c r="Z166" s="37">
        <f t="shared" si="18"/>
        <v>1.0545615227736391</v>
      </c>
      <c r="AA166" s="2">
        <f t="shared" si="21"/>
        <v>-4.7855696668507308E-2</v>
      </c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38"/>
      <c r="BI166" s="38"/>
      <c r="BJ166" s="38"/>
      <c r="BK166" s="38"/>
      <c r="BL166" s="38"/>
      <c r="BM166" s="38"/>
      <c r="BN166" s="38"/>
      <c r="BO166" s="38"/>
      <c r="BP166" s="38"/>
      <c r="BQ166" s="38"/>
      <c r="BR166" s="38"/>
      <c r="BS166" s="38"/>
      <c r="BT166" s="38"/>
      <c r="BU166" s="38"/>
      <c r="BV166" s="38"/>
      <c r="BW166" s="38"/>
      <c r="BX166" s="38"/>
      <c r="BY166" s="38"/>
      <c r="BZ166" s="38"/>
      <c r="CA166" s="38"/>
      <c r="CB166" s="38"/>
    </row>
    <row r="167" spans="1:80" x14ac:dyDescent="0.25">
      <c r="A167" t="s">
        <v>484</v>
      </c>
      <c r="B167" s="38">
        <v>2474</v>
      </c>
      <c r="C167" s="38">
        <v>2676</v>
      </c>
      <c r="D167" s="38">
        <v>2486</v>
      </c>
      <c r="E167" s="38">
        <v>2860</v>
      </c>
      <c r="F167" s="38">
        <v>2569</v>
      </c>
      <c r="G167" s="38">
        <v>2808</v>
      </c>
      <c r="H167" s="38">
        <v>2488</v>
      </c>
      <c r="I167" s="104">
        <v>2938</v>
      </c>
      <c r="J167" s="38">
        <v>2668</v>
      </c>
      <c r="K167" s="38">
        <v>2808</v>
      </c>
      <c r="L167" s="38">
        <v>2565</v>
      </c>
      <c r="M167" s="104">
        <v>2962</v>
      </c>
      <c r="N167" s="38">
        <v>2697.5630000000001</v>
      </c>
      <c r="O167" s="38"/>
      <c r="P167" t="s">
        <v>484</v>
      </c>
      <c r="Q167" s="38"/>
      <c r="S167" s="37">
        <f t="shared" si="20"/>
        <v>-0.57549933314783308</v>
      </c>
      <c r="T167" s="38">
        <f t="shared" si="16"/>
        <v>10902</v>
      </c>
      <c r="U167" s="38">
        <f t="shared" si="17"/>
        <v>11003</v>
      </c>
      <c r="V167" s="38">
        <f t="shared" si="17"/>
        <v>11032.563</v>
      </c>
      <c r="W167" t="s">
        <v>484</v>
      </c>
      <c r="X167" s="37">
        <f t="shared" si="22"/>
        <v>1.1080584707646279</v>
      </c>
      <c r="Y167" s="2">
        <f t="shared" si="23"/>
        <v>1.1976059438635112E-2</v>
      </c>
      <c r="Z167" s="37">
        <f t="shared" si="18"/>
        <v>0.26868126874488496</v>
      </c>
      <c r="AA167" s="2">
        <f t="shared" si="21"/>
        <v>2.2377622377622419E-2</v>
      </c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38"/>
      <c r="BI167" s="38"/>
      <c r="BJ167" s="38"/>
      <c r="BK167" s="38"/>
      <c r="BL167" s="38"/>
      <c r="BM167" s="38"/>
      <c r="BN167" s="38"/>
      <c r="BO167" s="38"/>
      <c r="BP167" s="38"/>
      <c r="BQ167" s="38"/>
      <c r="BR167" s="38"/>
      <c r="BS167" s="38"/>
      <c r="BT167" s="38"/>
      <c r="BU167" s="38"/>
      <c r="BV167" s="38"/>
      <c r="BW167" s="38"/>
      <c r="BX167" s="38"/>
      <c r="BY167" s="38"/>
      <c r="BZ167" s="38"/>
      <c r="CA167" s="38"/>
      <c r="CB167" s="38"/>
    </row>
    <row r="168" spans="1:80" x14ac:dyDescent="0.25">
      <c r="A168" t="s">
        <v>485</v>
      </c>
      <c r="B168" s="38">
        <v>2230</v>
      </c>
      <c r="C168" s="38">
        <v>1986</v>
      </c>
      <c r="D168" s="38">
        <v>1872</v>
      </c>
      <c r="E168" s="38">
        <v>2605</v>
      </c>
      <c r="F168" s="38">
        <v>2346</v>
      </c>
      <c r="G168" s="38">
        <v>2208</v>
      </c>
      <c r="H168" s="38">
        <v>2008</v>
      </c>
      <c r="I168" s="104">
        <v>2648</v>
      </c>
      <c r="J168" s="38">
        <v>2575</v>
      </c>
      <c r="K168" s="38">
        <v>2564</v>
      </c>
      <c r="L168" s="38">
        <v>2246</v>
      </c>
      <c r="M168" s="104">
        <v>2586</v>
      </c>
      <c r="N168" s="38">
        <v>2682.2240000000002</v>
      </c>
      <c r="O168" s="38"/>
      <c r="P168" t="s">
        <v>485</v>
      </c>
      <c r="Q168" s="38"/>
      <c r="S168" s="37">
        <f t="shared" si="20"/>
        <v>-3.6901524123640894</v>
      </c>
      <c r="T168" s="38">
        <f t="shared" si="16"/>
        <v>9439</v>
      </c>
      <c r="U168" s="38">
        <f t="shared" si="17"/>
        <v>9971</v>
      </c>
      <c r="V168" s="38">
        <f t="shared" si="17"/>
        <v>10078.224</v>
      </c>
      <c r="W168" t="s">
        <v>485</v>
      </c>
      <c r="X168" s="37">
        <f t="shared" si="22"/>
        <v>4.1640388349514668</v>
      </c>
      <c r="Y168" s="2">
        <f t="shared" si="23"/>
        <v>6.7721580675919046E-2</v>
      </c>
      <c r="Z168" s="37">
        <f t="shared" si="18"/>
        <v>1.0753585397653183</v>
      </c>
      <c r="AA168" s="2">
        <f t="shared" si="21"/>
        <v>0.12541907954891807</v>
      </c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38"/>
      <c r="BI168" s="38"/>
      <c r="BJ168" s="38"/>
      <c r="BK168" s="38"/>
      <c r="BL168" s="38"/>
      <c r="BM168" s="38"/>
      <c r="BN168" s="38"/>
      <c r="BO168" s="38"/>
      <c r="BP168" s="38"/>
      <c r="BQ168" s="38"/>
      <c r="BR168" s="38"/>
      <c r="BS168" s="38"/>
      <c r="BT168" s="38"/>
      <c r="BU168" s="38"/>
      <c r="BV168" s="38"/>
      <c r="BW168" s="38"/>
      <c r="BX168" s="38"/>
      <c r="BY168" s="38"/>
      <c r="BZ168" s="38"/>
      <c r="CA168" s="38"/>
      <c r="CB168" s="38"/>
    </row>
    <row r="169" spans="1:80" x14ac:dyDescent="0.25">
      <c r="A169" t="s">
        <v>488</v>
      </c>
      <c r="B169" s="38">
        <v>5367</v>
      </c>
      <c r="C169" s="38">
        <v>5144</v>
      </c>
      <c r="D169" s="38">
        <v>5196</v>
      </c>
      <c r="E169" s="38">
        <v>6863</v>
      </c>
      <c r="F169" s="38">
        <v>5397</v>
      </c>
      <c r="G169" s="38">
        <v>5400</v>
      </c>
      <c r="H169" s="38">
        <v>5594</v>
      </c>
      <c r="I169" s="104">
        <v>7296</v>
      </c>
      <c r="J169" s="38">
        <v>5864</v>
      </c>
      <c r="K169" s="38">
        <v>5650</v>
      </c>
      <c r="L169" s="38">
        <v>6049</v>
      </c>
      <c r="M169" s="104">
        <v>7008</v>
      </c>
      <c r="N169" s="38">
        <v>6135.0209999999997</v>
      </c>
      <c r="O169" s="38"/>
      <c r="P169" t="s">
        <v>488</v>
      </c>
      <c r="Q169" s="38"/>
      <c r="S169" s="37">
        <f t="shared" si="20"/>
        <v>-5.2739509398768032</v>
      </c>
      <c r="T169" s="38">
        <f t="shared" si="16"/>
        <v>24154</v>
      </c>
      <c r="U169" s="38">
        <f t="shared" si="17"/>
        <v>24571</v>
      </c>
      <c r="V169" s="38">
        <f t="shared" si="17"/>
        <v>24842.021000000001</v>
      </c>
      <c r="W169" t="s">
        <v>488</v>
      </c>
      <c r="X169" s="37">
        <f t="shared" si="22"/>
        <v>4.6217769440654699</v>
      </c>
      <c r="Y169" s="2">
        <f t="shared" si="23"/>
        <v>2.8484764428251985E-2</v>
      </c>
      <c r="Z169" s="37">
        <f t="shared" si="18"/>
        <v>1.1030116804362962</v>
      </c>
      <c r="AA169" s="2">
        <f t="shared" si="21"/>
        <v>7.1502653895430424E-2</v>
      </c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38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8"/>
      <c r="BV169" s="38"/>
      <c r="BW169" s="38"/>
      <c r="BX169" s="38"/>
      <c r="BY169" s="38"/>
      <c r="BZ169" s="38"/>
      <c r="CA169" s="38"/>
      <c r="CB169" s="38"/>
    </row>
    <row r="170" spans="1:80" x14ac:dyDescent="0.25">
      <c r="A170" t="s">
        <v>487</v>
      </c>
      <c r="B170" s="38">
        <v>3700</v>
      </c>
      <c r="C170" s="38">
        <v>4150</v>
      </c>
      <c r="D170" s="38">
        <v>3397</v>
      </c>
      <c r="E170" s="38">
        <v>5798</v>
      </c>
      <c r="F170" s="38">
        <v>3708</v>
      </c>
      <c r="G170" s="38">
        <v>3936</v>
      </c>
      <c r="H170" s="38">
        <v>4350</v>
      </c>
      <c r="I170" s="104">
        <v>6163</v>
      </c>
      <c r="J170" s="38">
        <v>4060</v>
      </c>
      <c r="K170" s="38">
        <v>4202</v>
      </c>
      <c r="L170" s="38">
        <v>4351</v>
      </c>
      <c r="M170" s="104">
        <v>6064</v>
      </c>
      <c r="N170" s="38">
        <v>4152.5320000000002</v>
      </c>
      <c r="O170" s="38"/>
      <c r="P170" t="s">
        <v>487</v>
      </c>
      <c r="Q170" s="38"/>
      <c r="S170" s="37">
        <f t="shared" si="20"/>
        <v>-2.9652747082242525</v>
      </c>
      <c r="T170" s="38">
        <f t="shared" si="16"/>
        <v>18509</v>
      </c>
      <c r="U170" s="38">
        <f t="shared" si="17"/>
        <v>18677</v>
      </c>
      <c r="V170" s="38">
        <f t="shared" si="17"/>
        <v>18769.531999999999</v>
      </c>
      <c r="W170" t="s">
        <v>487</v>
      </c>
      <c r="X170" s="37">
        <f t="shared" si="22"/>
        <v>2.279113300492619</v>
      </c>
      <c r="Y170" s="2">
        <f t="shared" si="23"/>
        <v>1.4075963045005135E-2</v>
      </c>
      <c r="Z170" s="37">
        <f t="shared" si="18"/>
        <v>0.49543288536702335</v>
      </c>
      <c r="AA170" s="2">
        <f t="shared" si="21"/>
        <v>5.1609137902284496E-2</v>
      </c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38"/>
      <c r="BI170" s="38"/>
      <c r="BJ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8"/>
      <c r="BV170" s="38"/>
      <c r="BW170" s="38"/>
      <c r="BX170" s="38"/>
      <c r="BY170" s="38"/>
      <c r="BZ170" s="38"/>
      <c r="CA170" s="38"/>
      <c r="CB170" s="38"/>
    </row>
    <row r="171" spans="1:80" x14ac:dyDescent="0.25">
      <c r="A171" t="s">
        <v>486</v>
      </c>
      <c r="B171" s="38">
        <v>803</v>
      </c>
      <c r="C171" s="38">
        <v>933</v>
      </c>
      <c r="D171" s="38">
        <v>764</v>
      </c>
      <c r="E171" s="38">
        <v>1277</v>
      </c>
      <c r="F171" s="38">
        <v>792</v>
      </c>
      <c r="G171" s="38">
        <v>948</v>
      </c>
      <c r="H171" s="38">
        <v>775</v>
      </c>
      <c r="I171" s="104">
        <v>1370</v>
      </c>
      <c r="J171" s="38">
        <v>799</v>
      </c>
      <c r="K171" s="38">
        <v>953</v>
      </c>
      <c r="L171" s="38">
        <v>771</v>
      </c>
      <c r="M171" s="104">
        <v>1324</v>
      </c>
      <c r="N171" s="38">
        <v>849.04200000000003</v>
      </c>
      <c r="O171" s="38"/>
      <c r="P171" t="s">
        <v>486</v>
      </c>
      <c r="Q171" s="38"/>
      <c r="S171" s="37">
        <f t="shared" si="20"/>
        <v>-4.6923911546261738</v>
      </c>
      <c r="T171" s="38">
        <f t="shared" si="16"/>
        <v>3892</v>
      </c>
      <c r="U171" s="38">
        <f t="shared" si="17"/>
        <v>3847</v>
      </c>
      <c r="V171" s="38">
        <f t="shared" si="17"/>
        <v>3897.0419999999999</v>
      </c>
      <c r="W171" t="s">
        <v>486</v>
      </c>
      <c r="X171" s="37">
        <f t="shared" si="22"/>
        <v>6.2630788485606992</v>
      </c>
      <c r="Y171" s="2">
        <f t="shared" si="23"/>
        <v>1.2954779033915731E-3</v>
      </c>
      <c r="Z171" s="37">
        <f t="shared" si="18"/>
        <v>1.3008058227190133</v>
      </c>
      <c r="AA171" s="2">
        <f t="shared" si="21"/>
        <v>3.1809145129224614E-3</v>
      </c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38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  <c r="BZ171" s="38"/>
      <c r="CA171" s="38"/>
      <c r="CB171" s="38"/>
    </row>
    <row r="172" spans="1:80" x14ac:dyDescent="0.25">
      <c r="A172" t="s">
        <v>489</v>
      </c>
      <c r="B172" s="38">
        <v>7686</v>
      </c>
      <c r="C172" s="38">
        <v>6570</v>
      </c>
      <c r="D172" s="38">
        <v>4847</v>
      </c>
      <c r="E172" s="38">
        <v>4942</v>
      </c>
      <c r="F172" s="38">
        <v>7561</v>
      </c>
      <c r="G172" s="38">
        <v>6440</v>
      </c>
      <c r="H172" s="38">
        <v>5190</v>
      </c>
      <c r="I172" s="104">
        <v>5518</v>
      </c>
      <c r="J172" s="38">
        <v>7788</v>
      </c>
      <c r="K172" s="38">
        <v>6315</v>
      </c>
      <c r="L172" s="38">
        <v>4454</v>
      </c>
      <c r="M172" s="104">
        <v>6036</v>
      </c>
      <c r="N172" s="38">
        <v>8085.2529999999997</v>
      </c>
      <c r="O172" s="38"/>
      <c r="P172" t="s">
        <v>489</v>
      </c>
      <c r="Q172" s="38"/>
      <c r="S172" s="37">
        <f t="shared" si="20"/>
        <v>7.8767094531090542</v>
      </c>
      <c r="T172" s="38">
        <f t="shared" si="16"/>
        <v>24936</v>
      </c>
      <c r="U172" s="38">
        <f t="shared" si="17"/>
        <v>24593</v>
      </c>
      <c r="V172" s="38">
        <f t="shared" si="17"/>
        <v>24890.253000000001</v>
      </c>
      <c r="W172" t="s">
        <v>489</v>
      </c>
      <c r="X172" s="37">
        <f t="shared" si="22"/>
        <v>3.8168079096045249</v>
      </c>
      <c r="Y172" s="2">
        <f t="shared" si="23"/>
        <v>-1.8345765158805927E-3</v>
      </c>
      <c r="Z172" s="37">
        <f t="shared" si="18"/>
        <v>1.2086894644817647</v>
      </c>
      <c r="AA172" s="2">
        <f t="shared" si="21"/>
        <v>-3.3036319107915157E-2</v>
      </c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38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8"/>
      <c r="BV172" s="38"/>
      <c r="BW172" s="38"/>
      <c r="BX172" s="38"/>
      <c r="BY172" s="38"/>
      <c r="BZ172" s="38"/>
      <c r="CA172" s="38"/>
      <c r="CB172" s="38"/>
    </row>
    <row r="173" spans="1:80" x14ac:dyDescent="0.25">
      <c r="A173" t="s">
        <v>490</v>
      </c>
      <c r="B173" s="38">
        <v>4747</v>
      </c>
      <c r="C173" s="38">
        <v>5048</v>
      </c>
      <c r="D173" s="38">
        <v>4493</v>
      </c>
      <c r="E173" s="38">
        <v>6273</v>
      </c>
      <c r="F173" s="38">
        <v>4951</v>
      </c>
      <c r="G173" s="38">
        <v>4955</v>
      </c>
      <c r="H173" s="38">
        <v>6244</v>
      </c>
      <c r="I173" s="104">
        <v>6746</v>
      </c>
      <c r="J173" s="38">
        <v>5116</v>
      </c>
      <c r="K173" s="38">
        <v>5664</v>
      </c>
      <c r="L173" s="38">
        <v>5226</v>
      </c>
      <c r="M173" s="104">
        <v>7123</v>
      </c>
      <c r="N173" s="38">
        <v>5764.2550000000001</v>
      </c>
      <c r="P173" t="s">
        <v>490</v>
      </c>
      <c r="Q173" s="38"/>
      <c r="S173" s="37">
        <f t="shared" si="20"/>
        <v>4.1302145697695414</v>
      </c>
      <c r="T173" s="38">
        <f t="shared" si="16"/>
        <v>23061</v>
      </c>
      <c r="U173" s="38">
        <f t="shared" si="17"/>
        <v>23129</v>
      </c>
      <c r="V173" s="38">
        <f t="shared" si="17"/>
        <v>23777.255000000001</v>
      </c>
      <c r="W173" t="s">
        <v>490</v>
      </c>
      <c r="X173" s="37">
        <f t="shared" si="22"/>
        <v>12.671129788897574</v>
      </c>
      <c r="Y173" s="2">
        <f t="shared" si="23"/>
        <v>3.1059147478426752E-2</v>
      </c>
      <c r="Z173" s="37">
        <f t="shared" si="18"/>
        <v>2.8027800596653663</v>
      </c>
      <c r="AA173" s="2">
        <f t="shared" si="21"/>
        <v>-8.9164086687306687E-3</v>
      </c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38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38"/>
      <c r="BV173" s="38"/>
      <c r="BW173" s="38"/>
      <c r="BX173" s="38"/>
      <c r="BY173" s="38"/>
      <c r="BZ173" s="38"/>
      <c r="CA173" s="38"/>
      <c r="CB173" s="38"/>
    </row>
    <row r="174" spans="1:80" x14ac:dyDescent="0.25">
      <c r="A174" t="s">
        <v>492</v>
      </c>
      <c r="B174" s="38">
        <v>2537</v>
      </c>
      <c r="C174" s="38">
        <v>2486</v>
      </c>
      <c r="D174" s="38">
        <v>2380</v>
      </c>
      <c r="E174" s="38">
        <v>3434</v>
      </c>
      <c r="F174" s="38">
        <v>2629</v>
      </c>
      <c r="G174" s="38">
        <v>2633</v>
      </c>
      <c r="H174" s="38">
        <v>2512</v>
      </c>
      <c r="I174" s="104">
        <v>3409</v>
      </c>
      <c r="J174" s="38">
        <v>2762</v>
      </c>
      <c r="K174" s="38">
        <v>2708</v>
      </c>
      <c r="L174" s="38">
        <v>2536</v>
      </c>
      <c r="M174" s="104">
        <v>3280</v>
      </c>
      <c r="N174" s="38">
        <v>2840.1239999999998</v>
      </c>
      <c r="O174" s="38"/>
      <c r="P174" t="s">
        <v>492</v>
      </c>
      <c r="Q174" s="38"/>
      <c r="S174" s="37">
        <f t="shared" si="20"/>
        <v>-5.1129383151468089</v>
      </c>
      <c r="T174" s="38">
        <f t="shared" si="16"/>
        <v>11316</v>
      </c>
      <c r="U174" s="38">
        <f t="shared" si="17"/>
        <v>11286</v>
      </c>
      <c r="V174" s="38">
        <f t="shared" si="17"/>
        <v>11364.124</v>
      </c>
      <c r="W174" t="s">
        <v>492</v>
      </c>
      <c r="X174" s="37">
        <f t="shared" si="22"/>
        <v>2.8285300506879052</v>
      </c>
      <c r="Y174" s="2">
        <f t="shared" si="23"/>
        <v>4.2527394839164678E-3</v>
      </c>
      <c r="Z174" s="37">
        <f t="shared" si="18"/>
        <v>0.69222045011518674</v>
      </c>
      <c r="AA174" s="2">
        <f t="shared" si="21"/>
        <v>2.9843066632364357E-2</v>
      </c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38"/>
      <c r="BI174" s="38"/>
      <c r="BJ174" s="38"/>
      <c r="BK174" s="38"/>
      <c r="BL174" s="38"/>
      <c r="BM174" s="38"/>
      <c r="BN174" s="38"/>
      <c r="BO174" s="38"/>
      <c r="BP174" s="38"/>
      <c r="BQ174" s="38"/>
      <c r="BR174" s="38"/>
      <c r="BS174" s="38"/>
      <c r="BT174" s="38"/>
      <c r="BU174" s="38"/>
      <c r="BV174" s="38"/>
      <c r="BW174" s="38"/>
      <c r="BX174" s="38"/>
      <c r="BY174" s="38"/>
      <c r="BZ174" s="38"/>
      <c r="CA174" s="38"/>
      <c r="CB174" s="38"/>
    </row>
    <row r="175" spans="1:80" x14ac:dyDescent="0.25">
      <c r="A175" t="s">
        <v>491</v>
      </c>
      <c r="B175" s="38">
        <v>1442</v>
      </c>
      <c r="C175" s="38">
        <v>1667</v>
      </c>
      <c r="D175" s="38">
        <v>1687</v>
      </c>
      <c r="E175" s="38">
        <v>2077</v>
      </c>
      <c r="F175" s="38">
        <v>1456</v>
      </c>
      <c r="G175" s="38">
        <v>1837</v>
      </c>
      <c r="H175" s="38">
        <v>1787</v>
      </c>
      <c r="I175" s="104">
        <v>2207</v>
      </c>
      <c r="J175" s="38">
        <v>1572</v>
      </c>
      <c r="K175" s="38">
        <v>1893</v>
      </c>
      <c r="L175" s="38">
        <v>1796</v>
      </c>
      <c r="M175" s="104">
        <v>2190</v>
      </c>
      <c r="N175" s="38">
        <v>1690.0719999999999</v>
      </c>
      <c r="O175" s="38"/>
      <c r="P175" t="s">
        <v>491</v>
      </c>
      <c r="Q175" s="38"/>
      <c r="S175" s="37">
        <f t="shared" si="20"/>
        <v>-2.1407377176797082</v>
      </c>
      <c r="T175" s="38">
        <f t="shared" si="16"/>
        <v>7403</v>
      </c>
      <c r="U175" s="38">
        <f t="shared" si="17"/>
        <v>7451</v>
      </c>
      <c r="V175" s="38">
        <f t="shared" si="17"/>
        <v>7569.0720000000001</v>
      </c>
      <c r="W175" t="s">
        <v>491</v>
      </c>
      <c r="X175" s="37">
        <f t="shared" si="22"/>
        <v>7.5109414758269599</v>
      </c>
      <c r="Y175" s="2">
        <f t="shared" si="23"/>
        <v>2.2433067675266871E-2</v>
      </c>
      <c r="Z175" s="37">
        <f t="shared" si="18"/>
        <v>1.5846463561938009</v>
      </c>
      <c r="AA175" s="2">
        <f t="shared" si="21"/>
        <v>3.5629921259842545E-2</v>
      </c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38"/>
      <c r="BI175" s="38"/>
      <c r="BJ175" s="38"/>
      <c r="BK175" s="38"/>
      <c r="BL175" s="38"/>
      <c r="BM175" s="38"/>
      <c r="BN175" s="38"/>
      <c r="BO175" s="38"/>
      <c r="BP175" s="38"/>
      <c r="BQ175" s="38"/>
      <c r="BR175" s="38"/>
      <c r="BS175" s="38"/>
      <c r="BT175" s="38"/>
      <c r="BU175" s="38"/>
      <c r="BV175" s="38"/>
      <c r="BW175" s="38"/>
      <c r="BX175" s="38"/>
      <c r="BY175" s="38"/>
      <c r="BZ175" s="38"/>
      <c r="CA175" s="38"/>
      <c r="CB175" s="38"/>
    </row>
    <row r="176" spans="1:80" x14ac:dyDescent="0.25">
      <c r="A176" t="s">
        <v>493</v>
      </c>
      <c r="B176" s="38">
        <v>532</v>
      </c>
      <c r="C176" s="38">
        <v>610</v>
      </c>
      <c r="D176" s="38">
        <v>481</v>
      </c>
      <c r="E176" s="38">
        <v>836</v>
      </c>
      <c r="F176" s="38">
        <v>533</v>
      </c>
      <c r="G176" s="38">
        <v>643</v>
      </c>
      <c r="H176" s="38">
        <v>537</v>
      </c>
      <c r="I176" s="104">
        <v>932</v>
      </c>
      <c r="J176" s="38">
        <v>558</v>
      </c>
      <c r="K176" s="38">
        <v>647</v>
      </c>
      <c r="L176" s="38">
        <v>545</v>
      </c>
      <c r="M176" s="104">
        <v>891</v>
      </c>
      <c r="N176" s="38">
        <v>600.678</v>
      </c>
      <c r="O176" s="38"/>
      <c r="P176" t="s">
        <v>493</v>
      </c>
      <c r="Q176" s="38"/>
      <c r="S176" s="37">
        <f t="shared" si="20"/>
        <v>-5.7194847116923135</v>
      </c>
      <c r="T176" s="38">
        <f t="shared" si="16"/>
        <v>2670</v>
      </c>
      <c r="U176" s="38">
        <f t="shared" si="17"/>
        <v>2641</v>
      </c>
      <c r="V176" s="38">
        <f t="shared" si="17"/>
        <v>2683.6779999999999</v>
      </c>
      <c r="W176" t="s">
        <v>493</v>
      </c>
      <c r="X176" s="37">
        <f t="shared" si="22"/>
        <v>7.6483870967742007</v>
      </c>
      <c r="Y176" s="2">
        <f t="shared" si="23"/>
        <v>5.1228464419474928E-3</v>
      </c>
      <c r="Z176" s="37">
        <f t="shared" si="18"/>
        <v>1.6159787959106495</v>
      </c>
      <c r="AA176" s="2">
        <f t="shared" si="21"/>
        <v>2.1599532983070713E-2</v>
      </c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38"/>
      <c r="BI176" s="38"/>
      <c r="BJ176" s="38"/>
      <c r="BK176" s="38"/>
      <c r="BL176" s="38"/>
      <c r="BM176" s="38"/>
      <c r="BN176" s="38"/>
      <c r="BO176" s="38"/>
      <c r="BP176" s="38"/>
      <c r="BQ176" s="38"/>
      <c r="BR176" s="38"/>
      <c r="BS176" s="38"/>
      <c r="BT176" s="38"/>
      <c r="BU176" s="38"/>
      <c r="BV176" s="38"/>
      <c r="BW176" s="38"/>
      <c r="BX176" s="38"/>
      <c r="BY176" s="38"/>
      <c r="BZ176" s="38"/>
      <c r="CA176" s="38"/>
      <c r="CB176" s="38"/>
    </row>
    <row r="177" spans="1:80" x14ac:dyDescent="0.25">
      <c r="A177" t="s">
        <v>474</v>
      </c>
      <c r="B177" s="38">
        <v>5530</v>
      </c>
      <c r="C177" s="38">
        <v>5552</v>
      </c>
      <c r="D177" s="38">
        <v>5218</v>
      </c>
      <c r="E177" s="38">
        <v>6382</v>
      </c>
      <c r="F177" s="38">
        <v>5692</v>
      </c>
      <c r="G177" s="38">
        <v>5807</v>
      </c>
      <c r="H177" s="38">
        <v>5341</v>
      </c>
      <c r="I177" s="104">
        <v>6899</v>
      </c>
      <c r="J177" s="38">
        <v>5882</v>
      </c>
      <c r="K177" s="38">
        <v>5906</v>
      </c>
      <c r="L177" s="38">
        <v>5185</v>
      </c>
      <c r="M177" s="104">
        <v>6392</v>
      </c>
      <c r="N177" s="38">
        <v>5595.4430000000002</v>
      </c>
      <c r="O177" s="38"/>
      <c r="P177" t="s">
        <v>474</v>
      </c>
      <c r="Q177" s="38"/>
      <c r="S177" s="37">
        <f t="shared" si="20"/>
        <v>-8.628495245458712</v>
      </c>
      <c r="T177" s="38">
        <f t="shared" si="16"/>
        <v>23929</v>
      </c>
      <c r="U177" s="38">
        <f t="shared" si="17"/>
        <v>23365</v>
      </c>
      <c r="V177" s="38">
        <f t="shared" si="17"/>
        <v>23078.442999999999</v>
      </c>
      <c r="W177" t="s">
        <v>474</v>
      </c>
      <c r="X177" s="37">
        <f t="shared" si="22"/>
        <v>-4.8717613056783353</v>
      </c>
      <c r="Y177" s="2">
        <f t="shared" si="23"/>
        <v>-3.5545029044255938E-2</v>
      </c>
      <c r="Z177" s="37">
        <f t="shared" si="18"/>
        <v>-1.2264369783864737</v>
      </c>
      <c r="AA177" s="2">
        <f t="shared" si="21"/>
        <v>7.897862232778996E-3</v>
      </c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38"/>
      <c r="BI177" s="38"/>
      <c r="BJ177" s="38"/>
      <c r="BK177" s="38"/>
      <c r="BL177" s="38"/>
      <c r="BM177" s="38"/>
      <c r="BN177" s="38"/>
      <c r="BO177" s="38"/>
      <c r="BP177" s="38"/>
      <c r="BQ177" s="38"/>
      <c r="BR177" s="38"/>
      <c r="BS177" s="38"/>
      <c r="BT177" s="38"/>
      <c r="BU177" s="38"/>
      <c r="BV177" s="38"/>
      <c r="BW177" s="38"/>
      <c r="BX177" s="38"/>
      <c r="BY177" s="38"/>
      <c r="BZ177" s="38"/>
      <c r="CA177" s="38"/>
      <c r="CB177" s="38"/>
    </row>
    <row r="178" spans="1:80" x14ac:dyDescent="0.25">
      <c r="A178" t="s">
        <v>473</v>
      </c>
      <c r="B178" s="38">
        <v>1054</v>
      </c>
      <c r="C178" s="38">
        <v>1282</v>
      </c>
      <c r="D178" s="38">
        <v>1060</v>
      </c>
      <c r="E178" s="38">
        <v>1245</v>
      </c>
      <c r="F178" s="38">
        <v>1142</v>
      </c>
      <c r="G178" s="38">
        <v>1004</v>
      </c>
      <c r="H178" s="38">
        <v>1561</v>
      </c>
      <c r="I178" s="104">
        <v>1593</v>
      </c>
      <c r="J178" s="38">
        <v>1482</v>
      </c>
      <c r="K178" s="38">
        <v>1491</v>
      </c>
      <c r="L178" s="38">
        <v>1423</v>
      </c>
      <c r="M178" s="104">
        <v>1782</v>
      </c>
      <c r="N178" s="38">
        <v>1760.729</v>
      </c>
      <c r="O178" s="38"/>
      <c r="P178" t="s">
        <v>473</v>
      </c>
      <c r="Q178" s="38"/>
      <c r="S178" s="37">
        <f t="shared" si="20"/>
        <v>10.319447895420918</v>
      </c>
      <c r="T178" s="38">
        <f t="shared" si="16"/>
        <v>5640</v>
      </c>
      <c r="U178" s="38">
        <f t="shared" si="17"/>
        <v>6178</v>
      </c>
      <c r="V178" s="38">
        <f t="shared" si="17"/>
        <v>6456.7290000000003</v>
      </c>
      <c r="W178" t="s">
        <v>473</v>
      </c>
      <c r="X178" s="37">
        <f t="shared" si="22"/>
        <v>18.807624831309045</v>
      </c>
      <c r="Y178" s="2">
        <f t="shared" si="23"/>
        <v>0.14481010638297875</v>
      </c>
      <c r="Z178" s="37">
        <f t="shared" si="18"/>
        <v>4.5116380705729995</v>
      </c>
      <c r="AA178" s="2">
        <f t="shared" si="21"/>
        <v>0.18586458052333432</v>
      </c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38"/>
      <c r="BI178" s="38"/>
      <c r="BJ178" s="38"/>
      <c r="BK178" s="38"/>
      <c r="BL178" s="38"/>
      <c r="BM178" s="38"/>
      <c r="BN178" s="38"/>
      <c r="BO178" s="38"/>
      <c r="BP178" s="38"/>
      <c r="BQ178" s="38"/>
      <c r="BR178" s="38"/>
      <c r="BS178" s="38"/>
      <c r="BT178" s="38"/>
      <c r="BU178" s="38"/>
      <c r="BV178" s="38"/>
      <c r="BW178" s="38"/>
      <c r="BX178" s="38"/>
      <c r="BY178" s="38"/>
      <c r="BZ178" s="38"/>
      <c r="CA178" s="38"/>
      <c r="CB178" s="38"/>
    </row>
    <row r="179" spans="1:80" x14ac:dyDescent="0.25">
      <c r="A179" t="s">
        <v>494</v>
      </c>
      <c r="B179" s="38">
        <v>1063</v>
      </c>
      <c r="C179" s="38">
        <v>1014</v>
      </c>
      <c r="D179" s="38">
        <v>998</v>
      </c>
      <c r="E179" s="38">
        <v>1288</v>
      </c>
      <c r="F179" s="38">
        <v>1122</v>
      </c>
      <c r="G179" s="38">
        <v>1050</v>
      </c>
      <c r="H179" s="38">
        <v>991</v>
      </c>
      <c r="I179" s="104">
        <v>1528</v>
      </c>
      <c r="J179" s="38">
        <v>1165</v>
      </c>
      <c r="K179" s="38">
        <v>1092</v>
      </c>
      <c r="L179" s="38">
        <v>1213</v>
      </c>
      <c r="M179" s="104">
        <v>1413</v>
      </c>
      <c r="N179" s="38">
        <v>1273.7860000000001</v>
      </c>
      <c r="O179" s="38"/>
      <c r="P179" t="s">
        <v>494</v>
      </c>
      <c r="Q179" s="38"/>
      <c r="S179" s="37">
        <f t="shared" si="20"/>
        <v>-8.8033336040619918</v>
      </c>
      <c r="T179" s="38">
        <f t="shared" si="16"/>
        <v>4734</v>
      </c>
      <c r="U179" s="38">
        <f t="shared" si="17"/>
        <v>4883</v>
      </c>
      <c r="V179" s="38">
        <f t="shared" si="17"/>
        <v>4991.7860000000001</v>
      </c>
      <c r="W179" t="s">
        <v>494</v>
      </c>
      <c r="X179" s="37">
        <f t="shared" si="22"/>
        <v>9.3378540772532261</v>
      </c>
      <c r="Y179" s="2">
        <f t="shared" si="23"/>
        <v>5.4454161385720345E-2</v>
      </c>
      <c r="Z179" s="37">
        <f t="shared" si="18"/>
        <v>2.2278517304935548</v>
      </c>
      <c r="AA179" s="2">
        <f t="shared" si="21"/>
        <v>9.7059753398672122E-2</v>
      </c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38"/>
      <c r="BI179" s="38"/>
      <c r="BJ179" s="38"/>
      <c r="BK179" s="38"/>
      <c r="BL179" s="38"/>
      <c r="BM179" s="38"/>
      <c r="BN179" s="38"/>
      <c r="BO179" s="38"/>
      <c r="BP179" s="38"/>
      <c r="BQ179" s="38"/>
      <c r="BR179" s="38"/>
      <c r="BS179" s="38"/>
      <c r="BT179" s="38"/>
      <c r="BU179" s="38"/>
      <c r="BV179" s="38"/>
      <c r="BW179" s="38"/>
      <c r="BX179" s="38"/>
      <c r="BY179" s="38"/>
      <c r="BZ179" s="38"/>
      <c r="CA179" s="38"/>
      <c r="CB179" s="38"/>
    </row>
    <row r="180" spans="1:80" x14ac:dyDescent="0.25">
      <c r="A180" t="s">
        <v>496</v>
      </c>
      <c r="B180" s="38">
        <v>412</v>
      </c>
      <c r="C180" s="38">
        <v>414</v>
      </c>
      <c r="D180" s="38">
        <v>811</v>
      </c>
      <c r="E180" s="38">
        <v>539</v>
      </c>
      <c r="F180" s="38">
        <v>441</v>
      </c>
      <c r="G180" s="38">
        <v>477</v>
      </c>
      <c r="H180" s="38">
        <v>826</v>
      </c>
      <c r="I180" s="104">
        <v>584</v>
      </c>
      <c r="J180" s="38">
        <v>472</v>
      </c>
      <c r="K180" s="38">
        <v>387</v>
      </c>
      <c r="L180" s="38">
        <v>814</v>
      </c>
      <c r="M180" s="104">
        <v>573</v>
      </c>
      <c r="N180" s="38">
        <v>484.048</v>
      </c>
      <c r="O180" s="38"/>
      <c r="P180" t="s">
        <v>496</v>
      </c>
      <c r="Q180" s="38"/>
      <c r="S180" s="37">
        <f t="shared" si="20"/>
        <v>-3.2386473899830071</v>
      </c>
      <c r="T180" s="38">
        <f t="shared" si="16"/>
        <v>2359</v>
      </c>
      <c r="U180" s="38">
        <f t="shared" si="17"/>
        <v>2246</v>
      </c>
      <c r="V180" s="38">
        <f t="shared" si="17"/>
        <v>2258.0479999999998</v>
      </c>
      <c r="W180" t="s">
        <v>496</v>
      </c>
      <c r="X180" s="37">
        <f t="shared" si="22"/>
        <v>2.5525423728813612</v>
      </c>
      <c r="Y180" s="2">
        <f t="shared" si="23"/>
        <v>-4.279440440864779E-2</v>
      </c>
      <c r="Z180" s="37">
        <f t="shared" si="18"/>
        <v>0.5364203027604475</v>
      </c>
      <c r="AA180" s="2">
        <f t="shared" si="21"/>
        <v>-4.0711009174311918E-2</v>
      </c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38"/>
      <c r="BI180" s="38"/>
      <c r="BJ180" s="38"/>
      <c r="BK180" s="38"/>
      <c r="BL180" s="38"/>
      <c r="BM180" s="38"/>
      <c r="BN180" s="38"/>
      <c r="BO180" s="38"/>
      <c r="BP180" s="38"/>
      <c r="BQ180" s="38"/>
      <c r="BR180" s="38"/>
      <c r="BS180" s="38"/>
      <c r="BT180" s="38"/>
      <c r="BU180" s="38"/>
      <c r="BV180" s="38"/>
      <c r="BW180" s="38"/>
      <c r="BX180" s="38"/>
      <c r="BY180" s="38"/>
      <c r="BZ180" s="38"/>
      <c r="CA180" s="38"/>
      <c r="CB180" s="38"/>
    </row>
    <row r="181" spans="1:80" x14ac:dyDescent="0.25">
      <c r="A181" t="s">
        <v>497</v>
      </c>
      <c r="B181" s="38">
        <v>4575</v>
      </c>
      <c r="C181" s="38">
        <v>6206</v>
      </c>
      <c r="D181" s="38">
        <v>6433</v>
      </c>
      <c r="E181" s="38">
        <v>10242</v>
      </c>
      <c r="F181" s="38">
        <v>4676</v>
      </c>
      <c r="G181" s="38">
        <v>6116</v>
      </c>
      <c r="H181" s="38">
        <v>7050</v>
      </c>
      <c r="I181" s="104">
        <v>11235</v>
      </c>
      <c r="J181" s="38">
        <v>5050</v>
      </c>
      <c r="K181" s="38">
        <v>6466</v>
      </c>
      <c r="L181" s="38">
        <v>7278</v>
      </c>
      <c r="M181" s="104">
        <v>11005</v>
      </c>
      <c r="N181" s="38">
        <v>5277.3130000000001</v>
      </c>
      <c r="O181" s="38"/>
      <c r="P181" t="s">
        <v>497</v>
      </c>
      <c r="Q181" s="38"/>
      <c r="S181" s="37">
        <f t="shared" si="20"/>
        <v>-3.4000001061923246</v>
      </c>
      <c r="T181" s="38">
        <f t="shared" si="16"/>
        <v>29451</v>
      </c>
      <c r="U181" s="38">
        <f t="shared" si="17"/>
        <v>29799</v>
      </c>
      <c r="V181" s="38">
        <f t="shared" si="17"/>
        <v>30026.313000000002</v>
      </c>
      <c r="W181" t="s">
        <v>497</v>
      </c>
      <c r="X181" s="37">
        <f t="shared" si="22"/>
        <v>4.5012475247524719</v>
      </c>
      <c r="Y181" s="2">
        <f t="shared" si="23"/>
        <v>1.9534582866456152E-2</v>
      </c>
      <c r="Z181" s="37">
        <f t="shared" si="18"/>
        <v>0.76282090003022063</v>
      </c>
      <c r="AA181" s="2">
        <f t="shared" si="21"/>
        <v>5.3357246945409775E-2</v>
      </c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38"/>
      <c r="BI181" s="38"/>
      <c r="BJ181" s="38"/>
      <c r="BK181" s="38"/>
      <c r="BL181" s="38"/>
      <c r="BM181" s="38"/>
      <c r="BN181" s="38"/>
      <c r="BO181" s="38"/>
      <c r="BP181" s="38"/>
      <c r="BQ181" s="38"/>
      <c r="BR181" s="38"/>
      <c r="BS181" s="38"/>
      <c r="BT181" s="38"/>
      <c r="BU181" s="38"/>
      <c r="BV181" s="38"/>
      <c r="BW181" s="38"/>
      <c r="BX181" s="38"/>
      <c r="BY181" s="38"/>
      <c r="BZ181" s="38"/>
      <c r="CA181" s="38"/>
      <c r="CB181" s="38"/>
    </row>
    <row r="182" spans="1:80" s="68" customFormat="1" x14ac:dyDescent="0.25">
      <c r="A182" s="68" t="s">
        <v>472</v>
      </c>
      <c r="B182" s="104">
        <v>403</v>
      </c>
      <c r="C182" s="104">
        <v>1343</v>
      </c>
      <c r="D182" s="104">
        <v>1256</v>
      </c>
      <c r="E182" s="104">
        <v>1425</v>
      </c>
      <c r="F182" s="104">
        <v>463</v>
      </c>
      <c r="G182" s="104">
        <v>1562</v>
      </c>
      <c r="H182" s="104">
        <v>1326</v>
      </c>
      <c r="I182" s="104">
        <v>1494</v>
      </c>
      <c r="J182" s="104">
        <v>1363</v>
      </c>
      <c r="K182" s="104">
        <v>1510</v>
      </c>
      <c r="L182" s="104">
        <v>1311</v>
      </c>
      <c r="M182" s="104">
        <v>1627</v>
      </c>
      <c r="N182" s="104">
        <v>1434.8489999999999</v>
      </c>
      <c r="O182" s="104"/>
      <c r="P182" s="68" t="s">
        <v>472</v>
      </c>
      <c r="Q182" s="104"/>
      <c r="S182" s="110">
        <f t="shared" ref="S182:S201" si="24">(M182/(I182*$X$5)-1)*100</f>
        <v>7.3982268652908578</v>
      </c>
      <c r="T182" s="104">
        <f t="shared" si="16"/>
        <v>5745</v>
      </c>
      <c r="U182" s="104">
        <f t="shared" si="17"/>
        <v>5811</v>
      </c>
      <c r="V182" s="104">
        <f t="shared" si="17"/>
        <v>5882.8490000000002</v>
      </c>
      <c r="W182" s="68" t="s">
        <v>472</v>
      </c>
      <c r="X182" s="110">
        <f t="shared" si="22"/>
        <v>5.2713866471019832</v>
      </c>
      <c r="Y182" s="111">
        <f t="shared" si="23"/>
        <v>2.3994604003481301E-2</v>
      </c>
      <c r="Z182" s="110">
        <f t="shared" si="18"/>
        <v>1.2364309069007078</v>
      </c>
      <c r="AA182" s="111">
        <f t="shared" ref="AA182:AA201" si="25">SUM(J182:L182)/SUM(F182:H182)-1</f>
        <v>0.2485825126827812</v>
      </c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 s="104"/>
      <c r="AW182" s="104"/>
      <c r="AX182" s="104"/>
      <c r="AY182" s="104"/>
      <c r="AZ182" s="104"/>
      <c r="BA182" s="104"/>
      <c r="BB182" s="104"/>
      <c r="BC182" s="104"/>
      <c r="BD182" s="104"/>
      <c r="BE182" s="104"/>
      <c r="BF182" s="104"/>
      <c r="BG182" s="104"/>
      <c r="BH182" s="104"/>
      <c r="BI182" s="104"/>
      <c r="BJ182" s="104"/>
      <c r="BK182" s="104"/>
      <c r="BL182" s="104"/>
      <c r="BM182" s="104"/>
      <c r="BN182" s="104"/>
      <c r="BO182" s="104"/>
      <c r="BP182" s="104"/>
      <c r="BQ182" s="104"/>
      <c r="BR182" s="104"/>
      <c r="BS182" s="104"/>
      <c r="BT182" s="104"/>
      <c r="BU182" s="104"/>
      <c r="BV182" s="104"/>
      <c r="BW182" s="104"/>
      <c r="BX182" s="104"/>
      <c r="BY182" s="104"/>
      <c r="BZ182" s="104"/>
      <c r="CA182" s="104"/>
      <c r="CB182" s="104"/>
    </row>
    <row r="183" spans="1:80" x14ac:dyDescent="0.25">
      <c r="A183" t="s">
        <v>495</v>
      </c>
      <c r="B183" s="38">
        <v>619</v>
      </c>
      <c r="C183" s="38">
        <v>1504</v>
      </c>
      <c r="D183" s="38">
        <v>1494</v>
      </c>
      <c r="E183" s="38">
        <v>2845</v>
      </c>
      <c r="F183" s="38">
        <v>618</v>
      </c>
      <c r="G183" s="38">
        <v>1596</v>
      </c>
      <c r="H183" s="38">
        <v>1805</v>
      </c>
      <c r="I183" s="104">
        <v>2998</v>
      </c>
      <c r="J183" s="38">
        <v>657</v>
      </c>
      <c r="K183" s="38">
        <v>1697</v>
      </c>
      <c r="L183" s="38">
        <v>1860</v>
      </c>
      <c r="M183" s="104">
        <v>2893</v>
      </c>
      <c r="N183" s="38">
        <v>655.72500000000002</v>
      </c>
      <c r="O183" s="38"/>
      <c r="P183" t="s">
        <v>495</v>
      </c>
      <c r="Q183" s="38"/>
      <c r="S183" s="37">
        <f t="shared" si="24"/>
        <v>-4.835063765107483</v>
      </c>
      <c r="T183" s="38">
        <f t="shared" si="16"/>
        <v>7056</v>
      </c>
      <c r="U183" s="38">
        <f t="shared" si="17"/>
        <v>7107</v>
      </c>
      <c r="V183" s="38">
        <f t="shared" si="17"/>
        <v>7105.7250000000004</v>
      </c>
      <c r="W183" t="s">
        <v>495</v>
      </c>
      <c r="X183" s="37">
        <f t="shared" si="22"/>
        <v>-0.19406392694063523</v>
      </c>
      <c r="Y183" s="2">
        <f t="shared" si="23"/>
        <v>7.04719387755115E-3</v>
      </c>
      <c r="Z183" s="37">
        <f t="shared" si="18"/>
        <v>-1.7940059096659411E-2</v>
      </c>
      <c r="AA183" s="2">
        <f t="shared" si="25"/>
        <v>4.8519532221945827E-2</v>
      </c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38"/>
      <c r="BI183" s="38"/>
      <c r="BJ183" s="38"/>
      <c r="BK183" s="38"/>
      <c r="BL183" s="38"/>
      <c r="BM183" s="38"/>
      <c r="BN183" s="38"/>
      <c r="BO183" s="38"/>
      <c r="BP183" s="38"/>
      <c r="BQ183" s="38"/>
      <c r="BR183" s="38"/>
      <c r="BS183" s="38"/>
      <c r="BT183" s="38"/>
      <c r="BU183" s="38"/>
      <c r="BV183" s="38"/>
      <c r="BW183" s="38"/>
      <c r="BX183" s="38"/>
      <c r="BY183" s="38"/>
      <c r="BZ183" s="38"/>
      <c r="CA183" s="38"/>
      <c r="CB183" s="38"/>
    </row>
    <row r="184" spans="1:80" x14ac:dyDescent="0.25">
      <c r="A184" t="s">
        <v>498</v>
      </c>
      <c r="B184" s="38">
        <v>16263</v>
      </c>
      <c r="C184" s="38">
        <v>16030</v>
      </c>
      <c r="D184" s="38">
        <v>20109</v>
      </c>
      <c r="E184" s="38">
        <v>18477</v>
      </c>
      <c r="F184" s="38">
        <v>16424</v>
      </c>
      <c r="G184" s="38">
        <v>16569</v>
      </c>
      <c r="H184" s="38">
        <v>21647</v>
      </c>
      <c r="I184" s="104">
        <v>20972</v>
      </c>
      <c r="J184" s="38">
        <v>16731</v>
      </c>
      <c r="K184" s="38">
        <v>16236</v>
      </c>
      <c r="L184" s="38">
        <v>20939</v>
      </c>
      <c r="M184" s="104">
        <v>20324</v>
      </c>
      <c r="N184" s="38">
        <v>17099.650000000001</v>
      </c>
      <c r="O184" s="38"/>
      <c r="P184" t="s">
        <v>498</v>
      </c>
      <c r="Q184" s="38"/>
      <c r="S184" s="37">
        <f t="shared" si="24"/>
        <v>-4.4282599869338242</v>
      </c>
      <c r="T184" s="38">
        <f t="shared" si="16"/>
        <v>75919</v>
      </c>
      <c r="U184" s="38">
        <f t="shared" si="17"/>
        <v>74230</v>
      </c>
      <c r="V184" s="38">
        <f t="shared" si="17"/>
        <v>74598.649999999994</v>
      </c>
      <c r="W184" t="s">
        <v>498</v>
      </c>
      <c r="X184" s="37">
        <f t="shared" si="22"/>
        <v>2.2033948957026039</v>
      </c>
      <c r="Y184" s="2">
        <f t="shared" si="23"/>
        <v>-1.7391562059563603E-2</v>
      </c>
      <c r="Z184" s="37">
        <f t="shared" si="18"/>
        <v>0.49663208945169401</v>
      </c>
      <c r="AA184" s="2">
        <f t="shared" si="25"/>
        <v>-1.3433382137628125E-2</v>
      </c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38"/>
      <c r="BI184" s="38"/>
      <c r="BJ184" s="38"/>
      <c r="BK184" s="38"/>
      <c r="BL184" s="38"/>
      <c r="BM184" s="38"/>
      <c r="BN184" s="38"/>
      <c r="BO184" s="38"/>
      <c r="BP184" s="38"/>
      <c r="BQ184" s="38"/>
      <c r="BR184" s="38"/>
      <c r="BS184" s="38"/>
      <c r="BT184" s="38"/>
      <c r="BU184" s="38"/>
      <c r="BV184" s="38"/>
      <c r="BW184" s="38"/>
      <c r="BX184" s="38"/>
      <c r="BY184" s="38"/>
      <c r="BZ184" s="38"/>
      <c r="CA184" s="38"/>
      <c r="CB184" s="38"/>
    </row>
    <row r="185" spans="1:80" x14ac:dyDescent="0.25">
      <c r="A185" t="s">
        <v>499</v>
      </c>
      <c r="B185" s="38">
        <v>5889</v>
      </c>
      <c r="C185" s="38">
        <v>6311</v>
      </c>
      <c r="D185" s="38">
        <v>6179</v>
      </c>
      <c r="E185" s="38">
        <v>7495</v>
      </c>
      <c r="F185" s="38">
        <v>5975</v>
      </c>
      <c r="G185" s="38">
        <v>6430</v>
      </c>
      <c r="H185" s="38">
        <v>6472</v>
      </c>
      <c r="I185" s="104">
        <v>8365</v>
      </c>
      <c r="J185" s="38">
        <v>6446</v>
      </c>
      <c r="K185" s="38">
        <v>6520</v>
      </c>
      <c r="L185" s="38">
        <v>6604</v>
      </c>
      <c r="M185" s="104">
        <v>7455</v>
      </c>
      <c r="N185" s="38">
        <v>6585.835</v>
      </c>
      <c r="O185" s="38"/>
      <c r="P185" t="s">
        <v>499</v>
      </c>
      <c r="Q185" s="38"/>
      <c r="S185" s="37">
        <f t="shared" si="24"/>
        <v>-12.109515550795313</v>
      </c>
      <c r="T185" s="38">
        <f t="shared" si="16"/>
        <v>27713</v>
      </c>
      <c r="U185" s="38">
        <f t="shared" si="17"/>
        <v>27025</v>
      </c>
      <c r="V185" s="38">
        <f t="shared" si="17"/>
        <v>27164.834999999999</v>
      </c>
      <c r="W185" t="s">
        <v>499</v>
      </c>
      <c r="X185" s="37">
        <f t="shared" si="22"/>
        <v>2.1693298169407349</v>
      </c>
      <c r="Y185" s="2">
        <f t="shared" si="23"/>
        <v>-1.9780067116515698E-2</v>
      </c>
      <c r="Z185" s="37">
        <f t="shared" si="18"/>
        <v>0.51742830712302634</v>
      </c>
      <c r="AA185" s="2">
        <f t="shared" si="25"/>
        <v>3.6711341844572809E-2</v>
      </c>
      <c r="AB185" s="38"/>
      <c r="AC185" s="38"/>
      <c r="AD185" s="38"/>
      <c r="AE185" s="38"/>
      <c r="AF185" s="38"/>
      <c r="AG185" s="38"/>
      <c r="AH185" s="38"/>
      <c r="AI185" s="38"/>
      <c r="AJ185" s="38"/>
      <c r="AK185" s="38"/>
      <c r="AL185" s="38"/>
      <c r="AM185" s="38"/>
      <c r="AN185" s="38"/>
      <c r="AO185" s="38"/>
      <c r="AP185" s="38"/>
      <c r="AQ185" s="38"/>
      <c r="AR185" s="38"/>
      <c r="AS185" s="38"/>
      <c r="AT185" s="38"/>
      <c r="AU185" s="38"/>
      <c r="AV185" s="38"/>
      <c r="AW185" s="38"/>
      <c r="AX185" s="38"/>
      <c r="AY185" s="38"/>
      <c r="AZ185" s="38"/>
      <c r="BA185" s="38"/>
      <c r="BB185" s="38"/>
      <c r="BC185" s="38"/>
      <c r="BD185" s="38"/>
      <c r="BE185" s="38"/>
      <c r="BF185" s="38"/>
      <c r="BG185" s="38"/>
      <c r="BH185" s="38"/>
      <c r="BI185" s="38"/>
      <c r="BJ185" s="38"/>
      <c r="BK185" s="38"/>
      <c r="BL185" s="38"/>
      <c r="BM185" s="38"/>
      <c r="BN185" s="38"/>
      <c r="BO185" s="38"/>
      <c r="BP185" s="38"/>
      <c r="BQ185" s="38"/>
      <c r="BR185" s="38"/>
      <c r="BS185" s="38"/>
      <c r="BT185" s="38"/>
      <c r="BU185" s="38"/>
      <c r="BV185" s="38"/>
      <c r="BW185" s="38"/>
      <c r="BX185" s="38"/>
      <c r="BY185" s="38"/>
      <c r="BZ185" s="38"/>
      <c r="CA185" s="38"/>
      <c r="CB185" s="38"/>
    </row>
    <row r="186" spans="1:80" x14ac:dyDescent="0.25">
      <c r="A186" t="s">
        <v>500</v>
      </c>
      <c r="B186" s="38">
        <v>2160</v>
      </c>
      <c r="C186" s="38">
        <v>2069</v>
      </c>
      <c r="D186" s="38">
        <v>1917</v>
      </c>
      <c r="E186" s="38">
        <v>2429</v>
      </c>
      <c r="F186" s="38">
        <v>2127</v>
      </c>
      <c r="G186" s="38">
        <v>2123</v>
      </c>
      <c r="H186" s="38">
        <v>1894</v>
      </c>
      <c r="I186" s="104">
        <v>2514</v>
      </c>
      <c r="J186" s="38">
        <v>2135</v>
      </c>
      <c r="K186" s="38">
        <v>2177</v>
      </c>
      <c r="L186" s="38">
        <v>1954</v>
      </c>
      <c r="M186" s="104">
        <v>2584</v>
      </c>
      <c r="N186" s="38">
        <v>2388.154</v>
      </c>
      <c r="O186" s="38"/>
      <c r="P186" t="s">
        <v>500</v>
      </c>
      <c r="Q186" s="38"/>
      <c r="S186" s="37">
        <f t="shared" si="24"/>
        <v>1.3648522717888412</v>
      </c>
      <c r="T186" s="38">
        <f t="shared" si="16"/>
        <v>8666</v>
      </c>
      <c r="U186" s="38">
        <f t="shared" si="17"/>
        <v>8850</v>
      </c>
      <c r="V186" s="38">
        <f t="shared" si="17"/>
        <v>9103.1540000000005</v>
      </c>
      <c r="W186" t="s">
        <v>500</v>
      </c>
      <c r="X186" s="37">
        <f t="shared" si="22"/>
        <v>11.857330210772844</v>
      </c>
      <c r="Y186" s="2">
        <f t="shared" si="23"/>
        <v>5.0444726517424376E-2</v>
      </c>
      <c r="Z186" s="37">
        <f t="shared" si="18"/>
        <v>2.8604971751412478</v>
      </c>
      <c r="AA186" s="2">
        <f t="shared" si="25"/>
        <v>1.9856770833333259E-2</v>
      </c>
      <c r="AB186" s="38"/>
      <c r="AC186" s="38"/>
      <c r="AD186" s="38"/>
      <c r="AE186" s="38"/>
      <c r="AF186" s="38"/>
      <c r="AG186" s="38"/>
      <c r="AH186" s="38"/>
      <c r="AI186" s="38"/>
      <c r="AJ186" s="38"/>
      <c r="AK186" s="38"/>
      <c r="AL186" s="38"/>
      <c r="AM186" s="38"/>
      <c r="AN186" s="38"/>
      <c r="AO186" s="38"/>
      <c r="AP186" s="38"/>
      <c r="AQ186" s="38"/>
      <c r="AR186" s="38"/>
      <c r="AS186" s="38"/>
      <c r="AT186" s="38"/>
      <c r="AU186" s="38"/>
      <c r="AV186" s="38"/>
      <c r="AW186" s="38"/>
      <c r="AX186" s="38"/>
      <c r="AY186" s="38"/>
      <c r="AZ186" s="38"/>
      <c r="BA186" s="38"/>
      <c r="BB186" s="38"/>
      <c r="BC186" s="38"/>
      <c r="BD186" s="38"/>
      <c r="BE186" s="38"/>
      <c r="BF186" s="38"/>
      <c r="BG186" s="38"/>
      <c r="BH186" s="38"/>
      <c r="BI186" s="38"/>
      <c r="BJ186" s="38"/>
      <c r="BK186" s="38"/>
      <c r="BL186" s="38"/>
      <c r="BM186" s="38"/>
      <c r="BN186" s="38"/>
      <c r="BO186" s="38"/>
      <c r="BP186" s="38"/>
      <c r="BQ186" s="38"/>
      <c r="BR186" s="38"/>
      <c r="BS186" s="38"/>
      <c r="BT186" s="38"/>
      <c r="BU186" s="38"/>
      <c r="BV186" s="38"/>
      <c r="BW186" s="38"/>
      <c r="BX186" s="38"/>
      <c r="BY186" s="38"/>
      <c r="BZ186" s="38"/>
      <c r="CA186" s="38"/>
      <c r="CB186" s="38"/>
    </row>
    <row r="187" spans="1:80" x14ac:dyDescent="0.25">
      <c r="A187" t="s">
        <v>501</v>
      </c>
      <c r="B187" s="38">
        <v>2127</v>
      </c>
      <c r="C187" s="38">
        <v>2015</v>
      </c>
      <c r="D187" s="38">
        <v>1703</v>
      </c>
      <c r="E187" s="38">
        <v>2772</v>
      </c>
      <c r="F187" s="38">
        <v>2221</v>
      </c>
      <c r="G187" s="38">
        <v>2177</v>
      </c>
      <c r="H187" s="38">
        <v>1928</v>
      </c>
      <c r="I187" s="104">
        <v>3162</v>
      </c>
      <c r="J187" s="38">
        <v>2294</v>
      </c>
      <c r="K187" s="38">
        <v>2209</v>
      </c>
      <c r="L187" s="38">
        <v>1947</v>
      </c>
      <c r="M187" s="104">
        <v>3006</v>
      </c>
      <c r="N187" s="38">
        <v>2403.2719999999999</v>
      </c>
      <c r="O187" s="38"/>
      <c r="P187" t="s">
        <v>501</v>
      </c>
      <c r="Q187" s="38"/>
      <c r="S187" s="37">
        <f t="shared" si="24"/>
        <v>-6.2465482047971088</v>
      </c>
      <c r="T187" s="38">
        <f t="shared" si="16"/>
        <v>9561</v>
      </c>
      <c r="U187" s="38">
        <f t="shared" si="17"/>
        <v>9456</v>
      </c>
      <c r="V187" s="38">
        <f t="shared" si="17"/>
        <v>9565.2720000000008</v>
      </c>
      <c r="W187" t="s">
        <v>501</v>
      </c>
      <c r="X187" s="37">
        <f t="shared" si="22"/>
        <v>4.7633827375762827</v>
      </c>
      <c r="Y187" s="2">
        <f t="shared" si="23"/>
        <v>4.4681518669609233E-4</v>
      </c>
      <c r="Z187" s="37">
        <f t="shared" si="18"/>
        <v>1.1555837563451945</v>
      </c>
      <c r="AA187" s="2">
        <f t="shared" si="25"/>
        <v>1.9601644008852448E-2</v>
      </c>
      <c r="AB187" s="38"/>
      <c r="AC187" s="38"/>
      <c r="AD187" s="38"/>
      <c r="AE187" s="38"/>
      <c r="AF187" s="38"/>
      <c r="AG187" s="38"/>
      <c r="AH187" s="38"/>
      <c r="AI187" s="38"/>
      <c r="AJ187" s="38"/>
      <c r="AK187" s="38"/>
      <c r="AL187" s="38"/>
      <c r="AM187" s="38"/>
      <c r="AN187" s="38"/>
      <c r="AO187" s="38"/>
      <c r="AP187" s="38"/>
      <c r="AQ187" s="38"/>
      <c r="AR187" s="38"/>
      <c r="AS187" s="38"/>
      <c r="AT187" s="38"/>
      <c r="AU187" s="38"/>
      <c r="AV187" s="38"/>
      <c r="AW187" s="38"/>
      <c r="AX187" s="38"/>
      <c r="AY187" s="38"/>
      <c r="AZ187" s="38"/>
      <c r="BA187" s="38"/>
      <c r="BB187" s="38"/>
      <c r="BC187" s="38"/>
      <c r="BD187" s="38"/>
      <c r="BE187" s="38"/>
      <c r="BF187" s="38"/>
      <c r="BG187" s="38"/>
      <c r="BH187" s="38"/>
      <c r="BI187" s="38"/>
      <c r="BJ187" s="38"/>
      <c r="BK187" s="38"/>
      <c r="BL187" s="38"/>
      <c r="BM187" s="38"/>
      <c r="BN187" s="38"/>
      <c r="BO187" s="38"/>
      <c r="BP187" s="38"/>
      <c r="BQ187" s="38"/>
      <c r="BR187" s="38"/>
      <c r="BS187" s="38"/>
      <c r="BT187" s="38"/>
      <c r="BU187" s="38"/>
      <c r="BV187" s="38"/>
      <c r="BW187" s="38"/>
      <c r="BX187" s="38"/>
      <c r="BY187" s="38"/>
      <c r="BZ187" s="38"/>
      <c r="CA187" s="38"/>
      <c r="CB187" s="38"/>
    </row>
    <row r="188" spans="1:80" x14ac:dyDescent="0.25">
      <c r="A188" t="s">
        <v>502</v>
      </c>
      <c r="B188" s="38">
        <v>7213</v>
      </c>
      <c r="C188" s="38">
        <v>6856</v>
      </c>
      <c r="D188" s="38">
        <v>9892</v>
      </c>
      <c r="E188" s="38">
        <v>9016</v>
      </c>
      <c r="F188" s="38">
        <v>7337</v>
      </c>
      <c r="G188" s="38">
        <v>7253</v>
      </c>
      <c r="H188" s="38">
        <v>10045</v>
      </c>
      <c r="I188" s="104">
        <v>9284</v>
      </c>
      <c r="J188" s="38">
        <v>7486</v>
      </c>
      <c r="K188" s="38">
        <v>7316</v>
      </c>
      <c r="L188" s="38">
        <v>10071</v>
      </c>
      <c r="M188" s="104">
        <v>9256</v>
      </c>
      <c r="N188" s="38">
        <v>7946.0259999999998</v>
      </c>
      <c r="O188" s="38"/>
      <c r="P188" t="s">
        <v>502</v>
      </c>
      <c r="Q188" s="38"/>
      <c r="S188" s="37">
        <f t="shared" si="24"/>
        <v>-1.6785284336020445</v>
      </c>
      <c r="T188" s="38">
        <f t="shared" si="16"/>
        <v>34068</v>
      </c>
      <c r="U188" s="38">
        <f t="shared" si="17"/>
        <v>34129</v>
      </c>
      <c r="V188" s="38">
        <f t="shared" si="17"/>
        <v>34589.025999999998</v>
      </c>
      <c r="W188" t="s">
        <v>502</v>
      </c>
      <c r="X188" s="37">
        <f t="shared" si="22"/>
        <v>6.1451509484370836</v>
      </c>
      <c r="Y188" s="2">
        <f t="shared" si="23"/>
        <v>1.5293706704238463E-2</v>
      </c>
      <c r="Z188" s="37">
        <f t="shared" si="18"/>
        <v>1.3479035424418981</v>
      </c>
      <c r="AA188" s="2">
        <f t="shared" si="25"/>
        <v>9.6610513497057404E-3</v>
      </c>
      <c r="AB188" s="38"/>
      <c r="AC188" s="38"/>
      <c r="AD188" s="38"/>
      <c r="AE188" s="38"/>
      <c r="AF188" s="38"/>
      <c r="AG188" s="38"/>
      <c r="AH188" s="38"/>
      <c r="AI188" s="38"/>
      <c r="AJ188" s="38"/>
      <c r="AK188" s="38"/>
      <c r="AL188" s="38"/>
      <c r="AM188" s="38"/>
      <c r="AN188" s="38"/>
      <c r="AO188" s="38"/>
      <c r="AP188" s="38"/>
      <c r="AQ188" s="38"/>
      <c r="AR188" s="38"/>
      <c r="AS188" s="38"/>
      <c r="AT188" s="38"/>
      <c r="AU188" s="38"/>
      <c r="AV188" s="38"/>
      <c r="AW188" s="38"/>
      <c r="AX188" s="38"/>
      <c r="AY188" s="38"/>
      <c r="AZ188" s="38"/>
      <c r="BA188" s="38"/>
      <c r="BB188" s="38"/>
      <c r="BC188" s="38"/>
      <c r="BD188" s="38"/>
      <c r="BE188" s="38"/>
      <c r="BF188" s="38"/>
      <c r="BG188" s="38"/>
      <c r="BH188" s="38"/>
      <c r="BI188" s="38"/>
      <c r="BJ188" s="38"/>
      <c r="BK188" s="38"/>
      <c r="BL188" s="38"/>
      <c r="BM188" s="38"/>
      <c r="BN188" s="38"/>
      <c r="BO188" s="38"/>
      <c r="BP188" s="38"/>
      <c r="BQ188" s="38"/>
      <c r="BR188" s="38"/>
      <c r="BS188" s="38"/>
      <c r="BT188" s="38"/>
      <c r="BU188" s="38"/>
      <c r="BV188" s="38"/>
      <c r="BW188" s="38"/>
      <c r="BX188" s="38"/>
      <c r="BY188" s="38"/>
      <c r="BZ188" s="38"/>
      <c r="CA188" s="38"/>
      <c r="CB188" s="38"/>
    </row>
    <row r="189" spans="1:80" x14ac:dyDescent="0.25">
      <c r="A189" t="s">
        <v>503</v>
      </c>
      <c r="B189" s="38">
        <v>765</v>
      </c>
      <c r="C189" s="38">
        <v>614</v>
      </c>
      <c r="D189" s="38">
        <v>672</v>
      </c>
      <c r="E189" s="38">
        <v>820</v>
      </c>
      <c r="F189" s="38">
        <v>767</v>
      </c>
      <c r="G189" s="38">
        <v>655</v>
      </c>
      <c r="H189" s="38">
        <v>642</v>
      </c>
      <c r="I189" s="104">
        <v>870</v>
      </c>
      <c r="J189" s="38">
        <v>799</v>
      </c>
      <c r="K189" s="38">
        <v>640</v>
      </c>
      <c r="L189" s="38">
        <v>671</v>
      </c>
      <c r="M189" s="104">
        <v>858</v>
      </c>
      <c r="N189" s="38">
        <v>803.19600000000003</v>
      </c>
      <c r="O189" s="38"/>
      <c r="P189" t="s">
        <v>503</v>
      </c>
      <c r="Q189" s="38"/>
      <c r="S189" s="37">
        <f t="shared" si="24"/>
        <v>-2.7413603036921197</v>
      </c>
      <c r="T189" s="38">
        <f t="shared" si="16"/>
        <v>2966</v>
      </c>
      <c r="U189" s="38">
        <f t="shared" si="17"/>
        <v>2968</v>
      </c>
      <c r="V189" s="38">
        <f t="shared" si="17"/>
        <v>2972.1959999999999</v>
      </c>
      <c r="W189" t="s">
        <v>503</v>
      </c>
      <c r="X189" s="37">
        <f t="shared" si="22"/>
        <v>0.52515644555695129</v>
      </c>
      <c r="Y189" s="2">
        <f t="shared" si="23"/>
        <v>2.0890087660148104E-3</v>
      </c>
      <c r="Z189" s="37">
        <f t="shared" si="18"/>
        <v>0.14137466307278146</v>
      </c>
      <c r="AA189" s="2">
        <f t="shared" si="25"/>
        <v>2.2286821705426396E-2</v>
      </c>
      <c r="AB189" s="38"/>
      <c r="AC189" s="38"/>
      <c r="AD189" s="38"/>
      <c r="AE189" s="38"/>
      <c r="AF189" s="38"/>
      <c r="AG189" s="38"/>
      <c r="AH189" s="38"/>
      <c r="AI189" s="38"/>
      <c r="AJ189" s="38"/>
      <c r="AK189" s="38"/>
      <c r="AL189" s="38"/>
      <c r="AM189" s="38"/>
      <c r="AN189" s="38"/>
      <c r="AO189" s="38"/>
      <c r="AP189" s="38"/>
      <c r="AQ189" s="38"/>
      <c r="AR189" s="38"/>
      <c r="AS189" s="38"/>
      <c r="AT189" s="38"/>
      <c r="AU189" s="38"/>
      <c r="AV189" s="38"/>
      <c r="AW189" s="38"/>
      <c r="AX189" s="38"/>
      <c r="AY189" s="38"/>
      <c r="AZ189" s="38"/>
      <c r="BA189" s="38"/>
      <c r="BB189" s="38"/>
      <c r="BC189" s="38"/>
      <c r="BD189" s="38"/>
      <c r="BE189" s="38"/>
      <c r="BF189" s="38"/>
      <c r="BG189" s="38"/>
      <c r="BH189" s="38"/>
      <c r="BI189" s="38"/>
      <c r="BJ189" s="38"/>
      <c r="BK189" s="38"/>
      <c r="BL189" s="38"/>
      <c r="BM189" s="38"/>
      <c r="BN189" s="38"/>
      <c r="BO189" s="38"/>
      <c r="BP189" s="38"/>
      <c r="BQ189" s="38"/>
      <c r="BR189" s="38"/>
      <c r="BS189" s="38"/>
      <c r="BT189" s="38"/>
      <c r="BU189" s="38"/>
      <c r="BV189" s="38"/>
      <c r="BW189" s="38"/>
      <c r="BX189" s="38"/>
      <c r="BY189" s="38"/>
      <c r="BZ189" s="38"/>
      <c r="CA189" s="38"/>
      <c r="CB189" s="38"/>
    </row>
    <row r="190" spans="1:80" x14ac:dyDescent="0.25">
      <c r="A190" t="s">
        <v>504</v>
      </c>
      <c r="B190" s="38">
        <v>1450</v>
      </c>
      <c r="C190" s="38">
        <v>2110</v>
      </c>
      <c r="D190" s="38">
        <v>1444</v>
      </c>
      <c r="E190" s="38">
        <v>2512</v>
      </c>
      <c r="F190" s="38">
        <v>2053</v>
      </c>
      <c r="G190" s="38">
        <v>2283</v>
      </c>
      <c r="H190" s="38">
        <v>1569</v>
      </c>
      <c r="I190" s="104">
        <v>2683</v>
      </c>
      <c r="J190" s="38">
        <v>2001</v>
      </c>
      <c r="K190" s="38">
        <v>2298</v>
      </c>
      <c r="L190" s="38">
        <v>1622</v>
      </c>
      <c r="M190" s="104">
        <v>2691</v>
      </c>
      <c r="N190" s="38">
        <v>2502.35</v>
      </c>
      <c r="O190" s="38"/>
      <c r="P190" t="s">
        <v>504</v>
      </c>
      <c r="Q190" s="38"/>
      <c r="S190" s="37">
        <f t="shared" si="24"/>
        <v>-1.0870439980794622</v>
      </c>
      <c r="T190" s="38">
        <f t="shared" si="16"/>
        <v>8536</v>
      </c>
      <c r="U190" s="38">
        <f t="shared" si="17"/>
        <v>8612</v>
      </c>
      <c r="V190" s="38">
        <f t="shared" si="17"/>
        <v>9113.35</v>
      </c>
      <c r="W190" t="s">
        <v>504</v>
      </c>
      <c r="X190" s="37">
        <f t="shared" si="22"/>
        <v>25.054972513743134</v>
      </c>
      <c r="Y190" s="2">
        <f t="shared" si="23"/>
        <v>6.763706654170587E-2</v>
      </c>
      <c r="Z190" s="37">
        <f t="shared" si="18"/>
        <v>5.8215281003251249</v>
      </c>
      <c r="AA190" s="2">
        <f t="shared" si="25"/>
        <v>2.7095681625741719E-3</v>
      </c>
      <c r="AB190" s="38"/>
      <c r="AC190" s="38"/>
      <c r="AD190" s="38"/>
      <c r="AE190" s="38"/>
      <c r="AF190" s="38"/>
      <c r="AG190" s="38"/>
      <c r="AH190" s="38"/>
      <c r="AI190" s="38"/>
      <c r="AJ190" s="38"/>
      <c r="AK190" s="38"/>
      <c r="AL190" s="38"/>
      <c r="AM190" s="38"/>
      <c r="AN190" s="38"/>
      <c r="AO190" s="38"/>
      <c r="AP190" s="38"/>
      <c r="AQ190" s="38"/>
      <c r="AR190" s="38"/>
      <c r="AS190" s="38"/>
      <c r="AT190" s="38"/>
      <c r="AU190" s="38"/>
      <c r="AV190" s="38"/>
      <c r="AW190" s="38"/>
      <c r="AX190" s="38"/>
      <c r="AY190" s="38"/>
      <c r="AZ190" s="38"/>
      <c r="BA190" s="38"/>
      <c r="BB190" s="38"/>
      <c r="BC190" s="38"/>
      <c r="BD190" s="38"/>
      <c r="BE190" s="38"/>
      <c r="BF190" s="38"/>
      <c r="BG190" s="38"/>
      <c r="BH190" s="38"/>
      <c r="BI190" s="38"/>
      <c r="BJ190" s="38"/>
      <c r="BK190" s="38"/>
      <c r="BL190" s="38"/>
      <c r="BM190" s="38"/>
      <c r="BN190" s="38"/>
      <c r="BO190" s="38"/>
      <c r="BP190" s="38"/>
      <c r="BQ190" s="38"/>
      <c r="BR190" s="38"/>
      <c r="BS190" s="38"/>
      <c r="BT190" s="38"/>
      <c r="BU190" s="38"/>
      <c r="BV190" s="38"/>
      <c r="BW190" s="38"/>
      <c r="BX190" s="38"/>
      <c r="BY190" s="38"/>
      <c r="BZ190" s="38"/>
      <c r="CA190" s="38"/>
      <c r="CB190" s="38"/>
    </row>
    <row r="191" spans="1:80" x14ac:dyDescent="0.25">
      <c r="A191" t="s">
        <v>505</v>
      </c>
      <c r="B191" s="38">
        <v>404</v>
      </c>
      <c r="C191" s="38">
        <v>377</v>
      </c>
      <c r="D191" s="38">
        <v>374</v>
      </c>
      <c r="E191" s="38">
        <v>351</v>
      </c>
      <c r="F191" s="38">
        <v>377</v>
      </c>
      <c r="G191" s="38">
        <v>375</v>
      </c>
      <c r="H191" s="38">
        <v>374</v>
      </c>
      <c r="I191" s="104">
        <v>392</v>
      </c>
      <c r="J191" s="38">
        <v>399</v>
      </c>
      <c r="K191" s="38">
        <v>407</v>
      </c>
      <c r="L191" s="38">
        <v>392</v>
      </c>
      <c r="M191" s="104">
        <v>394</v>
      </c>
      <c r="N191" s="38">
        <v>423.67500000000001</v>
      </c>
      <c r="O191" s="38"/>
      <c r="P191" t="s">
        <v>505</v>
      </c>
      <c r="Q191" s="38"/>
      <c r="S191" s="37">
        <f t="shared" si="24"/>
        <v>-0.87794195358089633</v>
      </c>
      <c r="T191" s="38">
        <f t="shared" si="16"/>
        <v>1540</v>
      </c>
      <c r="U191" s="38">
        <f t="shared" si="17"/>
        <v>1592</v>
      </c>
      <c r="V191" s="38">
        <f t="shared" si="17"/>
        <v>1616.675</v>
      </c>
      <c r="W191" t="s">
        <v>505</v>
      </c>
      <c r="X191" s="37">
        <f t="shared" si="22"/>
        <v>6.184210526315792</v>
      </c>
      <c r="Y191" s="2">
        <f t="shared" si="23"/>
        <v>4.9788961038961022E-2</v>
      </c>
      <c r="Z191" s="37">
        <f t="shared" si="18"/>
        <v>1.549937185929636</v>
      </c>
      <c r="AA191" s="2">
        <f t="shared" si="25"/>
        <v>6.3943161634103074E-2</v>
      </c>
      <c r="AB191" s="38"/>
      <c r="AC191" s="38"/>
      <c r="AD191" s="38"/>
      <c r="AE191" s="38"/>
      <c r="AF191" s="38"/>
      <c r="AG191" s="38"/>
      <c r="AH191" s="38"/>
      <c r="AI191" s="38"/>
      <c r="AJ191" s="38"/>
      <c r="AK191" s="38"/>
      <c r="AL191" s="38"/>
      <c r="AM191" s="38"/>
      <c r="AN191" s="38"/>
      <c r="AO191" s="38"/>
      <c r="AP191" s="38"/>
      <c r="AQ191" s="38"/>
      <c r="AR191" s="38"/>
      <c r="AS191" s="38"/>
      <c r="AT191" s="38"/>
      <c r="AU191" s="38"/>
      <c r="AV191" s="38"/>
      <c r="AW191" s="38"/>
      <c r="AX191" s="38"/>
      <c r="AY191" s="38"/>
      <c r="AZ191" s="38"/>
      <c r="BA191" s="38"/>
      <c r="BB191" s="38"/>
      <c r="BC191" s="38"/>
      <c r="BD191" s="38"/>
      <c r="BE191" s="38"/>
      <c r="BF191" s="38"/>
      <c r="BG191" s="38"/>
      <c r="BH191" s="38"/>
      <c r="BI191" s="38"/>
      <c r="BJ191" s="38"/>
      <c r="BK191" s="38"/>
      <c r="BL191" s="38"/>
      <c r="BM191" s="38"/>
      <c r="BN191" s="38"/>
      <c r="BO191" s="38"/>
      <c r="BP191" s="38"/>
      <c r="BQ191" s="38"/>
      <c r="BR191" s="38"/>
      <c r="BS191" s="38"/>
      <c r="BT191" s="38"/>
      <c r="BU191" s="38"/>
      <c r="BV191" s="38"/>
      <c r="BW191" s="38"/>
      <c r="BX191" s="38"/>
      <c r="BY191" s="38"/>
      <c r="BZ191" s="38"/>
      <c r="CA191" s="38"/>
      <c r="CB191" s="38"/>
    </row>
    <row r="192" spans="1:80" x14ac:dyDescent="0.25">
      <c r="A192" t="s">
        <v>506</v>
      </c>
      <c r="B192" s="38">
        <v>2941</v>
      </c>
      <c r="C192" s="38">
        <v>2728</v>
      </c>
      <c r="D192" s="38">
        <v>2978</v>
      </c>
      <c r="E192" s="38">
        <v>3702</v>
      </c>
      <c r="F192" s="38">
        <v>2987</v>
      </c>
      <c r="G192" s="38">
        <v>2810</v>
      </c>
      <c r="H192" s="38">
        <v>3041</v>
      </c>
      <c r="I192" s="104">
        <v>3846</v>
      </c>
      <c r="J192" s="38">
        <v>3058</v>
      </c>
      <c r="K192" s="38">
        <v>2842</v>
      </c>
      <c r="L192" s="38">
        <v>3057</v>
      </c>
      <c r="M192" s="104">
        <v>3848</v>
      </c>
      <c r="N192" s="38">
        <v>3198.056</v>
      </c>
      <c r="O192" s="38"/>
      <c r="P192" t="s">
        <v>506</v>
      </c>
      <c r="Q192" s="38"/>
      <c r="S192" s="37">
        <f t="shared" si="24"/>
        <v>-1.3298157290801749</v>
      </c>
      <c r="T192" s="38">
        <f t="shared" si="16"/>
        <v>12755</v>
      </c>
      <c r="U192" s="38">
        <f t="shared" si="17"/>
        <v>12805</v>
      </c>
      <c r="V192" s="38">
        <f t="shared" si="17"/>
        <v>12945.056</v>
      </c>
      <c r="W192" t="s">
        <v>506</v>
      </c>
      <c r="X192" s="37">
        <f t="shared" si="22"/>
        <v>4.5799869195552567</v>
      </c>
      <c r="Y192" s="2">
        <f t="shared" si="23"/>
        <v>1.490050960407685E-2</v>
      </c>
      <c r="Z192" s="37">
        <f t="shared" si="18"/>
        <v>1.093760249902374</v>
      </c>
      <c r="AA192" s="2">
        <f t="shared" si="25"/>
        <v>1.3464584747680419E-2</v>
      </c>
      <c r="AB192" s="38"/>
      <c r="AC192" s="38"/>
      <c r="AD192" s="38"/>
      <c r="AE192" s="38"/>
      <c r="AF192" s="38"/>
      <c r="AG192" s="38"/>
      <c r="AH192" s="38"/>
      <c r="AI192" s="38"/>
      <c r="AJ192" s="38"/>
      <c r="AK192" s="38"/>
      <c r="AL192" s="38"/>
      <c r="AM192" s="38"/>
      <c r="AN192" s="38"/>
      <c r="AO192" s="38"/>
      <c r="AP192" s="38"/>
      <c r="AQ192" s="38"/>
      <c r="AR192" s="38"/>
      <c r="AS192" s="38"/>
      <c r="AT192" s="38"/>
      <c r="AU192" s="38"/>
      <c r="AV192" s="38"/>
      <c r="AW192" s="38"/>
      <c r="AX192" s="38"/>
      <c r="AY192" s="38"/>
      <c r="AZ192" s="38"/>
      <c r="BA192" s="38"/>
      <c r="BB192" s="38"/>
      <c r="BC192" s="38"/>
      <c r="BD192" s="38"/>
      <c r="BE192" s="38"/>
      <c r="BF192" s="38"/>
      <c r="BG192" s="38"/>
      <c r="BH192" s="38"/>
      <c r="BI192" s="38"/>
      <c r="BJ192" s="38"/>
      <c r="BK192" s="38"/>
      <c r="BL192" s="38"/>
      <c r="BM192" s="38"/>
      <c r="BN192" s="38"/>
      <c r="BO192" s="38"/>
      <c r="BP192" s="38"/>
      <c r="BQ192" s="38"/>
      <c r="BR192" s="38"/>
      <c r="BS192" s="38"/>
      <c r="BT192" s="38"/>
      <c r="BU192" s="38"/>
      <c r="BV192" s="38"/>
      <c r="BW192" s="38"/>
      <c r="BX192" s="38"/>
      <c r="BY192" s="38"/>
      <c r="BZ192" s="38"/>
      <c r="CA192" s="38"/>
      <c r="CB192" s="38"/>
    </row>
    <row r="193" spans="1:80" x14ac:dyDescent="0.25">
      <c r="A193" t="s">
        <v>507</v>
      </c>
      <c r="B193" s="38">
        <v>10813</v>
      </c>
      <c r="C193" s="38">
        <v>10421</v>
      </c>
      <c r="D193" s="38">
        <v>11176</v>
      </c>
      <c r="E193" s="38">
        <v>15373</v>
      </c>
      <c r="F193" s="38">
        <v>11982</v>
      </c>
      <c r="G193" s="38">
        <v>11019</v>
      </c>
      <c r="H193" s="38">
        <v>11859</v>
      </c>
      <c r="I193" s="104">
        <v>16114</v>
      </c>
      <c r="J193" s="38">
        <v>12722</v>
      </c>
      <c r="K193" s="38">
        <v>12175</v>
      </c>
      <c r="L193" s="38">
        <v>12731</v>
      </c>
      <c r="M193" s="104">
        <v>16921</v>
      </c>
      <c r="N193" s="38">
        <v>13748.96</v>
      </c>
      <c r="O193" s="38"/>
      <c r="P193" t="s">
        <v>507</v>
      </c>
      <c r="Q193" s="38"/>
      <c r="S193" s="37">
        <f t="shared" si="24"/>
        <v>3.557801509384495</v>
      </c>
      <c r="T193" s="38">
        <f t="shared" si="16"/>
        <v>51714</v>
      </c>
      <c r="U193" s="38">
        <f t="shared" si="17"/>
        <v>54549</v>
      </c>
      <c r="V193" s="38">
        <f t="shared" si="17"/>
        <v>55575.96</v>
      </c>
      <c r="W193" t="s">
        <v>507</v>
      </c>
      <c r="X193" s="37">
        <f t="shared" si="22"/>
        <v>8.072315673636222</v>
      </c>
      <c r="Y193" s="2">
        <f t="shared" si="23"/>
        <v>7.4679197122635932E-2</v>
      </c>
      <c r="Z193" s="37">
        <f t="shared" si="18"/>
        <v>1.8826376285541357</v>
      </c>
      <c r="AA193" s="2">
        <f t="shared" si="25"/>
        <v>7.9403327596098583E-2</v>
      </c>
      <c r="AB193" s="38"/>
      <c r="AC193" s="38"/>
      <c r="AD193" s="38"/>
      <c r="AE193" s="38"/>
      <c r="AF193" s="38"/>
      <c r="AG193" s="38"/>
      <c r="AH193" s="38"/>
      <c r="AI193" s="38"/>
      <c r="AJ193" s="38"/>
      <c r="AK193" s="38"/>
      <c r="AL193" s="38"/>
      <c r="AM193" s="38"/>
      <c r="AN193" s="38"/>
      <c r="AO193" s="38"/>
      <c r="AP193" s="38"/>
      <c r="AQ193" s="38"/>
      <c r="AR193" s="38"/>
      <c r="AS193" s="38"/>
      <c r="AT193" s="38"/>
      <c r="AU193" s="38"/>
      <c r="AV193" s="38"/>
      <c r="AW193" s="38"/>
      <c r="AX193" s="38"/>
      <c r="AY193" s="38"/>
      <c r="AZ193" s="38"/>
      <c r="BA193" s="38"/>
      <c r="BB193" s="38"/>
      <c r="BC193" s="38"/>
      <c r="BD193" s="38"/>
      <c r="BE193" s="38"/>
      <c r="BF193" s="38"/>
      <c r="BG193" s="38"/>
      <c r="BH193" s="38"/>
      <c r="BI193" s="38"/>
      <c r="BJ193" s="38"/>
      <c r="BK193" s="38"/>
      <c r="BL193" s="38"/>
      <c r="BM193" s="38"/>
      <c r="BN193" s="38"/>
      <c r="BO193" s="38"/>
      <c r="BP193" s="38"/>
      <c r="BQ193" s="38"/>
      <c r="BR193" s="38"/>
      <c r="BS193" s="38"/>
      <c r="BT193" s="38"/>
      <c r="BU193" s="38"/>
      <c r="BV193" s="38"/>
      <c r="BW193" s="38"/>
      <c r="BX193" s="38"/>
      <c r="BY193" s="38"/>
      <c r="BZ193" s="38"/>
      <c r="CA193" s="38"/>
      <c r="CB193" s="38"/>
    </row>
    <row r="194" spans="1:80" x14ac:dyDescent="0.25">
      <c r="A194" t="s">
        <v>508</v>
      </c>
      <c r="B194" s="38">
        <v>1357</v>
      </c>
      <c r="C194" s="38">
        <v>1349</v>
      </c>
      <c r="D194" s="38">
        <v>1322</v>
      </c>
      <c r="E194" s="38">
        <v>1782</v>
      </c>
      <c r="F194" s="38">
        <v>1442</v>
      </c>
      <c r="G194" s="38">
        <v>1509</v>
      </c>
      <c r="H194" s="38">
        <v>1319</v>
      </c>
      <c r="I194" s="104">
        <v>2056</v>
      </c>
      <c r="J194" s="38">
        <v>1443</v>
      </c>
      <c r="K194" s="38">
        <v>1515</v>
      </c>
      <c r="L194" s="38">
        <v>1391</v>
      </c>
      <c r="M194" s="104">
        <v>1836</v>
      </c>
      <c r="N194" s="38">
        <v>1540.1030000000001</v>
      </c>
      <c r="O194" s="38"/>
      <c r="P194" t="s">
        <v>508</v>
      </c>
      <c r="Q194" s="38"/>
      <c r="S194" s="37">
        <f t="shared" si="24"/>
        <v>-11.933705681644424</v>
      </c>
      <c r="T194" s="38">
        <f t="shared" si="16"/>
        <v>6327</v>
      </c>
      <c r="U194" s="38">
        <f t="shared" si="17"/>
        <v>6185</v>
      </c>
      <c r="V194" s="38">
        <f t="shared" si="17"/>
        <v>6282.1030000000001</v>
      </c>
      <c r="W194" t="s">
        <v>508</v>
      </c>
      <c r="X194" s="37">
        <f t="shared" si="22"/>
        <v>6.729244629244624</v>
      </c>
      <c r="Y194" s="2">
        <f t="shared" si="23"/>
        <v>-7.0960960960960717E-3</v>
      </c>
      <c r="Z194" s="37">
        <f t="shared" si="18"/>
        <v>1.5699757477768799</v>
      </c>
      <c r="AA194" s="2">
        <f t="shared" si="25"/>
        <v>1.8501170960187441E-2</v>
      </c>
      <c r="AB194" s="38"/>
      <c r="AC194" s="38"/>
      <c r="AD194" s="38"/>
      <c r="AE194" s="38"/>
      <c r="AF194" s="38"/>
      <c r="AG194" s="38"/>
      <c r="AH194" s="38"/>
      <c r="AI194" s="38"/>
      <c r="AJ194" s="38"/>
      <c r="AK194" s="38"/>
      <c r="AL194" s="38"/>
      <c r="AM194" s="38"/>
      <c r="AN194" s="38"/>
      <c r="AO194" s="38"/>
      <c r="AP194" s="38"/>
      <c r="AQ194" s="38"/>
      <c r="AR194" s="38"/>
      <c r="AS194" s="38"/>
      <c r="AT194" s="38"/>
      <c r="AU194" s="38"/>
      <c r="AV194" s="38"/>
      <c r="AW194" s="38"/>
      <c r="AX194" s="38"/>
      <c r="AY194" s="38"/>
      <c r="AZ194" s="38"/>
      <c r="BA194" s="38"/>
      <c r="BB194" s="38"/>
      <c r="BC194" s="38"/>
      <c r="BD194" s="38"/>
      <c r="BE194" s="38"/>
      <c r="BF194" s="38"/>
      <c r="BG194" s="38"/>
      <c r="BH194" s="38"/>
      <c r="BI194" s="38"/>
      <c r="BJ194" s="38"/>
      <c r="BK194" s="38"/>
      <c r="BL194" s="38"/>
      <c r="BM194" s="38"/>
      <c r="BN194" s="38"/>
      <c r="BO194" s="38"/>
      <c r="BP194" s="38"/>
      <c r="BQ194" s="38"/>
      <c r="BR194" s="38"/>
      <c r="BS194" s="38"/>
      <c r="BT194" s="38"/>
      <c r="BU194" s="38"/>
      <c r="BV194" s="38"/>
      <c r="BW194" s="38"/>
      <c r="BX194" s="38"/>
      <c r="BY194" s="38"/>
      <c r="BZ194" s="38"/>
      <c r="CA194" s="38"/>
      <c r="CB194" s="38"/>
    </row>
    <row r="195" spans="1:80" x14ac:dyDescent="0.25">
      <c r="A195" t="s">
        <v>510</v>
      </c>
      <c r="B195" s="38">
        <v>4112</v>
      </c>
      <c r="C195" s="38">
        <v>4412</v>
      </c>
      <c r="D195" s="38">
        <v>3925</v>
      </c>
      <c r="E195" s="38">
        <v>5591</v>
      </c>
      <c r="F195" s="38">
        <v>4535</v>
      </c>
      <c r="G195" s="38">
        <v>4495</v>
      </c>
      <c r="H195" s="38">
        <v>4077</v>
      </c>
      <c r="I195" s="104">
        <v>6011</v>
      </c>
      <c r="J195" s="38">
        <v>4527</v>
      </c>
      <c r="K195" s="38">
        <v>4581</v>
      </c>
      <c r="L195" s="38">
        <v>4149</v>
      </c>
      <c r="M195" s="104">
        <v>5660</v>
      </c>
      <c r="N195" s="38">
        <v>4847.2830000000004</v>
      </c>
      <c r="O195" s="38"/>
      <c r="P195" t="s">
        <v>510</v>
      </c>
      <c r="Q195" s="38"/>
      <c r="S195" s="37">
        <f t="shared" si="24"/>
        <v>-7.1397477599228099</v>
      </c>
      <c r="T195" s="38">
        <f t="shared" si="16"/>
        <v>19110</v>
      </c>
      <c r="U195" s="38">
        <f t="shared" si="17"/>
        <v>18917</v>
      </c>
      <c r="V195" s="38">
        <f t="shared" si="17"/>
        <v>19237.282999999999</v>
      </c>
      <c r="W195" t="s">
        <v>510</v>
      </c>
      <c r="X195" s="37">
        <f t="shared" si="22"/>
        <v>7.0749502982107471</v>
      </c>
      <c r="Y195" s="2">
        <f t="shared" si="23"/>
        <v>6.6605442176870255E-3</v>
      </c>
      <c r="Z195" s="37">
        <f t="shared" si="18"/>
        <v>1.6930961568959049</v>
      </c>
      <c r="AA195" s="2">
        <f t="shared" si="25"/>
        <v>1.1444266422522276E-2</v>
      </c>
      <c r="AB195" s="38"/>
      <c r="AC195" s="38"/>
      <c r="AD195" s="38"/>
      <c r="AE195" s="38"/>
      <c r="AF195" s="38"/>
      <c r="AG195" s="38"/>
      <c r="AH195" s="38"/>
      <c r="AI195" s="38"/>
      <c r="AJ195" s="38"/>
      <c r="AK195" s="38"/>
      <c r="AL195" s="38"/>
      <c r="AM195" s="38"/>
      <c r="AN195" s="38"/>
      <c r="AO195" s="38"/>
      <c r="AP195" s="38"/>
      <c r="AQ195" s="38"/>
      <c r="AR195" s="38"/>
      <c r="AS195" s="38"/>
      <c r="AT195" s="38"/>
      <c r="AU195" s="38"/>
      <c r="AV195" s="38"/>
      <c r="AW195" s="38"/>
      <c r="AX195" s="38"/>
      <c r="AY195" s="38"/>
      <c r="AZ195" s="38"/>
      <c r="BA195" s="38"/>
      <c r="BB195" s="38"/>
      <c r="BC195" s="38"/>
      <c r="BD195" s="38"/>
      <c r="BE195" s="38"/>
      <c r="BF195" s="38"/>
      <c r="BG195" s="38"/>
      <c r="BH195" s="38"/>
      <c r="BI195" s="38"/>
      <c r="BJ195" s="38"/>
      <c r="BK195" s="38"/>
      <c r="BL195" s="38"/>
      <c r="BM195" s="38"/>
      <c r="BN195" s="38"/>
      <c r="BO195" s="38"/>
      <c r="BP195" s="38"/>
      <c r="BQ195" s="38"/>
      <c r="BR195" s="38"/>
      <c r="BS195" s="38"/>
      <c r="BT195" s="38"/>
      <c r="BU195" s="38"/>
      <c r="BV195" s="38"/>
      <c r="BW195" s="38"/>
      <c r="BX195" s="38"/>
      <c r="BY195" s="38"/>
      <c r="BZ195" s="38"/>
      <c r="CA195" s="38"/>
      <c r="CB195" s="38"/>
    </row>
    <row r="196" spans="1:80" x14ac:dyDescent="0.25">
      <c r="A196" t="s">
        <v>509</v>
      </c>
      <c r="B196" s="38">
        <v>447</v>
      </c>
      <c r="C196" s="38">
        <v>493</v>
      </c>
      <c r="D196" s="38">
        <v>431</v>
      </c>
      <c r="E196" s="38">
        <v>1368</v>
      </c>
      <c r="F196" s="38">
        <v>456</v>
      </c>
      <c r="G196" s="38">
        <v>527</v>
      </c>
      <c r="H196" s="38">
        <v>440</v>
      </c>
      <c r="I196" s="104">
        <v>1437</v>
      </c>
      <c r="J196" s="38">
        <v>481</v>
      </c>
      <c r="K196" s="38">
        <v>551</v>
      </c>
      <c r="L196" s="38">
        <v>453</v>
      </c>
      <c r="M196" s="104">
        <v>1483</v>
      </c>
      <c r="N196" s="38">
        <v>490.93900000000002</v>
      </c>
      <c r="O196" s="38"/>
      <c r="P196" t="s">
        <v>509</v>
      </c>
      <c r="Q196" s="38"/>
      <c r="S196" s="37">
        <f t="shared" si="24"/>
        <v>1.7758032570553528</v>
      </c>
      <c r="T196" s="38">
        <f t="shared" si="16"/>
        <v>2885</v>
      </c>
      <c r="U196" s="38">
        <f t="shared" si="17"/>
        <v>2968</v>
      </c>
      <c r="V196" s="38">
        <f t="shared" si="17"/>
        <v>2977.9389999999999</v>
      </c>
      <c r="W196" t="s">
        <v>509</v>
      </c>
      <c r="X196" s="37">
        <f t="shared" si="22"/>
        <v>2.0663201663201791</v>
      </c>
      <c r="Y196" s="2">
        <f t="shared" si="23"/>
        <v>3.221455805892548E-2</v>
      </c>
      <c r="Z196" s="37">
        <f t="shared" si="18"/>
        <v>0.33487196765497629</v>
      </c>
      <c r="AA196" s="2">
        <f t="shared" si="25"/>
        <v>4.3569922698524222E-2</v>
      </c>
      <c r="AB196" s="38"/>
      <c r="AC196" s="38"/>
      <c r="AD196" s="38"/>
      <c r="AE196" s="38"/>
      <c r="AF196" s="38"/>
      <c r="AG196" s="38"/>
      <c r="AH196" s="38"/>
      <c r="AI196" s="38"/>
      <c r="AJ196" s="38"/>
      <c r="AK196" s="38"/>
      <c r="AL196" s="38"/>
      <c r="AM196" s="38"/>
      <c r="AN196" s="38"/>
      <c r="AO196" s="38"/>
      <c r="AP196" s="38"/>
      <c r="AQ196" s="38"/>
      <c r="AR196" s="38"/>
      <c r="AS196" s="38"/>
      <c r="AT196" s="38"/>
      <c r="AU196" s="38"/>
      <c r="AV196" s="38"/>
      <c r="AW196" s="38"/>
      <c r="AX196" s="38"/>
      <c r="AY196" s="38"/>
      <c r="AZ196" s="38"/>
      <c r="BA196" s="38"/>
      <c r="BB196" s="38"/>
      <c r="BC196" s="38"/>
      <c r="BD196" s="38"/>
      <c r="BE196" s="38"/>
      <c r="BF196" s="38"/>
      <c r="BG196" s="38"/>
      <c r="BH196" s="38"/>
      <c r="BI196" s="38"/>
      <c r="BJ196" s="38"/>
      <c r="BK196" s="38"/>
      <c r="BL196" s="38"/>
      <c r="BM196" s="38"/>
      <c r="BN196" s="38"/>
      <c r="BO196" s="38"/>
      <c r="BP196" s="38"/>
      <c r="BQ196" s="38"/>
      <c r="BR196" s="38"/>
      <c r="BS196" s="38"/>
      <c r="BT196" s="38"/>
      <c r="BU196" s="38"/>
      <c r="BV196" s="38"/>
      <c r="BW196" s="38"/>
      <c r="BX196" s="38"/>
      <c r="BY196" s="38"/>
      <c r="BZ196" s="38"/>
      <c r="CA196" s="38"/>
      <c r="CB196" s="38"/>
    </row>
    <row r="197" spans="1:80" x14ac:dyDescent="0.25">
      <c r="A197" t="s">
        <v>511</v>
      </c>
      <c r="B197" s="38">
        <v>4586</v>
      </c>
      <c r="C197" s="38">
        <v>3969</v>
      </c>
      <c r="D197" s="38">
        <v>4543</v>
      </c>
      <c r="E197" s="38">
        <v>4478</v>
      </c>
      <c r="F197" s="38">
        <v>4792</v>
      </c>
      <c r="G197" s="38">
        <v>4319</v>
      </c>
      <c r="H197" s="38">
        <v>4847</v>
      </c>
      <c r="I197" s="104">
        <v>4735</v>
      </c>
      <c r="J197" s="38">
        <v>5263</v>
      </c>
      <c r="K197" s="38">
        <v>4351</v>
      </c>
      <c r="L197" s="38">
        <v>4910</v>
      </c>
      <c r="M197" s="104">
        <v>4558</v>
      </c>
      <c r="N197" s="38">
        <v>5384.0749999999998</v>
      </c>
      <c r="O197" s="38"/>
      <c r="P197" t="s">
        <v>511</v>
      </c>
      <c r="Q197" s="38"/>
      <c r="S197" s="37">
        <f t="shared" si="24"/>
        <v>-5.067592822846045</v>
      </c>
      <c r="T197" s="38">
        <f t="shared" si="16"/>
        <v>19164</v>
      </c>
      <c r="U197" s="38">
        <f t="shared" si="17"/>
        <v>19082</v>
      </c>
      <c r="V197" s="38">
        <f t="shared" si="17"/>
        <v>19203.075000000001</v>
      </c>
      <c r="W197" t="s">
        <v>511</v>
      </c>
      <c r="X197" s="37">
        <f t="shared" si="22"/>
        <v>2.3004940148204422</v>
      </c>
      <c r="Y197" s="2">
        <f t="shared" si="23"/>
        <v>2.0389793362554087E-3</v>
      </c>
      <c r="Z197" s="37">
        <f t="shared" si="18"/>
        <v>0.6344984802431668</v>
      </c>
      <c r="AA197" s="2">
        <f t="shared" si="25"/>
        <v>4.0550222094855926E-2</v>
      </c>
      <c r="AB197" s="38"/>
      <c r="AC197" s="38"/>
      <c r="AD197" s="38"/>
      <c r="AE197" s="38"/>
      <c r="AF197" s="38"/>
      <c r="AG197" s="38"/>
      <c r="AH197" s="38"/>
      <c r="AI197" s="38"/>
      <c r="AJ197" s="38"/>
      <c r="AK197" s="38"/>
      <c r="AL197" s="38"/>
      <c r="AM197" s="38"/>
      <c r="AN197" s="38"/>
      <c r="AO197" s="38"/>
      <c r="AP197" s="38"/>
      <c r="AQ197" s="38"/>
      <c r="AR197" s="38"/>
      <c r="AS197" s="38"/>
      <c r="AT197" s="38"/>
      <c r="AU197" s="38"/>
      <c r="AV197" s="38"/>
      <c r="AW197" s="38"/>
      <c r="AX197" s="38"/>
      <c r="AY197" s="38"/>
      <c r="AZ197" s="38"/>
      <c r="BA197" s="38"/>
      <c r="BB197" s="38"/>
      <c r="BC197" s="38"/>
      <c r="BD197" s="38"/>
      <c r="BE197" s="38"/>
      <c r="BF197" s="38"/>
      <c r="BG197" s="38"/>
      <c r="BH197" s="38"/>
      <c r="BI197" s="38"/>
      <c r="BJ197" s="38"/>
      <c r="BK197" s="38"/>
      <c r="BL197" s="38"/>
      <c r="BM197" s="38"/>
      <c r="BN197" s="38"/>
      <c r="BO197" s="38"/>
      <c r="BP197" s="38"/>
      <c r="BQ197" s="38"/>
      <c r="BR197" s="38"/>
      <c r="BS197" s="38"/>
      <c r="BT197" s="38"/>
      <c r="BU197" s="38"/>
      <c r="BV197" s="38"/>
      <c r="BW197" s="38"/>
      <c r="BX197" s="38"/>
      <c r="BY197" s="38"/>
      <c r="BZ197" s="38"/>
      <c r="CA197" s="38"/>
      <c r="CB197" s="38"/>
    </row>
    <row r="198" spans="1:80" x14ac:dyDescent="0.25">
      <c r="A198" t="s">
        <v>513</v>
      </c>
      <c r="B198" s="38">
        <v>3120</v>
      </c>
      <c r="C198" s="38">
        <v>4002</v>
      </c>
      <c r="D198" s="38">
        <v>3133</v>
      </c>
      <c r="E198" s="38">
        <v>5740</v>
      </c>
      <c r="F198" s="38">
        <v>3034</v>
      </c>
      <c r="G198" s="38">
        <v>4262</v>
      </c>
      <c r="H198" s="38">
        <v>3266</v>
      </c>
      <c r="I198" s="104">
        <v>5951</v>
      </c>
      <c r="J198" s="38">
        <v>3296</v>
      </c>
      <c r="K198" s="38">
        <v>4321</v>
      </c>
      <c r="L198" s="38">
        <v>3434</v>
      </c>
      <c r="M198" s="104">
        <v>5312</v>
      </c>
      <c r="N198" s="38">
        <v>3251.2510000000002</v>
      </c>
      <c r="O198" s="38"/>
      <c r="P198" t="s">
        <v>513</v>
      </c>
      <c r="Q198" s="38"/>
      <c r="S198" s="37">
        <f t="shared" si="24"/>
        <v>-11.970492542612954</v>
      </c>
      <c r="T198" s="38">
        <f t="shared" si="16"/>
        <v>16775</v>
      </c>
      <c r="U198" s="38">
        <f t="shared" si="17"/>
        <v>16363</v>
      </c>
      <c r="V198" s="38">
        <f t="shared" si="17"/>
        <v>16318.251</v>
      </c>
      <c r="W198" t="s">
        <v>513</v>
      </c>
      <c r="X198" s="37">
        <f t="shared" si="22"/>
        <v>-1.357675970873784</v>
      </c>
      <c r="Y198" s="2">
        <f t="shared" si="23"/>
        <v>-2.7227958271236918E-2</v>
      </c>
      <c r="Z198" s="37">
        <f t="shared" si="18"/>
        <v>-0.27347674631791108</v>
      </c>
      <c r="AA198" s="2">
        <f t="shared" si="25"/>
        <v>4.6298049611815939E-2</v>
      </c>
      <c r="AB198" s="38"/>
      <c r="AC198" s="38"/>
      <c r="AD198" s="38"/>
      <c r="AE198" s="38"/>
      <c r="AF198" s="38"/>
      <c r="AG198" s="38"/>
      <c r="AH198" s="38"/>
      <c r="AI198" s="38"/>
      <c r="AJ198" s="38"/>
      <c r="AK198" s="38"/>
      <c r="AL198" s="38"/>
      <c r="AM198" s="38"/>
      <c r="AN198" s="38"/>
      <c r="AO198" s="38"/>
      <c r="AP198" s="38"/>
      <c r="AQ198" s="38"/>
      <c r="AR198" s="38"/>
      <c r="AS198" s="38"/>
      <c r="AT198" s="38"/>
      <c r="AU198" s="38"/>
      <c r="AV198" s="38"/>
      <c r="AW198" s="38"/>
      <c r="AX198" s="38"/>
      <c r="AY198" s="38"/>
      <c r="AZ198" s="38"/>
      <c r="BA198" s="38"/>
      <c r="BB198" s="38"/>
      <c r="BC198" s="38"/>
      <c r="BD198" s="38"/>
      <c r="BE198" s="38"/>
      <c r="BF198" s="38"/>
      <c r="BG198" s="38"/>
      <c r="BH198" s="38"/>
      <c r="BI198" s="38"/>
      <c r="BJ198" s="38"/>
      <c r="BK198" s="38"/>
      <c r="BL198" s="38"/>
      <c r="BM198" s="38"/>
      <c r="BN198" s="38"/>
      <c r="BO198" s="38"/>
      <c r="BP198" s="38"/>
      <c r="BQ198" s="38"/>
      <c r="BR198" s="38"/>
      <c r="BS198" s="38"/>
      <c r="BT198" s="38"/>
      <c r="BU198" s="38"/>
      <c r="BV198" s="38"/>
      <c r="BW198" s="38"/>
      <c r="BX198" s="38"/>
      <c r="BY198" s="38"/>
      <c r="BZ198" s="38"/>
      <c r="CA198" s="38"/>
      <c r="CB198" s="38"/>
    </row>
    <row r="199" spans="1:80" x14ac:dyDescent="0.25">
      <c r="A199" t="s">
        <v>512</v>
      </c>
      <c r="B199" s="38">
        <v>1338</v>
      </c>
      <c r="C199" s="38">
        <v>1229</v>
      </c>
      <c r="D199" s="38">
        <v>1230</v>
      </c>
      <c r="E199" s="38">
        <v>1558</v>
      </c>
      <c r="F199" s="38">
        <v>1327</v>
      </c>
      <c r="G199" s="38">
        <v>1312</v>
      </c>
      <c r="H199" s="38">
        <v>1207</v>
      </c>
      <c r="I199" s="104">
        <v>1539</v>
      </c>
      <c r="J199" s="38">
        <v>1351</v>
      </c>
      <c r="K199" s="38">
        <v>1271</v>
      </c>
      <c r="L199" s="38">
        <v>1228</v>
      </c>
      <c r="M199" s="104">
        <v>1558</v>
      </c>
      <c r="N199" s="38">
        <v>1417.489</v>
      </c>
      <c r="O199" s="38"/>
      <c r="P199" t="s">
        <v>512</v>
      </c>
      <c r="Q199" s="38"/>
      <c r="S199" s="37">
        <f t="shared" si="24"/>
        <v>-0.16358231985663663</v>
      </c>
      <c r="T199" s="38">
        <f t="shared" si="16"/>
        <v>5409</v>
      </c>
      <c r="U199" s="38">
        <f t="shared" si="17"/>
        <v>5408</v>
      </c>
      <c r="V199" s="38">
        <f t="shared" si="17"/>
        <v>5474.4889999999996</v>
      </c>
      <c r="W199" t="s">
        <v>512</v>
      </c>
      <c r="X199" s="37">
        <f t="shared" si="22"/>
        <v>4.9214655810510655</v>
      </c>
      <c r="Y199" s="2">
        <f t="shared" si="23"/>
        <v>1.2107413569975911E-2</v>
      </c>
      <c r="Z199" s="37">
        <f t="shared" si="18"/>
        <v>1.2294563609467275</v>
      </c>
      <c r="AA199" s="2">
        <f t="shared" si="25"/>
        <v>1.0400416016640435E-3</v>
      </c>
      <c r="AB199" s="38"/>
      <c r="AC199" s="38"/>
      <c r="AD199" s="38"/>
      <c r="AE199" s="38"/>
      <c r="AF199" s="38"/>
      <c r="AG199" s="38"/>
      <c r="AH199" s="38"/>
      <c r="AI199" s="38"/>
      <c r="AJ199" s="38"/>
      <c r="AK199" s="38"/>
      <c r="AL199" s="38"/>
      <c r="AM199" s="38"/>
      <c r="AN199" s="38"/>
      <c r="AO199" s="38"/>
      <c r="AP199" s="38"/>
      <c r="AQ199" s="38"/>
      <c r="AR199" s="38"/>
      <c r="AS199" s="38"/>
      <c r="AT199" s="38"/>
      <c r="AU199" s="38"/>
      <c r="AV199" s="38"/>
      <c r="AW199" s="38"/>
      <c r="AX199" s="38"/>
      <c r="AY199" s="38"/>
      <c r="AZ199" s="38"/>
      <c r="BA199" s="38"/>
      <c r="BB199" s="38"/>
      <c r="BC199" s="38"/>
      <c r="BD199" s="38"/>
      <c r="BE199" s="38"/>
      <c r="BF199" s="38"/>
      <c r="BG199" s="38"/>
      <c r="BH199" s="38"/>
      <c r="BI199" s="38"/>
      <c r="BJ199" s="38"/>
      <c r="BK199" s="38"/>
      <c r="BL199" s="38"/>
      <c r="BM199" s="38"/>
      <c r="BN199" s="38"/>
      <c r="BO199" s="38"/>
      <c r="BP199" s="38"/>
      <c r="BQ199" s="38"/>
      <c r="BR199" s="38"/>
      <c r="BS199" s="38"/>
      <c r="BT199" s="38"/>
      <c r="BU199" s="38"/>
      <c r="BV199" s="38"/>
      <c r="BW199" s="38"/>
      <c r="BX199" s="38"/>
      <c r="BY199" s="38"/>
      <c r="BZ199" s="38"/>
      <c r="CA199" s="38"/>
      <c r="CB199" s="38"/>
    </row>
    <row r="200" spans="1:80" x14ac:dyDescent="0.25">
      <c r="A200" t="s">
        <v>514</v>
      </c>
      <c r="B200" s="38">
        <v>293</v>
      </c>
      <c r="C200" s="38">
        <v>594</v>
      </c>
      <c r="D200" s="38">
        <v>520</v>
      </c>
      <c r="E200" s="38">
        <v>897</v>
      </c>
      <c r="F200" s="38">
        <v>287</v>
      </c>
      <c r="G200" s="38">
        <v>505</v>
      </c>
      <c r="H200" s="38">
        <v>458</v>
      </c>
      <c r="I200" s="104">
        <v>936</v>
      </c>
      <c r="J200" s="38">
        <v>278</v>
      </c>
      <c r="K200" s="38">
        <v>504</v>
      </c>
      <c r="L200" s="38">
        <v>514</v>
      </c>
      <c r="M200" s="104">
        <v>967</v>
      </c>
      <c r="N200" s="38">
        <v>332.61799999999999</v>
      </c>
      <c r="O200" s="38"/>
      <c r="P200" t="s">
        <v>514</v>
      </c>
      <c r="Q200" s="38"/>
      <c r="S200" s="37">
        <f t="shared" si="24"/>
        <v>1.8851246564596247</v>
      </c>
      <c r="T200" s="38">
        <f t="shared" ref="T200:T201" si="26">SUM(G200:J200)</f>
        <v>2177</v>
      </c>
      <c r="U200" s="38">
        <f t="shared" ref="U200:V201" si="27">SUM(J200:M200)</f>
        <v>2263</v>
      </c>
      <c r="V200" s="38">
        <f t="shared" si="27"/>
        <v>2317.6179999999999</v>
      </c>
      <c r="W200" t="s">
        <v>514</v>
      </c>
      <c r="X200" s="37">
        <f t="shared" si="22"/>
        <v>19.646762589928059</v>
      </c>
      <c r="Y200" s="2">
        <f t="shared" si="23"/>
        <v>6.459255856683499E-2</v>
      </c>
      <c r="Z200" s="37">
        <f t="shared" ref="Z200:Z201" si="28">+V200/U200*100-100</f>
        <v>2.4135218736190893</v>
      </c>
      <c r="AA200" s="2">
        <f t="shared" si="25"/>
        <v>3.6799999999999944E-2</v>
      </c>
      <c r="AB200" s="38"/>
      <c r="AC200" s="38"/>
      <c r="AD200" s="38"/>
      <c r="AE200" s="38"/>
      <c r="AF200" s="38"/>
      <c r="AG200" s="38"/>
      <c r="AH200" s="38"/>
      <c r="AI200" s="38"/>
      <c r="AJ200" s="38"/>
      <c r="AK200" s="38"/>
      <c r="AL200" s="38"/>
      <c r="AM200" s="38"/>
      <c r="AN200" s="38"/>
      <c r="AO200" s="38"/>
      <c r="AP200" s="38"/>
      <c r="AQ200" s="38"/>
      <c r="AR200" s="38"/>
      <c r="AS200" s="38"/>
      <c r="AT200" s="38"/>
      <c r="AU200" s="38"/>
      <c r="AV200" s="38"/>
      <c r="AW200" s="38"/>
      <c r="AX200" s="38"/>
      <c r="AY200" s="38"/>
      <c r="AZ200" s="38"/>
      <c r="BA200" s="38"/>
      <c r="BB200" s="38"/>
      <c r="BC200" s="38"/>
      <c r="BD200" s="38"/>
      <c r="BE200" s="38"/>
      <c r="BF200" s="38"/>
      <c r="BG200" s="38"/>
      <c r="BH200" s="38"/>
      <c r="BI200" s="38"/>
      <c r="BJ200" s="38"/>
      <c r="BK200" s="38"/>
      <c r="BL200" s="38"/>
      <c r="BM200" s="38"/>
      <c r="BN200" s="38"/>
      <c r="BO200" s="38"/>
      <c r="BP200" s="38"/>
      <c r="BQ200" s="38"/>
      <c r="BR200" s="38"/>
      <c r="BS200" s="38"/>
      <c r="BT200" s="38"/>
      <c r="BU200" s="38"/>
      <c r="BV200" s="38"/>
      <c r="BW200" s="38"/>
      <c r="BX200" s="38"/>
      <c r="BY200" s="38"/>
      <c r="BZ200" s="38"/>
      <c r="CA200" s="38"/>
      <c r="CB200" s="38"/>
    </row>
    <row r="201" spans="1:80" x14ac:dyDescent="0.25">
      <c r="A201" t="s">
        <v>608</v>
      </c>
      <c r="B201" s="38">
        <f t="shared" ref="B201:C201" si="29">SUM(B150:B200)-B157</f>
        <v>178491</v>
      </c>
      <c r="C201" s="38">
        <f t="shared" si="29"/>
        <v>184988</v>
      </c>
      <c r="D201" s="38">
        <v>188011</v>
      </c>
      <c r="E201" s="38">
        <v>236603</v>
      </c>
      <c r="F201" s="38">
        <v>185001</v>
      </c>
      <c r="G201" s="38">
        <v>195019</v>
      </c>
      <c r="H201" s="38">
        <v>207335</v>
      </c>
      <c r="I201" s="104">
        <v>260680</v>
      </c>
      <c r="J201" s="38">
        <v>196008</v>
      </c>
      <c r="K201" s="38">
        <v>201920</v>
      </c>
      <c r="L201" s="38">
        <v>206792</v>
      </c>
      <c r="M201" s="104">
        <v>259434</v>
      </c>
      <c r="N201" s="38">
        <v>204846.2</v>
      </c>
      <c r="O201" s="38"/>
      <c r="P201" t="s">
        <v>608</v>
      </c>
      <c r="Q201" s="38"/>
      <c r="S201" s="37">
        <f t="shared" si="24"/>
        <v>-1.8524788854826335</v>
      </c>
      <c r="T201" s="38">
        <f t="shared" si="26"/>
        <v>859042</v>
      </c>
      <c r="U201" s="38">
        <f t="shared" si="27"/>
        <v>864154</v>
      </c>
      <c r="V201" s="38">
        <f t="shared" si="27"/>
        <v>872992.2</v>
      </c>
      <c r="W201" t="s">
        <v>608</v>
      </c>
      <c r="X201" s="37">
        <f t="shared" si="22"/>
        <v>4.5091016693196151</v>
      </c>
      <c r="Y201" s="2">
        <f t="shared" si="23"/>
        <v>1.6239252562738393E-2</v>
      </c>
      <c r="Z201" s="37">
        <f t="shared" si="28"/>
        <v>1.0227575177572419</v>
      </c>
      <c r="AA201" s="2">
        <f t="shared" si="25"/>
        <v>2.9564743638855528E-2</v>
      </c>
      <c r="AB201" s="38"/>
      <c r="AC201" s="38"/>
      <c r="AD201" s="38"/>
      <c r="AE201" s="38"/>
      <c r="AF201" s="38"/>
      <c r="AG201" s="38"/>
      <c r="AH201" s="38"/>
      <c r="AI201" s="38"/>
      <c r="AJ201" s="38"/>
      <c r="AK201" s="38"/>
      <c r="AL201" s="38"/>
      <c r="AM201" s="38"/>
      <c r="AN201" s="38"/>
      <c r="AO201" s="38"/>
      <c r="AP201" s="38"/>
      <c r="AQ201" s="38"/>
      <c r="AR201" s="38"/>
      <c r="AS201" s="38"/>
      <c r="AT201" s="38"/>
      <c r="AU201" s="38"/>
      <c r="AV201" s="38"/>
      <c r="AW201" s="38"/>
      <c r="AX201" s="38"/>
      <c r="AY201" s="38"/>
      <c r="AZ201" s="38"/>
      <c r="BA201" s="38"/>
      <c r="BB201" s="38"/>
      <c r="BC201" s="38"/>
      <c r="BD201" s="38"/>
      <c r="BE201" s="38"/>
      <c r="BF201" s="38"/>
      <c r="BG201" s="38"/>
      <c r="BH201" s="38"/>
      <c r="BI201" s="38"/>
      <c r="BJ201" s="38"/>
      <c r="BK201" s="38"/>
      <c r="BL201" s="38"/>
      <c r="BM201" s="38"/>
      <c r="BN201" s="38"/>
      <c r="BO201" s="38"/>
      <c r="BP201" s="38"/>
      <c r="BQ201" s="38"/>
      <c r="BR201" s="38"/>
      <c r="BS201" s="38"/>
      <c r="BT201" s="38"/>
      <c r="BU201" s="38"/>
      <c r="BV201" s="38"/>
      <c r="BW201" s="38"/>
      <c r="BX201" s="38"/>
      <c r="BY201" s="38"/>
      <c r="BZ201" s="38"/>
      <c r="CA201" s="38"/>
      <c r="CB201" s="38"/>
    </row>
    <row r="202" spans="1:80" x14ac:dyDescent="0.25">
      <c r="B202" s="38"/>
      <c r="C202" s="38"/>
      <c r="D202" s="38"/>
      <c r="E202" s="38"/>
      <c r="F202" s="38"/>
      <c r="G202" s="38"/>
      <c r="H202" s="38"/>
      <c r="I202" s="104"/>
      <c r="J202" s="38"/>
      <c r="K202" s="38"/>
      <c r="L202" s="38"/>
      <c r="M202" s="104"/>
      <c r="N202" s="38"/>
      <c r="O202" s="38"/>
      <c r="P202" s="38"/>
      <c r="Q202" s="38"/>
      <c r="R202" s="38"/>
      <c r="S202" s="38"/>
      <c r="T202" s="38"/>
      <c r="U202" s="38"/>
      <c r="V202" s="38"/>
      <c r="X202" s="38"/>
      <c r="Y202" s="38"/>
      <c r="Z202" s="38"/>
      <c r="AA202" s="38"/>
      <c r="AB202" s="38"/>
      <c r="AC202" s="38"/>
      <c r="AD202" s="38"/>
      <c r="AE202" s="38"/>
      <c r="AF202" s="38"/>
      <c r="AG202" s="38"/>
      <c r="AH202" s="38"/>
      <c r="AI202" s="38"/>
      <c r="AJ202" s="38"/>
      <c r="AK202" s="38"/>
      <c r="AL202" s="38"/>
      <c r="AM202" s="38"/>
      <c r="AN202" s="38"/>
      <c r="AO202" s="38"/>
      <c r="AP202" s="38"/>
      <c r="AQ202" s="38"/>
      <c r="AR202" s="38"/>
      <c r="AS202" s="38"/>
      <c r="AT202" s="38"/>
      <c r="AU202" s="38"/>
      <c r="AV202" s="38"/>
      <c r="AW202" s="38"/>
      <c r="AX202" s="38"/>
      <c r="AY202" s="38"/>
      <c r="AZ202" s="38"/>
      <c r="BA202" s="38"/>
      <c r="BB202" s="38"/>
      <c r="BC202" s="38"/>
      <c r="BD202" s="38"/>
      <c r="BE202" s="38"/>
      <c r="BF202" s="38"/>
      <c r="BG202" s="38"/>
      <c r="BH202" s="38"/>
      <c r="BI202" s="38"/>
      <c r="BJ202" s="38"/>
      <c r="BK202" s="38"/>
      <c r="BL202" s="38"/>
      <c r="BM202" s="38"/>
      <c r="BN202" s="38"/>
      <c r="BO202" s="38"/>
      <c r="BP202" s="38"/>
      <c r="BQ202" s="38"/>
      <c r="BR202" s="38"/>
      <c r="BS202" s="38"/>
      <c r="BT202" s="38"/>
      <c r="BU202" s="38"/>
      <c r="BV202" s="38"/>
      <c r="BW202" s="38"/>
      <c r="BX202" s="38"/>
      <c r="BY202" s="38"/>
      <c r="BZ202" s="38"/>
      <c r="CA202" s="38"/>
      <c r="CB202" s="38"/>
    </row>
    <row r="203" spans="1:80" x14ac:dyDescent="0.25">
      <c r="B203" s="38"/>
      <c r="C203" s="38"/>
      <c r="D203" s="38"/>
      <c r="E203" s="38"/>
      <c r="F203" s="38"/>
      <c r="G203" s="38"/>
      <c r="H203" s="38"/>
      <c r="I203" s="104"/>
      <c r="J203" s="38"/>
      <c r="K203" s="38"/>
      <c r="L203" s="38"/>
      <c r="M203" s="104"/>
      <c r="N203" s="99"/>
      <c r="O203" s="99"/>
      <c r="P203" s="38"/>
      <c r="Q203" s="38"/>
      <c r="R203" s="38"/>
      <c r="S203" s="38"/>
      <c r="T203" s="38"/>
      <c r="U203" s="38"/>
      <c r="V203" s="38"/>
      <c r="X203" s="37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8"/>
      <c r="AJ203" s="38"/>
      <c r="AK203" s="38"/>
      <c r="AL203" s="38"/>
      <c r="AM203" s="38"/>
      <c r="AN203" s="38"/>
      <c r="AO203" s="38"/>
      <c r="AP203" s="38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  <c r="BA203" s="38"/>
      <c r="BB203" s="38"/>
      <c r="BC203" s="38"/>
      <c r="BD203" s="38"/>
      <c r="BE203" s="38"/>
      <c r="BF203" s="38"/>
      <c r="BG203" s="38"/>
      <c r="BH203" s="38"/>
      <c r="BI203" s="38"/>
      <c r="BJ203" s="38"/>
      <c r="BK203" s="38"/>
      <c r="BL203" s="38"/>
      <c r="BM203" s="38"/>
      <c r="BN203" s="38"/>
      <c r="BO203" s="38"/>
      <c r="BP203" s="38"/>
      <c r="BQ203" s="38"/>
      <c r="BR203" s="38"/>
      <c r="BS203" s="38"/>
      <c r="BT203" s="38"/>
      <c r="BU203" s="38"/>
      <c r="BV203" s="38"/>
      <c r="BW203" s="38"/>
      <c r="BX203" s="38"/>
      <c r="BY203" s="38"/>
      <c r="BZ203" s="38"/>
      <c r="CA203" s="38"/>
      <c r="CB203" s="38"/>
    </row>
    <row r="204" spans="1:80" x14ac:dyDescent="0.25">
      <c r="B204" s="38"/>
      <c r="C204" s="38"/>
      <c r="D204" s="38"/>
      <c r="E204" s="38"/>
      <c r="F204" s="38"/>
      <c r="G204" s="38"/>
      <c r="H204" s="38"/>
      <c r="I204" s="104"/>
      <c r="J204" s="38"/>
      <c r="K204" s="38"/>
      <c r="L204" s="38"/>
      <c r="M204" s="104"/>
      <c r="N204" s="99"/>
      <c r="O204" s="99"/>
      <c r="P204" s="38"/>
      <c r="Q204" s="38"/>
      <c r="R204" s="38"/>
      <c r="S204" s="38"/>
      <c r="T204" s="38"/>
      <c r="U204" s="38"/>
      <c r="V204" s="38"/>
      <c r="X204" s="37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I204" s="38"/>
      <c r="AJ204" s="38"/>
      <c r="AK204" s="38"/>
      <c r="AL204" s="38"/>
      <c r="AM204" s="38"/>
      <c r="AN204" s="38"/>
      <c r="AO204" s="38"/>
      <c r="AP204" s="38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  <c r="BA204" s="38"/>
      <c r="BB204" s="38"/>
      <c r="BC204" s="38"/>
      <c r="BD204" s="38"/>
      <c r="BE204" s="38"/>
      <c r="BF204" s="38"/>
      <c r="BG204" s="38"/>
      <c r="BH204" s="38"/>
      <c r="BI204" s="38"/>
      <c r="BJ204" s="38"/>
      <c r="BK204" s="38"/>
      <c r="BL204" s="38"/>
      <c r="BM204" s="38"/>
      <c r="BN204" s="38"/>
      <c r="BO204" s="38"/>
      <c r="BP204" s="38"/>
      <c r="BQ204" s="38"/>
      <c r="BR204" s="38"/>
      <c r="BS204" s="38"/>
      <c r="BT204" s="38"/>
      <c r="BU204" s="38"/>
      <c r="BV204" s="38"/>
      <c r="BW204" s="38"/>
      <c r="BX204" s="38"/>
      <c r="BY204" s="38"/>
      <c r="BZ204" s="38"/>
      <c r="CA204" s="38"/>
      <c r="CB204" s="38"/>
    </row>
    <row r="205" spans="1:80" x14ac:dyDescent="0.25">
      <c r="B205" s="38"/>
      <c r="C205" s="38"/>
      <c r="D205" s="38"/>
      <c r="E205" s="38"/>
      <c r="F205" s="38"/>
      <c r="G205" s="38"/>
      <c r="H205" s="38"/>
      <c r="I205" s="104"/>
      <c r="J205" s="38"/>
      <c r="K205" s="38"/>
      <c r="L205" s="38"/>
      <c r="M205" s="104"/>
      <c r="N205" s="99"/>
      <c r="O205" s="99"/>
      <c r="P205" s="38"/>
      <c r="Q205" s="38"/>
      <c r="R205" s="38"/>
      <c r="S205" s="38"/>
      <c r="T205" s="38"/>
      <c r="U205" s="38"/>
      <c r="V205" s="38"/>
      <c r="X205" s="37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8"/>
      <c r="AJ205" s="38"/>
      <c r="AK205" s="38"/>
      <c r="AL205" s="38"/>
      <c r="AM205" s="38"/>
      <c r="AN205" s="38"/>
      <c r="AO205" s="38"/>
      <c r="AP205" s="38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  <c r="BA205" s="38"/>
      <c r="BB205" s="38"/>
      <c r="BC205" s="38"/>
      <c r="BD205" s="38"/>
      <c r="BE205" s="38"/>
      <c r="BF205" s="38"/>
      <c r="BG205" s="38"/>
      <c r="BH205" s="38"/>
      <c r="BI205" s="38"/>
      <c r="BJ205" s="38"/>
      <c r="BK205" s="38"/>
      <c r="BL205" s="38"/>
      <c r="BM205" s="38"/>
      <c r="BN205" s="38"/>
      <c r="BO205" s="38"/>
      <c r="BP205" s="38"/>
      <c r="BQ205" s="38"/>
      <c r="BR205" s="38"/>
      <c r="BS205" s="38"/>
      <c r="BT205" s="38"/>
      <c r="BU205" s="38"/>
      <c r="BV205" s="38"/>
      <c r="BW205" s="38"/>
      <c r="BX205" s="38"/>
      <c r="BY205" s="38"/>
      <c r="BZ205" s="38"/>
      <c r="CA205" s="38"/>
      <c r="CB205" s="38"/>
    </row>
    <row r="206" spans="1:80" x14ac:dyDescent="0.25">
      <c r="B206" s="38"/>
      <c r="C206" s="38"/>
      <c r="D206" s="38"/>
      <c r="E206" s="38"/>
      <c r="F206" s="38"/>
      <c r="G206" s="38"/>
      <c r="H206" s="38"/>
      <c r="I206" s="104"/>
      <c r="J206" s="38"/>
      <c r="K206" s="38"/>
      <c r="L206" s="65"/>
      <c r="M206" s="106"/>
      <c r="N206" s="99"/>
      <c r="O206" s="99"/>
      <c r="P206" s="65"/>
      <c r="Q206" s="38"/>
      <c r="R206" s="38"/>
      <c r="S206" s="38"/>
      <c r="T206" s="38"/>
      <c r="U206" s="38"/>
      <c r="V206" s="38"/>
      <c r="X206" s="38"/>
      <c r="Y206" s="38"/>
      <c r="Z206" s="38"/>
      <c r="AA206" s="38"/>
      <c r="AB206" s="38"/>
      <c r="AC206" s="38"/>
      <c r="AD206" s="38"/>
      <c r="AE206" s="38"/>
      <c r="AF206" s="38"/>
      <c r="AG206" s="38"/>
      <c r="AH206" s="38"/>
      <c r="AI206" s="38"/>
      <c r="AJ206" s="38"/>
      <c r="AK206" s="38"/>
      <c r="AL206" s="38"/>
      <c r="AM206" s="38"/>
      <c r="AN206" s="38"/>
      <c r="AO206" s="38"/>
      <c r="AP206" s="38"/>
      <c r="AQ206" s="38"/>
      <c r="AR206" s="38"/>
      <c r="AS206" s="38"/>
      <c r="AT206" s="38"/>
      <c r="AU206" s="38"/>
      <c r="AV206" s="38"/>
      <c r="AW206" s="38"/>
      <c r="AX206" s="38"/>
      <c r="AY206" s="38"/>
      <c r="AZ206" s="38"/>
      <c r="BA206" s="38"/>
      <c r="BB206" s="38"/>
      <c r="BC206" s="38"/>
      <c r="BD206" s="38"/>
      <c r="BE206" s="38"/>
      <c r="BF206" s="38"/>
      <c r="BG206" s="38"/>
      <c r="BH206" s="38"/>
      <c r="BI206" s="38"/>
      <c r="BJ206" s="38"/>
      <c r="BK206" s="38"/>
      <c r="BL206" s="38"/>
      <c r="BM206" s="38"/>
      <c r="BN206" s="38"/>
      <c r="BO206" s="38"/>
      <c r="BP206" s="38"/>
      <c r="BQ206" s="38"/>
      <c r="BR206" s="38"/>
      <c r="BS206" s="38"/>
      <c r="BT206" s="38"/>
      <c r="BU206" s="38"/>
      <c r="BV206" s="38"/>
      <c r="BW206" s="38"/>
      <c r="BX206" s="38"/>
      <c r="BY206" s="38"/>
      <c r="BZ206" s="38"/>
      <c r="CA206" s="38"/>
      <c r="CB206" s="38"/>
    </row>
    <row r="207" spans="1:80" x14ac:dyDescent="0.25">
      <c r="B207" s="38"/>
      <c r="C207" s="38"/>
      <c r="D207" s="38"/>
      <c r="E207" s="38"/>
      <c r="F207" s="38"/>
      <c r="G207" s="38"/>
      <c r="H207" s="38"/>
      <c r="I207" s="104"/>
      <c r="J207" s="38"/>
      <c r="K207" s="38"/>
      <c r="L207" s="38"/>
      <c r="M207" s="104"/>
      <c r="N207" s="99"/>
      <c r="O207" s="99"/>
      <c r="P207" s="38"/>
      <c r="Q207" s="38"/>
      <c r="R207" s="38"/>
      <c r="S207" s="38"/>
      <c r="T207" s="38"/>
      <c r="U207" s="38"/>
      <c r="V207" s="38"/>
      <c r="X207" s="38"/>
      <c r="Y207" s="38"/>
      <c r="Z207" s="38"/>
      <c r="AA207" s="38"/>
      <c r="AB207" s="38"/>
      <c r="AC207" s="38"/>
      <c r="AD207" s="38"/>
      <c r="AE207" s="38"/>
      <c r="AF207" s="38"/>
      <c r="AG207" s="38"/>
      <c r="AH207" s="38"/>
      <c r="AI207" s="38"/>
      <c r="AJ207" s="38"/>
      <c r="AK207" s="38"/>
      <c r="AL207" s="38"/>
      <c r="AM207" s="38"/>
      <c r="AN207" s="38"/>
      <c r="AO207" s="38"/>
      <c r="AP207" s="38"/>
      <c r="AQ207" s="38"/>
      <c r="AR207" s="38"/>
      <c r="AS207" s="38"/>
      <c r="AT207" s="38"/>
      <c r="AU207" s="38"/>
      <c r="AV207" s="38"/>
      <c r="AW207" s="38"/>
      <c r="AX207" s="38"/>
      <c r="AY207" s="38"/>
      <c r="AZ207" s="38"/>
      <c r="BA207" s="38"/>
      <c r="BB207" s="38"/>
      <c r="BC207" s="38"/>
      <c r="BD207" s="38"/>
      <c r="BE207" s="38"/>
      <c r="BF207" s="38"/>
      <c r="BG207" s="38"/>
      <c r="BH207" s="38"/>
      <c r="BI207" s="38"/>
      <c r="BJ207" s="38"/>
      <c r="BK207" s="38"/>
      <c r="BL207" s="38"/>
      <c r="BM207" s="38"/>
      <c r="BN207" s="38"/>
      <c r="BO207" s="38"/>
      <c r="BP207" s="38"/>
      <c r="BQ207" s="38"/>
      <c r="BR207" s="38"/>
      <c r="BS207" s="38"/>
      <c r="BT207" s="38"/>
      <c r="BU207" s="38"/>
      <c r="BV207" s="38"/>
      <c r="BW207" s="38"/>
      <c r="BX207" s="38"/>
      <c r="BY207" s="38"/>
      <c r="BZ207" s="38"/>
      <c r="CA207" s="38"/>
      <c r="CB207" s="38"/>
    </row>
    <row r="208" spans="1:80" x14ac:dyDescent="0.25">
      <c r="B208" s="38"/>
      <c r="C208" s="38"/>
      <c r="D208" s="38"/>
      <c r="E208" s="38"/>
      <c r="F208" s="38"/>
      <c r="G208" s="38"/>
      <c r="H208" s="38"/>
      <c r="I208" s="104"/>
      <c r="J208" s="38"/>
      <c r="K208" s="38"/>
      <c r="L208" s="38"/>
      <c r="M208" s="104"/>
      <c r="N208" s="38"/>
      <c r="O208" s="38"/>
      <c r="P208" s="38"/>
      <c r="Q208" s="38"/>
      <c r="R208" s="38"/>
      <c r="S208" s="38"/>
      <c r="T208" s="38"/>
      <c r="U208" s="38"/>
      <c r="V208" s="38"/>
      <c r="X208" s="38"/>
      <c r="Y208" s="38"/>
      <c r="Z208" s="38"/>
      <c r="AA208" s="38"/>
      <c r="AB208" s="38"/>
      <c r="AC208" s="38"/>
      <c r="AD208" s="38"/>
      <c r="AE208" s="38"/>
      <c r="AF208" s="38"/>
      <c r="AG208" s="38"/>
      <c r="AH208" s="38"/>
      <c r="AI208" s="38"/>
      <c r="AJ208" s="38"/>
      <c r="AK208" s="38"/>
      <c r="AL208" s="38"/>
      <c r="AM208" s="38"/>
      <c r="AN208" s="38"/>
      <c r="AO208" s="38"/>
      <c r="AP208" s="38"/>
      <c r="AQ208" s="38"/>
      <c r="AR208" s="38"/>
      <c r="AS208" s="38"/>
      <c r="AT208" s="38"/>
      <c r="AU208" s="38"/>
      <c r="AV208" s="38"/>
      <c r="AW208" s="38"/>
      <c r="AX208" s="38"/>
      <c r="AY208" s="38"/>
      <c r="AZ208" s="38"/>
      <c r="BA208" s="38"/>
      <c r="BB208" s="38"/>
      <c r="BC208" s="38"/>
      <c r="BD208" s="38"/>
      <c r="BE208" s="38"/>
      <c r="BF208" s="38"/>
      <c r="BG208" s="38"/>
      <c r="BH208" s="38"/>
      <c r="BI208" s="38"/>
      <c r="BJ208" s="38"/>
      <c r="BK208" s="38"/>
      <c r="BL208" s="38"/>
      <c r="BM208" s="38"/>
      <c r="BN208" s="38"/>
      <c r="BO208" s="38"/>
      <c r="BP208" s="38"/>
      <c r="BQ208" s="38"/>
      <c r="BR208" s="38"/>
      <c r="BS208" s="38"/>
      <c r="BT208" s="38"/>
      <c r="BU208" s="38"/>
      <c r="BV208" s="38"/>
      <c r="BW208" s="38"/>
      <c r="BX208" s="38"/>
      <c r="BY208" s="38"/>
      <c r="BZ208" s="38"/>
      <c r="CA208" s="38"/>
      <c r="CB208" s="38"/>
    </row>
    <row r="209" spans="2:80" x14ac:dyDescent="0.25">
      <c r="B209" s="38"/>
      <c r="C209" s="38"/>
      <c r="D209" s="38"/>
      <c r="E209" s="38"/>
      <c r="F209" s="38"/>
      <c r="G209" s="38"/>
      <c r="H209" s="38"/>
      <c r="I209" s="104"/>
      <c r="J209" s="38"/>
      <c r="K209" s="38"/>
      <c r="L209" s="38"/>
      <c r="M209" s="104"/>
      <c r="N209" s="38"/>
      <c r="O209" s="38"/>
      <c r="P209" s="38"/>
      <c r="Q209" s="38"/>
      <c r="R209" s="38"/>
      <c r="S209" s="38"/>
      <c r="T209" s="38"/>
      <c r="U209" s="38"/>
      <c r="V209" s="38"/>
      <c r="X209" s="38"/>
      <c r="Y209" s="38"/>
      <c r="Z209" s="38"/>
      <c r="AA209" s="38"/>
      <c r="AB209" s="38"/>
      <c r="AC209" s="38"/>
      <c r="AD209" s="38"/>
      <c r="AE209" s="38"/>
      <c r="AF209" s="38"/>
      <c r="AG209" s="38"/>
      <c r="AH209" s="38"/>
      <c r="AI209" s="38"/>
      <c r="AJ209" s="38"/>
      <c r="AK209" s="38"/>
      <c r="AL209" s="38"/>
      <c r="AM209" s="38"/>
      <c r="AN209" s="38"/>
      <c r="AO209" s="38"/>
      <c r="AP209" s="38"/>
      <c r="AQ209" s="38"/>
      <c r="AR209" s="38"/>
      <c r="AS209" s="38"/>
      <c r="AT209" s="38"/>
      <c r="AU209" s="38"/>
      <c r="AV209" s="38"/>
      <c r="AW209" s="38"/>
      <c r="AX209" s="38"/>
      <c r="AY209" s="38"/>
      <c r="AZ209" s="38"/>
      <c r="BA209" s="38"/>
      <c r="BB209" s="38"/>
      <c r="BC209" s="38"/>
      <c r="BD209" s="38"/>
      <c r="BE209" s="38"/>
      <c r="BF209" s="38"/>
      <c r="BG209" s="38"/>
      <c r="BH209" s="38"/>
      <c r="BI209" s="38"/>
      <c r="BJ209" s="38"/>
      <c r="BK209" s="38"/>
      <c r="BL209" s="38"/>
      <c r="BM209" s="38"/>
      <c r="BN209" s="38"/>
      <c r="BO209" s="38"/>
      <c r="BP209" s="38"/>
      <c r="BQ209" s="38"/>
      <c r="BR209" s="38"/>
      <c r="BS209" s="38"/>
      <c r="BT209" s="38"/>
      <c r="BU209" s="38"/>
      <c r="BV209" s="38"/>
      <c r="BW209" s="38"/>
      <c r="BX209" s="38"/>
      <c r="BY209" s="38"/>
      <c r="BZ209" s="38"/>
      <c r="CA209" s="38"/>
      <c r="CB209" s="38"/>
    </row>
    <row r="210" spans="2:80" x14ac:dyDescent="0.25">
      <c r="B210" s="38"/>
      <c r="C210" s="38"/>
      <c r="D210" s="38"/>
      <c r="E210" s="38"/>
      <c r="F210" s="38"/>
      <c r="G210" s="38"/>
      <c r="H210" s="38"/>
      <c r="I210" s="104"/>
      <c r="J210" s="38"/>
      <c r="K210" s="38"/>
      <c r="L210" s="38"/>
      <c r="M210" s="104"/>
      <c r="N210" s="38"/>
      <c r="O210" s="38"/>
      <c r="P210" s="38"/>
      <c r="Q210" s="38"/>
      <c r="R210" s="38"/>
      <c r="S210" s="38"/>
      <c r="T210" s="38"/>
      <c r="U210" s="38"/>
      <c r="V210" s="38"/>
      <c r="X210" s="38"/>
      <c r="Y210" s="38"/>
      <c r="Z210" s="38"/>
      <c r="AA210" s="38"/>
      <c r="AB210" s="38"/>
      <c r="AC210" s="38"/>
      <c r="AD210" s="38"/>
      <c r="AE210" s="38"/>
      <c r="AF210" s="38"/>
      <c r="AG210" s="38"/>
      <c r="AH210" s="38"/>
      <c r="AI210" s="38"/>
      <c r="AJ210" s="38"/>
      <c r="AK210" s="38"/>
      <c r="AL210" s="38"/>
      <c r="AM210" s="38"/>
      <c r="AN210" s="38"/>
      <c r="AO210" s="38"/>
      <c r="AP210" s="38"/>
      <c r="AQ210" s="38"/>
      <c r="AR210" s="38"/>
      <c r="AS210" s="38"/>
      <c r="AT210" s="38"/>
      <c r="AU210" s="38"/>
      <c r="AV210" s="38"/>
      <c r="AW210" s="38"/>
      <c r="AX210" s="38"/>
      <c r="AY210" s="38"/>
      <c r="AZ210" s="38"/>
      <c r="BA210" s="38"/>
      <c r="BB210" s="38"/>
      <c r="BC210" s="38"/>
      <c r="BD210" s="38"/>
      <c r="BE210" s="38"/>
      <c r="BF210" s="38"/>
      <c r="BG210" s="38"/>
      <c r="BH210" s="38"/>
      <c r="BI210" s="38"/>
      <c r="BJ210" s="38"/>
      <c r="BK210" s="38"/>
      <c r="BL210" s="38"/>
      <c r="BM210" s="38"/>
      <c r="BN210" s="38"/>
      <c r="BO210" s="38"/>
      <c r="BP210" s="38"/>
      <c r="BQ210" s="38"/>
      <c r="BR210" s="38"/>
      <c r="BS210" s="38"/>
      <c r="BT210" s="38"/>
      <c r="BU210" s="38"/>
      <c r="BV210" s="38"/>
      <c r="BW210" s="38"/>
      <c r="BX210" s="38"/>
      <c r="BY210" s="38"/>
      <c r="BZ210" s="38"/>
      <c r="CA210" s="38"/>
      <c r="CB210" s="38"/>
    </row>
    <row r="211" spans="2:80" x14ac:dyDescent="0.25">
      <c r="B211" s="38"/>
      <c r="C211" s="38"/>
      <c r="D211" s="38"/>
      <c r="E211" s="38"/>
      <c r="F211" s="38"/>
      <c r="G211" s="38"/>
      <c r="H211" s="38"/>
      <c r="I211" s="104"/>
      <c r="J211" s="38"/>
      <c r="K211" s="38"/>
      <c r="L211" s="38"/>
      <c r="M211" s="104"/>
      <c r="N211" s="38"/>
      <c r="O211" s="38"/>
      <c r="P211" s="38"/>
      <c r="Q211" s="38"/>
      <c r="R211" s="38"/>
      <c r="S211" s="38"/>
      <c r="T211" s="38"/>
      <c r="U211" s="38"/>
      <c r="V211" s="38"/>
      <c r="X211" s="38"/>
      <c r="Y211" s="38"/>
      <c r="Z211" s="38"/>
      <c r="AA211" s="38"/>
      <c r="AB211" s="38"/>
      <c r="AC211" s="38"/>
      <c r="AD211" s="38"/>
      <c r="AE211" s="38"/>
      <c r="AF211" s="38"/>
      <c r="AG211" s="38"/>
      <c r="AH211" s="38"/>
      <c r="AI211" s="38"/>
      <c r="AJ211" s="38"/>
      <c r="AK211" s="38"/>
      <c r="AL211" s="38"/>
      <c r="AM211" s="38"/>
      <c r="AN211" s="38"/>
      <c r="AO211" s="38"/>
      <c r="AP211" s="38"/>
      <c r="AQ211" s="38"/>
      <c r="AR211" s="38"/>
      <c r="AS211" s="38"/>
      <c r="AT211" s="38"/>
      <c r="AU211" s="38"/>
      <c r="AV211" s="38"/>
      <c r="AW211" s="38"/>
      <c r="AX211" s="38"/>
      <c r="AY211" s="38"/>
      <c r="AZ211" s="38"/>
      <c r="BA211" s="38"/>
      <c r="BB211" s="38"/>
      <c r="BC211" s="38"/>
      <c r="BD211" s="38"/>
      <c r="BE211" s="38"/>
      <c r="BF211" s="38"/>
      <c r="BG211" s="38"/>
      <c r="BH211" s="38"/>
      <c r="BI211" s="38"/>
      <c r="BJ211" s="38"/>
      <c r="BK211" s="38"/>
      <c r="BL211" s="38"/>
      <c r="BM211" s="38"/>
      <c r="BN211" s="38"/>
      <c r="BO211" s="38"/>
      <c r="BP211" s="38"/>
      <c r="BQ211" s="38"/>
      <c r="BR211" s="38"/>
      <c r="BS211" s="38"/>
      <c r="BT211" s="38"/>
      <c r="BU211" s="38"/>
      <c r="BV211" s="38"/>
      <c r="BW211" s="38"/>
      <c r="BX211" s="38"/>
      <c r="BY211" s="38"/>
      <c r="BZ211" s="38"/>
      <c r="CA211" s="38"/>
      <c r="CB211" s="38"/>
    </row>
    <row r="212" spans="2:80" x14ac:dyDescent="0.25">
      <c r="B212" s="38"/>
      <c r="C212" s="38"/>
      <c r="D212" s="38"/>
      <c r="E212" s="38"/>
      <c r="F212" s="38"/>
      <c r="G212" s="38"/>
      <c r="H212" s="38"/>
      <c r="I212" s="104"/>
      <c r="J212" s="38"/>
      <c r="K212" s="38"/>
      <c r="L212" s="38"/>
      <c r="M212" s="104"/>
      <c r="N212" s="38"/>
      <c r="O212" s="38"/>
      <c r="P212" s="38"/>
      <c r="Q212" s="38"/>
      <c r="R212" s="38"/>
      <c r="S212" s="38"/>
      <c r="T212" s="38"/>
      <c r="U212" s="38"/>
      <c r="V212" s="38"/>
      <c r="X212" s="38"/>
      <c r="Y212" s="38"/>
      <c r="Z212" s="38"/>
      <c r="AA212" s="38"/>
      <c r="AB212" s="38"/>
      <c r="AC212" s="38"/>
      <c r="AD212" s="38"/>
      <c r="AE212" s="38"/>
      <c r="AF212" s="38"/>
      <c r="AG212" s="38"/>
      <c r="AH212" s="38"/>
      <c r="AI212" s="38"/>
      <c r="AJ212" s="38"/>
      <c r="AK212" s="38"/>
      <c r="AL212" s="38"/>
      <c r="AM212" s="38"/>
      <c r="AN212" s="38"/>
      <c r="AO212" s="38"/>
      <c r="AP212" s="38"/>
      <c r="AQ212" s="38"/>
      <c r="AR212" s="38"/>
      <c r="AS212" s="38"/>
      <c r="AT212" s="38"/>
      <c r="AU212" s="38"/>
      <c r="AV212" s="38"/>
      <c r="AW212" s="38"/>
      <c r="AX212" s="38"/>
      <c r="AY212" s="38"/>
      <c r="AZ212" s="38"/>
      <c r="BA212" s="38"/>
      <c r="BB212" s="38"/>
      <c r="BC212" s="38"/>
      <c r="BD212" s="38"/>
      <c r="BE212" s="38"/>
      <c r="BF212" s="38"/>
      <c r="BG212" s="38"/>
      <c r="BH212" s="38"/>
      <c r="BI212" s="38"/>
      <c r="BJ212" s="38"/>
      <c r="BK212" s="38"/>
      <c r="BL212" s="38"/>
      <c r="BM212" s="38"/>
      <c r="BN212" s="38"/>
      <c r="BO212" s="38"/>
      <c r="BP212" s="38"/>
      <c r="BQ212" s="38"/>
      <c r="BR212" s="38"/>
      <c r="BS212" s="38"/>
      <c r="BT212" s="38"/>
      <c r="BU212" s="38"/>
      <c r="BV212" s="38"/>
      <c r="BW212" s="38"/>
      <c r="BX212" s="38"/>
      <c r="BY212" s="38"/>
      <c r="BZ212" s="38"/>
      <c r="CA212" s="38"/>
      <c r="CB212" s="38"/>
    </row>
    <row r="213" spans="2:80" x14ac:dyDescent="0.25">
      <c r="B213" s="38"/>
      <c r="C213" s="38"/>
      <c r="D213" s="38"/>
      <c r="E213" s="38"/>
      <c r="F213" s="38"/>
      <c r="G213" s="38"/>
      <c r="H213" s="38"/>
      <c r="I213" s="104"/>
      <c r="J213" s="38"/>
      <c r="K213" s="38"/>
      <c r="L213" s="38"/>
      <c r="M213" s="104"/>
      <c r="N213" s="38"/>
      <c r="O213" s="38"/>
      <c r="P213" s="38"/>
      <c r="Q213" s="38"/>
      <c r="R213" s="38"/>
      <c r="S213" s="38"/>
      <c r="T213" s="38"/>
      <c r="U213" s="38"/>
      <c r="V213" s="38"/>
      <c r="X213" s="38"/>
      <c r="Y213" s="38"/>
      <c r="Z213" s="38"/>
      <c r="AA213" s="38"/>
      <c r="AB213" s="38"/>
      <c r="AC213" s="38"/>
      <c r="AD213" s="38"/>
      <c r="AE213" s="38"/>
      <c r="AF213" s="38"/>
      <c r="AG213" s="38"/>
      <c r="AH213" s="38"/>
      <c r="AI213" s="38"/>
      <c r="AJ213" s="38"/>
      <c r="AK213" s="38"/>
      <c r="AL213" s="38"/>
      <c r="AM213" s="38"/>
      <c r="AN213" s="38"/>
      <c r="AO213" s="38"/>
      <c r="AP213" s="38"/>
      <c r="AQ213" s="38"/>
      <c r="AR213" s="38"/>
      <c r="AS213" s="38"/>
      <c r="AT213" s="38"/>
      <c r="AU213" s="38"/>
      <c r="AV213" s="38"/>
      <c r="AW213" s="38"/>
      <c r="AX213" s="38"/>
      <c r="AY213" s="38"/>
      <c r="AZ213" s="38"/>
      <c r="BA213" s="38"/>
      <c r="BB213" s="38"/>
      <c r="BC213" s="38"/>
      <c r="BD213" s="38"/>
      <c r="BE213" s="38"/>
      <c r="BF213" s="38"/>
      <c r="BG213" s="38"/>
      <c r="BH213" s="38"/>
      <c r="BI213" s="38"/>
      <c r="BJ213" s="38"/>
      <c r="BK213" s="38"/>
      <c r="BL213" s="38"/>
      <c r="BM213" s="38"/>
      <c r="BN213" s="38"/>
      <c r="BO213" s="38"/>
      <c r="BP213" s="38"/>
      <c r="BQ213" s="38"/>
      <c r="BR213" s="38"/>
      <c r="BS213" s="38"/>
      <c r="BT213" s="38"/>
      <c r="BU213" s="38"/>
      <c r="BV213" s="38"/>
      <c r="BW213" s="38"/>
      <c r="BX213" s="38"/>
      <c r="BY213" s="38"/>
      <c r="BZ213" s="38"/>
      <c r="CA213" s="38"/>
      <c r="CB213" s="38"/>
    </row>
    <row r="214" spans="2:80" x14ac:dyDescent="0.25">
      <c r="B214" s="38"/>
      <c r="C214" s="38"/>
      <c r="D214" s="38"/>
      <c r="E214" s="38"/>
      <c r="F214" s="38"/>
      <c r="G214" s="38"/>
      <c r="H214" s="38"/>
      <c r="I214" s="104"/>
      <c r="J214" s="38"/>
      <c r="K214" s="38"/>
      <c r="L214" s="38"/>
      <c r="M214" s="104"/>
      <c r="N214" s="38"/>
      <c r="O214" s="38"/>
      <c r="P214" s="38"/>
      <c r="Q214" s="38"/>
      <c r="R214" s="38"/>
      <c r="S214" s="38"/>
      <c r="T214" s="38"/>
      <c r="U214" s="38"/>
      <c r="V214" s="38"/>
      <c r="X214" s="38"/>
      <c r="Y214" s="38"/>
      <c r="Z214" s="38"/>
      <c r="AA214" s="38"/>
      <c r="AB214" s="38"/>
      <c r="AC214" s="38"/>
      <c r="AD214" s="38"/>
      <c r="AE214" s="38"/>
      <c r="AF214" s="38"/>
      <c r="AG214" s="38"/>
      <c r="AH214" s="38"/>
      <c r="AI214" s="38"/>
      <c r="AJ214" s="38"/>
      <c r="AK214" s="38"/>
      <c r="AL214" s="38"/>
      <c r="AM214" s="38"/>
      <c r="AN214" s="38"/>
      <c r="AO214" s="38"/>
      <c r="AP214" s="38"/>
      <c r="AQ214" s="38"/>
      <c r="AR214" s="38"/>
      <c r="AS214" s="38"/>
      <c r="AT214" s="38"/>
      <c r="AU214" s="38"/>
      <c r="AV214" s="38"/>
      <c r="AW214" s="38"/>
      <c r="AX214" s="38"/>
      <c r="AY214" s="38"/>
      <c r="AZ214" s="38"/>
      <c r="BA214" s="38"/>
      <c r="BB214" s="38"/>
      <c r="BC214" s="38"/>
      <c r="BD214" s="38"/>
      <c r="BE214" s="38"/>
      <c r="BF214" s="38"/>
      <c r="BG214" s="38"/>
      <c r="BH214" s="38"/>
      <c r="BI214" s="38"/>
      <c r="BJ214" s="38"/>
      <c r="BK214" s="38"/>
      <c r="BL214" s="38"/>
      <c r="BM214" s="38"/>
      <c r="BN214" s="38"/>
      <c r="BO214" s="38"/>
      <c r="BP214" s="38"/>
      <c r="BQ214" s="38"/>
      <c r="BR214" s="38"/>
      <c r="BS214" s="38"/>
      <c r="BT214" s="38"/>
      <c r="BU214" s="38"/>
      <c r="BV214" s="38"/>
      <c r="BW214" s="38"/>
      <c r="BX214" s="38"/>
      <c r="BY214" s="38"/>
      <c r="BZ214" s="38"/>
      <c r="CA214" s="38"/>
      <c r="CB214" s="38"/>
    </row>
    <row r="215" spans="2:80" x14ac:dyDescent="0.25">
      <c r="B215" s="38"/>
      <c r="C215" s="38"/>
      <c r="D215" s="38"/>
      <c r="E215" s="38"/>
      <c r="F215" s="38"/>
      <c r="G215" s="38"/>
      <c r="H215" s="38"/>
      <c r="I215" s="104"/>
      <c r="J215" s="38"/>
      <c r="K215" s="38"/>
      <c r="L215" s="38"/>
      <c r="M215" s="104"/>
      <c r="N215" s="38"/>
      <c r="O215" s="38"/>
      <c r="P215" s="38"/>
      <c r="Q215" s="38"/>
      <c r="R215" s="38"/>
      <c r="S215" s="38"/>
      <c r="T215" s="38"/>
      <c r="U215" s="38"/>
      <c r="V215" s="38"/>
      <c r="X215" s="38"/>
      <c r="Y215" s="38"/>
      <c r="Z215" s="38"/>
      <c r="AA215" s="38"/>
      <c r="AB215" s="38"/>
      <c r="AC215" s="38"/>
      <c r="AD215" s="38"/>
      <c r="AE215" s="38"/>
      <c r="AF215" s="38"/>
      <c r="AG215" s="38"/>
      <c r="AH215" s="38"/>
      <c r="AI215" s="38"/>
      <c r="AJ215" s="38"/>
      <c r="AK215" s="38"/>
      <c r="AL215" s="38"/>
      <c r="AM215" s="38"/>
      <c r="AN215" s="38"/>
      <c r="AO215" s="38"/>
      <c r="AP215" s="38"/>
      <c r="AQ215" s="38"/>
      <c r="AR215" s="38"/>
      <c r="AS215" s="38"/>
      <c r="AT215" s="38"/>
      <c r="AU215" s="38"/>
      <c r="AV215" s="38"/>
      <c r="AW215" s="38"/>
      <c r="AX215" s="38"/>
      <c r="AY215" s="38"/>
      <c r="AZ215" s="38"/>
      <c r="BA215" s="38"/>
      <c r="BB215" s="38"/>
      <c r="BC215" s="38"/>
      <c r="BD215" s="38"/>
      <c r="BE215" s="38"/>
      <c r="BF215" s="38"/>
      <c r="BG215" s="38"/>
      <c r="BH215" s="38"/>
      <c r="BI215" s="38"/>
      <c r="BJ215" s="38"/>
      <c r="BK215" s="38"/>
      <c r="BL215" s="38"/>
      <c r="BM215" s="38"/>
      <c r="BN215" s="38"/>
      <c r="BO215" s="38"/>
      <c r="BP215" s="38"/>
      <c r="BQ215" s="38"/>
      <c r="BR215" s="38"/>
      <c r="BS215" s="38"/>
      <c r="BT215" s="38"/>
      <c r="BU215" s="38"/>
      <c r="BV215" s="38"/>
      <c r="BW215" s="38"/>
      <c r="BX215" s="38"/>
      <c r="BY215" s="38"/>
      <c r="BZ215" s="38"/>
      <c r="CA215" s="38"/>
      <c r="CB215" s="38"/>
    </row>
    <row r="216" spans="2:80" x14ac:dyDescent="0.25">
      <c r="B216" s="38"/>
      <c r="C216" s="38"/>
      <c r="D216" s="38"/>
      <c r="E216" s="38"/>
      <c r="F216" s="38"/>
      <c r="G216" s="38"/>
      <c r="H216" s="38"/>
      <c r="I216" s="104"/>
      <c r="J216" s="38"/>
      <c r="K216" s="38"/>
      <c r="L216" s="38"/>
      <c r="M216" s="104"/>
      <c r="N216" s="38"/>
      <c r="O216" s="38"/>
      <c r="P216" s="38"/>
      <c r="Q216" s="38"/>
      <c r="R216" s="38"/>
      <c r="S216" s="38"/>
      <c r="T216" s="38"/>
      <c r="U216" s="38"/>
      <c r="V216" s="38"/>
      <c r="X216" s="38"/>
      <c r="Y216" s="38"/>
      <c r="Z216" s="38"/>
      <c r="AA216" s="38"/>
      <c r="AB216" s="38"/>
      <c r="AC216" s="38"/>
      <c r="AD216" s="38"/>
      <c r="AE216" s="38"/>
      <c r="AF216" s="38"/>
      <c r="AG216" s="38"/>
      <c r="AH216" s="38"/>
      <c r="AI216" s="38"/>
      <c r="AJ216" s="38"/>
      <c r="AK216" s="38"/>
      <c r="AL216" s="38"/>
      <c r="AM216" s="38"/>
      <c r="AN216" s="38"/>
      <c r="AO216" s="38"/>
      <c r="AP216" s="38"/>
      <c r="AQ216" s="38"/>
      <c r="AR216" s="38"/>
      <c r="AS216" s="38"/>
      <c r="AT216" s="38"/>
      <c r="AU216" s="38"/>
      <c r="AV216" s="38"/>
      <c r="AW216" s="38"/>
      <c r="AX216" s="38"/>
      <c r="AY216" s="38"/>
      <c r="AZ216" s="38"/>
      <c r="BA216" s="38"/>
      <c r="BB216" s="38"/>
      <c r="BC216" s="38"/>
      <c r="BD216" s="38"/>
      <c r="BE216" s="38"/>
      <c r="BF216" s="38"/>
      <c r="BG216" s="38"/>
      <c r="BH216" s="38"/>
      <c r="BI216" s="38"/>
      <c r="BJ216" s="38"/>
      <c r="BK216" s="38"/>
      <c r="BL216" s="38"/>
      <c r="BM216" s="38"/>
      <c r="BN216" s="38"/>
      <c r="BO216" s="38"/>
      <c r="BP216" s="38"/>
      <c r="BQ216" s="38"/>
      <c r="BR216" s="38"/>
      <c r="BS216" s="38"/>
      <c r="BT216" s="38"/>
      <c r="BU216" s="38"/>
      <c r="BV216" s="38"/>
      <c r="BW216" s="38"/>
      <c r="BX216" s="38"/>
      <c r="BY216" s="38"/>
      <c r="BZ216" s="38"/>
      <c r="CA216" s="38"/>
      <c r="CB216" s="38"/>
    </row>
    <row r="217" spans="2:80" x14ac:dyDescent="0.25">
      <c r="B217" s="38"/>
      <c r="C217" s="38"/>
      <c r="D217" s="38"/>
      <c r="E217" s="38"/>
      <c r="F217" s="38"/>
      <c r="G217" s="38"/>
      <c r="H217" s="38"/>
      <c r="I217" s="104"/>
      <c r="J217" s="38"/>
      <c r="K217" s="38"/>
      <c r="L217" s="38"/>
      <c r="M217" s="104"/>
      <c r="N217" s="38"/>
      <c r="O217" s="38"/>
      <c r="P217" s="38"/>
      <c r="Q217" s="38"/>
      <c r="R217" s="38"/>
      <c r="S217" s="38"/>
      <c r="T217" s="38"/>
      <c r="U217" s="38"/>
      <c r="V217" s="38"/>
      <c r="X217" s="38"/>
      <c r="Y217" s="38"/>
      <c r="Z217" s="38"/>
      <c r="AA217" s="38"/>
      <c r="AB217" s="38"/>
      <c r="AC217" s="38"/>
      <c r="AD217" s="38"/>
      <c r="AE217" s="38"/>
      <c r="AF217" s="38"/>
      <c r="AG217" s="38"/>
      <c r="AH217" s="38"/>
      <c r="AI217" s="38"/>
      <c r="AJ217" s="38"/>
      <c r="AK217" s="38"/>
      <c r="AL217" s="38"/>
      <c r="AM217" s="38"/>
      <c r="AN217" s="38"/>
      <c r="AO217" s="38"/>
      <c r="AP217" s="38"/>
      <c r="AQ217" s="38"/>
      <c r="AR217" s="38"/>
      <c r="AS217" s="38"/>
      <c r="AT217" s="38"/>
      <c r="AU217" s="38"/>
      <c r="AV217" s="38"/>
      <c r="AW217" s="38"/>
      <c r="AX217" s="38"/>
      <c r="AY217" s="38"/>
      <c r="AZ217" s="38"/>
      <c r="BA217" s="38"/>
      <c r="BB217" s="38"/>
      <c r="BC217" s="38"/>
      <c r="BD217" s="38"/>
      <c r="BE217" s="38"/>
      <c r="BF217" s="38"/>
      <c r="BG217" s="38"/>
      <c r="BH217" s="38"/>
      <c r="BI217" s="38"/>
      <c r="BJ217" s="38"/>
      <c r="BK217" s="38"/>
      <c r="BL217" s="38"/>
      <c r="BM217" s="38"/>
      <c r="BN217" s="38"/>
      <c r="BO217" s="38"/>
      <c r="BP217" s="38"/>
      <c r="BQ217" s="38"/>
      <c r="BR217" s="38"/>
      <c r="BS217" s="38"/>
      <c r="BT217" s="38"/>
      <c r="BU217" s="38"/>
      <c r="BV217" s="38"/>
      <c r="BW217" s="38"/>
      <c r="BX217" s="38"/>
      <c r="BY217" s="38"/>
      <c r="BZ217" s="38"/>
      <c r="CA217" s="38"/>
      <c r="CB217" s="38"/>
    </row>
    <row r="218" spans="2:80" x14ac:dyDescent="0.25">
      <c r="B218" s="38"/>
      <c r="C218" s="38"/>
      <c r="D218" s="38"/>
      <c r="E218" s="38"/>
      <c r="F218" s="38"/>
      <c r="G218" s="38"/>
      <c r="H218" s="38"/>
      <c r="I218" s="104"/>
      <c r="J218" s="38"/>
      <c r="K218" s="38"/>
      <c r="L218" s="38"/>
      <c r="M218" s="104"/>
      <c r="N218" s="38"/>
      <c r="O218" s="38"/>
      <c r="P218" s="38"/>
      <c r="Q218" s="38"/>
      <c r="R218" s="38"/>
      <c r="S218" s="38"/>
      <c r="T218" s="38"/>
      <c r="U218" s="38"/>
      <c r="V218" s="38"/>
      <c r="X218" s="38"/>
      <c r="Y218" s="38"/>
      <c r="Z218" s="38"/>
      <c r="AA218" s="38"/>
      <c r="AB218" s="38"/>
      <c r="AC218" s="38"/>
      <c r="AD218" s="38"/>
      <c r="AE218" s="38"/>
      <c r="AF218" s="38"/>
      <c r="AG218" s="38"/>
      <c r="AH218" s="38"/>
      <c r="AI218" s="38"/>
      <c r="AJ218" s="38"/>
      <c r="AK218" s="38"/>
      <c r="AL218" s="38"/>
      <c r="AM218" s="38"/>
      <c r="AN218" s="38"/>
      <c r="AO218" s="38"/>
      <c r="AP218" s="38"/>
      <c r="AQ218" s="38"/>
      <c r="AR218" s="38"/>
      <c r="AS218" s="38"/>
      <c r="AT218" s="38"/>
      <c r="AU218" s="38"/>
      <c r="AV218" s="38"/>
      <c r="AW218" s="38"/>
      <c r="AX218" s="38"/>
      <c r="AY218" s="38"/>
      <c r="AZ218" s="38"/>
      <c r="BA218" s="38"/>
      <c r="BB218" s="38"/>
      <c r="BC218" s="38"/>
      <c r="BD218" s="38"/>
      <c r="BE218" s="38"/>
      <c r="BF218" s="38"/>
      <c r="BG218" s="38"/>
      <c r="BH218" s="38"/>
      <c r="BI218" s="38"/>
      <c r="BJ218" s="38"/>
      <c r="BK218" s="38"/>
      <c r="BL218" s="38"/>
      <c r="BM218" s="38"/>
      <c r="BN218" s="38"/>
      <c r="BO218" s="38"/>
      <c r="BP218" s="38"/>
      <c r="BQ218" s="38"/>
      <c r="BR218" s="38"/>
      <c r="BS218" s="38"/>
      <c r="BT218" s="38"/>
      <c r="BU218" s="38"/>
      <c r="BV218" s="38"/>
      <c r="BW218" s="38"/>
      <c r="BX218" s="38"/>
      <c r="BY218" s="38"/>
      <c r="BZ218" s="38"/>
      <c r="CA218" s="38"/>
      <c r="CB218" s="38"/>
    </row>
    <row r="219" spans="2:80" x14ac:dyDescent="0.25">
      <c r="B219" s="38"/>
      <c r="C219" s="38"/>
      <c r="D219" s="38"/>
      <c r="E219" s="38"/>
      <c r="F219" s="38"/>
      <c r="G219" s="38"/>
      <c r="H219" s="38"/>
      <c r="I219" s="104"/>
      <c r="J219" s="38"/>
      <c r="K219" s="38"/>
      <c r="L219" s="38"/>
      <c r="M219" s="104"/>
      <c r="N219" s="38"/>
      <c r="O219" s="38"/>
      <c r="P219" s="38"/>
      <c r="Q219" s="38"/>
      <c r="R219" s="38"/>
      <c r="S219" s="38"/>
      <c r="T219" s="38"/>
      <c r="U219" s="38"/>
      <c r="V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8"/>
      <c r="AJ219" s="38"/>
      <c r="AK219" s="38"/>
      <c r="AL219" s="38"/>
      <c r="AM219" s="38"/>
      <c r="AN219" s="38"/>
      <c r="AO219" s="38"/>
      <c r="AP219" s="38"/>
      <c r="AQ219" s="38"/>
      <c r="AR219" s="38"/>
      <c r="AS219" s="38"/>
      <c r="AT219" s="38"/>
      <c r="AU219" s="38"/>
      <c r="AV219" s="38"/>
      <c r="AW219" s="38"/>
      <c r="AX219" s="38"/>
      <c r="AY219" s="38"/>
      <c r="AZ219" s="38"/>
      <c r="BA219" s="38"/>
      <c r="BB219" s="38"/>
      <c r="BC219" s="38"/>
      <c r="BD219" s="38"/>
      <c r="BE219" s="38"/>
      <c r="BF219" s="38"/>
      <c r="BG219" s="38"/>
      <c r="BH219" s="38"/>
      <c r="BI219" s="38"/>
      <c r="BJ219" s="38"/>
      <c r="BK219" s="38"/>
      <c r="BL219" s="38"/>
      <c r="BM219" s="38"/>
      <c r="BN219" s="38"/>
      <c r="BO219" s="38"/>
      <c r="BP219" s="38"/>
      <c r="BQ219" s="38"/>
      <c r="BR219" s="38"/>
      <c r="BS219" s="38"/>
      <c r="BT219" s="38"/>
      <c r="BU219" s="38"/>
      <c r="BV219" s="38"/>
      <c r="BW219" s="38"/>
      <c r="BX219" s="38"/>
      <c r="BY219" s="38"/>
      <c r="BZ219" s="38"/>
      <c r="CA219" s="38"/>
      <c r="CB219" s="38"/>
    </row>
    <row r="220" spans="2:80" x14ac:dyDescent="0.25">
      <c r="B220" s="38"/>
      <c r="C220" s="38"/>
      <c r="D220" s="38"/>
      <c r="E220" s="38"/>
      <c r="F220" s="38"/>
      <c r="G220" s="38"/>
      <c r="H220" s="38"/>
      <c r="I220" s="104"/>
      <c r="J220" s="38"/>
      <c r="K220" s="38"/>
      <c r="L220" s="38"/>
      <c r="M220" s="104"/>
      <c r="N220" s="38"/>
      <c r="O220" s="38"/>
      <c r="P220" s="38"/>
      <c r="Q220" s="38"/>
      <c r="R220" s="38"/>
      <c r="S220" s="38"/>
      <c r="T220" s="38"/>
      <c r="U220" s="38"/>
      <c r="V220" s="38"/>
      <c r="X220" s="38"/>
      <c r="Y220" s="38"/>
      <c r="Z220" s="38"/>
      <c r="AA220" s="38"/>
      <c r="AB220" s="38"/>
      <c r="AC220" s="38"/>
      <c r="AD220" s="38"/>
      <c r="AE220" s="38"/>
      <c r="AF220" s="38"/>
      <c r="AG220" s="38"/>
      <c r="AH220" s="38"/>
      <c r="AI220" s="38"/>
      <c r="AJ220" s="38"/>
      <c r="AK220" s="38"/>
      <c r="AL220" s="38"/>
      <c r="AM220" s="38"/>
      <c r="AN220" s="38"/>
      <c r="AO220" s="38"/>
      <c r="AP220" s="38"/>
      <c r="AQ220" s="38"/>
      <c r="AR220" s="38"/>
      <c r="AS220" s="38"/>
      <c r="AT220" s="38"/>
      <c r="AU220" s="38"/>
      <c r="AV220" s="38"/>
      <c r="AW220" s="38"/>
      <c r="AX220" s="38"/>
      <c r="AY220" s="38"/>
      <c r="AZ220" s="38"/>
      <c r="BA220" s="38"/>
      <c r="BB220" s="38"/>
      <c r="BC220" s="38"/>
      <c r="BD220" s="38"/>
      <c r="BE220" s="38"/>
      <c r="BF220" s="38"/>
      <c r="BG220" s="38"/>
      <c r="BH220" s="38"/>
      <c r="BI220" s="38"/>
      <c r="BJ220" s="38"/>
      <c r="BK220" s="38"/>
      <c r="BL220" s="38"/>
      <c r="BM220" s="38"/>
      <c r="BN220" s="38"/>
      <c r="BO220" s="38"/>
      <c r="BP220" s="38"/>
      <c r="BQ220" s="38"/>
      <c r="BR220" s="38"/>
      <c r="BS220" s="38"/>
      <c r="BT220" s="38"/>
      <c r="BU220" s="38"/>
      <c r="BV220" s="38"/>
      <c r="BW220" s="38"/>
      <c r="BX220" s="38"/>
      <c r="BY220" s="38"/>
      <c r="BZ220" s="38"/>
      <c r="CA220" s="38"/>
      <c r="CB220" s="38"/>
    </row>
    <row r="221" spans="2:80" x14ac:dyDescent="0.25">
      <c r="B221" s="38"/>
      <c r="C221" s="38"/>
      <c r="D221" s="38"/>
      <c r="E221" s="38"/>
      <c r="F221" s="38"/>
      <c r="G221" s="38"/>
      <c r="H221" s="38"/>
      <c r="I221" s="104"/>
      <c r="J221" s="38"/>
      <c r="K221" s="38"/>
      <c r="L221" s="38"/>
      <c r="M221" s="104"/>
      <c r="N221" s="38"/>
      <c r="O221" s="38"/>
      <c r="P221" s="38"/>
      <c r="Q221" s="38"/>
      <c r="R221" s="38"/>
      <c r="S221" s="38"/>
      <c r="T221" s="38"/>
      <c r="U221" s="38"/>
      <c r="V221" s="38"/>
      <c r="X221" s="38"/>
      <c r="Y221" s="38"/>
      <c r="Z221" s="38"/>
      <c r="AA221" s="38"/>
      <c r="AB221" s="38"/>
      <c r="AC221" s="38"/>
      <c r="AD221" s="38"/>
      <c r="AE221" s="38"/>
      <c r="AF221" s="38"/>
      <c r="AG221" s="38"/>
      <c r="AH221" s="38"/>
      <c r="AI221" s="38"/>
      <c r="AJ221" s="38"/>
      <c r="AK221" s="38"/>
      <c r="AL221" s="38"/>
      <c r="AM221" s="38"/>
      <c r="AN221" s="38"/>
      <c r="AO221" s="38"/>
      <c r="AP221" s="38"/>
      <c r="AQ221" s="38"/>
      <c r="AR221" s="38"/>
      <c r="AS221" s="38"/>
      <c r="AT221" s="38"/>
      <c r="AU221" s="38"/>
      <c r="AV221" s="38"/>
      <c r="AW221" s="38"/>
      <c r="AX221" s="38"/>
      <c r="AY221" s="38"/>
      <c r="AZ221" s="38"/>
      <c r="BA221" s="38"/>
      <c r="BB221" s="38"/>
      <c r="BC221" s="38"/>
      <c r="BD221" s="38"/>
      <c r="BE221" s="38"/>
      <c r="BF221" s="38"/>
      <c r="BG221" s="38"/>
      <c r="BH221" s="38"/>
      <c r="BI221" s="38"/>
      <c r="BJ221" s="38"/>
      <c r="BK221" s="38"/>
      <c r="BL221" s="38"/>
      <c r="BM221" s="38"/>
      <c r="BN221" s="38"/>
      <c r="BO221" s="38"/>
      <c r="BP221" s="38"/>
      <c r="BQ221" s="38"/>
      <c r="BR221" s="38"/>
      <c r="BS221" s="38"/>
      <c r="BT221" s="38"/>
      <c r="BU221" s="38"/>
      <c r="BV221" s="38"/>
      <c r="BW221" s="38"/>
      <c r="BX221" s="38"/>
      <c r="BY221" s="38"/>
      <c r="BZ221" s="38"/>
      <c r="CA221" s="38"/>
      <c r="CB221" s="38"/>
    </row>
    <row r="222" spans="2:80" x14ac:dyDescent="0.25">
      <c r="B222" s="38"/>
      <c r="C222" s="38"/>
      <c r="D222" s="38"/>
      <c r="E222" s="38"/>
      <c r="F222" s="38"/>
      <c r="G222" s="38"/>
      <c r="H222" s="38"/>
      <c r="I222" s="104"/>
      <c r="J222" s="38"/>
      <c r="K222" s="38"/>
      <c r="L222" s="38"/>
      <c r="M222" s="104"/>
      <c r="N222" s="38"/>
      <c r="O222" s="38"/>
      <c r="P222" s="38"/>
      <c r="Q222" s="38"/>
      <c r="R222" s="38"/>
      <c r="S222" s="38"/>
      <c r="T222" s="38"/>
      <c r="U222" s="38"/>
      <c r="V222" s="38"/>
      <c r="X222" s="38"/>
      <c r="Y222" s="38"/>
      <c r="Z222" s="38"/>
      <c r="AA222" s="38"/>
      <c r="AB222" s="38"/>
      <c r="AC222" s="38"/>
      <c r="AD222" s="38"/>
      <c r="AE222" s="38"/>
      <c r="AF222" s="38"/>
      <c r="AG222" s="38"/>
      <c r="AH222" s="38"/>
      <c r="AI222" s="38"/>
      <c r="AJ222" s="38"/>
      <c r="AK222" s="38"/>
      <c r="AL222" s="38"/>
      <c r="AM222" s="38"/>
      <c r="AN222" s="38"/>
      <c r="AO222" s="38"/>
      <c r="AP222" s="38"/>
      <c r="AQ222" s="38"/>
      <c r="AR222" s="38"/>
      <c r="AS222" s="38"/>
      <c r="AT222" s="38"/>
      <c r="AU222" s="38"/>
      <c r="AV222" s="38"/>
      <c r="AW222" s="38"/>
      <c r="AX222" s="38"/>
      <c r="AY222" s="38"/>
      <c r="AZ222" s="38"/>
      <c r="BA222" s="38"/>
      <c r="BB222" s="38"/>
      <c r="BC222" s="38"/>
      <c r="BD222" s="38"/>
      <c r="BE222" s="38"/>
      <c r="BF222" s="38"/>
      <c r="BG222" s="38"/>
      <c r="BH222" s="38"/>
      <c r="BI222" s="38"/>
      <c r="BJ222" s="38"/>
      <c r="BK222" s="38"/>
      <c r="BL222" s="38"/>
      <c r="BM222" s="38"/>
      <c r="BN222" s="38"/>
      <c r="BO222" s="38"/>
      <c r="BP222" s="38"/>
      <c r="BQ222" s="38"/>
      <c r="BR222" s="38"/>
      <c r="BS222" s="38"/>
      <c r="BT222" s="38"/>
      <c r="BU222" s="38"/>
      <c r="BV222" s="38"/>
      <c r="BW222" s="38"/>
      <c r="BX222" s="38"/>
      <c r="BY222" s="38"/>
      <c r="BZ222" s="38"/>
      <c r="CA222" s="38"/>
      <c r="CB222" s="38"/>
    </row>
    <row r="223" spans="2:80" x14ac:dyDescent="0.25">
      <c r="B223" s="38"/>
      <c r="C223" s="38"/>
      <c r="D223" s="38"/>
      <c r="E223" s="38"/>
      <c r="F223" s="38"/>
      <c r="G223" s="38"/>
      <c r="H223" s="38"/>
      <c r="I223" s="104"/>
      <c r="J223" s="38"/>
      <c r="K223" s="38"/>
      <c r="L223" s="38"/>
      <c r="M223" s="104"/>
      <c r="N223" s="38"/>
      <c r="O223" s="38"/>
      <c r="P223" s="38"/>
      <c r="Q223" s="38"/>
      <c r="R223" s="38"/>
      <c r="S223" s="38"/>
      <c r="T223" s="38"/>
      <c r="U223" s="38"/>
      <c r="V223" s="38"/>
      <c r="X223" s="38"/>
      <c r="Y223" s="38"/>
      <c r="Z223" s="38"/>
      <c r="AA223" s="38"/>
      <c r="AB223" s="38"/>
      <c r="AC223" s="38"/>
      <c r="AD223" s="38"/>
      <c r="AE223" s="38"/>
      <c r="AF223" s="38"/>
      <c r="AG223" s="38"/>
      <c r="AH223" s="38"/>
      <c r="AI223" s="38"/>
      <c r="AJ223" s="38"/>
      <c r="AK223" s="38"/>
      <c r="AL223" s="38"/>
      <c r="AM223" s="38"/>
      <c r="AN223" s="38"/>
      <c r="AO223" s="38"/>
      <c r="AP223" s="38"/>
      <c r="AQ223" s="38"/>
      <c r="AR223" s="38"/>
      <c r="AS223" s="38"/>
      <c r="AT223" s="38"/>
      <c r="AU223" s="38"/>
      <c r="AV223" s="38"/>
      <c r="AW223" s="38"/>
      <c r="AX223" s="38"/>
      <c r="AY223" s="38"/>
      <c r="AZ223" s="38"/>
      <c r="BA223" s="38"/>
      <c r="BB223" s="38"/>
      <c r="BC223" s="38"/>
      <c r="BD223" s="38"/>
      <c r="BE223" s="38"/>
      <c r="BF223" s="38"/>
      <c r="BG223" s="38"/>
      <c r="BH223" s="38"/>
      <c r="BI223" s="38"/>
      <c r="BJ223" s="38"/>
      <c r="BK223" s="38"/>
      <c r="BL223" s="38"/>
      <c r="BM223" s="38"/>
      <c r="BN223" s="38"/>
      <c r="BO223" s="38"/>
      <c r="BP223" s="38"/>
      <c r="BQ223" s="38"/>
      <c r="BR223" s="38"/>
      <c r="BS223" s="38"/>
      <c r="BT223" s="38"/>
      <c r="BU223" s="38"/>
      <c r="BV223" s="38"/>
      <c r="BW223" s="38"/>
      <c r="BX223" s="38"/>
      <c r="BY223" s="38"/>
      <c r="BZ223" s="38"/>
      <c r="CA223" s="38"/>
      <c r="CB223" s="38"/>
    </row>
    <row r="224" spans="2:80" x14ac:dyDescent="0.25">
      <c r="B224" s="38"/>
      <c r="C224" s="38"/>
      <c r="D224" s="38"/>
      <c r="E224" s="38"/>
      <c r="F224" s="38"/>
      <c r="G224" s="38"/>
      <c r="H224" s="38"/>
      <c r="I224" s="104"/>
      <c r="J224" s="38"/>
      <c r="K224" s="38"/>
      <c r="L224" s="38"/>
      <c r="M224" s="104"/>
      <c r="N224" s="38"/>
      <c r="O224" s="38"/>
      <c r="P224" s="38"/>
      <c r="Q224" s="38"/>
      <c r="R224" s="38"/>
      <c r="S224" s="38"/>
      <c r="T224" s="38"/>
      <c r="U224" s="38"/>
      <c r="V224" s="38"/>
      <c r="X224" s="38"/>
      <c r="Y224" s="38"/>
      <c r="Z224" s="38"/>
      <c r="AA224" s="38"/>
      <c r="AB224" s="38"/>
      <c r="AC224" s="38"/>
      <c r="AD224" s="38"/>
      <c r="AE224" s="38"/>
      <c r="AF224" s="38"/>
      <c r="AG224" s="38"/>
      <c r="AH224" s="38"/>
      <c r="AI224" s="38"/>
      <c r="AJ224" s="38"/>
      <c r="AK224" s="38"/>
      <c r="AL224" s="38"/>
      <c r="AM224" s="38"/>
      <c r="AN224" s="38"/>
      <c r="AO224" s="38"/>
      <c r="AP224" s="38"/>
      <c r="AQ224" s="38"/>
      <c r="AR224" s="38"/>
      <c r="AS224" s="38"/>
      <c r="AT224" s="38"/>
      <c r="AU224" s="38"/>
      <c r="AV224" s="38"/>
      <c r="AW224" s="38"/>
      <c r="AX224" s="38"/>
      <c r="AY224" s="38"/>
      <c r="AZ224" s="38"/>
      <c r="BA224" s="38"/>
      <c r="BB224" s="38"/>
      <c r="BC224" s="38"/>
      <c r="BD224" s="38"/>
      <c r="BE224" s="38"/>
      <c r="BF224" s="38"/>
      <c r="BG224" s="38"/>
      <c r="BH224" s="38"/>
      <c r="BI224" s="38"/>
      <c r="BJ224" s="38"/>
      <c r="BK224" s="38"/>
      <c r="BL224" s="38"/>
      <c r="BM224" s="38"/>
      <c r="BN224" s="38"/>
      <c r="BO224" s="38"/>
      <c r="BP224" s="38"/>
      <c r="BQ224" s="38"/>
      <c r="BR224" s="38"/>
      <c r="BS224" s="38"/>
      <c r="BT224" s="38"/>
      <c r="BU224" s="38"/>
      <c r="BV224" s="38"/>
      <c r="BW224" s="38"/>
      <c r="BX224" s="38"/>
      <c r="BY224" s="38"/>
      <c r="BZ224" s="38"/>
      <c r="CA224" s="38"/>
      <c r="CB224" s="38"/>
    </row>
    <row r="225" spans="2:80" x14ac:dyDescent="0.25">
      <c r="B225" s="38"/>
      <c r="C225" s="38"/>
      <c r="D225" s="38"/>
      <c r="E225" s="38"/>
      <c r="F225" s="38"/>
      <c r="G225" s="38"/>
      <c r="H225" s="38"/>
      <c r="I225" s="104"/>
      <c r="J225" s="38"/>
      <c r="K225" s="38"/>
      <c r="L225" s="38"/>
      <c r="M225" s="104"/>
      <c r="N225" s="38"/>
      <c r="O225" s="38"/>
      <c r="P225" s="38"/>
      <c r="Q225" s="38"/>
      <c r="R225" s="38"/>
      <c r="S225" s="38"/>
      <c r="T225" s="38"/>
      <c r="U225" s="38"/>
      <c r="V225" s="38"/>
      <c r="X225" s="38"/>
      <c r="Y225" s="38"/>
      <c r="Z225" s="38"/>
      <c r="AA225" s="38"/>
      <c r="AB225" s="38"/>
      <c r="AC225" s="38"/>
      <c r="AD225" s="38"/>
      <c r="AE225" s="38"/>
      <c r="AF225" s="38"/>
      <c r="AG225" s="38"/>
      <c r="AH225" s="38"/>
      <c r="AI225" s="38"/>
      <c r="AJ225" s="38"/>
      <c r="AK225" s="38"/>
      <c r="AL225" s="38"/>
      <c r="AM225" s="38"/>
      <c r="AN225" s="38"/>
      <c r="AO225" s="38"/>
      <c r="AP225" s="38"/>
      <c r="AQ225" s="38"/>
      <c r="AR225" s="38"/>
      <c r="AS225" s="38"/>
      <c r="AT225" s="38"/>
      <c r="AU225" s="38"/>
      <c r="AV225" s="38"/>
      <c r="AW225" s="38"/>
      <c r="AX225" s="38"/>
      <c r="AY225" s="38"/>
      <c r="AZ225" s="38"/>
      <c r="BA225" s="38"/>
      <c r="BB225" s="38"/>
      <c r="BC225" s="38"/>
      <c r="BD225" s="38"/>
      <c r="BE225" s="38"/>
      <c r="BF225" s="38"/>
      <c r="BG225" s="38"/>
      <c r="BH225" s="38"/>
      <c r="BI225" s="38"/>
      <c r="BJ225" s="38"/>
      <c r="BK225" s="38"/>
      <c r="BL225" s="38"/>
      <c r="BM225" s="38"/>
      <c r="BN225" s="38"/>
      <c r="BO225" s="38"/>
      <c r="BP225" s="38"/>
      <c r="BQ225" s="38"/>
      <c r="BR225" s="38"/>
      <c r="BS225" s="38"/>
      <c r="BT225" s="38"/>
      <c r="BU225" s="38"/>
      <c r="BV225" s="38"/>
      <c r="BW225" s="38"/>
      <c r="BX225" s="38"/>
      <c r="BY225" s="38"/>
      <c r="BZ225" s="38"/>
      <c r="CA225" s="38"/>
      <c r="CB225" s="38"/>
    </row>
    <row r="226" spans="2:80" x14ac:dyDescent="0.25">
      <c r="B226" s="38"/>
      <c r="C226" s="38"/>
      <c r="D226" s="38"/>
      <c r="E226" s="38"/>
      <c r="F226" s="38"/>
      <c r="G226" s="38"/>
      <c r="H226" s="38"/>
      <c r="I226" s="104"/>
      <c r="J226" s="38"/>
      <c r="K226" s="38"/>
      <c r="L226" s="38"/>
      <c r="M226" s="104"/>
      <c r="N226" s="38"/>
      <c r="O226" s="38"/>
      <c r="P226" s="38"/>
      <c r="Q226" s="38"/>
      <c r="R226" s="38"/>
      <c r="S226" s="38"/>
      <c r="T226" s="38"/>
      <c r="U226" s="38"/>
      <c r="V226" s="38"/>
      <c r="X226" s="38"/>
      <c r="Y226" s="38"/>
      <c r="Z226" s="38"/>
      <c r="AA226" s="38"/>
      <c r="AB226" s="38"/>
      <c r="AC226" s="38"/>
      <c r="AD226" s="38"/>
      <c r="AE226" s="38"/>
      <c r="AF226" s="38"/>
      <c r="AG226" s="38"/>
      <c r="AH226" s="38"/>
      <c r="AI226" s="38"/>
      <c r="AJ226" s="38"/>
      <c r="AK226" s="38"/>
      <c r="AL226" s="38"/>
      <c r="AM226" s="38"/>
      <c r="AN226" s="38"/>
      <c r="AO226" s="38"/>
      <c r="AP226" s="38"/>
      <c r="AQ226" s="38"/>
      <c r="AR226" s="38"/>
      <c r="AS226" s="38"/>
      <c r="AT226" s="38"/>
      <c r="AU226" s="38"/>
      <c r="AV226" s="38"/>
      <c r="AW226" s="38"/>
      <c r="AX226" s="38"/>
      <c r="AY226" s="38"/>
      <c r="AZ226" s="38"/>
      <c r="BA226" s="38"/>
      <c r="BB226" s="38"/>
      <c r="BC226" s="38"/>
      <c r="BD226" s="38"/>
      <c r="BE226" s="38"/>
      <c r="BF226" s="38"/>
      <c r="BG226" s="38"/>
      <c r="BH226" s="38"/>
      <c r="BI226" s="38"/>
      <c r="BJ226" s="38"/>
      <c r="BK226" s="38"/>
      <c r="BL226" s="38"/>
      <c r="BM226" s="38"/>
      <c r="BN226" s="38"/>
      <c r="BO226" s="38"/>
      <c r="BP226" s="38"/>
      <c r="BQ226" s="38"/>
      <c r="BR226" s="38"/>
      <c r="BS226" s="38"/>
      <c r="BT226" s="38"/>
      <c r="BU226" s="38"/>
      <c r="BV226" s="38"/>
      <c r="BW226" s="38"/>
      <c r="BX226" s="38"/>
      <c r="BY226" s="38"/>
      <c r="BZ226" s="38"/>
      <c r="CA226" s="38"/>
      <c r="CB226" s="38"/>
    </row>
    <row r="227" spans="2:80" x14ac:dyDescent="0.25">
      <c r="B227" s="38"/>
      <c r="C227" s="38"/>
      <c r="D227" s="38"/>
      <c r="E227" s="38"/>
      <c r="F227" s="38"/>
      <c r="G227" s="38"/>
      <c r="H227" s="38"/>
      <c r="I227" s="104"/>
      <c r="J227" s="38"/>
      <c r="K227" s="38"/>
      <c r="L227" s="38"/>
      <c r="M227" s="104"/>
      <c r="N227" s="38"/>
      <c r="O227" s="38"/>
      <c r="P227" s="38"/>
      <c r="Q227" s="38"/>
      <c r="R227" s="38"/>
      <c r="S227" s="38"/>
      <c r="T227" s="38"/>
      <c r="U227" s="38"/>
      <c r="V227" s="38"/>
      <c r="X227" s="38"/>
      <c r="Y227" s="38"/>
      <c r="Z227" s="38"/>
      <c r="AA227" s="38"/>
      <c r="AB227" s="38"/>
      <c r="AC227" s="38"/>
      <c r="AD227" s="38"/>
      <c r="AE227" s="38"/>
      <c r="AF227" s="38"/>
      <c r="AG227" s="38"/>
      <c r="AH227" s="38"/>
      <c r="AI227" s="38"/>
      <c r="AJ227" s="38"/>
      <c r="AK227" s="38"/>
      <c r="AL227" s="38"/>
      <c r="AM227" s="38"/>
      <c r="AN227" s="38"/>
      <c r="AO227" s="38"/>
      <c r="AP227" s="38"/>
      <c r="AQ227" s="38"/>
      <c r="AR227" s="38"/>
      <c r="AS227" s="38"/>
      <c r="AT227" s="38"/>
      <c r="AU227" s="38"/>
      <c r="AV227" s="38"/>
      <c r="AW227" s="38"/>
      <c r="AX227" s="38"/>
      <c r="AY227" s="38"/>
      <c r="AZ227" s="38"/>
      <c r="BA227" s="38"/>
      <c r="BB227" s="38"/>
      <c r="BC227" s="38"/>
      <c r="BD227" s="38"/>
      <c r="BE227" s="38"/>
      <c r="BF227" s="38"/>
      <c r="BG227" s="38"/>
      <c r="BH227" s="38"/>
      <c r="BI227" s="38"/>
      <c r="BJ227" s="38"/>
      <c r="BK227" s="38"/>
      <c r="BL227" s="38"/>
      <c r="BM227" s="38"/>
      <c r="BN227" s="38"/>
      <c r="BO227" s="38"/>
      <c r="BP227" s="38"/>
      <c r="BQ227" s="38"/>
      <c r="BR227" s="38"/>
      <c r="BS227" s="38"/>
      <c r="BT227" s="38"/>
      <c r="BU227" s="38"/>
      <c r="BV227" s="38"/>
      <c r="BW227" s="38"/>
      <c r="BX227" s="38"/>
      <c r="BY227" s="38"/>
      <c r="BZ227" s="38"/>
      <c r="CA227" s="38"/>
      <c r="CB227" s="38"/>
    </row>
    <row r="228" spans="2:80" x14ac:dyDescent="0.25">
      <c r="B228" s="38"/>
      <c r="C228" s="38"/>
      <c r="D228" s="38"/>
      <c r="E228" s="38"/>
      <c r="F228" s="38"/>
      <c r="G228" s="38"/>
      <c r="H228" s="38"/>
      <c r="I228" s="104"/>
      <c r="J228" s="38"/>
      <c r="K228" s="38"/>
      <c r="L228" s="38"/>
      <c r="M228" s="104"/>
      <c r="N228" s="38"/>
      <c r="O228" s="38"/>
      <c r="P228" s="38"/>
      <c r="Q228" s="38"/>
      <c r="R228" s="38"/>
      <c r="S228" s="38"/>
      <c r="T228" s="38"/>
      <c r="U228" s="38"/>
      <c r="V228" s="38"/>
      <c r="X228" s="38"/>
      <c r="Y228" s="38"/>
      <c r="Z228" s="38"/>
      <c r="AA228" s="38"/>
      <c r="AB228" s="38"/>
      <c r="AC228" s="38"/>
      <c r="AD228" s="38"/>
      <c r="AE228" s="38"/>
      <c r="AF228" s="38"/>
      <c r="AG228" s="38"/>
      <c r="AH228" s="38"/>
      <c r="AI228" s="38"/>
      <c r="AJ228" s="38"/>
      <c r="AK228" s="38"/>
      <c r="AL228" s="38"/>
      <c r="AM228" s="38"/>
      <c r="AN228" s="38"/>
      <c r="AO228" s="38"/>
      <c r="AP228" s="38"/>
      <c r="AQ228" s="38"/>
      <c r="AR228" s="38"/>
      <c r="AS228" s="38"/>
      <c r="AT228" s="38"/>
      <c r="AU228" s="38"/>
      <c r="AV228" s="38"/>
      <c r="AW228" s="38"/>
      <c r="AX228" s="38"/>
      <c r="AY228" s="38"/>
      <c r="AZ228" s="38"/>
      <c r="BA228" s="38"/>
      <c r="BB228" s="38"/>
      <c r="BC228" s="38"/>
      <c r="BD228" s="38"/>
      <c r="BE228" s="38"/>
      <c r="BF228" s="38"/>
      <c r="BG228" s="38"/>
      <c r="BH228" s="38"/>
      <c r="BI228" s="38"/>
      <c r="BJ228" s="38"/>
      <c r="BK228" s="38"/>
      <c r="BL228" s="38"/>
      <c r="BM228" s="38"/>
      <c r="BN228" s="38"/>
      <c r="BO228" s="38"/>
      <c r="BP228" s="38"/>
      <c r="BQ228" s="38"/>
      <c r="BR228" s="38"/>
      <c r="BS228" s="38"/>
      <c r="BT228" s="38"/>
      <c r="BU228" s="38"/>
      <c r="BV228" s="38"/>
      <c r="BW228" s="38"/>
      <c r="BX228" s="38"/>
      <c r="BY228" s="38"/>
      <c r="BZ228" s="38"/>
      <c r="CA228" s="38"/>
      <c r="CB228" s="38"/>
    </row>
    <row r="229" spans="2:80" x14ac:dyDescent="0.25">
      <c r="B229" s="38"/>
      <c r="C229" s="38"/>
      <c r="D229" s="38"/>
      <c r="E229" s="38"/>
      <c r="F229" s="38"/>
      <c r="G229" s="38"/>
      <c r="H229" s="38"/>
      <c r="I229" s="104"/>
      <c r="J229" s="38"/>
      <c r="K229" s="38"/>
      <c r="L229" s="38"/>
      <c r="M229" s="104"/>
      <c r="N229" s="38"/>
      <c r="O229" s="38"/>
      <c r="P229" s="38"/>
      <c r="Q229" s="38"/>
      <c r="R229" s="38"/>
      <c r="S229" s="38"/>
      <c r="T229" s="38"/>
      <c r="U229" s="38"/>
      <c r="V229" s="38"/>
      <c r="X229" s="38"/>
      <c r="Y229" s="38"/>
      <c r="Z229" s="38"/>
      <c r="AA229" s="38"/>
      <c r="AB229" s="38"/>
      <c r="AC229" s="38"/>
      <c r="AD229" s="38"/>
      <c r="AE229" s="38"/>
      <c r="AF229" s="38"/>
      <c r="AG229" s="38"/>
      <c r="AH229" s="38"/>
      <c r="AI229" s="38"/>
      <c r="AJ229" s="38"/>
      <c r="AK229" s="38"/>
      <c r="AL229" s="38"/>
      <c r="AM229" s="38"/>
      <c r="AN229" s="38"/>
      <c r="AO229" s="38"/>
      <c r="AP229" s="38"/>
      <c r="AQ229" s="38"/>
      <c r="AR229" s="38"/>
      <c r="AS229" s="38"/>
      <c r="AT229" s="38"/>
      <c r="AU229" s="38"/>
      <c r="AV229" s="38"/>
      <c r="AW229" s="38"/>
      <c r="AX229" s="38"/>
      <c r="AY229" s="38"/>
      <c r="AZ229" s="38"/>
      <c r="BA229" s="38"/>
      <c r="BB229" s="38"/>
      <c r="BC229" s="38"/>
      <c r="BD229" s="38"/>
      <c r="BE229" s="38"/>
      <c r="BF229" s="38"/>
      <c r="BG229" s="38"/>
      <c r="BH229" s="38"/>
      <c r="BI229" s="38"/>
      <c r="BJ229" s="38"/>
      <c r="BK229" s="38"/>
      <c r="BL229" s="38"/>
      <c r="BM229" s="38"/>
      <c r="BN229" s="38"/>
      <c r="BO229" s="38"/>
      <c r="BP229" s="38"/>
      <c r="BQ229" s="38"/>
      <c r="BR229" s="38"/>
      <c r="BS229" s="38"/>
      <c r="BT229" s="38"/>
      <c r="BU229" s="38"/>
      <c r="BV229" s="38"/>
      <c r="BW229" s="38"/>
      <c r="BX229" s="38"/>
      <c r="BY229" s="38"/>
      <c r="BZ229" s="38"/>
      <c r="CA229" s="38"/>
      <c r="CB229" s="38"/>
    </row>
    <row r="230" spans="2:80" x14ac:dyDescent="0.25">
      <c r="B230" s="38"/>
      <c r="C230" s="38"/>
      <c r="D230" s="38"/>
      <c r="E230" s="38"/>
      <c r="F230" s="38"/>
      <c r="G230" s="38"/>
      <c r="H230" s="38"/>
      <c r="I230" s="104"/>
      <c r="J230" s="38"/>
      <c r="K230" s="38"/>
      <c r="L230" s="38"/>
      <c r="M230" s="104"/>
      <c r="N230" s="38"/>
      <c r="O230" s="38"/>
      <c r="P230" s="38"/>
      <c r="Q230" s="38"/>
      <c r="R230" s="38"/>
      <c r="S230" s="38"/>
      <c r="T230" s="38"/>
      <c r="U230" s="38"/>
      <c r="V230" s="38"/>
      <c r="X230" s="38"/>
      <c r="Y230" s="38"/>
      <c r="Z230" s="38"/>
      <c r="AA230" s="38"/>
      <c r="AB230" s="38"/>
      <c r="AC230" s="38"/>
      <c r="AD230" s="38"/>
      <c r="AE230" s="38"/>
      <c r="AF230" s="38"/>
      <c r="AG230" s="38"/>
      <c r="AH230" s="38"/>
      <c r="AI230" s="38"/>
      <c r="AJ230" s="38"/>
      <c r="AK230" s="38"/>
      <c r="AL230" s="38"/>
      <c r="AM230" s="38"/>
      <c r="AN230" s="38"/>
      <c r="AO230" s="38"/>
      <c r="AP230" s="38"/>
      <c r="AQ230" s="38"/>
      <c r="AR230" s="38"/>
      <c r="AS230" s="38"/>
      <c r="AT230" s="38"/>
      <c r="AU230" s="38"/>
      <c r="AV230" s="38"/>
      <c r="AW230" s="38"/>
      <c r="AX230" s="38"/>
      <c r="AY230" s="38"/>
      <c r="AZ230" s="38"/>
      <c r="BA230" s="38"/>
      <c r="BB230" s="38"/>
      <c r="BC230" s="38"/>
      <c r="BD230" s="38"/>
      <c r="BE230" s="38"/>
      <c r="BF230" s="38"/>
      <c r="BG230" s="38"/>
      <c r="BH230" s="38"/>
      <c r="BI230" s="38"/>
      <c r="BJ230" s="38"/>
      <c r="BK230" s="38"/>
      <c r="BL230" s="38"/>
      <c r="BM230" s="38"/>
      <c r="BN230" s="38"/>
      <c r="BO230" s="38"/>
      <c r="BP230" s="38"/>
      <c r="BQ230" s="38"/>
      <c r="BR230" s="38"/>
      <c r="BS230" s="38"/>
      <c r="BT230" s="38"/>
      <c r="BU230" s="38"/>
      <c r="BV230" s="38"/>
      <c r="BW230" s="38"/>
      <c r="BX230" s="38"/>
      <c r="BY230" s="38"/>
      <c r="BZ230" s="38"/>
      <c r="CA230" s="38"/>
      <c r="CB230" s="38"/>
    </row>
    <row r="231" spans="2:80" x14ac:dyDescent="0.25">
      <c r="B231" s="38"/>
      <c r="C231" s="38"/>
      <c r="D231" s="38"/>
      <c r="E231" s="38"/>
      <c r="F231" s="38"/>
      <c r="G231" s="38"/>
      <c r="H231" s="38"/>
      <c r="I231" s="104"/>
      <c r="J231" s="38"/>
      <c r="K231" s="38"/>
      <c r="L231" s="38"/>
      <c r="M231" s="104"/>
      <c r="N231" s="38"/>
      <c r="O231" s="38"/>
      <c r="P231" s="38"/>
      <c r="Q231" s="38"/>
      <c r="R231" s="38"/>
      <c r="S231" s="38"/>
      <c r="T231" s="38"/>
      <c r="U231" s="38"/>
      <c r="V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38"/>
      <c r="AI231" s="38"/>
      <c r="AJ231" s="38"/>
      <c r="AK231" s="38"/>
      <c r="AL231" s="38"/>
      <c r="AM231" s="38"/>
      <c r="AN231" s="38"/>
      <c r="AO231" s="38"/>
      <c r="AP231" s="38"/>
      <c r="AQ231" s="38"/>
      <c r="AR231" s="38"/>
      <c r="AS231" s="38"/>
      <c r="AT231" s="38"/>
      <c r="AU231" s="38"/>
      <c r="AV231" s="38"/>
      <c r="AW231" s="38"/>
      <c r="AX231" s="38"/>
      <c r="AY231" s="38"/>
      <c r="AZ231" s="38"/>
      <c r="BA231" s="38"/>
      <c r="BB231" s="38"/>
      <c r="BC231" s="38"/>
      <c r="BD231" s="38"/>
      <c r="BE231" s="38"/>
      <c r="BF231" s="38"/>
      <c r="BG231" s="38"/>
      <c r="BH231" s="38"/>
      <c r="BI231" s="38"/>
      <c r="BJ231" s="38"/>
      <c r="BK231" s="38"/>
      <c r="BL231" s="38"/>
      <c r="BM231" s="38"/>
      <c r="BN231" s="38"/>
      <c r="BO231" s="38"/>
      <c r="BP231" s="38"/>
      <c r="BQ231" s="38"/>
      <c r="BR231" s="38"/>
      <c r="BS231" s="38"/>
      <c r="BT231" s="38"/>
      <c r="BU231" s="38"/>
      <c r="BV231" s="38"/>
      <c r="BW231" s="38"/>
      <c r="BX231" s="38"/>
      <c r="BY231" s="38"/>
      <c r="BZ231" s="38"/>
      <c r="CA231" s="38"/>
      <c r="CB231" s="38"/>
    </row>
    <row r="232" spans="2:80" x14ac:dyDescent="0.25">
      <c r="B232" s="38"/>
      <c r="C232" s="38"/>
      <c r="D232" s="38"/>
      <c r="E232" s="38"/>
      <c r="F232" s="38"/>
      <c r="G232" s="38"/>
      <c r="H232" s="38"/>
      <c r="I232" s="104"/>
      <c r="J232" s="38"/>
      <c r="K232" s="38"/>
      <c r="L232" s="38"/>
      <c r="M232" s="104"/>
      <c r="N232" s="38"/>
      <c r="O232" s="38"/>
      <c r="P232" s="38"/>
      <c r="Q232" s="38"/>
      <c r="R232" s="38"/>
      <c r="S232" s="38"/>
      <c r="T232" s="38"/>
      <c r="U232" s="38"/>
      <c r="V232" s="38"/>
      <c r="X232" s="38"/>
      <c r="Y232" s="38"/>
      <c r="Z232" s="38"/>
      <c r="AA232" s="38"/>
      <c r="AB232" s="38"/>
      <c r="AC232" s="38"/>
      <c r="AD232" s="38"/>
      <c r="AE232" s="38"/>
      <c r="AF232" s="38"/>
      <c r="AG232" s="38"/>
      <c r="AH232" s="38"/>
      <c r="AI232" s="38"/>
      <c r="AJ232" s="38"/>
      <c r="AK232" s="38"/>
      <c r="AL232" s="38"/>
      <c r="AM232" s="38"/>
      <c r="AN232" s="38"/>
      <c r="AO232" s="38"/>
      <c r="AP232" s="38"/>
      <c r="AQ232" s="38"/>
      <c r="AR232" s="38"/>
      <c r="AS232" s="38"/>
      <c r="AT232" s="38"/>
      <c r="AU232" s="38"/>
      <c r="AV232" s="38"/>
      <c r="AW232" s="38"/>
      <c r="AX232" s="38"/>
      <c r="AY232" s="38"/>
      <c r="AZ232" s="38"/>
      <c r="BA232" s="38"/>
      <c r="BB232" s="38"/>
      <c r="BC232" s="38"/>
      <c r="BD232" s="38"/>
      <c r="BE232" s="38"/>
      <c r="BF232" s="38"/>
      <c r="BG232" s="38"/>
      <c r="BH232" s="38"/>
      <c r="BI232" s="38"/>
      <c r="BJ232" s="38"/>
      <c r="BK232" s="38"/>
      <c r="BL232" s="38"/>
      <c r="BM232" s="38"/>
      <c r="BN232" s="38"/>
      <c r="BO232" s="38"/>
      <c r="BP232" s="38"/>
      <c r="BQ232" s="38"/>
      <c r="BR232" s="38"/>
      <c r="BS232" s="38"/>
      <c r="BT232" s="38"/>
      <c r="BU232" s="38"/>
      <c r="BV232" s="38"/>
      <c r="BW232" s="38"/>
      <c r="BX232" s="38"/>
      <c r="BY232" s="38"/>
      <c r="BZ232" s="38"/>
      <c r="CA232" s="38"/>
      <c r="CB232" s="38"/>
    </row>
    <row r="233" spans="2:80" x14ac:dyDescent="0.25">
      <c r="B233" s="38"/>
      <c r="C233" s="38"/>
      <c r="D233" s="38"/>
      <c r="E233" s="38"/>
      <c r="F233" s="38"/>
      <c r="G233" s="38"/>
      <c r="H233" s="38"/>
      <c r="I233" s="104"/>
      <c r="J233" s="38"/>
      <c r="K233" s="38"/>
      <c r="L233" s="38"/>
      <c r="M233" s="104"/>
      <c r="N233" s="38"/>
      <c r="O233" s="38"/>
      <c r="P233" s="38"/>
      <c r="Q233" s="38"/>
      <c r="R233" s="38"/>
      <c r="S233" s="38"/>
      <c r="T233" s="38"/>
      <c r="U233" s="38"/>
      <c r="V233" s="38"/>
      <c r="X233" s="38"/>
      <c r="Y233" s="38"/>
      <c r="Z233" s="38"/>
      <c r="AA233" s="38"/>
      <c r="AB233" s="38"/>
      <c r="AC233" s="38"/>
      <c r="AD233" s="38"/>
      <c r="AE233" s="38"/>
      <c r="AF233" s="38"/>
      <c r="AG233" s="38"/>
      <c r="AH233" s="38"/>
      <c r="AI233" s="38"/>
      <c r="AJ233" s="38"/>
      <c r="AK233" s="38"/>
      <c r="AL233" s="38"/>
      <c r="AM233" s="38"/>
      <c r="AN233" s="38"/>
      <c r="AO233" s="38"/>
      <c r="AP233" s="38"/>
      <c r="AQ233" s="38"/>
      <c r="AR233" s="38"/>
      <c r="AS233" s="38"/>
      <c r="AT233" s="38"/>
      <c r="AU233" s="38"/>
      <c r="AV233" s="38"/>
      <c r="AW233" s="38"/>
      <c r="AX233" s="38"/>
      <c r="AY233" s="38"/>
      <c r="AZ233" s="38"/>
      <c r="BA233" s="38"/>
      <c r="BB233" s="38"/>
      <c r="BC233" s="38"/>
      <c r="BD233" s="38"/>
      <c r="BE233" s="38"/>
      <c r="BF233" s="38"/>
      <c r="BG233" s="38"/>
      <c r="BH233" s="38"/>
      <c r="BI233" s="38"/>
      <c r="BJ233" s="38"/>
      <c r="BK233" s="38"/>
      <c r="BL233" s="38"/>
      <c r="BM233" s="38"/>
      <c r="BN233" s="38"/>
      <c r="BO233" s="38"/>
      <c r="BP233" s="38"/>
      <c r="BQ233" s="38"/>
      <c r="BR233" s="38"/>
      <c r="BS233" s="38"/>
      <c r="BT233" s="38"/>
      <c r="BU233" s="38"/>
      <c r="BV233" s="38"/>
      <c r="BW233" s="38"/>
      <c r="BX233" s="38"/>
      <c r="BY233" s="38"/>
      <c r="BZ233" s="38"/>
      <c r="CA233" s="38"/>
      <c r="CB233" s="38"/>
    </row>
    <row r="234" spans="2:80" x14ac:dyDescent="0.25">
      <c r="B234" s="38"/>
      <c r="C234" s="38"/>
      <c r="D234" s="38"/>
      <c r="E234" s="38"/>
      <c r="F234" s="38"/>
      <c r="G234" s="38"/>
      <c r="H234" s="38"/>
      <c r="I234" s="104"/>
      <c r="J234" s="38"/>
      <c r="K234" s="38"/>
      <c r="L234" s="38"/>
      <c r="M234" s="104"/>
      <c r="N234" s="38"/>
      <c r="O234" s="38"/>
      <c r="P234" s="38"/>
      <c r="Q234" s="38"/>
      <c r="R234" s="38"/>
      <c r="S234" s="38"/>
      <c r="T234" s="38"/>
      <c r="U234" s="38"/>
      <c r="V234" s="38"/>
      <c r="X234" s="38"/>
      <c r="Y234" s="38"/>
      <c r="Z234" s="38"/>
      <c r="AA234" s="38"/>
      <c r="AB234" s="38"/>
      <c r="AC234" s="38"/>
      <c r="AD234" s="38"/>
      <c r="AE234" s="38"/>
      <c r="AF234" s="38"/>
      <c r="AG234" s="38"/>
      <c r="AH234" s="38"/>
      <c r="AI234" s="38"/>
      <c r="AJ234" s="38"/>
      <c r="AK234" s="38"/>
      <c r="AL234" s="38"/>
      <c r="AM234" s="38"/>
      <c r="AN234" s="38"/>
      <c r="AO234" s="38"/>
      <c r="AP234" s="38"/>
      <c r="AQ234" s="38"/>
      <c r="AR234" s="38"/>
      <c r="AS234" s="38"/>
      <c r="AT234" s="38"/>
      <c r="AU234" s="38"/>
      <c r="AV234" s="38"/>
      <c r="AW234" s="38"/>
      <c r="AX234" s="38"/>
      <c r="AY234" s="38"/>
      <c r="AZ234" s="38"/>
      <c r="BA234" s="38"/>
      <c r="BB234" s="38"/>
      <c r="BC234" s="38"/>
      <c r="BD234" s="38"/>
      <c r="BE234" s="38"/>
      <c r="BF234" s="38"/>
      <c r="BG234" s="38"/>
      <c r="BH234" s="38"/>
      <c r="BI234" s="38"/>
      <c r="BJ234" s="38"/>
      <c r="BK234" s="38"/>
      <c r="BL234" s="38"/>
      <c r="BM234" s="38"/>
      <c r="BN234" s="38"/>
      <c r="BO234" s="38"/>
      <c r="BP234" s="38"/>
      <c r="BQ234" s="38"/>
      <c r="BR234" s="38"/>
      <c r="BS234" s="38"/>
      <c r="BT234" s="38"/>
      <c r="BU234" s="38"/>
      <c r="BV234" s="38"/>
      <c r="BW234" s="38"/>
      <c r="BX234" s="38"/>
      <c r="BY234" s="38"/>
      <c r="BZ234" s="38"/>
      <c r="CA234" s="38"/>
      <c r="CB234" s="38"/>
    </row>
    <row r="235" spans="2:80" x14ac:dyDescent="0.25">
      <c r="B235" s="38"/>
      <c r="C235" s="38"/>
      <c r="D235" s="38"/>
      <c r="E235" s="38"/>
      <c r="F235" s="38"/>
      <c r="G235" s="38"/>
      <c r="H235" s="38"/>
      <c r="I235" s="104"/>
      <c r="J235" s="38"/>
      <c r="K235" s="38"/>
      <c r="L235" s="38"/>
      <c r="M235" s="104"/>
      <c r="N235" s="38"/>
      <c r="O235" s="38"/>
      <c r="P235" s="38"/>
      <c r="Q235" s="38"/>
      <c r="R235" s="38"/>
      <c r="S235" s="38"/>
      <c r="T235" s="38"/>
      <c r="U235" s="38"/>
      <c r="V235" s="38"/>
      <c r="X235" s="38"/>
      <c r="Y235" s="38"/>
      <c r="Z235" s="38"/>
      <c r="AA235" s="38"/>
      <c r="AB235" s="38"/>
      <c r="AC235" s="38"/>
      <c r="AD235" s="38"/>
      <c r="AE235" s="38"/>
      <c r="AF235" s="38"/>
      <c r="AG235" s="38"/>
      <c r="AH235" s="38"/>
      <c r="AI235" s="38"/>
      <c r="AJ235" s="38"/>
      <c r="AK235" s="38"/>
      <c r="AL235" s="38"/>
      <c r="AM235" s="38"/>
      <c r="AN235" s="38"/>
      <c r="AO235" s="38"/>
      <c r="AP235" s="38"/>
      <c r="AQ235" s="38"/>
      <c r="AR235" s="38"/>
      <c r="AS235" s="38"/>
      <c r="AT235" s="38"/>
      <c r="AU235" s="38"/>
      <c r="AV235" s="38"/>
      <c r="AW235" s="38"/>
      <c r="AX235" s="38"/>
      <c r="AY235" s="38"/>
      <c r="AZ235" s="38"/>
      <c r="BA235" s="38"/>
      <c r="BB235" s="38"/>
      <c r="BC235" s="38"/>
      <c r="BD235" s="38"/>
      <c r="BE235" s="38"/>
      <c r="BF235" s="38"/>
      <c r="BG235" s="38"/>
      <c r="BH235" s="38"/>
      <c r="BI235" s="38"/>
      <c r="BJ235" s="38"/>
      <c r="BK235" s="38"/>
      <c r="BL235" s="38"/>
      <c r="BM235" s="38"/>
      <c r="BN235" s="38"/>
      <c r="BO235" s="38"/>
      <c r="BP235" s="38"/>
      <c r="BQ235" s="38"/>
      <c r="BR235" s="38"/>
      <c r="BS235" s="38"/>
      <c r="BT235" s="38"/>
      <c r="BU235" s="38"/>
      <c r="BV235" s="38"/>
      <c r="BW235" s="38"/>
      <c r="BX235" s="38"/>
      <c r="BY235" s="38"/>
      <c r="BZ235" s="38"/>
      <c r="CA235" s="38"/>
      <c r="CB235" s="38"/>
    </row>
    <row r="236" spans="2:80" x14ac:dyDescent="0.25">
      <c r="B236" s="38"/>
      <c r="C236" s="38"/>
      <c r="D236" s="38"/>
      <c r="E236" s="38"/>
      <c r="F236" s="38"/>
      <c r="G236" s="38"/>
      <c r="H236" s="38"/>
      <c r="I236" s="104"/>
      <c r="J236" s="38"/>
      <c r="K236" s="38"/>
      <c r="L236" s="38"/>
      <c r="M236" s="104"/>
      <c r="N236" s="38"/>
      <c r="O236" s="38"/>
      <c r="P236" s="38"/>
      <c r="Q236" s="38"/>
      <c r="R236" s="38"/>
      <c r="S236" s="38"/>
      <c r="T236" s="38"/>
      <c r="U236" s="38"/>
      <c r="V236" s="38"/>
      <c r="X236" s="38"/>
      <c r="Y236" s="38"/>
      <c r="Z236" s="38"/>
      <c r="AA236" s="38"/>
      <c r="AB236" s="38"/>
      <c r="AC236" s="38"/>
      <c r="AD236" s="38"/>
      <c r="AE236" s="38"/>
      <c r="AF236" s="38"/>
      <c r="AG236" s="38"/>
      <c r="AH236" s="38"/>
      <c r="AI236" s="38"/>
      <c r="AJ236" s="38"/>
      <c r="AK236" s="38"/>
      <c r="AL236" s="38"/>
      <c r="AM236" s="38"/>
      <c r="AN236" s="38"/>
      <c r="AO236" s="38"/>
      <c r="AP236" s="38"/>
      <c r="AQ236" s="38"/>
      <c r="AR236" s="38"/>
      <c r="AS236" s="38"/>
      <c r="AT236" s="38"/>
      <c r="AU236" s="38"/>
      <c r="AV236" s="38"/>
      <c r="AW236" s="38"/>
      <c r="AX236" s="38"/>
      <c r="AY236" s="38"/>
      <c r="AZ236" s="38"/>
      <c r="BA236" s="38"/>
      <c r="BB236" s="38"/>
      <c r="BC236" s="38"/>
      <c r="BD236" s="38"/>
      <c r="BE236" s="38"/>
      <c r="BF236" s="38"/>
      <c r="BG236" s="38"/>
      <c r="BH236" s="38"/>
      <c r="BI236" s="38"/>
      <c r="BJ236" s="38"/>
      <c r="BK236" s="38"/>
      <c r="BL236" s="38"/>
      <c r="BM236" s="38"/>
      <c r="BN236" s="38"/>
      <c r="BO236" s="38"/>
      <c r="BP236" s="38"/>
      <c r="BQ236" s="38"/>
      <c r="BR236" s="38"/>
      <c r="BS236" s="38"/>
      <c r="BT236" s="38"/>
      <c r="BU236" s="38"/>
      <c r="BV236" s="38"/>
      <c r="BW236" s="38"/>
      <c r="BX236" s="38"/>
      <c r="BY236" s="38"/>
      <c r="BZ236" s="38"/>
      <c r="CA236" s="38"/>
      <c r="CB236" s="38"/>
    </row>
    <row r="237" spans="2:80" x14ac:dyDescent="0.25">
      <c r="B237" s="38"/>
      <c r="C237" s="38"/>
      <c r="D237" s="38"/>
      <c r="E237" s="38"/>
      <c r="F237" s="38"/>
      <c r="G237" s="38"/>
      <c r="H237" s="38"/>
      <c r="I237" s="104"/>
      <c r="J237" s="38"/>
      <c r="K237" s="38"/>
      <c r="L237" s="38"/>
      <c r="M237" s="104"/>
      <c r="N237" s="38"/>
      <c r="O237" s="38"/>
      <c r="P237" s="38"/>
      <c r="Q237" s="38"/>
      <c r="R237" s="38"/>
      <c r="S237" s="38"/>
      <c r="T237" s="38"/>
      <c r="U237" s="38"/>
      <c r="V237" s="38"/>
      <c r="X237" s="38"/>
      <c r="Y237" s="38"/>
      <c r="Z237" s="38"/>
      <c r="AA237" s="38"/>
      <c r="AB237" s="38"/>
      <c r="AC237" s="38"/>
      <c r="AD237" s="38"/>
      <c r="AE237" s="38"/>
      <c r="AF237" s="38"/>
      <c r="AG237" s="38"/>
      <c r="AH237" s="38"/>
      <c r="AI237" s="38"/>
      <c r="AJ237" s="38"/>
      <c r="AK237" s="38"/>
      <c r="AL237" s="38"/>
      <c r="AM237" s="38"/>
      <c r="AN237" s="38"/>
      <c r="AO237" s="38"/>
      <c r="AP237" s="38"/>
      <c r="AQ237" s="38"/>
      <c r="AR237" s="38"/>
      <c r="AS237" s="38"/>
      <c r="AT237" s="38"/>
      <c r="AU237" s="38"/>
      <c r="AV237" s="38"/>
      <c r="AW237" s="38"/>
      <c r="AX237" s="38"/>
      <c r="AY237" s="38"/>
      <c r="AZ237" s="38"/>
      <c r="BA237" s="38"/>
      <c r="BB237" s="38"/>
      <c r="BC237" s="38"/>
      <c r="BD237" s="38"/>
      <c r="BE237" s="38"/>
      <c r="BF237" s="38"/>
      <c r="BG237" s="38"/>
      <c r="BH237" s="38"/>
      <c r="BI237" s="38"/>
      <c r="BJ237" s="38"/>
      <c r="BK237" s="38"/>
      <c r="BL237" s="38"/>
      <c r="BM237" s="38"/>
      <c r="BN237" s="38"/>
      <c r="BO237" s="38"/>
      <c r="BP237" s="38"/>
      <c r="BQ237" s="38"/>
      <c r="BR237" s="38"/>
      <c r="BS237" s="38"/>
      <c r="BT237" s="38"/>
      <c r="BU237" s="38"/>
      <c r="BV237" s="38"/>
      <c r="BW237" s="38"/>
      <c r="BX237" s="38"/>
      <c r="BY237" s="38"/>
      <c r="BZ237" s="38"/>
      <c r="CA237" s="38"/>
      <c r="CB237" s="38"/>
    </row>
    <row r="238" spans="2:80" x14ac:dyDescent="0.25">
      <c r="B238" s="38"/>
      <c r="C238" s="38"/>
      <c r="D238" s="38"/>
      <c r="E238" s="38"/>
      <c r="F238" s="38"/>
      <c r="G238" s="38"/>
      <c r="H238" s="38"/>
      <c r="I238" s="104"/>
      <c r="J238" s="38"/>
      <c r="K238" s="38"/>
      <c r="L238" s="38"/>
      <c r="M238" s="104"/>
      <c r="N238" s="38"/>
      <c r="O238" s="38"/>
      <c r="P238" s="38"/>
      <c r="Q238" s="38"/>
      <c r="R238" s="38"/>
      <c r="S238" s="38"/>
      <c r="T238" s="38"/>
      <c r="U238" s="38"/>
      <c r="V238" s="38"/>
      <c r="X238" s="38"/>
      <c r="Y238" s="38"/>
      <c r="Z238" s="38"/>
      <c r="AA238" s="38"/>
      <c r="AB238" s="38"/>
      <c r="AC238" s="38"/>
      <c r="AD238" s="38"/>
      <c r="AE238" s="38"/>
      <c r="AF238" s="38"/>
      <c r="AG238" s="38"/>
      <c r="AH238" s="38"/>
      <c r="AI238" s="38"/>
      <c r="AJ238" s="38"/>
      <c r="AK238" s="38"/>
      <c r="AL238" s="38"/>
      <c r="AM238" s="38"/>
      <c r="AN238" s="38"/>
      <c r="AO238" s="38"/>
      <c r="AP238" s="38"/>
      <c r="AQ238" s="38"/>
      <c r="AR238" s="38"/>
      <c r="AS238" s="38"/>
      <c r="AT238" s="38"/>
      <c r="AU238" s="38"/>
      <c r="AV238" s="38"/>
      <c r="AW238" s="38"/>
      <c r="AX238" s="38"/>
      <c r="AY238" s="38"/>
      <c r="AZ238" s="38"/>
      <c r="BA238" s="38"/>
      <c r="BB238" s="38"/>
      <c r="BC238" s="38"/>
      <c r="BD238" s="38"/>
      <c r="BE238" s="38"/>
      <c r="BF238" s="38"/>
      <c r="BG238" s="38"/>
      <c r="BH238" s="38"/>
      <c r="BI238" s="38"/>
      <c r="BJ238" s="38"/>
      <c r="BK238" s="38"/>
      <c r="BL238" s="38"/>
      <c r="BM238" s="38"/>
      <c r="BN238" s="38"/>
      <c r="BO238" s="38"/>
      <c r="BP238" s="38"/>
      <c r="BQ238" s="38"/>
      <c r="BR238" s="38"/>
      <c r="BS238" s="38"/>
      <c r="BT238" s="38"/>
      <c r="BU238" s="38"/>
      <c r="BV238" s="38"/>
      <c r="BW238" s="38"/>
      <c r="BX238" s="38"/>
      <c r="BY238" s="38"/>
      <c r="BZ238" s="38"/>
      <c r="CA238" s="38"/>
      <c r="CB238" s="38"/>
    </row>
    <row r="239" spans="2:80" x14ac:dyDescent="0.25">
      <c r="B239" s="38"/>
      <c r="C239" s="38"/>
      <c r="D239" s="38"/>
      <c r="E239" s="38"/>
      <c r="F239" s="38"/>
      <c r="G239" s="38"/>
      <c r="H239" s="38"/>
      <c r="I239" s="104"/>
      <c r="J239" s="38"/>
      <c r="K239" s="38"/>
      <c r="L239" s="38"/>
      <c r="M239" s="104"/>
      <c r="N239" s="38"/>
      <c r="O239" s="38"/>
      <c r="P239" s="38"/>
      <c r="Q239" s="38"/>
      <c r="R239" s="38"/>
      <c r="S239" s="38"/>
      <c r="T239" s="38"/>
      <c r="U239" s="38"/>
      <c r="V239" s="38"/>
      <c r="X239" s="38"/>
      <c r="Y239" s="38"/>
      <c r="Z239" s="38"/>
      <c r="AA239" s="38"/>
      <c r="AB239" s="38"/>
      <c r="AC239" s="38"/>
      <c r="AD239" s="38"/>
      <c r="AE239" s="38"/>
      <c r="AF239" s="38"/>
      <c r="AG239" s="38"/>
      <c r="AH239" s="38"/>
      <c r="AI239" s="38"/>
      <c r="AJ239" s="38"/>
      <c r="AK239" s="38"/>
      <c r="AL239" s="38"/>
      <c r="AM239" s="38"/>
      <c r="AN239" s="38"/>
      <c r="AO239" s="38"/>
      <c r="AP239" s="38"/>
      <c r="AQ239" s="38"/>
      <c r="AR239" s="38"/>
      <c r="AS239" s="38"/>
      <c r="AT239" s="38"/>
      <c r="AU239" s="38"/>
      <c r="AV239" s="38"/>
      <c r="AW239" s="38"/>
      <c r="AX239" s="38"/>
      <c r="AY239" s="38"/>
      <c r="AZ239" s="38"/>
      <c r="BA239" s="38"/>
      <c r="BB239" s="38"/>
      <c r="BC239" s="38"/>
      <c r="BD239" s="38"/>
      <c r="BE239" s="38"/>
      <c r="BF239" s="38"/>
      <c r="BG239" s="38"/>
      <c r="BH239" s="38"/>
      <c r="BI239" s="38"/>
      <c r="BJ239" s="38"/>
      <c r="BK239" s="38"/>
      <c r="BL239" s="38"/>
      <c r="BM239" s="38"/>
      <c r="BN239" s="38"/>
      <c r="BO239" s="38"/>
      <c r="BP239" s="38"/>
      <c r="BQ239" s="38"/>
      <c r="BR239" s="38"/>
      <c r="BS239" s="38"/>
      <c r="BT239" s="38"/>
      <c r="BU239" s="38"/>
      <c r="BV239" s="38"/>
      <c r="BW239" s="38"/>
      <c r="BX239" s="38"/>
      <c r="BY239" s="38"/>
      <c r="BZ239" s="38"/>
      <c r="CA239" s="38"/>
      <c r="CB239" s="38"/>
    </row>
    <row r="240" spans="2:80" x14ac:dyDescent="0.25">
      <c r="B240" s="38"/>
      <c r="C240" s="38"/>
      <c r="D240" s="38"/>
      <c r="E240" s="38"/>
      <c r="F240" s="38"/>
      <c r="G240" s="38"/>
      <c r="H240" s="38"/>
      <c r="I240" s="104"/>
      <c r="J240" s="38"/>
      <c r="K240" s="38"/>
      <c r="L240" s="38"/>
      <c r="M240" s="104"/>
      <c r="N240" s="38"/>
      <c r="O240" s="38"/>
      <c r="P240" s="38"/>
      <c r="Q240" s="38"/>
      <c r="R240" s="38"/>
      <c r="S240" s="38"/>
      <c r="T240" s="38"/>
      <c r="U240" s="38"/>
      <c r="V240" s="38"/>
      <c r="X240" s="38"/>
      <c r="Y240" s="38"/>
      <c r="Z240" s="38"/>
      <c r="AA240" s="38"/>
      <c r="AB240" s="38"/>
      <c r="AC240" s="38"/>
      <c r="AD240" s="38"/>
      <c r="AE240" s="38"/>
      <c r="AF240" s="38"/>
      <c r="AG240" s="38"/>
      <c r="AH240" s="38"/>
      <c r="AI240" s="38"/>
      <c r="AJ240" s="38"/>
      <c r="AK240" s="38"/>
      <c r="AL240" s="38"/>
      <c r="AM240" s="38"/>
      <c r="AN240" s="38"/>
      <c r="AO240" s="38"/>
      <c r="AP240" s="38"/>
      <c r="AQ240" s="38"/>
      <c r="AR240" s="38"/>
      <c r="AS240" s="38"/>
      <c r="AT240" s="38"/>
      <c r="AU240" s="38"/>
      <c r="AV240" s="38"/>
      <c r="AW240" s="38"/>
      <c r="AX240" s="38"/>
      <c r="AY240" s="38"/>
      <c r="AZ240" s="38"/>
      <c r="BA240" s="38"/>
      <c r="BB240" s="38"/>
      <c r="BC240" s="38"/>
      <c r="BD240" s="38"/>
      <c r="BE240" s="38"/>
      <c r="BF240" s="38"/>
      <c r="BG240" s="38"/>
      <c r="BH240" s="38"/>
      <c r="BI240" s="38"/>
      <c r="BJ240" s="38"/>
      <c r="BK240" s="38"/>
      <c r="BL240" s="38"/>
      <c r="BM240" s="38"/>
      <c r="BN240" s="38"/>
      <c r="BO240" s="38"/>
      <c r="BP240" s="38"/>
      <c r="BQ240" s="38"/>
      <c r="BR240" s="38"/>
      <c r="BS240" s="38"/>
      <c r="BT240" s="38"/>
      <c r="BU240" s="38"/>
      <c r="BV240" s="38"/>
      <c r="BW240" s="38"/>
      <c r="BX240" s="38"/>
      <c r="BY240" s="38"/>
      <c r="BZ240" s="38"/>
      <c r="CA240" s="38"/>
      <c r="CB240" s="38"/>
    </row>
    <row r="241" spans="2:80" x14ac:dyDescent="0.25">
      <c r="B241" s="38"/>
      <c r="C241" s="38"/>
      <c r="D241" s="38"/>
      <c r="E241" s="38"/>
      <c r="F241" s="38"/>
      <c r="G241" s="38"/>
      <c r="H241" s="38"/>
      <c r="I241" s="104"/>
      <c r="J241" s="38"/>
      <c r="K241" s="38"/>
      <c r="L241" s="38"/>
      <c r="M241" s="104"/>
      <c r="N241" s="38"/>
      <c r="O241" s="38"/>
      <c r="P241" s="38"/>
      <c r="Q241" s="38"/>
      <c r="R241" s="38"/>
      <c r="S241" s="38"/>
      <c r="T241" s="38"/>
      <c r="U241" s="38"/>
      <c r="V241" s="38"/>
      <c r="X241" s="38"/>
      <c r="Y241" s="38"/>
      <c r="Z241" s="38"/>
      <c r="AA241" s="38"/>
      <c r="AB241" s="38"/>
      <c r="AC241" s="38"/>
      <c r="AD241" s="38"/>
      <c r="AE241" s="38"/>
      <c r="AF241" s="38"/>
      <c r="AG241" s="38"/>
      <c r="AH241" s="38"/>
      <c r="AI241" s="38"/>
      <c r="AJ241" s="38"/>
      <c r="AK241" s="38"/>
      <c r="AL241" s="38"/>
      <c r="AM241" s="38"/>
      <c r="AN241" s="38"/>
      <c r="AO241" s="38"/>
      <c r="AP241" s="38"/>
      <c r="AQ241" s="38"/>
      <c r="AR241" s="38"/>
      <c r="AS241" s="38"/>
      <c r="AT241" s="38"/>
      <c r="AU241" s="38"/>
      <c r="AV241" s="38"/>
      <c r="AW241" s="38"/>
      <c r="AX241" s="38"/>
      <c r="AY241" s="38"/>
      <c r="AZ241" s="38"/>
      <c r="BA241" s="38"/>
      <c r="BB241" s="38"/>
      <c r="BC241" s="38"/>
      <c r="BD241" s="38"/>
      <c r="BE241" s="38"/>
      <c r="BF241" s="38"/>
      <c r="BG241" s="38"/>
      <c r="BH241" s="38"/>
      <c r="BI241" s="38"/>
      <c r="BJ241" s="38"/>
      <c r="BK241" s="38"/>
      <c r="BL241" s="38"/>
      <c r="BM241" s="38"/>
      <c r="BN241" s="38"/>
      <c r="BO241" s="38"/>
      <c r="BP241" s="38"/>
      <c r="BQ241" s="38"/>
      <c r="BR241" s="38"/>
      <c r="BS241" s="38"/>
      <c r="BT241" s="38"/>
      <c r="BU241" s="38"/>
      <c r="BV241" s="38"/>
      <c r="BW241" s="38"/>
      <c r="BX241" s="38"/>
      <c r="BY241" s="38"/>
      <c r="BZ241" s="38"/>
      <c r="CA241" s="38"/>
      <c r="CB241" s="38"/>
    </row>
    <row r="242" spans="2:80" x14ac:dyDescent="0.25">
      <c r="B242" s="38"/>
      <c r="C242" s="38"/>
      <c r="D242" s="38"/>
      <c r="E242" s="38"/>
      <c r="F242" s="38"/>
      <c r="G242" s="38"/>
      <c r="H242" s="38"/>
      <c r="I242" s="104"/>
      <c r="J242" s="38"/>
      <c r="K242" s="38"/>
      <c r="L242" s="38"/>
      <c r="M242" s="104"/>
      <c r="N242" s="38"/>
      <c r="O242" s="38"/>
      <c r="P242" s="38"/>
      <c r="Q242" s="38"/>
      <c r="R242" s="38"/>
      <c r="S242" s="38"/>
      <c r="T242" s="38"/>
      <c r="U242" s="38"/>
      <c r="V242" s="38"/>
      <c r="X242" s="38"/>
      <c r="Y242" s="38"/>
      <c r="Z242" s="38"/>
      <c r="AA242" s="38"/>
      <c r="AB242" s="38"/>
      <c r="AC242" s="38"/>
      <c r="AD242" s="38"/>
      <c r="AE242" s="38"/>
      <c r="AF242" s="38"/>
      <c r="AG242" s="38"/>
      <c r="AH242" s="38"/>
      <c r="AI242" s="38"/>
      <c r="AJ242" s="38"/>
      <c r="AK242" s="38"/>
      <c r="AL242" s="38"/>
      <c r="AM242" s="38"/>
      <c r="AN242" s="38"/>
      <c r="AO242" s="38"/>
      <c r="AP242" s="38"/>
      <c r="AQ242" s="38"/>
      <c r="AR242" s="38"/>
      <c r="AS242" s="38"/>
      <c r="AT242" s="38"/>
      <c r="AU242" s="38"/>
      <c r="AV242" s="38"/>
      <c r="AW242" s="38"/>
      <c r="AX242" s="38"/>
      <c r="AY242" s="38"/>
      <c r="AZ242" s="38"/>
      <c r="BA242" s="38"/>
      <c r="BB242" s="38"/>
      <c r="BC242" s="38"/>
      <c r="BD242" s="38"/>
      <c r="BE242" s="38"/>
      <c r="BF242" s="38"/>
      <c r="BG242" s="38"/>
      <c r="BH242" s="38"/>
      <c r="BI242" s="38"/>
      <c r="BJ242" s="38"/>
      <c r="BK242" s="38"/>
      <c r="BL242" s="38"/>
      <c r="BM242" s="38"/>
      <c r="BN242" s="38"/>
      <c r="BO242" s="38"/>
      <c r="BP242" s="38"/>
      <c r="BQ242" s="38"/>
      <c r="BR242" s="38"/>
      <c r="BS242" s="38"/>
      <c r="BT242" s="38"/>
      <c r="BU242" s="38"/>
      <c r="BV242" s="38"/>
      <c r="BW242" s="38"/>
      <c r="BX242" s="38"/>
      <c r="BY242" s="38"/>
      <c r="BZ242" s="38"/>
      <c r="CA242" s="38"/>
      <c r="CB242" s="38"/>
    </row>
    <row r="243" spans="2:80" x14ac:dyDescent="0.25">
      <c r="B243" s="38"/>
      <c r="C243" s="38"/>
      <c r="D243" s="38"/>
      <c r="E243" s="38"/>
      <c r="F243" s="38"/>
      <c r="G243" s="38"/>
      <c r="H243" s="38"/>
      <c r="I243" s="104"/>
      <c r="J243" s="38"/>
      <c r="K243" s="38"/>
      <c r="L243" s="38"/>
      <c r="M243" s="104"/>
      <c r="N243" s="38"/>
      <c r="O243" s="38"/>
      <c r="P243" s="38"/>
      <c r="Q243" s="38"/>
      <c r="R243" s="38"/>
      <c r="S243" s="38"/>
      <c r="T243" s="38"/>
      <c r="U243" s="38"/>
      <c r="V243" s="38"/>
      <c r="X243" s="38"/>
      <c r="Y243" s="38"/>
      <c r="Z243" s="38"/>
      <c r="AA243" s="38"/>
      <c r="AB243" s="38"/>
      <c r="AC243" s="38"/>
      <c r="AD243" s="38"/>
      <c r="AE243" s="38"/>
      <c r="AF243" s="38"/>
      <c r="AG243" s="38"/>
      <c r="AH243" s="38"/>
      <c r="AI243" s="38"/>
      <c r="AJ243" s="38"/>
      <c r="AK243" s="38"/>
      <c r="AL243" s="38"/>
      <c r="AM243" s="38"/>
      <c r="AN243" s="38"/>
      <c r="AO243" s="38"/>
      <c r="AP243" s="38"/>
      <c r="AQ243" s="38"/>
      <c r="AR243" s="38"/>
      <c r="AS243" s="38"/>
      <c r="AT243" s="38"/>
      <c r="AU243" s="38"/>
      <c r="AV243" s="38"/>
      <c r="AW243" s="38"/>
      <c r="AX243" s="38"/>
      <c r="AY243" s="38"/>
      <c r="AZ243" s="38"/>
      <c r="BA243" s="38"/>
      <c r="BB243" s="38"/>
      <c r="BC243" s="38"/>
      <c r="BD243" s="38"/>
      <c r="BE243" s="38"/>
      <c r="BF243" s="38"/>
      <c r="BG243" s="38"/>
      <c r="BH243" s="38"/>
      <c r="BI243" s="38"/>
      <c r="BJ243" s="38"/>
      <c r="BK243" s="38"/>
      <c r="BL243" s="38"/>
      <c r="BM243" s="38"/>
      <c r="BN243" s="38"/>
      <c r="BO243" s="38"/>
      <c r="BP243" s="38"/>
      <c r="BQ243" s="38"/>
      <c r="BR243" s="38"/>
      <c r="BS243" s="38"/>
      <c r="BT243" s="38"/>
      <c r="BU243" s="38"/>
      <c r="BV243" s="38"/>
      <c r="BW243" s="38"/>
      <c r="BX243" s="38"/>
      <c r="BY243" s="38"/>
      <c r="BZ243" s="38"/>
      <c r="CA243" s="38"/>
      <c r="CB243" s="38"/>
    </row>
    <row r="244" spans="2:80" x14ac:dyDescent="0.25">
      <c r="B244" s="38"/>
      <c r="C244" s="38"/>
      <c r="D244" s="38"/>
      <c r="E244" s="38"/>
      <c r="F244" s="38"/>
      <c r="G244" s="38"/>
      <c r="H244" s="38"/>
      <c r="I244" s="104"/>
      <c r="J244" s="38"/>
      <c r="K244" s="38"/>
      <c r="L244" s="38"/>
      <c r="M244" s="104"/>
      <c r="N244" s="38"/>
      <c r="O244" s="38"/>
      <c r="P244" s="38"/>
      <c r="Q244" s="38"/>
      <c r="R244" s="38"/>
      <c r="S244" s="38"/>
      <c r="T244" s="38"/>
      <c r="U244" s="38"/>
      <c r="V244" s="38"/>
      <c r="X244" s="38"/>
      <c r="Y244" s="38"/>
      <c r="Z244" s="38"/>
      <c r="AA244" s="38"/>
      <c r="AB244" s="38"/>
      <c r="AC244" s="38"/>
      <c r="AD244" s="38"/>
      <c r="AE244" s="38"/>
      <c r="AF244" s="38"/>
      <c r="AG244" s="38"/>
      <c r="AH244" s="38"/>
      <c r="AI244" s="38"/>
      <c r="AJ244" s="38"/>
      <c r="AK244" s="38"/>
      <c r="AL244" s="38"/>
      <c r="AM244" s="38"/>
      <c r="AN244" s="38"/>
      <c r="AO244" s="38"/>
      <c r="AP244" s="38"/>
      <c r="AQ244" s="38"/>
      <c r="AR244" s="38"/>
      <c r="AS244" s="38"/>
      <c r="AT244" s="38"/>
      <c r="AU244" s="38"/>
      <c r="AV244" s="38"/>
      <c r="AW244" s="38"/>
      <c r="AX244" s="38"/>
      <c r="AY244" s="38"/>
      <c r="AZ244" s="38"/>
      <c r="BA244" s="38"/>
      <c r="BB244" s="38"/>
      <c r="BC244" s="38"/>
      <c r="BD244" s="38"/>
      <c r="BE244" s="38"/>
      <c r="BF244" s="38"/>
      <c r="BG244" s="38"/>
      <c r="BH244" s="38"/>
      <c r="BI244" s="38"/>
      <c r="BJ244" s="38"/>
      <c r="BK244" s="38"/>
      <c r="BL244" s="38"/>
      <c r="BM244" s="38"/>
      <c r="BN244" s="38"/>
      <c r="BO244" s="38"/>
      <c r="BP244" s="38"/>
      <c r="BQ244" s="38"/>
      <c r="BR244" s="38"/>
      <c r="BS244" s="38"/>
      <c r="BT244" s="38"/>
      <c r="BU244" s="38"/>
      <c r="BV244" s="38"/>
      <c r="BW244" s="38"/>
      <c r="BX244" s="38"/>
      <c r="BY244" s="38"/>
      <c r="BZ244" s="38"/>
      <c r="CA244" s="38"/>
      <c r="CB244" s="38"/>
    </row>
    <row r="245" spans="2:80" x14ac:dyDescent="0.25">
      <c r="B245" s="38"/>
      <c r="C245" s="38"/>
      <c r="D245" s="38"/>
      <c r="E245" s="38"/>
      <c r="F245" s="38"/>
      <c r="G245" s="38"/>
      <c r="H245" s="38"/>
      <c r="I245" s="104"/>
      <c r="J245" s="38"/>
      <c r="K245" s="38"/>
      <c r="L245" s="38"/>
      <c r="M245" s="104"/>
      <c r="N245" s="38"/>
      <c r="O245" s="38"/>
      <c r="P245" s="38"/>
      <c r="Q245" s="38"/>
      <c r="R245" s="38"/>
      <c r="S245" s="38"/>
      <c r="T245" s="38"/>
      <c r="U245" s="38"/>
      <c r="V245" s="38"/>
      <c r="X245" s="38"/>
      <c r="Y245" s="38"/>
      <c r="Z245" s="38"/>
      <c r="AA245" s="38"/>
      <c r="AB245" s="38"/>
      <c r="AC245" s="38"/>
      <c r="AD245" s="38"/>
      <c r="AE245" s="38"/>
      <c r="AF245" s="38"/>
      <c r="AG245" s="38"/>
      <c r="AH245" s="38"/>
      <c r="AI245" s="38"/>
      <c r="AJ245" s="38"/>
      <c r="AK245" s="38"/>
      <c r="AL245" s="38"/>
      <c r="AM245" s="38"/>
      <c r="AN245" s="38"/>
      <c r="AO245" s="38"/>
      <c r="AP245" s="38"/>
      <c r="AQ245" s="38"/>
      <c r="AR245" s="38"/>
      <c r="AS245" s="38"/>
      <c r="AT245" s="38"/>
      <c r="AU245" s="38"/>
      <c r="AV245" s="38"/>
      <c r="AW245" s="38"/>
      <c r="AX245" s="38"/>
      <c r="AY245" s="38"/>
      <c r="AZ245" s="38"/>
      <c r="BA245" s="38"/>
      <c r="BB245" s="38"/>
      <c r="BC245" s="38"/>
      <c r="BD245" s="38"/>
      <c r="BE245" s="38"/>
      <c r="BF245" s="38"/>
      <c r="BG245" s="38"/>
      <c r="BH245" s="38"/>
      <c r="BI245" s="38"/>
      <c r="BJ245" s="38"/>
      <c r="BK245" s="38"/>
      <c r="BL245" s="38"/>
      <c r="BM245" s="38"/>
      <c r="BN245" s="38"/>
      <c r="BO245" s="38"/>
      <c r="BP245" s="38"/>
      <c r="BQ245" s="38"/>
      <c r="BR245" s="38"/>
      <c r="BS245" s="38"/>
      <c r="BT245" s="38"/>
      <c r="BU245" s="38"/>
      <c r="BV245" s="38"/>
      <c r="BW245" s="38"/>
      <c r="BX245" s="38"/>
      <c r="BY245" s="38"/>
      <c r="BZ245" s="38"/>
      <c r="CA245" s="38"/>
      <c r="CB245" s="38"/>
    </row>
    <row r="246" spans="2:80" x14ac:dyDescent="0.25">
      <c r="B246" s="38"/>
      <c r="C246" s="38"/>
      <c r="D246" s="38"/>
      <c r="E246" s="38"/>
      <c r="F246" s="38"/>
      <c r="G246" s="38"/>
      <c r="H246" s="38"/>
      <c r="I246" s="104"/>
      <c r="J246" s="38"/>
      <c r="K246" s="38"/>
      <c r="L246" s="38"/>
      <c r="M246" s="104"/>
      <c r="N246" s="38"/>
      <c r="O246" s="38"/>
      <c r="P246" s="38"/>
      <c r="Q246" s="38"/>
      <c r="R246" s="38"/>
      <c r="S246" s="38"/>
      <c r="T246" s="38"/>
      <c r="U246" s="38"/>
      <c r="V246" s="38"/>
      <c r="X246" s="38"/>
      <c r="Y246" s="38"/>
      <c r="Z246" s="38"/>
      <c r="AA246" s="38"/>
      <c r="AB246" s="38"/>
      <c r="AC246" s="38"/>
      <c r="AD246" s="38"/>
      <c r="AE246" s="38"/>
      <c r="AF246" s="38"/>
      <c r="AG246" s="38"/>
      <c r="AH246" s="38"/>
      <c r="AI246" s="38"/>
      <c r="AJ246" s="38"/>
      <c r="AK246" s="38"/>
      <c r="AL246" s="38"/>
      <c r="AM246" s="38"/>
      <c r="AN246" s="38"/>
      <c r="AO246" s="38"/>
      <c r="AP246" s="38"/>
      <c r="AQ246" s="38"/>
      <c r="AR246" s="38"/>
      <c r="AS246" s="38"/>
      <c r="AT246" s="38"/>
      <c r="AU246" s="38"/>
      <c r="AV246" s="38"/>
      <c r="AW246" s="38"/>
      <c r="AX246" s="38"/>
      <c r="AY246" s="38"/>
      <c r="AZ246" s="38"/>
      <c r="BA246" s="38"/>
      <c r="BB246" s="38"/>
      <c r="BC246" s="38"/>
      <c r="BD246" s="38"/>
      <c r="BE246" s="38"/>
      <c r="BF246" s="38"/>
      <c r="BG246" s="38"/>
      <c r="BH246" s="38"/>
      <c r="BI246" s="38"/>
      <c r="BJ246" s="38"/>
      <c r="BK246" s="38"/>
      <c r="BL246" s="38"/>
      <c r="BM246" s="38"/>
      <c r="BN246" s="38"/>
      <c r="BO246" s="38"/>
      <c r="BP246" s="38"/>
      <c r="BQ246" s="38"/>
      <c r="BR246" s="38"/>
      <c r="BS246" s="38"/>
      <c r="BT246" s="38"/>
      <c r="BU246" s="38"/>
      <c r="BV246" s="38"/>
      <c r="BW246" s="38"/>
      <c r="BX246" s="38"/>
      <c r="BY246" s="38"/>
      <c r="BZ246" s="38"/>
      <c r="CA246" s="38"/>
      <c r="CB246" s="38"/>
    </row>
    <row r="247" spans="2:80" x14ac:dyDescent="0.25">
      <c r="B247" s="38"/>
      <c r="C247" s="38"/>
      <c r="D247" s="38"/>
      <c r="E247" s="38"/>
      <c r="F247" s="38"/>
      <c r="G247" s="38"/>
      <c r="H247" s="38"/>
      <c r="I247" s="104"/>
      <c r="J247" s="38"/>
      <c r="K247" s="38"/>
      <c r="L247" s="38"/>
      <c r="M247" s="104"/>
      <c r="N247" s="38"/>
      <c r="O247" s="38"/>
      <c r="P247" s="38"/>
      <c r="Q247" s="38"/>
      <c r="R247" s="38"/>
      <c r="S247" s="38"/>
      <c r="T247" s="38"/>
      <c r="U247" s="38"/>
      <c r="V247" s="38"/>
      <c r="X247" s="38"/>
      <c r="Y247" s="38"/>
      <c r="Z247" s="38"/>
      <c r="AA247" s="38"/>
      <c r="AB247" s="38"/>
      <c r="AC247" s="38"/>
      <c r="AD247" s="38"/>
      <c r="AE247" s="38"/>
      <c r="AF247" s="38"/>
      <c r="AG247" s="38"/>
      <c r="AH247" s="38"/>
      <c r="AI247" s="38"/>
      <c r="AJ247" s="38"/>
      <c r="AK247" s="38"/>
      <c r="AL247" s="38"/>
      <c r="AM247" s="38"/>
      <c r="AN247" s="38"/>
      <c r="AO247" s="38"/>
      <c r="AP247" s="38"/>
      <c r="AQ247" s="38"/>
      <c r="AR247" s="38"/>
      <c r="AS247" s="38"/>
      <c r="AT247" s="38"/>
      <c r="AU247" s="38"/>
      <c r="AV247" s="38"/>
      <c r="AW247" s="38"/>
      <c r="AX247" s="38"/>
      <c r="AY247" s="38"/>
      <c r="AZ247" s="38"/>
      <c r="BA247" s="38"/>
      <c r="BB247" s="38"/>
      <c r="BC247" s="38"/>
      <c r="BD247" s="38"/>
      <c r="BE247" s="38"/>
      <c r="BF247" s="38"/>
      <c r="BG247" s="38"/>
      <c r="BH247" s="38"/>
      <c r="BI247" s="38"/>
      <c r="BJ247" s="38"/>
      <c r="BK247" s="38"/>
      <c r="BL247" s="38"/>
      <c r="BM247" s="38"/>
      <c r="BN247" s="38"/>
      <c r="BO247" s="38"/>
      <c r="BP247" s="38"/>
      <c r="BQ247" s="38"/>
      <c r="BR247" s="38"/>
      <c r="BS247" s="38"/>
      <c r="BT247" s="38"/>
      <c r="BU247" s="38"/>
      <c r="BV247" s="38"/>
      <c r="BW247" s="38"/>
      <c r="BX247" s="38"/>
      <c r="BY247" s="38"/>
      <c r="BZ247" s="38"/>
      <c r="CA247" s="38"/>
      <c r="CB247" s="38"/>
    </row>
    <row r="248" spans="2:80" x14ac:dyDescent="0.25">
      <c r="B248" s="38"/>
      <c r="C248" s="38"/>
      <c r="D248" s="38"/>
      <c r="E248" s="38"/>
      <c r="F248" s="38"/>
      <c r="G248" s="38"/>
      <c r="H248" s="38"/>
      <c r="I248" s="104"/>
      <c r="J248" s="38"/>
      <c r="K248" s="38"/>
      <c r="L248" s="38"/>
      <c r="M248" s="104"/>
      <c r="N248" s="38"/>
      <c r="O248" s="38"/>
      <c r="P248" s="38"/>
      <c r="Q248" s="38"/>
      <c r="R248" s="38"/>
      <c r="S248" s="38"/>
      <c r="T248" s="38"/>
      <c r="U248" s="38"/>
      <c r="V248" s="38"/>
      <c r="X248" s="38"/>
      <c r="Y248" s="38"/>
      <c r="Z248" s="38"/>
      <c r="AA248" s="38"/>
      <c r="AB248" s="38"/>
      <c r="AC248" s="38"/>
      <c r="AD248" s="38"/>
      <c r="AE248" s="38"/>
      <c r="AF248" s="38"/>
      <c r="AG248" s="38"/>
      <c r="AH248" s="38"/>
      <c r="AI248" s="38"/>
      <c r="AJ248" s="38"/>
      <c r="AK248" s="38"/>
      <c r="AL248" s="38"/>
      <c r="AM248" s="38"/>
      <c r="AN248" s="38"/>
      <c r="AO248" s="38"/>
      <c r="AP248" s="38"/>
      <c r="AQ248" s="38"/>
      <c r="AR248" s="38"/>
      <c r="AS248" s="38"/>
      <c r="AT248" s="38"/>
      <c r="AU248" s="38"/>
      <c r="AV248" s="38"/>
      <c r="AW248" s="38"/>
      <c r="AX248" s="38"/>
      <c r="AY248" s="38"/>
      <c r="AZ248" s="38"/>
      <c r="BA248" s="38"/>
      <c r="BB248" s="38"/>
      <c r="BC248" s="38"/>
      <c r="BD248" s="38"/>
      <c r="BE248" s="38"/>
      <c r="BF248" s="38"/>
      <c r="BG248" s="38"/>
      <c r="BH248" s="38"/>
      <c r="BI248" s="38"/>
      <c r="BJ248" s="38"/>
      <c r="BK248" s="38"/>
      <c r="BL248" s="38"/>
      <c r="BM248" s="38"/>
      <c r="BN248" s="38"/>
      <c r="BO248" s="38"/>
      <c r="BP248" s="38"/>
      <c r="BQ248" s="38"/>
      <c r="BR248" s="38"/>
      <c r="BS248" s="38"/>
      <c r="BT248" s="38"/>
      <c r="BU248" s="38"/>
      <c r="BV248" s="38"/>
      <c r="BW248" s="38"/>
      <c r="BX248" s="38"/>
      <c r="BY248" s="38"/>
      <c r="BZ248" s="38"/>
      <c r="CA248" s="38"/>
      <c r="CB248" s="38"/>
    </row>
    <row r="249" spans="2:80" x14ac:dyDescent="0.25">
      <c r="B249" s="38"/>
      <c r="C249" s="38"/>
      <c r="D249" s="38"/>
      <c r="E249" s="38"/>
      <c r="F249" s="38"/>
      <c r="G249" s="38"/>
      <c r="H249" s="38"/>
      <c r="I249" s="104"/>
      <c r="J249" s="38"/>
      <c r="K249" s="38"/>
      <c r="L249" s="38"/>
      <c r="M249" s="104"/>
      <c r="N249" s="38"/>
      <c r="O249" s="38"/>
      <c r="P249" s="38"/>
      <c r="Q249" s="38"/>
      <c r="R249" s="38"/>
      <c r="S249" s="38"/>
      <c r="T249" s="38"/>
      <c r="U249" s="38"/>
      <c r="V249" s="38"/>
      <c r="X249" s="38"/>
      <c r="Y249" s="38"/>
      <c r="Z249" s="38"/>
      <c r="AA249" s="38"/>
      <c r="AB249" s="38"/>
      <c r="AC249" s="38"/>
      <c r="AD249" s="38"/>
      <c r="AE249" s="38"/>
      <c r="AF249" s="38"/>
      <c r="AG249" s="38"/>
      <c r="AH249" s="38"/>
      <c r="AI249" s="38"/>
      <c r="AJ249" s="38"/>
      <c r="AK249" s="38"/>
      <c r="AL249" s="38"/>
      <c r="AM249" s="38"/>
      <c r="AN249" s="38"/>
      <c r="AO249" s="38"/>
      <c r="AP249" s="38"/>
      <c r="AQ249" s="38"/>
      <c r="AR249" s="38"/>
      <c r="AS249" s="38"/>
      <c r="AT249" s="38"/>
      <c r="AU249" s="38"/>
      <c r="AV249" s="38"/>
      <c r="AW249" s="38"/>
      <c r="AX249" s="38"/>
      <c r="AY249" s="38"/>
      <c r="AZ249" s="38"/>
      <c r="BA249" s="38"/>
      <c r="BB249" s="38"/>
      <c r="BC249" s="38"/>
      <c r="BD249" s="38"/>
      <c r="BE249" s="38"/>
      <c r="BF249" s="38"/>
      <c r="BG249" s="38"/>
      <c r="BH249" s="38"/>
      <c r="BI249" s="38"/>
      <c r="BJ249" s="38"/>
      <c r="BK249" s="38"/>
      <c r="BL249" s="38"/>
      <c r="BM249" s="38"/>
      <c r="BN249" s="38"/>
      <c r="BO249" s="38"/>
      <c r="BP249" s="38"/>
      <c r="BQ249" s="38"/>
      <c r="BR249" s="38"/>
      <c r="BS249" s="38"/>
      <c r="BT249" s="38"/>
      <c r="BU249" s="38"/>
      <c r="BV249" s="38"/>
      <c r="BW249" s="38"/>
      <c r="BX249" s="38"/>
      <c r="BY249" s="38"/>
      <c r="BZ249" s="38"/>
      <c r="CA249" s="38"/>
      <c r="CB249" s="38"/>
    </row>
  </sheetData>
  <conditionalFormatting sqref="AC149:AC199 AC202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260"/>
  <sheetViews>
    <sheetView topLeftCell="A16" workbookViewId="0">
      <selection activeCell="D34" sqref="D34"/>
    </sheetView>
  </sheetViews>
  <sheetFormatPr defaultRowHeight="12.75" x14ac:dyDescent="0.2"/>
  <cols>
    <col min="1" max="1" width="9" style="71"/>
    <col min="2" max="2" width="9" style="77"/>
    <col min="3" max="3" width="13.875" style="71" customWidth="1"/>
    <col min="4" max="4" width="16.125" style="71" customWidth="1"/>
    <col min="5" max="5" width="15.375" style="71" customWidth="1"/>
    <col min="6" max="16384" width="9" style="71"/>
  </cols>
  <sheetData>
    <row r="1" spans="2:9" s="70" customFormat="1" ht="18" x14ac:dyDescent="0.25">
      <c r="B1" s="76"/>
    </row>
    <row r="3" spans="2:9" x14ac:dyDescent="0.2">
      <c r="B3" s="72" t="s">
        <v>752</v>
      </c>
      <c r="C3" s="73"/>
      <c r="D3" s="73"/>
      <c r="E3" s="73"/>
      <c r="F3" s="74"/>
      <c r="G3" s="74"/>
      <c r="H3" s="74"/>
      <c r="I3" s="74"/>
    </row>
    <row r="5" spans="2:9" x14ac:dyDescent="0.2">
      <c r="B5" s="72"/>
      <c r="C5" s="75" t="s">
        <v>948</v>
      </c>
      <c r="D5" s="75" t="s">
        <v>965</v>
      </c>
      <c r="E5" s="75" t="s">
        <v>966</v>
      </c>
    </row>
    <row r="6" spans="2:9" x14ac:dyDescent="0.2">
      <c r="B6" s="77" t="s">
        <v>743</v>
      </c>
      <c r="C6" s="86">
        <v>192.63</v>
      </c>
      <c r="D6" s="84">
        <v>172.43</v>
      </c>
      <c r="E6" s="83">
        <v>179.48</v>
      </c>
    </row>
    <row r="7" spans="2:9" x14ac:dyDescent="0.2">
      <c r="B7" s="77" t="s">
        <v>744</v>
      </c>
      <c r="C7" s="86">
        <v>197.43</v>
      </c>
      <c r="D7" s="84">
        <v>191.08</v>
      </c>
      <c r="E7" s="83">
        <v>196.98</v>
      </c>
    </row>
    <row r="8" spans="2:9" x14ac:dyDescent="0.2">
      <c r="B8" s="77" t="s">
        <v>745</v>
      </c>
      <c r="C8" s="86">
        <v>219.49</v>
      </c>
      <c r="D8" s="84">
        <v>203.5</v>
      </c>
      <c r="E8" s="83">
        <v>206.99</v>
      </c>
    </row>
    <row r="9" spans="2:9" x14ac:dyDescent="0.2">
      <c r="B9" s="77" t="s">
        <v>746</v>
      </c>
      <c r="C9" s="86">
        <v>292.24</v>
      </c>
      <c r="D9" s="84">
        <v>246.07</v>
      </c>
      <c r="E9" s="83">
        <v>260.58999999999997</v>
      </c>
    </row>
    <row r="10" spans="2:9" x14ac:dyDescent="0.2">
      <c r="B10" s="77" t="s">
        <v>747</v>
      </c>
      <c r="C10" s="86">
        <v>224.83</v>
      </c>
      <c r="D10" s="84">
        <v>203.44</v>
      </c>
      <c r="E10" s="83">
        <v>208.56</v>
      </c>
    </row>
    <row r="11" spans="2:9" x14ac:dyDescent="0.2">
      <c r="B11" s="77" t="s">
        <v>748</v>
      </c>
      <c r="C11" s="86">
        <v>277.24</v>
      </c>
      <c r="D11" s="84">
        <v>213.91</v>
      </c>
      <c r="E11" s="83">
        <v>229.77</v>
      </c>
    </row>
    <row r="12" spans="2:9" x14ac:dyDescent="0.2">
      <c r="B12" s="77" t="s">
        <v>749</v>
      </c>
      <c r="C12" s="86">
        <v>240.89</v>
      </c>
      <c r="D12" s="84">
        <v>199.02</v>
      </c>
      <c r="E12" s="83">
        <v>208.3</v>
      </c>
    </row>
    <row r="13" spans="2:9" x14ac:dyDescent="0.2">
      <c r="B13" s="77" t="s">
        <v>750</v>
      </c>
      <c r="C13" s="86">
        <v>214.17</v>
      </c>
      <c r="D13" s="84">
        <v>208.3</v>
      </c>
      <c r="E13" s="83">
        <v>215.1</v>
      </c>
    </row>
    <row r="14" spans="2:9" x14ac:dyDescent="0.2">
      <c r="B14" s="77" t="s">
        <v>751</v>
      </c>
      <c r="C14" s="86">
        <v>194.14</v>
      </c>
      <c r="D14" s="84">
        <v>213.09</v>
      </c>
      <c r="E14" s="83">
        <v>225.42</v>
      </c>
    </row>
    <row r="15" spans="2:9" x14ac:dyDescent="0.2">
      <c r="B15" s="77" t="s">
        <v>731</v>
      </c>
      <c r="C15" s="86">
        <v>225.01</v>
      </c>
      <c r="D15" s="84">
        <v>201.82</v>
      </c>
      <c r="E15" s="83">
        <v>211</v>
      </c>
    </row>
    <row r="16" spans="2:9" x14ac:dyDescent="0.2">
      <c r="B16" s="82" t="s">
        <v>466</v>
      </c>
      <c r="C16" s="81">
        <v>223.02</v>
      </c>
      <c r="D16" s="80">
        <v>231.34</v>
      </c>
      <c r="E16" s="79">
        <v>236.8</v>
      </c>
    </row>
    <row r="17" spans="1:5" x14ac:dyDescent="0.2">
      <c r="B17" s="77" t="s">
        <v>465</v>
      </c>
      <c r="C17" s="81">
        <v>198.76</v>
      </c>
      <c r="D17" s="80">
        <v>186.22</v>
      </c>
      <c r="E17" s="79">
        <v>189.28</v>
      </c>
    </row>
    <row r="18" spans="1:5" x14ac:dyDescent="0.2">
      <c r="B18" s="77" t="s">
        <v>475</v>
      </c>
      <c r="C18" s="81">
        <v>193.38</v>
      </c>
      <c r="D18" s="80">
        <v>189.51</v>
      </c>
      <c r="E18" s="79">
        <v>193.14</v>
      </c>
    </row>
    <row r="19" spans="1:5" x14ac:dyDescent="0.2">
      <c r="B19" s="77" t="s">
        <v>476</v>
      </c>
      <c r="C19" s="81">
        <v>318.92</v>
      </c>
      <c r="D19" s="80">
        <v>223.03</v>
      </c>
      <c r="E19" s="79">
        <v>237.68</v>
      </c>
    </row>
    <row r="20" spans="1:5" x14ac:dyDescent="0.2">
      <c r="A20" s="71" t="s">
        <v>715</v>
      </c>
      <c r="B20" s="77" t="s">
        <v>467</v>
      </c>
      <c r="C20" s="81">
        <v>273.20999999999998</v>
      </c>
      <c r="D20" s="80">
        <v>199.22</v>
      </c>
      <c r="E20" s="79">
        <v>215.39</v>
      </c>
    </row>
    <row r="21" spans="1:5" x14ac:dyDescent="0.2">
      <c r="B21" s="77" t="s">
        <v>477</v>
      </c>
      <c r="C21" s="81">
        <v>278.52999999999997</v>
      </c>
      <c r="D21" s="80">
        <v>303.17</v>
      </c>
      <c r="E21" s="79">
        <v>324.27999999999997</v>
      </c>
    </row>
    <row r="22" spans="1:5" x14ac:dyDescent="0.2">
      <c r="B22" s="77" t="s">
        <v>468</v>
      </c>
      <c r="C22" s="81">
        <v>199.2</v>
      </c>
      <c r="D22" s="80">
        <v>167.6</v>
      </c>
      <c r="E22" s="79">
        <v>165.47</v>
      </c>
    </row>
    <row r="23" spans="1:5" x14ac:dyDescent="0.2">
      <c r="B23" s="77" t="s">
        <v>600</v>
      </c>
      <c r="C23" s="81">
        <v>340.42</v>
      </c>
      <c r="D23" s="80">
        <v>427.2</v>
      </c>
      <c r="E23" s="79">
        <v>447.87</v>
      </c>
    </row>
    <row r="24" spans="1:5" x14ac:dyDescent="0.2">
      <c r="B24" s="77" t="s">
        <v>469</v>
      </c>
      <c r="C24" s="81">
        <v>218.26</v>
      </c>
      <c r="D24" s="80">
        <v>183.97</v>
      </c>
      <c r="E24" s="79">
        <v>184.01</v>
      </c>
    </row>
    <row r="25" spans="1:5" x14ac:dyDescent="0.2">
      <c r="B25" s="77" t="s">
        <v>470</v>
      </c>
      <c r="C25" s="81">
        <v>308.33</v>
      </c>
      <c r="D25" s="80">
        <v>203.96</v>
      </c>
      <c r="E25" s="79">
        <v>219.98</v>
      </c>
    </row>
    <row r="26" spans="1:5" x14ac:dyDescent="0.2">
      <c r="B26" s="77" t="s">
        <v>471</v>
      </c>
      <c r="C26" s="81">
        <v>200.33</v>
      </c>
      <c r="D26" s="80">
        <v>174.51</v>
      </c>
      <c r="E26" s="79">
        <v>186.14</v>
      </c>
    </row>
    <row r="27" spans="1:5" x14ac:dyDescent="0.2">
      <c r="B27" s="77" t="s">
        <v>478</v>
      </c>
      <c r="C27" s="81">
        <v>217.35</v>
      </c>
      <c r="D27" s="80">
        <v>200.8</v>
      </c>
      <c r="E27" s="79">
        <v>217.14</v>
      </c>
    </row>
    <row r="28" spans="1:5" x14ac:dyDescent="0.2">
      <c r="B28" s="77" t="s">
        <v>482</v>
      </c>
      <c r="C28" s="81">
        <v>198.48</v>
      </c>
      <c r="D28" s="80">
        <v>205.38</v>
      </c>
      <c r="E28" s="79">
        <v>212.36</v>
      </c>
    </row>
    <row r="29" spans="1:5" x14ac:dyDescent="0.2">
      <c r="B29" s="77" t="s">
        <v>479</v>
      </c>
      <c r="C29" s="81">
        <v>260.89</v>
      </c>
      <c r="D29" s="80">
        <v>220.92</v>
      </c>
      <c r="E29" s="79">
        <v>229.24</v>
      </c>
    </row>
    <row r="30" spans="1:5" x14ac:dyDescent="0.2">
      <c r="B30" s="77" t="s">
        <v>480</v>
      </c>
      <c r="C30" s="81">
        <v>214.91</v>
      </c>
      <c r="D30" s="80">
        <v>175.28</v>
      </c>
      <c r="E30" s="79">
        <v>181.51</v>
      </c>
    </row>
    <row r="31" spans="1:5" x14ac:dyDescent="0.2">
      <c r="B31" s="77" t="s">
        <v>481</v>
      </c>
      <c r="C31" s="81">
        <v>169.11</v>
      </c>
      <c r="D31" s="80">
        <v>167.5</v>
      </c>
      <c r="E31" s="79">
        <v>171.97</v>
      </c>
    </row>
    <row r="32" spans="1:5" x14ac:dyDescent="0.2">
      <c r="B32" s="77" t="s">
        <v>483</v>
      </c>
      <c r="C32" s="81">
        <v>197.49</v>
      </c>
      <c r="D32" s="80">
        <v>197.76</v>
      </c>
      <c r="E32" s="79">
        <v>204.06</v>
      </c>
    </row>
    <row r="33" spans="2:5" x14ac:dyDescent="0.2">
      <c r="B33" s="77" t="s">
        <v>484</v>
      </c>
      <c r="C33" s="81">
        <v>191.25</v>
      </c>
      <c r="D33" s="80">
        <v>195.15</v>
      </c>
      <c r="E33" s="79">
        <v>198.48</v>
      </c>
    </row>
    <row r="34" spans="2:5" x14ac:dyDescent="0.2">
      <c r="B34" s="77" t="s">
        <v>485</v>
      </c>
      <c r="C34" s="81">
        <v>232.98</v>
      </c>
      <c r="D34" s="80">
        <v>239.4</v>
      </c>
      <c r="E34" s="79">
        <v>249.36</v>
      </c>
    </row>
    <row r="35" spans="2:5" x14ac:dyDescent="0.2">
      <c r="B35" s="77" t="s">
        <v>488</v>
      </c>
      <c r="C35" s="81">
        <v>240.4</v>
      </c>
      <c r="D35" s="80">
        <v>228.19</v>
      </c>
      <c r="E35" s="79">
        <v>238.89</v>
      </c>
    </row>
    <row r="36" spans="2:5" x14ac:dyDescent="0.2">
      <c r="B36" s="77" t="s">
        <v>487</v>
      </c>
      <c r="C36" s="81">
        <v>270.29000000000002</v>
      </c>
      <c r="D36" s="80">
        <v>222.24</v>
      </c>
      <c r="E36" s="79">
        <v>223.08</v>
      </c>
    </row>
    <row r="37" spans="2:5" x14ac:dyDescent="0.2">
      <c r="B37" s="77" t="s">
        <v>486</v>
      </c>
      <c r="C37" s="81">
        <v>220.23</v>
      </c>
      <c r="D37" s="80">
        <v>206.58</v>
      </c>
      <c r="E37" s="79">
        <v>212.7</v>
      </c>
    </row>
    <row r="38" spans="2:5" x14ac:dyDescent="0.2">
      <c r="B38" s="77" t="s">
        <v>489</v>
      </c>
      <c r="C38" s="81">
        <v>190.67</v>
      </c>
      <c r="D38" s="80">
        <v>167.54</v>
      </c>
      <c r="E38" s="79">
        <v>178.11</v>
      </c>
    </row>
    <row r="39" spans="2:5" x14ac:dyDescent="0.2">
      <c r="B39" s="77" t="s">
        <v>490</v>
      </c>
      <c r="C39" s="81">
        <v>253.73</v>
      </c>
      <c r="D39" s="80">
        <v>226.42</v>
      </c>
      <c r="E39" s="79">
        <v>232.43</v>
      </c>
    </row>
    <row r="40" spans="2:5" x14ac:dyDescent="0.2">
      <c r="B40" s="77" t="s">
        <v>492</v>
      </c>
      <c r="C40" s="81">
        <v>205.23</v>
      </c>
      <c r="D40" s="80">
        <v>190.45</v>
      </c>
      <c r="E40" s="79">
        <v>195.85</v>
      </c>
    </row>
    <row r="41" spans="2:5" x14ac:dyDescent="0.2">
      <c r="B41" s="77" t="s">
        <v>491</v>
      </c>
      <c r="C41" s="81">
        <v>196.83</v>
      </c>
      <c r="D41" s="80">
        <v>178.41</v>
      </c>
      <c r="E41" s="79">
        <v>183.98</v>
      </c>
    </row>
    <row r="42" spans="2:5" x14ac:dyDescent="0.2">
      <c r="B42" s="77" t="s">
        <v>493</v>
      </c>
      <c r="C42" s="81">
        <v>308.33999999999997</v>
      </c>
      <c r="D42" s="80">
        <v>314.31</v>
      </c>
      <c r="E42" s="79">
        <v>333.65</v>
      </c>
    </row>
    <row r="43" spans="2:5" x14ac:dyDescent="0.2">
      <c r="B43" s="77" t="s">
        <v>474</v>
      </c>
      <c r="C43" s="81">
        <v>199.77</v>
      </c>
      <c r="D43" s="80">
        <v>189.01</v>
      </c>
      <c r="E43" s="79">
        <v>194.26</v>
      </c>
    </row>
    <row r="44" spans="2:5" x14ac:dyDescent="0.2">
      <c r="B44" s="77" t="s">
        <v>473</v>
      </c>
      <c r="C44" s="81">
        <v>204.61</v>
      </c>
      <c r="D44" s="80">
        <v>270.68</v>
      </c>
      <c r="E44" s="79">
        <v>292.54000000000002</v>
      </c>
    </row>
    <row r="45" spans="2:5" x14ac:dyDescent="0.2">
      <c r="B45" s="77" t="s">
        <v>494</v>
      </c>
      <c r="C45" s="81">
        <v>199.62</v>
      </c>
      <c r="D45" s="80">
        <v>206.47</v>
      </c>
      <c r="E45" s="79">
        <v>216.33</v>
      </c>
    </row>
    <row r="46" spans="2:5" x14ac:dyDescent="0.2">
      <c r="B46" s="77" t="s">
        <v>496</v>
      </c>
      <c r="C46" s="81">
        <v>232.91</v>
      </c>
      <c r="D46" s="80">
        <v>199.03</v>
      </c>
      <c r="E46" s="79">
        <v>206.07</v>
      </c>
    </row>
    <row r="47" spans="2:5" x14ac:dyDescent="0.2">
      <c r="B47" s="77" t="s">
        <v>497</v>
      </c>
      <c r="C47" s="81">
        <v>257.99</v>
      </c>
      <c r="D47" s="80">
        <v>212.64</v>
      </c>
      <c r="E47" s="79">
        <v>216.78</v>
      </c>
    </row>
    <row r="48" spans="2:5" x14ac:dyDescent="0.2">
      <c r="B48" s="77" t="s">
        <v>472</v>
      </c>
      <c r="C48" s="81">
        <v>241.95</v>
      </c>
      <c r="D48" s="80">
        <v>210.69</v>
      </c>
      <c r="E48" s="79">
        <v>213.3</v>
      </c>
    </row>
    <row r="49" spans="2:5" x14ac:dyDescent="0.2">
      <c r="B49" s="77" t="s">
        <v>495</v>
      </c>
      <c r="C49" s="81">
        <v>265.06</v>
      </c>
      <c r="D49" s="80">
        <v>156.24</v>
      </c>
      <c r="E49" s="79">
        <v>172.41</v>
      </c>
    </row>
    <row r="50" spans="2:5" x14ac:dyDescent="0.2">
      <c r="B50" s="77" t="s">
        <v>498</v>
      </c>
      <c r="C50" s="81">
        <v>217.68</v>
      </c>
      <c r="D50" s="80">
        <v>207.34</v>
      </c>
      <c r="E50" s="79">
        <v>210.55</v>
      </c>
    </row>
    <row r="51" spans="2:5" x14ac:dyDescent="0.2">
      <c r="B51" s="77" t="s">
        <v>499</v>
      </c>
      <c r="C51" s="81">
        <v>174.88</v>
      </c>
      <c r="D51" s="80">
        <v>160.63</v>
      </c>
      <c r="E51" s="79">
        <v>167</v>
      </c>
    </row>
    <row r="52" spans="2:5" x14ac:dyDescent="0.2">
      <c r="B52" s="77" t="s">
        <v>500</v>
      </c>
      <c r="C52" s="81">
        <v>191.31</v>
      </c>
      <c r="D52" s="80">
        <v>204.9</v>
      </c>
      <c r="E52" s="79">
        <v>211.55</v>
      </c>
    </row>
    <row r="53" spans="2:5" x14ac:dyDescent="0.2">
      <c r="B53" s="77" t="s">
        <v>501</v>
      </c>
      <c r="C53" s="81">
        <v>338.17</v>
      </c>
      <c r="D53" s="80">
        <v>290.77</v>
      </c>
      <c r="E53" s="79">
        <v>311.06</v>
      </c>
    </row>
    <row r="54" spans="2:5" x14ac:dyDescent="0.2">
      <c r="B54" s="77" t="s">
        <v>502</v>
      </c>
      <c r="C54" s="81">
        <v>200.22</v>
      </c>
      <c r="D54" s="80">
        <v>193.5</v>
      </c>
      <c r="E54" s="79">
        <v>196.85</v>
      </c>
    </row>
    <row r="55" spans="2:5" x14ac:dyDescent="0.2">
      <c r="B55" s="77" t="s">
        <v>503</v>
      </c>
      <c r="C55" s="81">
        <v>229.65</v>
      </c>
      <c r="D55" s="80">
        <v>186.71</v>
      </c>
      <c r="E55" s="79">
        <v>190.78</v>
      </c>
    </row>
    <row r="56" spans="2:5" x14ac:dyDescent="0.2">
      <c r="B56" s="77" t="s">
        <v>504</v>
      </c>
      <c r="C56" s="81">
        <v>198.47</v>
      </c>
      <c r="D56" s="80">
        <v>188.07</v>
      </c>
      <c r="E56" s="79">
        <v>194.8</v>
      </c>
    </row>
    <row r="57" spans="2:5" x14ac:dyDescent="0.2">
      <c r="B57" s="77" t="s">
        <v>505</v>
      </c>
      <c r="C57" s="81">
        <v>217.45</v>
      </c>
      <c r="D57" s="80">
        <v>242.14</v>
      </c>
      <c r="E57" s="79">
        <v>248.43</v>
      </c>
    </row>
    <row r="58" spans="2:5" x14ac:dyDescent="0.2">
      <c r="B58" s="77" t="s">
        <v>506</v>
      </c>
      <c r="C58" s="81">
        <v>200.95</v>
      </c>
      <c r="D58" s="80">
        <v>197.45</v>
      </c>
      <c r="E58" s="79">
        <v>207.57</v>
      </c>
    </row>
    <row r="59" spans="2:5" x14ac:dyDescent="0.2">
      <c r="B59" s="77" t="s">
        <v>507</v>
      </c>
      <c r="C59" s="81">
        <v>186.58</v>
      </c>
      <c r="D59" s="80">
        <v>211.5</v>
      </c>
      <c r="E59" s="79">
        <v>226.55</v>
      </c>
    </row>
    <row r="60" spans="2:5" x14ac:dyDescent="0.2">
      <c r="B60" s="77" t="s">
        <v>508</v>
      </c>
      <c r="C60" s="81">
        <v>310.22000000000003</v>
      </c>
      <c r="D60" s="80">
        <v>287.29000000000002</v>
      </c>
      <c r="E60" s="79">
        <v>297.23</v>
      </c>
    </row>
    <row r="61" spans="2:5" x14ac:dyDescent="0.2">
      <c r="B61" s="77" t="s">
        <v>510</v>
      </c>
      <c r="C61" s="81">
        <v>249.52</v>
      </c>
      <c r="D61" s="80">
        <v>222.97</v>
      </c>
      <c r="E61" s="79">
        <v>225.03</v>
      </c>
    </row>
    <row r="62" spans="2:5" x14ac:dyDescent="0.2">
      <c r="B62" s="77" t="s">
        <v>509</v>
      </c>
      <c r="C62" s="81">
        <v>215.26</v>
      </c>
      <c r="D62" s="80">
        <v>214.05</v>
      </c>
      <c r="E62" s="79">
        <v>214.42</v>
      </c>
    </row>
    <row r="63" spans="2:5" x14ac:dyDescent="0.2">
      <c r="B63" s="77" t="s">
        <v>511</v>
      </c>
      <c r="C63" s="81">
        <v>278.45</v>
      </c>
      <c r="D63" s="80">
        <v>240.11</v>
      </c>
      <c r="E63" s="79">
        <v>252</v>
      </c>
    </row>
    <row r="64" spans="2:5" x14ac:dyDescent="0.2">
      <c r="B64" s="77" t="s">
        <v>513</v>
      </c>
      <c r="C64" s="81">
        <v>227.67</v>
      </c>
      <c r="D64" s="80">
        <v>208.34</v>
      </c>
      <c r="E64" s="79">
        <v>214.26</v>
      </c>
    </row>
    <row r="65" spans="2:5" x14ac:dyDescent="0.2">
      <c r="B65" s="77" t="s">
        <v>512</v>
      </c>
      <c r="C65" s="81">
        <v>192.45</v>
      </c>
      <c r="D65" s="80">
        <v>196.71</v>
      </c>
      <c r="E65" s="79">
        <v>206.71</v>
      </c>
    </row>
    <row r="66" spans="2:5" x14ac:dyDescent="0.2">
      <c r="B66" s="77" t="s">
        <v>514</v>
      </c>
      <c r="C66" s="81">
        <v>294.89</v>
      </c>
      <c r="D66" s="80">
        <v>301.77</v>
      </c>
      <c r="E66" s="79">
        <v>312.77</v>
      </c>
    </row>
    <row r="67" spans="2:5" x14ac:dyDescent="0.2">
      <c r="D67" s="78"/>
    </row>
    <row r="68" spans="2:5" x14ac:dyDescent="0.2">
      <c r="D68" s="78"/>
    </row>
    <row r="69" spans="2:5" x14ac:dyDescent="0.2">
      <c r="D69" s="78"/>
    </row>
    <row r="70" spans="2:5" x14ac:dyDescent="0.2">
      <c r="D70" s="78"/>
    </row>
    <row r="71" spans="2:5" x14ac:dyDescent="0.2">
      <c r="D71" s="78"/>
    </row>
    <row r="72" spans="2:5" x14ac:dyDescent="0.2">
      <c r="D72" s="78"/>
    </row>
    <row r="73" spans="2:5" x14ac:dyDescent="0.2">
      <c r="D73" s="78"/>
    </row>
    <row r="74" spans="2:5" x14ac:dyDescent="0.2">
      <c r="D74" s="78"/>
    </row>
    <row r="75" spans="2:5" x14ac:dyDescent="0.2">
      <c r="D75" s="78"/>
    </row>
    <row r="76" spans="2:5" x14ac:dyDescent="0.2">
      <c r="D76" s="78"/>
    </row>
    <row r="77" spans="2:5" x14ac:dyDescent="0.2">
      <c r="D77" s="78"/>
    </row>
    <row r="78" spans="2:5" x14ac:dyDescent="0.2">
      <c r="D78" s="78"/>
    </row>
    <row r="79" spans="2:5" x14ac:dyDescent="0.2">
      <c r="D79" s="78"/>
    </row>
    <row r="80" spans="2:5" x14ac:dyDescent="0.2">
      <c r="D80" s="78"/>
    </row>
    <row r="81" spans="4:4" x14ac:dyDescent="0.2">
      <c r="D81" s="78"/>
    </row>
    <row r="82" spans="4:4" x14ac:dyDescent="0.2">
      <c r="D82" s="78"/>
    </row>
    <row r="83" spans="4:4" x14ac:dyDescent="0.2">
      <c r="D83" s="78"/>
    </row>
    <row r="84" spans="4:4" x14ac:dyDescent="0.2">
      <c r="D84" s="78"/>
    </row>
    <row r="85" spans="4:4" x14ac:dyDescent="0.2">
      <c r="D85" s="78"/>
    </row>
    <row r="86" spans="4:4" x14ac:dyDescent="0.2">
      <c r="D86" s="78"/>
    </row>
    <row r="87" spans="4:4" x14ac:dyDescent="0.2">
      <c r="D87" s="78"/>
    </row>
    <row r="88" spans="4:4" x14ac:dyDescent="0.2">
      <c r="D88" s="78"/>
    </row>
    <row r="89" spans="4:4" x14ac:dyDescent="0.2">
      <c r="D89" s="78"/>
    </row>
    <row r="90" spans="4:4" x14ac:dyDescent="0.2">
      <c r="D90" s="78"/>
    </row>
    <row r="91" spans="4:4" x14ac:dyDescent="0.2">
      <c r="D91" s="78"/>
    </row>
    <row r="92" spans="4:4" x14ac:dyDescent="0.2">
      <c r="D92" s="78"/>
    </row>
    <row r="93" spans="4:4" x14ac:dyDescent="0.2">
      <c r="D93" s="78"/>
    </row>
    <row r="94" spans="4:4" x14ac:dyDescent="0.2">
      <c r="D94" s="78"/>
    </row>
    <row r="95" spans="4:4" x14ac:dyDescent="0.2">
      <c r="D95" s="78"/>
    </row>
    <row r="96" spans="4:4" x14ac:dyDescent="0.2">
      <c r="D96" s="78"/>
    </row>
    <row r="97" spans="4:4" x14ac:dyDescent="0.2">
      <c r="D97" s="78"/>
    </row>
    <row r="98" spans="4:4" x14ac:dyDescent="0.2">
      <c r="D98" s="78"/>
    </row>
    <row r="99" spans="4:4" x14ac:dyDescent="0.2">
      <c r="D99" s="78"/>
    </row>
    <row r="100" spans="4:4" x14ac:dyDescent="0.2">
      <c r="D100" s="78"/>
    </row>
    <row r="101" spans="4:4" x14ac:dyDescent="0.2">
      <c r="D101" s="78"/>
    </row>
    <row r="102" spans="4:4" x14ac:dyDescent="0.2">
      <c r="D102" s="78"/>
    </row>
    <row r="103" spans="4:4" x14ac:dyDescent="0.2">
      <c r="D103" s="78"/>
    </row>
    <row r="104" spans="4:4" x14ac:dyDescent="0.2">
      <c r="D104" s="78"/>
    </row>
    <row r="105" spans="4:4" x14ac:dyDescent="0.2">
      <c r="D105" s="78"/>
    </row>
    <row r="106" spans="4:4" x14ac:dyDescent="0.2">
      <c r="D106" s="78"/>
    </row>
    <row r="107" spans="4:4" x14ac:dyDescent="0.2">
      <c r="D107" s="78"/>
    </row>
    <row r="108" spans="4:4" x14ac:dyDescent="0.2">
      <c r="D108" s="78"/>
    </row>
    <row r="109" spans="4:4" x14ac:dyDescent="0.2">
      <c r="D109" s="78"/>
    </row>
    <row r="110" spans="4:4" x14ac:dyDescent="0.2">
      <c r="D110" s="78"/>
    </row>
    <row r="111" spans="4:4" x14ac:dyDescent="0.2">
      <c r="D111" s="78"/>
    </row>
    <row r="112" spans="4:4" x14ac:dyDescent="0.2">
      <c r="D112" s="78"/>
    </row>
    <row r="113" spans="4:4" x14ac:dyDescent="0.2">
      <c r="D113" s="78"/>
    </row>
    <row r="114" spans="4:4" x14ac:dyDescent="0.2">
      <c r="D114" s="78"/>
    </row>
    <row r="115" spans="4:4" x14ac:dyDescent="0.2">
      <c r="D115" s="78"/>
    </row>
    <row r="116" spans="4:4" x14ac:dyDescent="0.2">
      <c r="D116" s="78"/>
    </row>
    <row r="117" spans="4:4" x14ac:dyDescent="0.2">
      <c r="D117" s="78"/>
    </row>
    <row r="118" spans="4:4" x14ac:dyDescent="0.2">
      <c r="D118" s="78"/>
    </row>
    <row r="119" spans="4:4" x14ac:dyDescent="0.2">
      <c r="D119" s="78"/>
    </row>
    <row r="120" spans="4:4" x14ac:dyDescent="0.2">
      <c r="D120" s="78"/>
    </row>
    <row r="121" spans="4:4" x14ac:dyDescent="0.2">
      <c r="D121" s="78"/>
    </row>
    <row r="122" spans="4:4" x14ac:dyDescent="0.2">
      <c r="D122" s="78"/>
    </row>
    <row r="123" spans="4:4" x14ac:dyDescent="0.2">
      <c r="D123" s="78"/>
    </row>
    <row r="124" spans="4:4" x14ac:dyDescent="0.2">
      <c r="D124" s="78"/>
    </row>
    <row r="125" spans="4:4" x14ac:dyDescent="0.2">
      <c r="D125" s="78"/>
    </row>
    <row r="126" spans="4:4" x14ac:dyDescent="0.2">
      <c r="D126" s="78"/>
    </row>
    <row r="127" spans="4:4" x14ac:dyDescent="0.2">
      <c r="D127" s="78"/>
    </row>
    <row r="128" spans="4:4" x14ac:dyDescent="0.2">
      <c r="D128" s="78"/>
    </row>
    <row r="129" spans="4:4" x14ac:dyDescent="0.2">
      <c r="D129" s="78"/>
    </row>
    <row r="130" spans="4:4" x14ac:dyDescent="0.2">
      <c r="D130" s="78"/>
    </row>
    <row r="131" spans="4:4" x14ac:dyDescent="0.2">
      <c r="D131" s="78"/>
    </row>
    <row r="132" spans="4:4" x14ac:dyDescent="0.2">
      <c r="D132" s="78"/>
    </row>
    <row r="133" spans="4:4" x14ac:dyDescent="0.2">
      <c r="D133" s="78"/>
    </row>
    <row r="134" spans="4:4" x14ac:dyDescent="0.2">
      <c r="D134" s="78"/>
    </row>
    <row r="135" spans="4:4" x14ac:dyDescent="0.2">
      <c r="D135" s="78"/>
    </row>
    <row r="136" spans="4:4" x14ac:dyDescent="0.2">
      <c r="D136" s="78"/>
    </row>
    <row r="137" spans="4:4" x14ac:dyDescent="0.2">
      <c r="D137" s="78"/>
    </row>
    <row r="138" spans="4:4" x14ac:dyDescent="0.2">
      <c r="D138" s="78"/>
    </row>
    <row r="139" spans="4:4" x14ac:dyDescent="0.2">
      <c r="D139" s="78"/>
    </row>
    <row r="140" spans="4:4" x14ac:dyDescent="0.2">
      <c r="D140" s="78"/>
    </row>
    <row r="141" spans="4:4" x14ac:dyDescent="0.2">
      <c r="D141" s="78"/>
    </row>
    <row r="142" spans="4:4" x14ac:dyDescent="0.2">
      <c r="D142" s="78"/>
    </row>
    <row r="143" spans="4:4" x14ac:dyDescent="0.2">
      <c r="D143" s="78"/>
    </row>
    <row r="144" spans="4:4" x14ac:dyDescent="0.2">
      <c r="D144" s="78"/>
    </row>
    <row r="145" spans="4:4" x14ac:dyDescent="0.2">
      <c r="D145" s="78"/>
    </row>
    <row r="146" spans="4:4" x14ac:dyDescent="0.2">
      <c r="D146" s="78"/>
    </row>
    <row r="147" spans="4:4" x14ac:dyDescent="0.2">
      <c r="D147" s="78"/>
    </row>
    <row r="148" spans="4:4" x14ac:dyDescent="0.2">
      <c r="D148" s="78"/>
    </row>
    <row r="149" spans="4:4" x14ac:dyDescent="0.2">
      <c r="D149" s="78"/>
    </row>
    <row r="150" spans="4:4" x14ac:dyDescent="0.2">
      <c r="D150" s="78"/>
    </row>
    <row r="151" spans="4:4" x14ac:dyDescent="0.2">
      <c r="D151" s="78"/>
    </row>
    <row r="152" spans="4:4" x14ac:dyDescent="0.2">
      <c r="D152" s="78"/>
    </row>
    <row r="153" spans="4:4" x14ac:dyDescent="0.2">
      <c r="D153" s="78"/>
    </row>
    <row r="154" spans="4:4" x14ac:dyDescent="0.2">
      <c r="D154" s="78"/>
    </row>
    <row r="155" spans="4:4" x14ac:dyDescent="0.2">
      <c r="D155" s="78"/>
    </row>
    <row r="156" spans="4:4" x14ac:dyDescent="0.2">
      <c r="D156" s="78"/>
    </row>
    <row r="157" spans="4:4" x14ac:dyDescent="0.2">
      <c r="D157" s="78"/>
    </row>
    <row r="158" spans="4:4" x14ac:dyDescent="0.2">
      <c r="D158" s="78"/>
    </row>
    <row r="159" spans="4:4" x14ac:dyDescent="0.2">
      <c r="D159" s="78"/>
    </row>
    <row r="160" spans="4:4" x14ac:dyDescent="0.2">
      <c r="D160" s="78"/>
    </row>
    <row r="161" spans="4:4" x14ac:dyDescent="0.2">
      <c r="D161" s="78"/>
    </row>
    <row r="162" spans="4:4" x14ac:dyDescent="0.2">
      <c r="D162" s="78"/>
    </row>
    <row r="163" spans="4:4" x14ac:dyDescent="0.2">
      <c r="D163" s="78"/>
    </row>
    <row r="164" spans="4:4" x14ac:dyDescent="0.2">
      <c r="D164" s="78"/>
    </row>
    <row r="165" spans="4:4" x14ac:dyDescent="0.2">
      <c r="D165" s="78"/>
    </row>
    <row r="166" spans="4:4" x14ac:dyDescent="0.2">
      <c r="D166" s="78"/>
    </row>
    <row r="167" spans="4:4" x14ac:dyDescent="0.2">
      <c r="D167" s="78"/>
    </row>
    <row r="168" spans="4:4" x14ac:dyDescent="0.2">
      <c r="D168" s="78"/>
    </row>
    <row r="169" spans="4:4" x14ac:dyDescent="0.2">
      <c r="D169" s="78"/>
    </row>
    <row r="170" spans="4:4" x14ac:dyDescent="0.2">
      <c r="D170" s="78"/>
    </row>
    <row r="171" spans="4:4" x14ac:dyDescent="0.2">
      <c r="D171" s="78"/>
    </row>
    <row r="172" spans="4:4" x14ac:dyDescent="0.2">
      <c r="D172" s="78"/>
    </row>
    <row r="173" spans="4:4" x14ac:dyDescent="0.2">
      <c r="D173" s="78"/>
    </row>
    <row r="174" spans="4:4" x14ac:dyDescent="0.2">
      <c r="D174" s="78"/>
    </row>
    <row r="175" spans="4:4" x14ac:dyDescent="0.2">
      <c r="D175" s="78"/>
    </row>
    <row r="176" spans="4:4" x14ac:dyDescent="0.2">
      <c r="D176" s="78"/>
    </row>
    <row r="177" spans="4:4" x14ac:dyDescent="0.2">
      <c r="D177" s="78"/>
    </row>
    <row r="178" spans="4:4" x14ac:dyDescent="0.2">
      <c r="D178" s="78"/>
    </row>
    <row r="179" spans="4:4" x14ac:dyDescent="0.2">
      <c r="D179" s="78"/>
    </row>
    <row r="180" spans="4:4" x14ac:dyDescent="0.2">
      <c r="D180" s="78"/>
    </row>
    <row r="181" spans="4:4" x14ac:dyDescent="0.2">
      <c r="D181" s="78"/>
    </row>
    <row r="182" spans="4:4" x14ac:dyDescent="0.2">
      <c r="D182" s="78"/>
    </row>
    <row r="183" spans="4:4" x14ac:dyDescent="0.2">
      <c r="D183" s="78"/>
    </row>
    <row r="184" spans="4:4" x14ac:dyDescent="0.2">
      <c r="D184" s="78"/>
    </row>
    <row r="185" spans="4:4" x14ac:dyDescent="0.2">
      <c r="D185" s="78"/>
    </row>
    <row r="186" spans="4:4" x14ac:dyDescent="0.2">
      <c r="D186" s="78"/>
    </row>
    <row r="187" spans="4:4" x14ac:dyDescent="0.2">
      <c r="D187" s="78"/>
    </row>
    <row r="188" spans="4:4" x14ac:dyDescent="0.2">
      <c r="D188" s="78"/>
    </row>
    <row r="189" spans="4:4" x14ac:dyDescent="0.2">
      <c r="D189" s="78"/>
    </row>
    <row r="190" spans="4:4" x14ac:dyDescent="0.2">
      <c r="D190" s="78"/>
    </row>
    <row r="191" spans="4:4" x14ac:dyDescent="0.2">
      <c r="D191" s="78"/>
    </row>
    <row r="192" spans="4:4" x14ac:dyDescent="0.2">
      <c r="D192" s="78"/>
    </row>
    <row r="193" spans="4:4" x14ac:dyDescent="0.2">
      <c r="D193" s="78"/>
    </row>
    <row r="194" spans="4:4" x14ac:dyDescent="0.2">
      <c r="D194" s="78"/>
    </row>
    <row r="195" spans="4:4" x14ac:dyDescent="0.2">
      <c r="D195" s="78"/>
    </row>
    <row r="196" spans="4:4" x14ac:dyDescent="0.2">
      <c r="D196" s="78"/>
    </row>
    <row r="197" spans="4:4" x14ac:dyDescent="0.2">
      <c r="D197" s="78"/>
    </row>
    <row r="198" spans="4:4" x14ac:dyDescent="0.2">
      <c r="D198" s="78"/>
    </row>
    <row r="199" spans="4:4" x14ac:dyDescent="0.2">
      <c r="D199" s="78"/>
    </row>
    <row r="200" spans="4:4" x14ac:dyDescent="0.2">
      <c r="D200" s="78"/>
    </row>
    <row r="201" spans="4:4" x14ac:dyDescent="0.2">
      <c r="D201" s="78"/>
    </row>
    <row r="202" spans="4:4" x14ac:dyDescent="0.2">
      <c r="D202" s="78"/>
    </row>
    <row r="203" spans="4:4" x14ac:dyDescent="0.2">
      <c r="D203" s="78"/>
    </row>
    <row r="204" spans="4:4" x14ac:dyDescent="0.2">
      <c r="D204" s="78"/>
    </row>
    <row r="205" spans="4:4" x14ac:dyDescent="0.2">
      <c r="D205" s="78"/>
    </row>
    <row r="206" spans="4:4" x14ac:dyDescent="0.2">
      <c r="D206" s="78"/>
    </row>
    <row r="207" spans="4:4" x14ac:dyDescent="0.2">
      <c r="D207" s="78"/>
    </row>
    <row r="208" spans="4:4" x14ac:dyDescent="0.2">
      <c r="D208" s="78"/>
    </row>
    <row r="209" spans="4:4" x14ac:dyDescent="0.2">
      <c r="D209" s="78"/>
    </row>
    <row r="210" spans="4:4" x14ac:dyDescent="0.2">
      <c r="D210" s="78"/>
    </row>
    <row r="211" spans="4:4" x14ac:dyDescent="0.2">
      <c r="D211" s="78"/>
    </row>
    <row r="212" spans="4:4" x14ac:dyDescent="0.2">
      <c r="D212" s="78"/>
    </row>
    <row r="213" spans="4:4" x14ac:dyDescent="0.2">
      <c r="D213" s="78"/>
    </row>
    <row r="214" spans="4:4" x14ac:dyDescent="0.2">
      <c r="D214" s="78"/>
    </row>
    <row r="215" spans="4:4" x14ac:dyDescent="0.2">
      <c r="D215" s="78"/>
    </row>
    <row r="216" spans="4:4" x14ac:dyDescent="0.2">
      <c r="D216" s="78"/>
    </row>
    <row r="217" spans="4:4" x14ac:dyDescent="0.2">
      <c r="D217" s="78"/>
    </row>
    <row r="218" spans="4:4" x14ac:dyDescent="0.2">
      <c r="D218" s="78"/>
    </row>
    <row r="219" spans="4:4" x14ac:dyDescent="0.2">
      <c r="D219" s="78"/>
    </row>
    <row r="220" spans="4:4" x14ac:dyDescent="0.2">
      <c r="D220" s="78"/>
    </row>
    <row r="221" spans="4:4" x14ac:dyDescent="0.2">
      <c r="D221" s="78"/>
    </row>
    <row r="222" spans="4:4" x14ac:dyDescent="0.2">
      <c r="D222" s="78"/>
    </row>
    <row r="223" spans="4:4" x14ac:dyDescent="0.2">
      <c r="D223" s="78"/>
    </row>
    <row r="224" spans="4:4" x14ac:dyDescent="0.2">
      <c r="D224" s="78"/>
    </row>
    <row r="225" spans="4:4" x14ac:dyDescent="0.2">
      <c r="D225" s="78"/>
    </row>
    <row r="226" spans="4:4" x14ac:dyDescent="0.2">
      <c r="D226" s="78"/>
    </row>
    <row r="227" spans="4:4" x14ac:dyDescent="0.2">
      <c r="D227" s="78"/>
    </row>
    <row r="228" spans="4:4" x14ac:dyDescent="0.2">
      <c r="D228" s="78"/>
    </row>
    <row r="229" spans="4:4" x14ac:dyDescent="0.2">
      <c r="D229" s="78"/>
    </row>
    <row r="230" spans="4:4" x14ac:dyDescent="0.2">
      <c r="D230" s="78"/>
    </row>
    <row r="231" spans="4:4" x14ac:dyDescent="0.2">
      <c r="D231" s="78"/>
    </row>
    <row r="232" spans="4:4" x14ac:dyDescent="0.2">
      <c r="D232" s="78"/>
    </row>
    <row r="233" spans="4:4" x14ac:dyDescent="0.2">
      <c r="D233" s="78"/>
    </row>
    <row r="234" spans="4:4" x14ac:dyDescent="0.2">
      <c r="D234" s="78"/>
    </row>
    <row r="235" spans="4:4" x14ac:dyDescent="0.2">
      <c r="D235" s="78"/>
    </row>
    <row r="236" spans="4:4" x14ac:dyDescent="0.2">
      <c r="D236" s="78"/>
    </row>
    <row r="237" spans="4:4" x14ac:dyDescent="0.2">
      <c r="D237" s="78"/>
    </row>
    <row r="238" spans="4:4" x14ac:dyDescent="0.2">
      <c r="D238" s="78"/>
    </row>
    <row r="239" spans="4:4" x14ac:dyDescent="0.2">
      <c r="D239" s="78"/>
    </row>
    <row r="240" spans="4:4" x14ac:dyDescent="0.2">
      <c r="D240" s="78"/>
    </row>
    <row r="241" spans="4:4" x14ac:dyDescent="0.2">
      <c r="D241" s="78"/>
    </row>
    <row r="242" spans="4:4" x14ac:dyDescent="0.2">
      <c r="D242" s="78"/>
    </row>
    <row r="243" spans="4:4" x14ac:dyDescent="0.2">
      <c r="D243" s="78"/>
    </row>
    <row r="244" spans="4:4" x14ac:dyDescent="0.2">
      <c r="D244" s="78"/>
    </row>
    <row r="245" spans="4:4" x14ac:dyDescent="0.2">
      <c r="D245" s="78"/>
    </row>
    <row r="246" spans="4:4" x14ac:dyDescent="0.2">
      <c r="D246" s="78"/>
    </row>
    <row r="247" spans="4:4" x14ac:dyDescent="0.2">
      <c r="D247" s="78"/>
    </row>
    <row r="248" spans="4:4" x14ac:dyDescent="0.2">
      <c r="D248" s="78"/>
    </row>
    <row r="249" spans="4:4" x14ac:dyDescent="0.2">
      <c r="D249" s="78"/>
    </row>
    <row r="250" spans="4:4" x14ac:dyDescent="0.2">
      <c r="D250" s="78"/>
    </row>
    <row r="251" spans="4:4" x14ac:dyDescent="0.2">
      <c r="D251" s="78"/>
    </row>
    <row r="252" spans="4:4" x14ac:dyDescent="0.2">
      <c r="D252" s="78"/>
    </row>
    <row r="253" spans="4:4" x14ac:dyDescent="0.2">
      <c r="D253" s="78"/>
    </row>
    <row r="254" spans="4:4" x14ac:dyDescent="0.2">
      <c r="D254" s="78"/>
    </row>
    <row r="255" spans="4:4" x14ac:dyDescent="0.2">
      <c r="D255" s="78"/>
    </row>
    <row r="256" spans="4:4" x14ac:dyDescent="0.2">
      <c r="D256" s="78"/>
    </row>
    <row r="257" spans="4:4" x14ac:dyDescent="0.2">
      <c r="D257" s="78"/>
    </row>
    <row r="258" spans="4:4" x14ac:dyDescent="0.2">
      <c r="D258" s="78"/>
    </row>
    <row r="259" spans="4:4" x14ac:dyDescent="0.2">
      <c r="D259" s="78"/>
    </row>
    <row r="260" spans="4:4" x14ac:dyDescent="0.2">
      <c r="D260" s="7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E52"/>
  <sheetViews>
    <sheetView workbookViewId="0">
      <selection activeCell="E12" sqref="E12"/>
    </sheetView>
  </sheetViews>
  <sheetFormatPr defaultRowHeight="15.75" x14ac:dyDescent="0.25"/>
  <cols>
    <col min="1" max="1" width="18.375" customWidth="1"/>
    <col min="4" max="4" width="17.875" customWidth="1"/>
    <col min="5" max="5" width="18.875" customWidth="1"/>
  </cols>
  <sheetData>
    <row r="1" spans="1:5" x14ac:dyDescent="0.25">
      <c r="A1" t="s">
        <v>664</v>
      </c>
      <c r="B1" t="s">
        <v>665</v>
      </c>
      <c r="C1" t="s">
        <v>666</v>
      </c>
    </row>
    <row r="2" spans="1:5" x14ac:dyDescent="0.25">
      <c r="A2" t="s">
        <v>549</v>
      </c>
      <c r="B2">
        <v>1</v>
      </c>
      <c r="C2" t="s">
        <v>465</v>
      </c>
      <c r="D2" t="s">
        <v>549</v>
      </c>
      <c r="E2">
        <v>-4.4958089916179778E-2</v>
      </c>
    </row>
    <row r="3" spans="1:5" x14ac:dyDescent="0.25">
      <c r="A3" t="s">
        <v>550</v>
      </c>
      <c r="B3">
        <v>2</v>
      </c>
      <c r="C3" t="s">
        <v>466</v>
      </c>
      <c r="D3" t="s">
        <v>550</v>
      </c>
      <c r="E3">
        <v>6.5228276207383251E-2</v>
      </c>
    </row>
    <row r="4" spans="1:5" x14ac:dyDescent="0.25">
      <c r="A4" t="s">
        <v>551</v>
      </c>
      <c r="B4">
        <v>4</v>
      </c>
      <c r="C4" t="s">
        <v>476</v>
      </c>
      <c r="D4" t="s">
        <v>551</v>
      </c>
      <c r="E4">
        <v>-0.27568258321904993</v>
      </c>
    </row>
    <row r="5" spans="1:5" x14ac:dyDescent="0.25">
      <c r="A5" t="s">
        <v>552</v>
      </c>
      <c r="B5">
        <v>5</v>
      </c>
      <c r="C5" t="s">
        <v>475</v>
      </c>
      <c r="D5" t="s">
        <v>552</v>
      </c>
      <c r="E5">
        <v>-3.4448869808100246E-2</v>
      </c>
    </row>
    <row r="6" spans="1:5" x14ac:dyDescent="0.25">
      <c r="A6" t="s">
        <v>553</v>
      </c>
      <c r="B6">
        <v>6</v>
      </c>
      <c r="C6" t="s">
        <v>467</v>
      </c>
      <c r="D6" t="s">
        <v>553</v>
      </c>
      <c r="E6" s="42">
        <v>-0.25167184359583405</v>
      </c>
    </row>
    <row r="7" spans="1:5" x14ac:dyDescent="0.25">
      <c r="A7" t="s">
        <v>554</v>
      </c>
      <c r="B7">
        <v>8</v>
      </c>
      <c r="C7" t="s">
        <v>477</v>
      </c>
      <c r="D7" t="s">
        <v>554</v>
      </c>
      <c r="E7">
        <v>0.1104371545474121</v>
      </c>
    </row>
    <row r="8" spans="1:5" x14ac:dyDescent="0.25">
      <c r="A8" t="s">
        <v>555</v>
      </c>
      <c r="B8">
        <v>9</v>
      </c>
      <c r="C8" t="s">
        <v>468</v>
      </c>
      <c r="D8" t="s">
        <v>555</v>
      </c>
      <c r="E8">
        <v>-0.15160468670402449</v>
      </c>
    </row>
    <row r="9" spans="1:5" x14ac:dyDescent="0.25">
      <c r="A9" t="s">
        <v>556</v>
      </c>
      <c r="B9">
        <v>10</v>
      </c>
      <c r="C9" t="s">
        <v>469</v>
      </c>
      <c r="D9" t="s">
        <v>556</v>
      </c>
      <c r="E9">
        <v>-0.1892425807030933</v>
      </c>
    </row>
    <row r="10" spans="1:5" x14ac:dyDescent="0.25">
      <c r="A10" t="s">
        <v>557</v>
      </c>
      <c r="B10">
        <v>11</v>
      </c>
      <c r="C10" t="s">
        <v>600</v>
      </c>
      <c r="D10" t="s">
        <v>557</v>
      </c>
      <c r="E10">
        <v>0.20842111423220988</v>
      </c>
    </row>
    <row r="11" spans="1:5" x14ac:dyDescent="0.25">
      <c r="A11" t="s">
        <v>558</v>
      </c>
      <c r="B11">
        <v>12</v>
      </c>
      <c r="C11" t="s">
        <v>470</v>
      </c>
      <c r="D11" t="s">
        <v>558</v>
      </c>
      <c r="E11">
        <v>-0.32159314278348849</v>
      </c>
    </row>
    <row r="12" spans="1:5" x14ac:dyDescent="0.25">
      <c r="A12" t="s">
        <v>559</v>
      </c>
      <c r="B12">
        <v>13</v>
      </c>
      <c r="C12" t="s">
        <v>471</v>
      </c>
      <c r="D12" t="s">
        <v>559</v>
      </c>
      <c r="E12">
        <v>-0.1047676282051283</v>
      </c>
    </row>
    <row r="13" spans="1:5" x14ac:dyDescent="0.25">
      <c r="A13" t="s">
        <v>560</v>
      </c>
      <c r="B13">
        <v>15</v>
      </c>
      <c r="C13" t="s">
        <v>478</v>
      </c>
      <c r="D13" t="s">
        <v>560</v>
      </c>
      <c r="E13">
        <v>-3.3143016292995431E-2</v>
      </c>
    </row>
    <row r="14" spans="1:5" x14ac:dyDescent="0.25">
      <c r="A14" t="s">
        <v>561</v>
      </c>
      <c r="B14">
        <v>16</v>
      </c>
      <c r="C14" t="s">
        <v>479</v>
      </c>
      <c r="D14" t="s">
        <v>561</v>
      </c>
      <c r="E14">
        <v>-0.13532438392200863</v>
      </c>
    </row>
    <row r="15" spans="1:5" x14ac:dyDescent="0.25">
      <c r="A15" t="s">
        <v>562</v>
      </c>
      <c r="B15">
        <v>17</v>
      </c>
      <c r="C15" t="s">
        <v>480</v>
      </c>
      <c r="D15" t="s">
        <v>562</v>
      </c>
      <c r="E15">
        <v>-0.14714102989246292</v>
      </c>
    </row>
    <row r="16" spans="1:5" x14ac:dyDescent="0.25">
      <c r="A16" t="s">
        <v>563</v>
      </c>
      <c r="B16">
        <v>18</v>
      </c>
      <c r="C16" t="s">
        <v>481</v>
      </c>
      <c r="D16" t="s">
        <v>563</v>
      </c>
      <c r="E16">
        <v>2.8586742897980244E-3</v>
      </c>
    </row>
    <row r="17" spans="1:5" x14ac:dyDescent="0.25">
      <c r="A17" t="s">
        <v>564</v>
      </c>
      <c r="B17">
        <v>19</v>
      </c>
      <c r="C17" t="s">
        <v>482</v>
      </c>
      <c r="D17" t="s">
        <v>564</v>
      </c>
      <c r="E17">
        <v>6.3897925986173165E-2</v>
      </c>
    </row>
    <row r="18" spans="1:5" x14ac:dyDescent="0.25">
      <c r="A18" t="s">
        <v>565</v>
      </c>
      <c r="B18">
        <v>20</v>
      </c>
      <c r="C18" t="s">
        <v>483</v>
      </c>
      <c r="D18" t="s">
        <v>565</v>
      </c>
      <c r="E18">
        <v>8.5788694275645838E-3</v>
      </c>
    </row>
    <row r="19" spans="1:5" x14ac:dyDescent="0.25">
      <c r="A19" t="s">
        <v>566</v>
      </c>
      <c r="B19">
        <v>21</v>
      </c>
      <c r="C19" t="s">
        <v>484</v>
      </c>
      <c r="D19" t="s">
        <v>566</v>
      </c>
      <c r="E19">
        <v>3.3570487483530975E-2</v>
      </c>
    </row>
    <row r="20" spans="1:5" x14ac:dyDescent="0.25">
      <c r="A20" t="s">
        <v>567</v>
      </c>
      <c r="B20">
        <v>22</v>
      </c>
      <c r="C20" t="s">
        <v>485</v>
      </c>
      <c r="D20" t="s">
        <v>567</v>
      </c>
      <c r="E20">
        <v>5.9680716864587424E-2</v>
      </c>
    </row>
    <row r="21" spans="1:5" x14ac:dyDescent="0.25">
      <c r="A21" t="s">
        <v>568</v>
      </c>
      <c r="B21">
        <v>23</v>
      </c>
      <c r="C21" t="s">
        <v>486</v>
      </c>
      <c r="D21" t="s">
        <v>568</v>
      </c>
      <c r="E21">
        <v>-6.3456734044969321E-2</v>
      </c>
    </row>
    <row r="22" spans="1:5" x14ac:dyDescent="0.25">
      <c r="A22" t="s">
        <v>569</v>
      </c>
      <c r="B22">
        <v>24</v>
      </c>
      <c r="C22" t="s">
        <v>487</v>
      </c>
      <c r="D22" t="s">
        <v>569</v>
      </c>
      <c r="E22">
        <v>-0.16766981943250225</v>
      </c>
    </row>
    <row r="23" spans="1:5" x14ac:dyDescent="0.25">
      <c r="A23" t="s">
        <v>570</v>
      </c>
      <c r="B23">
        <v>25</v>
      </c>
      <c r="C23" t="s">
        <v>488</v>
      </c>
      <c r="D23" t="s">
        <v>570</v>
      </c>
      <c r="E23">
        <v>-4.3387070241815984E-2</v>
      </c>
    </row>
    <row r="24" spans="1:5" x14ac:dyDescent="0.25">
      <c r="A24" t="s">
        <v>571</v>
      </c>
      <c r="B24">
        <v>26</v>
      </c>
      <c r="C24" t="s">
        <v>489</v>
      </c>
      <c r="D24" t="s">
        <v>571</v>
      </c>
      <c r="E24">
        <v>-0.12413149434823201</v>
      </c>
    </row>
    <row r="25" spans="1:5" x14ac:dyDescent="0.25">
      <c r="A25" t="s">
        <v>572</v>
      </c>
      <c r="B25">
        <v>27</v>
      </c>
      <c r="C25" t="s">
        <v>490</v>
      </c>
      <c r="D25" t="s">
        <v>572</v>
      </c>
      <c r="E25">
        <v>-9.527587164333029E-2</v>
      </c>
    </row>
    <row r="26" spans="1:5" x14ac:dyDescent="0.25">
      <c r="A26" t="s">
        <v>573</v>
      </c>
      <c r="B26">
        <v>28</v>
      </c>
      <c r="C26" t="s">
        <v>491</v>
      </c>
      <c r="D26" t="s">
        <v>573</v>
      </c>
      <c r="E26">
        <v>-6.2790576189729941E-2</v>
      </c>
    </row>
    <row r="27" spans="1:5" x14ac:dyDescent="0.25">
      <c r="A27" t="s">
        <v>574</v>
      </c>
      <c r="B27">
        <v>29</v>
      </c>
      <c r="C27" t="s">
        <v>492</v>
      </c>
      <c r="D27" t="s">
        <v>574</v>
      </c>
      <c r="E27">
        <v>-5.602516217810094E-2</v>
      </c>
    </row>
    <row r="28" spans="1:5" x14ac:dyDescent="0.25">
      <c r="A28" t="s">
        <v>575</v>
      </c>
      <c r="B28">
        <v>30</v>
      </c>
      <c r="C28" t="s">
        <v>493</v>
      </c>
      <c r="D28" t="s">
        <v>575</v>
      </c>
      <c r="E28">
        <v>6.4612260937909172E-2</v>
      </c>
    </row>
    <row r="29" spans="1:5" x14ac:dyDescent="0.25">
      <c r="A29" t="s">
        <v>576</v>
      </c>
      <c r="B29">
        <v>31</v>
      </c>
      <c r="C29" t="s">
        <v>494</v>
      </c>
      <c r="D29" t="s">
        <v>576</v>
      </c>
      <c r="E29">
        <v>6.3487257128437946E-2</v>
      </c>
    </row>
    <row r="30" spans="1:5" x14ac:dyDescent="0.25">
      <c r="A30" t="s">
        <v>577</v>
      </c>
      <c r="B30">
        <v>32</v>
      </c>
      <c r="C30" t="s">
        <v>495</v>
      </c>
      <c r="D30" t="s">
        <v>577</v>
      </c>
      <c r="E30">
        <v>-0.39312194940198963</v>
      </c>
    </row>
    <row r="31" spans="1:5" x14ac:dyDescent="0.25">
      <c r="A31" t="s">
        <v>578</v>
      </c>
      <c r="B31">
        <v>33</v>
      </c>
      <c r="C31" t="s">
        <v>496</v>
      </c>
      <c r="D31" t="s">
        <v>578</v>
      </c>
      <c r="E31">
        <v>-0.13861686454632116</v>
      </c>
    </row>
    <row r="32" spans="1:5" x14ac:dyDescent="0.25">
      <c r="A32" t="s">
        <v>579</v>
      </c>
      <c r="B32">
        <v>34</v>
      </c>
      <c r="C32" t="s">
        <v>497</v>
      </c>
      <c r="D32" t="s">
        <v>579</v>
      </c>
      <c r="E32">
        <v>-0.17097762438437969</v>
      </c>
    </row>
    <row r="33" spans="1:5" x14ac:dyDescent="0.25">
      <c r="A33" t="s">
        <v>580</v>
      </c>
      <c r="B33">
        <v>35</v>
      </c>
      <c r="C33" t="s">
        <v>472</v>
      </c>
      <c r="D33" t="s">
        <v>580</v>
      </c>
      <c r="E33">
        <v>-0.10463021160695574</v>
      </c>
    </row>
    <row r="34" spans="1:5" x14ac:dyDescent="0.25">
      <c r="A34" t="s">
        <v>581</v>
      </c>
      <c r="B34">
        <v>36</v>
      </c>
      <c r="C34" t="s">
        <v>498</v>
      </c>
      <c r="D34" t="s">
        <v>581</v>
      </c>
      <c r="E34">
        <v>-3.0573890722405572E-2</v>
      </c>
    </row>
    <row r="35" spans="1:5" x14ac:dyDescent="0.25">
      <c r="A35" t="s">
        <v>582</v>
      </c>
      <c r="B35">
        <v>37</v>
      </c>
      <c r="C35" t="s">
        <v>474</v>
      </c>
      <c r="D35" t="s">
        <v>582</v>
      </c>
      <c r="E35">
        <v>-3.1609340965503274E-2</v>
      </c>
    </row>
    <row r="36" spans="1:5" x14ac:dyDescent="0.25">
      <c r="A36" t="s">
        <v>583</v>
      </c>
      <c r="B36">
        <v>38</v>
      </c>
      <c r="C36" t="s">
        <v>473</v>
      </c>
      <c r="D36" t="s">
        <v>583</v>
      </c>
      <c r="E36">
        <v>0.34784112241873344</v>
      </c>
    </row>
    <row r="37" spans="1:5" x14ac:dyDescent="0.25">
      <c r="A37" t="s">
        <v>584</v>
      </c>
      <c r="B37">
        <v>39</v>
      </c>
      <c r="C37" t="s">
        <v>499</v>
      </c>
      <c r="D37" t="s">
        <v>584</v>
      </c>
      <c r="E37">
        <v>-6.8764302059496574E-2</v>
      </c>
    </row>
    <row r="38" spans="1:5" x14ac:dyDescent="0.25">
      <c r="A38" t="s">
        <v>585</v>
      </c>
      <c r="B38">
        <v>40</v>
      </c>
      <c r="C38" t="s">
        <v>500</v>
      </c>
      <c r="D38" t="s">
        <v>585</v>
      </c>
      <c r="E38">
        <v>9.2948373940109352E-2</v>
      </c>
    </row>
    <row r="39" spans="1:5" x14ac:dyDescent="0.25">
      <c r="A39" t="s">
        <v>586</v>
      </c>
      <c r="B39">
        <v>41</v>
      </c>
      <c r="C39" t="s">
        <v>501</v>
      </c>
      <c r="D39" t="s">
        <v>586</v>
      </c>
      <c r="E39">
        <v>-9.0403380247438991E-2</v>
      </c>
    </row>
    <row r="40" spans="1:5" x14ac:dyDescent="0.25">
      <c r="A40" t="s">
        <v>587</v>
      </c>
      <c r="B40">
        <v>42</v>
      </c>
      <c r="C40" t="s">
        <v>502</v>
      </c>
      <c r="D40" t="s">
        <v>587</v>
      </c>
      <c r="E40">
        <v>-1.8763519291714825E-2</v>
      </c>
    </row>
    <row r="41" spans="1:5" x14ac:dyDescent="0.25">
      <c r="A41" t="s">
        <v>588</v>
      </c>
      <c r="B41">
        <v>44</v>
      </c>
      <c r="C41" t="s">
        <v>503</v>
      </c>
      <c r="D41" t="s">
        <v>588</v>
      </c>
      <c r="E41">
        <v>-0.23213679565512557</v>
      </c>
    </row>
    <row r="42" spans="1:5" x14ac:dyDescent="0.25">
      <c r="A42" t="s">
        <v>589</v>
      </c>
      <c r="B42">
        <v>45</v>
      </c>
      <c r="C42" t="s">
        <v>504</v>
      </c>
      <c r="D42" t="s">
        <v>589</v>
      </c>
      <c r="E42">
        <v>-4.2508993261387351E-2</v>
      </c>
    </row>
    <row r="43" spans="1:5" x14ac:dyDescent="0.25">
      <c r="A43" t="s">
        <v>590</v>
      </c>
      <c r="B43">
        <v>46</v>
      </c>
      <c r="C43" t="s">
        <v>505</v>
      </c>
      <c r="D43" t="s">
        <v>590</v>
      </c>
      <c r="E43">
        <v>0.13575684789135756</v>
      </c>
    </row>
    <row r="44" spans="1:5" x14ac:dyDescent="0.25">
      <c r="A44" t="s">
        <v>591</v>
      </c>
      <c r="B44">
        <v>47</v>
      </c>
      <c r="C44" t="s">
        <v>506</v>
      </c>
      <c r="D44" t="s">
        <v>591</v>
      </c>
      <c r="E44">
        <v>1.2907129172128773E-2</v>
      </c>
    </row>
    <row r="45" spans="1:5" x14ac:dyDescent="0.25">
      <c r="A45" t="s">
        <v>592</v>
      </c>
      <c r="B45">
        <v>48</v>
      </c>
      <c r="C45" t="s">
        <v>507</v>
      </c>
      <c r="D45" t="s">
        <v>592</v>
      </c>
      <c r="E45">
        <v>0.17928070079982605</v>
      </c>
    </row>
    <row r="46" spans="1:5" x14ac:dyDescent="0.25">
      <c r="A46" t="s">
        <v>593</v>
      </c>
      <c r="B46">
        <v>49</v>
      </c>
      <c r="C46" t="s">
        <v>508</v>
      </c>
      <c r="D46" t="s">
        <v>593</v>
      </c>
      <c r="E46">
        <v>-3.1866817305775119E-2</v>
      </c>
    </row>
    <row r="47" spans="1:5" x14ac:dyDescent="0.25">
      <c r="A47" t="s">
        <v>594</v>
      </c>
      <c r="B47">
        <v>50</v>
      </c>
      <c r="C47" t="s">
        <v>509</v>
      </c>
      <c r="D47" t="s">
        <v>594</v>
      </c>
      <c r="E47">
        <v>8.4060633899862847E-3</v>
      </c>
    </row>
    <row r="48" spans="1:5" x14ac:dyDescent="0.25">
      <c r="A48" t="s">
        <v>595</v>
      </c>
      <c r="B48">
        <v>51</v>
      </c>
      <c r="C48" t="s">
        <v>510</v>
      </c>
      <c r="D48" t="s">
        <v>595</v>
      </c>
      <c r="E48">
        <v>-0.10610997144121326</v>
      </c>
    </row>
    <row r="49" spans="1:5" x14ac:dyDescent="0.25">
      <c r="A49" t="s">
        <v>596</v>
      </c>
      <c r="B49">
        <v>53</v>
      </c>
      <c r="C49" t="s">
        <v>511</v>
      </c>
      <c r="D49" t="s">
        <v>596</v>
      </c>
      <c r="E49">
        <v>-0.11742828736605659</v>
      </c>
    </row>
    <row r="50" spans="1:5" x14ac:dyDescent="0.25">
      <c r="A50" t="s">
        <v>597</v>
      </c>
      <c r="B50">
        <v>54</v>
      </c>
      <c r="C50" t="s">
        <v>512</v>
      </c>
      <c r="D50" t="s">
        <v>597</v>
      </c>
      <c r="E50">
        <v>4.7220593721686299E-2</v>
      </c>
    </row>
    <row r="51" spans="1:5" x14ac:dyDescent="0.25">
      <c r="A51" t="s">
        <v>598</v>
      </c>
      <c r="B51">
        <v>55</v>
      </c>
      <c r="C51" t="s">
        <v>513</v>
      </c>
      <c r="D51" t="s">
        <v>598</v>
      </c>
      <c r="E51">
        <v>-7.1422292545710309E-2</v>
      </c>
    </row>
    <row r="52" spans="1:5" x14ac:dyDescent="0.25">
      <c r="A52" t="s">
        <v>599</v>
      </c>
      <c r="B52">
        <v>56</v>
      </c>
      <c r="C52" t="s">
        <v>514</v>
      </c>
      <c r="D52" t="s">
        <v>599</v>
      </c>
      <c r="E52">
        <v>5.3212199870214194E-2</v>
      </c>
    </row>
  </sheetData>
  <sortState ref="D2:E52">
    <sortCondition ref="D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1:L62"/>
  <sheetViews>
    <sheetView workbookViewId="0">
      <pane xSplit="1" ySplit="4" topLeftCell="B29" activePane="bottomRight" state="frozen"/>
      <selection pane="topRight"/>
      <selection pane="bottomLeft"/>
      <selection pane="bottomRight" activeCell="D56" sqref="D56"/>
    </sheetView>
  </sheetViews>
  <sheetFormatPr defaultRowHeight="12.75" x14ac:dyDescent="0.2"/>
  <cols>
    <col min="1" max="1" width="23" style="60" customWidth="1"/>
    <col min="2" max="3" width="20.125" style="60" customWidth="1"/>
    <col min="4" max="6" width="7" style="60" customWidth="1"/>
    <col min="7" max="7" width="17.75" style="60" bestFit="1" customWidth="1"/>
    <col min="8" max="8" width="8.125" style="60" bestFit="1" customWidth="1"/>
    <col min="9" max="166" width="7" style="60" customWidth="1"/>
    <col min="167" max="16384" width="9" style="60"/>
  </cols>
  <sheetData>
    <row r="1" spans="1:11" ht="15.75" x14ac:dyDescent="0.25">
      <c r="A1" s="62" t="s">
        <v>663</v>
      </c>
      <c r="B1" s="62"/>
      <c r="C1" s="62"/>
    </row>
    <row r="2" spans="1:11" x14ac:dyDescent="0.2">
      <c r="A2" s="25" t="s">
        <v>662</v>
      </c>
      <c r="B2" s="25"/>
      <c r="C2" s="25"/>
    </row>
    <row r="3" spans="1:11" x14ac:dyDescent="0.2">
      <c r="D3" s="60">
        <v>97</v>
      </c>
      <c r="E3" s="60">
        <v>98</v>
      </c>
      <c r="I3" s="27" t="s">
        <v>714</v>
      </c>
    </row>
    <row r="4" spans="1:11" ht="26.25" thickBot="1" x14ac:dyDescent="0.25">
      <c r="A4" s="24" t="s">
        <v>661</v>
      </c>
      <c r="B4" s="24"/>
      <c r="C4" s="24"/>
      <c r="D4" s="87" t="s">
        <v>994</v>
      </c>
      <c r="E4" s="87" t="s">
        <v>995</v>
      </c>
      <c r="G4" s="92" t="s">
        <v>996</v>
      </c>
    </row>
    <row r="5" spans="1:11" ht="13.5" thickTop="1" x14ac:dyDescent="0.2">
      <c r="A5" s="23" t="s">
        <v>660</v>
      </c>
      <c r="B5" s="26">
        <v>1</v>
      </c>
      <c r="C5" s="23" t="s">
        <v>465</v>
      </c>
      <c r="D5" s="103">
        <v>742.7</v>
      </c>
      <c r="E5" s="103">
        <v>738.05</v>
      </c>
      <c r="G5" s="60">
        <f>+D5*$I$57</f>
        <v>748.31847551373323</v>
      </c>
      <c r="H5" s="33"/>
      <c r="I5" s="47">
        <f t="shared" ref="I5:I55" si="0">E5/G5-1</f>
        <v>-1.3722066004963729E-2</v>
      </c>
      <c r="J5" s="60">
        <f>COUNTIF(I$5:I$55,"&lt;0")</f>
        <v>35</v>
      </c>
      <c r="K5" s="60">
        <f>COUNTIF(I$5:I$55,"&gt;0")</f>
        <v>16</v>
      </c>
    </row>
    <row r="6" spans="1:11" x14ac:dyDescent="0.2">
      <c r="A6" s="23" t="s">
        <v>659</v>
      </c>
      <c r="B6" s="26">
        <v>2</v>
      </c>
      <c r="C6" s="23" t="s">
        <v>466</v>
      </c>
      <c r="D6" s="103">
        <v>950.48</v>
      </c>
      <c r="E6" s="103">
        <v>922.71</v>
      </c>
      <c r="G6" s="60">
        <f t="shared" ref="G6:G56" si="1">+D6*$I$57</f>
        <v>957.67031722942397</v>
      </c>
      <c r="H6" s="33"/>
      <c r="I6" s="47">
        <f t="shared" si="0"/>
        <v>-3.6505587152962482E-2</v>
      </c>
    </row>
    <row r="7" spans="1:11" x14ac:dyDescent="0.2">
      <c r="A7" s="23" t="s">
        <v>658</v>
      </c>
      <c r="B7" s="26">
        <v>4</v>
      </c>
      <c r="C7" s="23" t="s">
        <v>476</v>
      </c>
      <c r="D7" s="103">
        <v>819.81</v>
      </c>
      <c r="E7" s="103">
        <v>780.75</v>
      </c>
      <c r="G7" s="60">
        <f t="shared" si="1"/>
        <v>826.01180747396472</v>
      </c>
      <c r="H7" s="33"/>
      <c r="I7" s="47">
        <f t="shared" si="0"/>
        <v>-5.4795593797115738E-2</v>
      </c>
    </row>
    <row r="8" spans="1:11" x14ac:dyDescent="0.2">
      <c r="A8" s="23" t="s">
        <v>657</v>
      </c>
      <c r="B8" s="26">
        <v>5</v>
      </c>
      <c r="C8" s="23" t="s">
        <v>475</v>
      </c>
      <c r="D8" s="103">
        <v>695.21</v>
      </c>
      <c r="E8" s="103">
        <v>673.03</v>
      </c>
      <c r="G8" s="60">
        <f t="shared" si="1"/>
        <v>700.4692168599737</v>
      </c>
      <c r="H8" s="33"/>
      <c r="I8" s="47">
        <f t="shared" si="0"/>
        <v>-3.9172623435155041E-2</v>
      </c>
    </row>
    <row r="9" spans="1:11" x14ac:dyDescent="0.2">
      <c r="A9" s="23" t="s">
        <v>656</v>
      </c>
      <c r="B9" s="26">
        <v>6</v>
      </c>
      <c r="C9" s="23" t="s">
        <v>467</v>
      </c>
      <c r="D9" s="103">
        <v>965.18</v>
      </c>
      <c r="E9" s="103">
        <v>954.23</v>
      </c>
      <c r="G9" s="60">
        <f t="shared" si="1"/>
        <v>972.48152174006327</v>
      </c>
      <c r="H9" s="33"/>
      <c r="I9" s="47">
        <f t="shared" si="0"/>
        <v>-1.8767988215761422E-2</v>
      </c>
    </row>
    <row r="10" spans="1:11" x14ac:dyDescent="0.2">
      <c r="A10" s="23" t="s">
        <v>655</v>
      </c>
      <c r="B10" s="26">
        <v>8</v>
      </c>
      <c r="C10" s="23" t="s">
        <v>477</v>
      </c>
      <c r="D10" s="103">
        <v>920.32</v>
      </c>
      <c r="E10" s="103">
        <v>898.54</v>
      </c>
      <c r="G10" s="60">
        <f t="shared" si="1"/>
        <v>927.28215885929581</v>
      </c>
      <c r="H10" s="33"/>
      <c r="I10" s="47">
        <f t="shared" si="0"/>
        <v>-3.0996130557125467E-2</v>
      </c>
    </row>
    <row r="11" spans="1:11" x14ac:dyDescent="0.2">
      <c r="A11" s="23" t="s">
        <v>654</v>
      </c>
      <c r="B11" s="26">
        <v>9</v>
      </c>
      <c r="C11" s="23" t="s">
        <v>468</v>
      </c>
      <c r="D11" s="103">
        <v>941.81</v>
      </c>
      <c r="E11" s="103">
        <v>960.6</v>
      </c>
      <c r="G11" s="60">
        <f t="shared" si="1"/>
        <v>948.93472926294476</v>
      </c>
      <c r="H11" s="33"/>
      <c r="I11" s="47">
        <f t="shared" si="0"/>
        <v>1.2293016977169557E-2</v>
      </c>
    </row>
    <row r="12" spans="1:11" x14ac:dyDescent="0.2">
      <c r="A12" s="23" t="s">
        <v>653</v>
      </c>
      <c r="B12" s="26">
        <v>10</v>
      </c>
      <c r="C12" s="23" t="s">
        <v>469</v>
      </c>
      <c r="D12" s="103">
        <v>716.35</v>
      </c>
      <c r="E12" s="103">
        <v>727.04</v>
      </c>
      <c r="G12" s="60">
        <f t="shared" si="1"/>
        <v>721.76913953717894</v>
      </c>
      <c r="H12" s="33"/>
      <c r="I12" s="47">
        <f t="shared" si="0"/>
        <v>7.3026957985498075E-3</v>
      </c>
    </row>
    <row r="13" spans="1:11" x14ac:dyDescent="0.2">
      <c r="A13" s="23" t="s">
        <v>652</v>
      </c>
      <c r="B13" s="26">
        <v>11</v>
      </c>
      <c r="C13" s="23" t="s">
        <v>600</v>
      </c>
      <c r="D13" s="103">
        <v>1455.58</v>
      </c>
      <c r="E13" s="103">
        <v>1379.89</v>
      </c>
      <c r="G13" s="60">
        <f t="shared" si="1"/>
        <v>1466.5913647344551</v>
      </c>
      <c r="H13" s="33"/>
      <c r="I13" s="47">
        <f t="shared" si="0"/>
        <v>-5.9117602093718413E-2</v>
      </c>
    </row>
    <row r="14" spans="1:11" x14ac:dyDescent="0.2">
      <c r="A14" s="23" t="s">
        <v>651</v>
      </c>
      <c r="B14" s="26">
        <v>12</v>
      </c>
      <c r="C14" s="23" t="s">
        <v>470</v>
      </c>
      <c r="D14" s="103">
        <v>768.81</v>
      </c>
      <c r="E14" s="103">
        <v>762.45</v>
      </c>
      <c r="G14" s="60">
        <f t="shared" si="1"/>
        <v>774.62599590644027</v>
      </c>
      <c r="H14" s="33"/>
      <c r="I14" s="47">
        <f t="shared" si="0"/>
        <v>-1.5718548009988065E-2</v>
      </c>
    </row>
    <row r="15" spans="1:11" x14ac:dyDescent="0.2">
      <c r="A15" s="23" t="s">
        <v>650</v>
      </c>
      <c r="B15" s="26">
        <v>13</v>
      </c>
      <c r="C15" s="23" t="s">
        <v>471</v>
      </c>
      <c r="D15" s="103">
        <v>818.63</v>
      </c>
      <c r="E15" s="103">
        <v>832.83</v>
      </c>
      <c r="G15" s="60">
        <f t="shared" si="1"/>
        <v>824.8228808533828</v>
      </c>
      <c r="H15" s="33"/>
      <c r="I15" s="47">
        <f t="shared" si="0"/>
        <v>9.7076831068663161E-3</v>
      </c>
    </row>
    <row r="16" spans="1:11" x14ac:dyDescent="0.2">
      <c r="A16" s="23" t="s">
        <v>649</v>
      </c>
      <c r="B16" s="26">
        <v>15</v>
      </c>
      <c r="C16" s="23" t="s">
        <v>478</v>
      </c>
      <c r="D16" s="103">
        <v>806.4</v>
      </c>
      <c r="E16" s="103">
        <v>810.03</v>
      </c>
      <c r="G16" s="60">
        <f t="shared" si="1"/>
        <v>812.50036172650391</v>
      </c>
      <c r="H16" s="33"/>
      <c r="I16" s="47">
        <f t="shared" si="0"/>
        <v>-3.04044384823976E-3</v>
      </c>
    </row>
    <row r="17" spans="1:9" x14ac:dyDescent="0.2">
      <c r="A17" s="23" t="s">
        <v>648</v>
      </c>
      <c r="B17" s="26">
        <v>16</v>
      </c>
      <c r="C17" s="23" t="s">
        <v>479</v>
      </c>
      <c r="D17" s="103">
        <v>721.93</v>
      </c>
      <c r="E17" s="103">
        <v>724.61</v>
      </c>
      <c r="G17" s="60">
        <f t="shared" si="1"/>
        <v>727.39135186162571</v>
      </c>
      <c r="H17" s="33"/>
      <c r="I17" s="47">
        <f t="shared" si="0"/>
        <v>-3.8237351248503471E-3</v>
      </c>
    </row>
    <row r="18" spans="1:9" x14ac:dyDescent="0.2">
      <c r="A18" s="23" t="s">
        <v>647</v>
      </c>
      <c r="B18" s="26">
        <v>17</v>
      </c>
      <c r="C18" s="23" t="s">
        <v>480</v>
      </c>
      <c r="D18" s="103">
        <v>876.4</v>
      </c>
      <c r="E18" s="103">
        <v>880.64</v>
      </c>
      <c r="G18" s="60">
        <f t="shared" si="1"/>
        <v>883.02990701526289</v>
      </c>
      <c r="H18" s="33"/>
      <c r="I18" s="47">
        <f t="shared" si="0"/>
        <v>-2.7064847931833613E-3</v>
      </c>
    </row>
    <row r="19" spans="1:9" x14ac:dyDescent="0.2">
      <c r="A19" s="23" t="s">
        <v>646</v>
      </c>
      <c r="B19" s="26">
        <v>18</v>
      </c>
      <c r="C19" s="23" t="s">
        <v>481</v>
      </c>
      <c r="D19" s="103">
        <v>788.9</v>
      </c>
      <c r="E19" s="103">
        <v>803.58</v>
      </c>
      <c r="G19" s="60">
        <f t="shared" si="1"/>
        <v>794.86797540431417</v>
      </c>
      <c r="H19" s="33"/>
      <c r="I19" s="47">
        <f t="shared" si="0"/>
        <v>1.0960341673413643E-2</v>
      </c>
    </row>
    <row r="20" spans="1:9" x14ac:dyDescent="0.2">
      <c r="A20" s="23" t="s">
        <v>645</v>
      </c>
      <c r="B20" s="26">
        <v>19</v>
      </c>
      <c r="C20" s="23" t="s">
        <v>482</v>
      </c>
      <c r="D20" s="103">
        <v>773.04</v>
      </c>
      <c r="E20" s="103">
        <v>768.85</v>
      </c>
      <c r="G20" s="60">
        <f t="shared" si="1"/>
        <v>778.88799557174673</v>
      </c>
      <c r="H20" s="33"/>
      <c r="I20" s="47">
        <f t="shared" si="0"/>
        <v>-1.2887598253941812E-2</v>
      </c>
    </row>
    <row r="21" spans="1:9" x14ac:dyDescent="0.2">
      <c r="A21" s="23" t="s">
        <v>644</v>
      </c>
      <c r="B21" s="26">
        <v>20</v>
      </c>
      <c r="C21" s="23" t="s">
        <v>483</v>
      </c>
      <c r="D21" s="103">
        <v>755.16</v>
      </c>
      <c r="E21" s="103">
        <v>772.8</v>
      </c>
      <c r="G21" s="60">
        <f t="shared" si="1"/>
        <v>760.87273457513231</v>
      </c>
      <c r="H21" s="33"/>
      <c r="I21" s="47">
        <f t="shared" si="0"/>
        <v>1.5675769261896066E-2</v>
      </c>
    </row>
    <row r="22" spans="1:9" x14ac:dyDescent="0.2">
      <c r="A22" s="23" t="s">
        <v>643</v>
      </c>
      <c r="B22" s="26">
        <v>21</v>
      </c>
      <c r="C22" s="23" t="s">
        <v>484</v>
      </c>
      <c r="D22" s="103">
        <v>716.24</v>
      </c>
      <c r="E22" s="103">
        <v>740.89</v>
      </c>
      <c r="G22" s="60">
        <f t="shared" si="1"/>
        <v>721.65830739458227</v>
      </c>
      <c r="H22" s="33"/>
      <c r="I22" s="47">
        <f t="shared" si="0"/>
        <v>2.6649305368423359E-2</v>
      </c>
    </row>
    <row r="23" spans="1:9" x14ac:dyDescent="0.2">
      <c r="A23" s="23" t="s">
        <v>642</v>
      </c>
      <c r="B23" s="26">
        <v>22</v>
      </c>
      <c r="C23" s="23" t="s">
        <v>485</v>
      </c>
      <c r="D23" s="103">
        <v>802.5</v>
      </c>
      <c r="E23" s="103">
        <v>804.83</v>
      </c>
      <c r="G23" s="60">
        <f t="shared" si="1"/>
        <v>808.57085848898737</v>
      </c>
      <c r="H23" s="33"/>
      <c r="I23" s="47">
        <f t="shared" si="0"/>
        <v>-4.6265066935234911E-3</v>
      </c>
    </row>
    <row r="24" spans="1:9" x14ac:dyDescent="0.2">
      <c r="A24" s="23" t="s">
        <v>641</v>
      </c>
      <c r="B24" s="26">
        <v>23</v>
      </c>
      <c r="C24" s="23" t="s">
        <v>486</v>
      </c>
      <c r="D24" s="103">
        <v>719.65</v>
      </c>
      <c r="E24" s="103">
        <v>740.43</v>
      </c>
      <c r="G24" s="60">
        <f t="shared" si="1"/>
        <v>725.09410381507757</v>
      </c>
      <c r="H24" s="33"/>
      <c r="I24" s="47">
        <f t="shared" si="0"/>
        <v>2.1150214991726868E-2</v>
      </c>
    </row>
    <row r="25" spans="1:9" x14ac:dyDescent="0.2">
      <c r="A25" s="23" t="s">
        <v>640</v>
      </c>
      <c r="B25" s="26">
        <v>24</v>
      </c>
      <c r="C25" s="23" t="s">
        <v>487</v>
      </c>
      <c r="D25" s="103">
        <v>933.66</v>
      </c>
      <c r="E25" s="103">
        <v>924.05</v>
      </c>
      <c r="G25" s="60">
        <f t="shared" si="1"/>
        <v>940.72307506146774</v>
      </c>
      <c r="H25" s="33"/>
      <c r="I25" s="47">
        <f t="shared" si="0"/>
        <v>-1.7723680330025249E-2</v>
      </c>
    </row>
    <row r="26" spans="1:9" x14ac:dyDescent="0.2">
      <c r="A26" s="23" t="s">
        <v>639</v>
      </c>
      <c r="B26" s="26">
        <v>25</v>
      </c>
      <c r="C26" s="23" t="s">
        <v>488</v>
      </c>
      <c r="D26" s="103">
        <v>991.54</v>
      </c>
      <c r="E26" s="103">
        <v>999.98</v>
      </c>
      <c r="G26" s="60">
        <f t="shared" si="1"/>
        <v>999.04093336594451</v>
      </c>
      <c r="H26" s="33"/>
      <c r="I26" s="47">
        <f t="shared" si="0"/>
        <v>9.3996812612240355E-4</v>
      </c>
    </row>
    <row r="27" spans="1:9" x14ac:dyDescent="0.2">
      <c r="A27" s="23" t="s">
        <v>638</v>
      </c>
      <c r="B27" s="26">
        <v>26</v>
      </c>
      <c r="C27" s="23" t="s">
        <v>489</v>
      </c>
      <c r="D27" s="103">
        <v>807.47</v>
      </c>
      <c r="E27" s="103">
        <v>815.71</v>
      </c>
      <c r="G27" s="60">
        <f t="shared" si="1"/>
        <v>813.57845620448927</v>
      </c>
      <c r="H27" s="33"/>
      <c r="I27" s="47">
        <f t="shared" si="0"/>
        <v>2.6199609628982934E-3</v>
      </c>
    </row>
    <row r="28" spans="1:9" x14ac:dyDescent="0.2">
      <c r="A28" s="23" t="s">
        <v>637</v>
      </c>
      <c r="B28" s="26">
        <v>27</v>
      </c>
      <c r="C28" s="23" t="s">
        <v>490</v>
      </c>
      <c r="D28" s="103">
        <v>881.96</v>
      </c>
      <c r="E28" s="103">
        <v>877.73</v>
      </c>
      <c r="G28" s="60">
        <f t="shared" si="1"/>
        <v>888.63196804105587</v>
      </c>
      <c r="H28" s="33"/>
      <c r="I28" s="47">
        <f t="shared" si="0"/>
        <v>-1.2268260014422716E-2</v>
      </c>
    </row>
    <row r="29" spans="1:9" x14ac:dyDescent="0.2">
      <c r="A29" s="23" t="s">
        <v>636</v>
      </c>
      <c r="B29" s="26">
        <v>28</v>
      </c>
      <c r="C29" s="23" t="s">
        <v>491</v>
      </c>
      <c r="D29" s="103">
        <v>712.61</v>
      </c>
      <c r="E29" s="103">
        <v>692.37</v>
      </c>
      <c r="G29" s="60">
        <f t="shared" si="1"/>
        <v>718.00084668889383</v>
      </c>
      <c r="H29" s="33"/>
      <c r="I29" s="47">
        <f t="shared" si="0"/>
        <v>-3.5697515966857218E-2</v>
      </c>
    </row>
    <row r="30" spans="1:9" x14ac:dyDescent="0.2">
      <c r="A30" s="23" t="s">
        <v>635</v>
      </c>
      <c r="B30" s="26">
        <v>29</v>
      </c>
      <c r="C30" s="23" t="s">
        <v>492</v>
      </c>
      <c r="D30" s="103">
        <v>764.02</v>
      </c>
      <c r="E30" s="103">
        <v>746.79</v>
      </c>
      <c r="G30" s="60">
        <f t="shared" si="1"/>
        <v>769.79975987882381</v>
      </c>
      <c r="H30" s="33"/>
      <c r="I30" s="47">
        <f t="shared" si="0"/>
        <v>-2.9890578145212565E-2</v>
      </c>
    </row>
    <row r="31" spans="1:9" x14ac:dyDescent="0.2">
      <c r="A31" s="23" t="s">
        <v>634</v>
      </c>
      <c r="B31" s="26">
        <v>30</v>
      </c>
      <c r="C31" s="23" t="s">
        <v>493</v>
      </c>
      <c r="D31" s="103">
        <v>702.18</v>
      </c>
      <c r="E31" s="103">
        <v>698.1</v>
      </c>
      <c r="G31" s="60">
        <f t="shared" si="1"/>
        <v>707.49194444086868</v>
      </c>
      <c r="H31" s="33"/>
      <c r="I31" s="47">
        <f t="shared" si="0"/>
        <v>-1.3274984280267854E-2</v>
      </c>
    </row>
    <row r="32" spans="1:9" x14ac:dyDescent="0.2">
      <c r="A32" s="23" t="s">
        <v>633</v>
      </c>
      <c r="B32" s="26">
        <v>31</v>
      </c>
      <c r="C32" s="23" t="s">
        <v>494</v>
      </c>
      <c r="D32" s="103">
        <v>720.19</v>
      </c>
      <c r="E32" s="103">
        <v>740.72</v>
      </c>
      <c r="G32" s="60">
        <f t="shared" si="1"/>
        <v>725.63818887873379</v>
      </c>
      <c r="H32" s="33"/>
      <c r="I32" s="47">
        <f t="shared" si="0"/>
        <v>2.0784202585273137E-2</v>
      </c>
    </row>
    <row r="33" spans="1:9" x14ac:dyDescent="0.2">
      <c r="A33" s="23" t="s">
        <v>632</v>
      </c>
      <c r="B33" s="26">
        <v>32</v>
      </c>
      <c r="C33" s="23" t="s">
        <v>495</v>
      </c>
      <c r="D33" s="103">
        <v>693.84</v>
      </c>
      <c r="E33" s="103">
        <v>711.81</v>
      </c>
      <c r="G33" s="60">
        <f t="shared" si="1"/>
        <v>699.0888529021795</v>
      </c>
      <c r="H33" s="33"/>
      <c r="I33" s="47">
        <f t="shared" si="0"/>
        <v>1.8196752880567546E-2</v>
      </c>
    </row>
    <row r="34" spans="1:9" x14ac:dyDescent="0.2">
      <c r="A34" s="23" t="s">
        <v>631</v>
      </c>
      <c r="B34" s="26">
        <v>33</v>
      </c>
      <c r="C34" s="23" t="s">
        <v>496</v>
      </c>
      <c r="D34" s="103">
        <v>822.43</v>
      </c>
      <c r="E34" s="103">
        <v>807.76</v>
      </c>
      <c r="G34" s="60">
        <f t="shared" si="1"/>
        <v>828.65162759762973</v>
      </c>
      <c r="H34" s="33"/>
      <c r="I34" s="47">
        <f t="shared" si="0"/>
        <v>-2.521159302878262E-2</v>
      </c>
    </row>
    <row r="35" spans="1:9" x14ac:dyDescent="0.2">
      <c r="A35" s="23" t="s">
        <v>630</v>
      </c>
      <c r="B35" s="26">
        <v>34</v>
      </c>
      <c r="C35" s="23" t="s">
        <v>497</v>
      </c>
      <c r="D35" s="103">
        <v>907.53</v>
      </c>
      <c r="E35" s="103">
        <v>921.05</v>
      </c>
      <c r="G35" s="60">
        <f t="shared" si="1"/>
        <v>914.39540337010681</v>
      </c>
      <c r="H35" s="33"/>
      <c r="I35" s="47">
        <f t="shared" si="0"/>
        <v>7.2775919535104094E-3</v>
      </c>
    </row>
    <row r="36" spans="1:9" x14ac:dyDescent="0.2">
      <c r="A36" s="23" t="s">
        <v>629</v>
      </c>
      <c r="B36" s="26">
        <v>35</v>
      </c>
      <c r="C36" s="23" t="s">
        <v>472</v>
      </c>
      <c r="D36" s="103">
        <v>722.05</v>
      </c>
      <c r="E36" s="103">
        <v>707.88</v>
      </c>
      <c r="G36" s="60">
        <f t="shared" si="1"/>
        <v>727.51225965354922</v>
      </c>
      <c r="H36" s="33"/>
      <c r="I36" s="47">
        <f t="shared" si="0"/>
        <v>-2.698546916982314E-2</v>
      </c>
    </row>
    <row r="37" spans="1:9" x14ac:dyDescent="0.2">
      <c r="A37" s="23" t="s">
        <v>628</v>
      </c>
      <c r="B37" s="26">
        <v>36</v>
      </c>
      <c r="C37" s="23" t="s">
        <v>498</v>
      </c>
      <c r="D37" s="103">
        <v>953.27</v>
      </c>
      <c r="E37" s="103">
        <v>955.06</v>
      </c>
      <c r="G37" s="60">
        <f t="shared" si="1"/>
        <v>960.48142339164735</v>
      </c>
      <c r="H37" s="33"/>
      <c r="I37" s="47">
        <f t="shared" si="0"/>
        <v>-5.644485421179013E-3</v>
      </c>
    </row>
    <row r="38" spans="1:9" x14ac:dyDescent="0.2">
      <c r="A38" s="23" t="s">
        <v>627</v>
      </c>
      <c r="B38" s="26">
        <v>37</v>
      </c>
      <c r="C38" s="23" t="s">
        <v>474</v>
      </c>
      <c r="D38" s="103">
        <v>758.2</v>
      </c>
      <c r="E38" s="103">
        <v>760.73</v>
      </c>
      <c r="G38" s="60">
        <f t="shared" si="1"/>
        <v>763.9357319705299</v>
      </c>
      <c r="H38" s="33"/>
      <c r="I38" s="47">
        <f t="shared" si="0"/>
        <v>-4.1963372524294051E-3</v>
      </c>
    </row>
    <row r="39" spans="1:9" x14ac:dyDescent="0.2">
      <c r="A39" s="23" t="s">
        <v>626</v>
      </c>
      <c r="B39" s="26">
        <v>38</v>
      </c>
      <c r="C39" s="23" t="s">
        <v>473</v>
      </c>
      <c r="D39" s="103">
        <v>878.25</v>
      </c>
      <c r="E39" s="103">
        <v>891.07</v>
      </c>
      <c r="G39" s="60">
        <f t="shared" si="1"/>
        <v>884.89390214075161</v>
      </c>
      <c r="H39" s="33"/>
      <c r="I39" s="47">
        <f t="shared" si="0"/>
        <v>6.9794783807495264E-3</v>
      </c>
    </row>
    <row r="40" spans="1:9" x14ac:dyDescent="0.2">
      <c r="A40" s="23" t="s">
        <v>625</v>
      </c>
      <c r="B40" s="26">
        <v>39</v>
      </c>
      <c r="C40" s="23" t="s">
        <v>499</v>
      </c>
      <c r="D40" s="103">
        <v>770.04</v>
      </c>
      <c r="E40" s="103">
        <v>765.4</v>
      </c>
      <c r="G40" s="60">
        <f t="shared" si="1"/>
        <v>775.86530077365705</v>
      </c>
      <c r="H40" s="33"/>
      <c r="I40" s="47">
        <f t="shared" si="0"/>
        <v>-1.3488553700264139E-2</v>
      </c>
    </row>
    <row r="41" spans="1:9" x14ac:dyDescent="0.2">
      <c r="A41" s="23" t="s">
        <v>624</v>
      </c>
      <c r="B41" s="26">
        <v>40</v>
      </c>
      <c r="C41" s="23" t="s">
        <v>500</v>
      </c>
      <c r="D41" s="103">
        <v>759.3</v>
      </c>
      <c r="E41" s="103">
        <v>764.54</v>
      </c>
      <c r="G41" s="60">
        <f t="shared" si="1"/>
        <v>765.044053396496</v>
      </c>
      <c r="H41" s="33"/>
      <c r="I41" s="47">
        <f t="shared" si="0"/>
        <v>-6.5885538781484954E-4</v>
      </c>
    </row>
    <row r="42" spans="1:9" x14ac:dyDescent="0.2">
      <c r="A42" s="23" t="s">
        <v>623</v>
      </c>
      <c r="B42" s="26">
        <v>41</v>
      </c>
      <c r="C42" s="23" t="s">
        <v>501</v>
      </c>
      <c r="D42" s="103">
        <v>786.82</v>
      </c>
      <c r="E42" s="103">
        <v>771.89</v>
      </c>
      <c r="G42" s="60">
        <f t="shared" si="1"/>
        <v>792.77224034430537</v>
      </c>
      <c r="H42" s="33"/>
      <c r="I42" s="47">
        <f t="shared" si="0"/>
        <v>-2.6340781477459552E-2</v>
      </c>
    </row>
    <row r="43" spans="1:9" x14ac:dyDescent="0.2">
      <c r="A43" s="23" t="s">
        <v>622</v>
      </c>
      <c r="B43" s="26">
        <v>42</v>
      </c>
      <c r="C43" s="23" t="s">
        <v>502</v>
      </c>
      <c r="D43" s="103">
        <v>797.33</v>
      </c>
      <c r="E43" s="103">
        <v>801.74</v>
      </c>
      <c r="G43" s="60">
        <f t="shared" si="1"/>
        <v>803.36174778694624</v>
      </c>
      <c r="H43" s="33"/>
      <c r="I43" s="47">
        <f t="shared" si="0"/>
        <v>-2.0187017758982462E-3</v>
      </c>
    </row>
    <row r="44" spans="1:9" x14ac:dyDescent="0.2">
      <c r="A44" s="23" t="s">
        <v>621</v>
      </c>
      <c r="B44" s="26">
        <v>44</v>
      </c>
      <c r="C44" s="23" t="s">
        <v>503</v>
      </c>
      <c r="D44" s="103">
        <v>845.53</v>
      </c>
      <c r="E44" s="103">
        <v>819.89</v>
      </c>
      <c r="G44" s="60">
        <f t="shared" si="1"/>
        <v>851.92637754292014</v>
      </c>
      <c r="H44" s="33"/>
      <c r="I44" s="47">
        <f t="shared" si="0"/>
        <v>-3.7604631559029489E-2</v>
      </c>
    </row>
    <row r="45" spans="1:9" x14ac:dyDescent="0.2">
      <c r="A45" s="23" t="s">
        <v>620</v>
      </c>
      <c r="B45" s="26">
        <v>45</v>
      </c>
      <c r="C45" s="23" t="s">
        <v>504</v>
      </c>
      <c r="D45" s="103">
        <v>738.86</v>
      </c>
      <c r="E45" s="103">
        <v>742.98</v>
      </c>
      <c r="G45" s="60">
        <f t="shared" si="1"/>
        <v>744.44942617217851</v>
      </c>
      <c r="H45" s="33"/>
      <c r="I45" s="47">
        <f t="shared" si="0"/>
        <v>-1.9738428434742383E-3</v>
      </c>
    </row>
    <row r="46" spans="1:9" x14ac:dyDescent="0.2">
      <c r="A46" s="23" t="s">
        <v>619</v>
      </c>
      <c r="B46" s="26">
        <v>46</v>
      </c>
      <c r="C46" s="23" t="s">
        <v>505</v>
      </c>
      <c r="D46" s="103">
        <v>697.39</v>
      </c>
      <c r="E46" s="103">
        <v>698.36</v>
      </c>
      <c r="G46" s="60">
        <f t="shared" si="1"/>
        <v>702.66570841325222</v>
      </c>
      <c r="H46" s="33"/>
      <c r="I46" s="47">
        <f t="shared" si="0"/>
        <v>-6.1276768763560696E-3</v>
      </c>
    </row>
    <row r="47" spans="1:9" x14ac:dyDescent="0.2">
      <c r="A47" s="23" t="s">
        <v>618</v>
      </c>
      <c r="B47" s="26">
        <v>47</v>
      </c>
      <c r="C47" s="23" t="s">
        <v>506</v>
      </c>
      <c r="D47" s="103">
        <v>738.63</v>
      </c>
      <c r="E47" s="103">
        <v>725.06</v>
      </c>
      <c r="G47" s="60">
        <f t="shared" si="1"/>
        <v>744.2176862376582</v>
      </c>
      <c r="H47" s="33"/>
      <c r="I47" s="47">
        <f t="shared" si="0"/>
        <v>-2.5742046436048382E-2</v>
      </c>
    </row>
    <row r="48" spans="1:9" x14ac:dyDescent="0.2">
      <c r="A48" s="23" t="s">
        <v>617</v>
      </c>
      <c r="B48" s="26">
        <v>48</v>
      </c>
      <c r="C48" s="23" t="s">
        <v>507</v>
      </c>
      <c r="D48" s="103">
        <v>855.2</v>
      </c>
      <c r="E48" s="103">
        <v>883.52</v>
      </c>
      <c r="G48" s="60">
        <f t="shared" si="1"/>
        <v>861.66953044209595</v>
      </c>
      <c r="H48" s="33"/>
      <c r="I48" s="47">
        <f t="shared" si="0"/>
        <v>2.5358294318116537E-2</v>
      </c>
    </row>
    <row r="49" spans="1:12" x14ac:dyDescent="0.2">
      <c r="A49" s="23" t="s">
        <v>616</v>
      </c>
      <c r="B49" s="26">
        <v>49</v>
      </c>
      <c r="C49" s="23" t="s">
        <v>508</v>
      </c>
      <c r="D49" s="103">
        <v>826.73</v>
      </c>
      <c r="E49" s="103">
        <v>830.27</v>
      </c>
      <c r="G49" s="60">
        <f t="shared" si="1"/>
        <v>832.98415680822495</v>
      </c>
      <c r="H49" s="33"/>
      <c r="I49" s="47">
        <f t="shared" si="0"/>
        <v>-3.2583534585157725E-3</v>
      </c>
    </row>
    <row r="50" spans="1:12" x14ac:dyDescent="0.2">
      <c r="A50" s="23" t="s">
        <v>615</v>
      </c>
      <c r="B50" s="26">
        <v>50</v>
      </c>
      <c r="C50" s="23" t="s">
        <v>509</v>
      </c>
      <c r="D50" s="103">
        <v>767.76</v>
      </c>
      <c r="E50" s="103">
        <v>763.55</v>
      </c>
      <c r="G50" s="60">
        <f t="shared" si="1"/>
        <v>773.56805272710892</v>
      </c>
      <c r="H50" s="33"/>
      <c r="I50" s="47">
        <f t="shared" si="0"/>
        <v>-1.2950447852379199E-2</v>
      </c>
    </row>
    <row r="51" spans="1:12" x14ac:dyDescent="0.2">
      <c r="A51" s="23" t="s">
        <v>614</v>
      </c>
      <c r="B51" s="26">
        <v>51</v>
      </c>
      <c r="C51" s="23" t="s">
        <v>510</v>
      </c>
      <c r="D51" s="103">
        <v>896.14</v>
      </c>
      <c r="E51" s="103">
        <v>893.09</v>
      </c>
      <c r="G51" s="60">
        <f t="shared" si="1"/>
        <v>902.91923878669297</v>
      </c>
      <c r="H51" s="33"/>
      <c r="I51" s="47">
        <f t="shared" si="0"/>
        <v>-1.0886066399361516E-2</v>
      </c>
    </row>
    <row r="52" spans="1:12" x14ac:dyDescent="0.2">
      <c r="A52" s="23" t="s">
        <v>613</v>
      </c>
      <c r="B52" s="26">
        <v>53</v>
      </c>
      <c r="C52" s="23" t="s">
        <v>511</v>
      </c>
      <c r="D52" s="103">
        <v>967.76</v>
      </c>
      <c r="E52" s="103">
        <v>983.78</v>
      </c>
      <c r="G52" s="60">
        <f t="shared" si="1"/>
        <v>975.08103926642048</v>
      </c>
      <c r="H52" s="33"/>
      <c r="I52" s="47">
        <f t="shared" si="0"/>
        <v>8.9212694978910712E-3</v>
      </c>
    </row>
    <row r="53" spans="1:12" x14ac:dyDescent="0.2">
      <c r="A53" s="23" t="s">
        <v>612</v>
      </c>
      <c r="B53" s="26">
        <v>54</v>
      </c>
      <c r="C53" s="23" t="s">
        <v>512</v>
      </c>
      <c r="D53" s="103">
        <v>704.15</v>
      </c>
      <c r="E53" s="103">
        <v>719.2</v>
      </c>
      <c r="G53" s="60">
        <f t="shared" si="1"/>
        <v>709.47684735828091</v>
      </c>
      <c r="H53" s="33"/>
      <c r="I53" s="47">
        <f t="shared" si="0"/>
        <v>1.3704679268848663E-2</v>
      </c>
    </row>
    <row r="54" spans="1:12" x14ac:dyDescent="0.2">
      <c r="A54" s="23" t="s">
        <v>611</v>
      </c>
      <c r="B54" s="26">
        <v>55</v>
      </c>
      <c r="C54" s="23" t="s">
        <v>513</v>
      </c>
      <c r="D54" s="103">
        <v>785.9</v>
      </c>
      <c r="E54" s="103">
        <v>786.48</v>
      </c>
      <c r="G54" s="60">
        <f t="shared" si="1"/>
        <v>791.84528060622449</v>
      </c>
      <c r="H54" s="33"/>
      <c r="I54" s="47">
        <f t="shared" si="0"/>
        <v>-6.7756678452599584E-3</v>
      </c>
    </row>
    <row r="55" spans="1:12" x14ac:dyDescent="0.2">
      <c r="A55" s="23" t="s">
        <v>610</v>
      </c>
      <c r="B55" s="26">
        <v>56</v>
      </c>
      <c r="C55" s="23" t="s">
        <v>514</v>
      </c>
      <c r="D55" s="103">
        <v>826.1</v>
      </c>
      <c r="E55" s="103">
        <v>816.66</v>
      </c>
      <c r="G55" s="60">
        <f t="shared" si="1"/>
        <v>832.34939090062608</v>
      </c>
      <c r="H55" s="33"/>
      <c r="I55" s="47">
        <f t="shared" si="0"/>
        <v>-1.8849525298083925E-2</v>
      </c>
    </row>
    <row r="56" spans="1:12" x14ac:dyDescent="0.2">
      <c r="A56" s="45" t="s">
        <v>712</v>
      </c>
      <c r="C56" s="48" t="s">
        <v>608</v>
      </c>
      <c r="D56" s="89">
        <v>843.21</v>
      </c>
      <c r="E56" s="88">
        <v>849.78</v>
      </c>
      <c r="F56" s="49"/>
      <c r="G56" s="60">
        <f t="shared" si="1"/>
        <v>849.5888268990642</v>
      </c>
      <c r="H56" s="33"/>
      <c r="I56" s="47">
        <f>E56/G56-1</f>
        <v>2.2501837934174596E-4</v>
      </c>
    </row>
    <row r="57" spans="1:12" x14ac:dyDescent="0.2">
      <c r="A57" s="45" t="s">
        <v>711</v>
      </c>
      <c r="C57" s="27" t="s">
        <v>669</v>
      </c>
      <c r="D57" s="91">
        <v>233.04900000000001</v>
      </c>
      <c r="E57" s="90">
        <v>234.81200000000001</v>
      </c>
      <c r="H57" s="33"/>
      <c r="I57" s="47">
        <f>E57/D57</f>
        <v>1.0075649326965574</v>
      </c>
    </row>
    <row r="58" spans="1:12" x14ac:dyDescent="0.2">
      <c r="L58" s="27" t="s">
        <v>715</v>
      </c>
    </row>
    <row r="60" spans="1:12" x14ac:dyDescent="0.2">
      <c r="A60" s="27" t="s">
        <v>715</v>
      </c>
      <c r="C60" s="46" t="s">
        <v>713</v>
      </c>
      <c r="D60" s="60">
        <f>+$E$57/D57</f>
        <v>1.0075649326965574</v>
      </c>
      <c r="E60" s="60">
        <f>+$E$57/E57</f>
        <v>1</v>
      </c>
    </row>
    <row r="61" spans="1:12" x14ac:dyDescent="0.2">
      <c r="D61" s="60">
        <f t="shared" ref="D61:E61" si="2">+D60*D56</f>
        <v>849.5888268990642</v>
      </c>
      <c r="E61" s="60">
        <f t="shared" si="2"/>
        <v>849.78</v>
      </c>
    </row>
    <row r="62" spans="1:12" x14ac:dyDescent="0.2">
      <c r="A62" s="27" t="s">
        <v>715</v>
      </c>
    </row>
  </sheetData>
  <conditionalFormatting sqref="H5:H55">
    <cfRule type="cellIs" dxfId="3" priority="4" operator="lessThan">
      <formula>0</formula>
    </cfRule>
  </conditionalFormatting>
  <conditionalFormatting sqref="I5:I56">
    <cfRule type="cellIs" dxfId="2" priority="3" operator="lessThan">
      <formula>0</formula>
    </cfRule>
  </conditionalFormatting>
  <conditionalFormatting sqref="H56:H57">
    <cfRule type="cellIs" dxfId="1" priority="2" operator="lessThan">
      <formula>0</formula>
    </cfRule>
  </conditionalFormatting>
  <conditionalFormatting sqref="I5:I57">
    <cfRule type="cellIs" dxfId="0" priority="1" operator="lessThan">
      <formula>0</formula>
    </cfRule>
  </conditionalFormatting>
  <pageMargins left="0.75" right="0.75" top="1" bottom="1" header="0.5" footer="0.5"/>
  <pageSetup orientation="landscape" horizontalDpi="300" verticalDpi="300" r:id="rId1"/>
  <headerFooter alignWithMargins="0">
    <oddHeader>&amp;CBureau of Labor Statistics&amp;L&amp;R</oddHeader>
    <oddFooter>&amp;C&amp;LSource: Bureau of Labor Statistics&amp;RGenerated on: December 24, 2013 (03:40:28 PM)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783"/>
  <sheetViews>
    <sheetView topLeftCell="A76" workbookViewId="0">
      <selection activeCell="F103" sqref="F103"/>
    </sheetView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  <col min="17" max="17" width="11.875" style="34"/>
    <col min="18" max="18" width="11.875" style="1"/>
    <col min="19" max="19" width="11.875" style="34"/>
    <col min="20" max="20" width="11.875" style="1"/>
    <col min="21" max="21" width="11.875" style="34"/>
    <col min="22" max="22" width="11.875" style="1"/>
  </cols>
  <sheetData>
    <row r="1" spans="1:22" x14ac:dyDescent="0.25">
      <c r="A1" s="34" t="s">
        <v>0</v>
      </c>
      <c r="C1" s="34" t="s">
        <v>822</v>
      </c>
      <c r="E1" s="34" t="s">
        <v>1</v>
      </c>
      <c r="G1" s="34" t="s">
        <v>2</v>
      </c>
      <c r="I1" s="34" t="s">
        <v>19</v>
      </c>
      <c r="K1" s="34" t="s">
        <v>670</v>
      </c>
      <c r="M1" s="34" t="s">
        <v>710</v>
      </c>
      <c r="O1" s="34" t="s">
        <v>824</v>
      </c>
      <c r="Q1" s="34" t="s">
        <v>685</v>
      </c>
      <c r="S1" s="34" t="s">
        <v>540</v>
      </c>
      <c r="U1" s="34" t="s">
        <v>688</v>
      </c>
    </row>
    <row r="2" spans="1:22" x14ac:dyDescent="0.25">
      <c r="A2" s="34" t="s">
        <v>3</v>
      </c>
      <c r="B2" s="1" t="s">
        <v>6</v>
      </c>
      <c r="C2" s="34" t="s">
        <v>3</v>
      </c>
      <c r="D2" s="1" t="s">
        <v>10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827</v>
      </c>
      <c r="Q2" s="34" t="s">
        <v>3</v>
      </c>
      <c r="R2" s="1" t="s">
        <v>687</v>
      </c>
      <c r="S2" s="34" t="s">
        <v>3</v>
      </c>
      <c r="T2" s="1" t="s">
        <v>6</v>
      </c>
      <c r="U2" s="34" t="s">
        <v>3</v>
      </c>
      <c r="V2" s="1" t="s">
        <v>6</v>
      </c>
    </row>
    <row r="3" spans="1:22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825</v>
      </c>
      <c r="P3" s="1" t="s">
        <v>823</v>
      </c>
      <c r="Q3" s="34" t="s">
        <v>7</v>
      </c>
      <c r="R3" s="1" t="s">
        <v>5</v>
      </c>
      <c r="S3" s="34" t="s">
        <v>7</v>
      </c>
      <c r="T3" s="1" t="s">
        <v>5</v>
      </c>
      <c r="U3" s="34" t="s">
        <v>7</v>
      </c>
      <c r="V3" s="1" t="s">
        <v>5</v>
      </c>
    </row>
    <row r="4" spans="1:22" x14ac:dyDescent="0.25">
      <c r="A4" s="34">
        <v>39083</v>
      </c>
      <c r="B4" s="1" t="s">
        <v>985</v>
      </c>
      <c r="C4" s="34">
        <v>39083</v>
      </c>
      <c r="D4" s="1" t="s">
        <v>992</v>
      </c>
      <c r="E4" s="34">
        <v>39083</v>
      </c>
      <c r="F4" s="1" t="s">
        <v>993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985</v>
      </c>
      <c r="O4" s="34">
        <v>39083</v>
      </c>
      <c r="P4" s="1" t="s">
        <v>964</v>
      </c>
      <c r="Q4" s="34">
        <v>39083</v>
      </c>
      <c r="R4" s="1" t="s">
        <v>989</v>
      </c>
      <c r="S4" s="34">
        <v>39083</v>
      </c>
      <c r="T4" s="1" t="s">
        <v>985</v>
      </c>
      <c r="U4" s="34">
        <v>39083</v>
      </c>
      <c r="V4" s="1" t="s">
        <v>985</v>
      </c>
    </row>
    <row r="5" spans="1:22" x14ac:dyDescent="0.25">
      <c r="A5" s="35" t="s">
        <v>4</v>
      </c>
      <c r="C5" s="35" t="s">
        <v>962</v>
      </c>
      <c r="E5" s="35" t="s">
        <v>11</v>
      </c>
      <c r="G5" s="35" t="s">
        <v>13</v>
      </c>
      <c r="I5" s="35" t="s">
        <v>20</v>
      </c>
      <c r="K5" s="35" t="s">
        <v>4</v>
      </c>
      <c r="M5" s="35" t="s">
        <v>541</v>
      </c>
      <c r="O5" s="35" t="s">
        <v>826</v>
      </c>
      <c r="Q5" s="35" t="s">
        <v>686</v>
      </c>
      <c r="S5" s="35" t="s">
        <v>541</v>
      </c>
      <c r="U5" s="35" t="s">
        <v>689</v>
      </c>
    </row>
    <row r="6" spans="1:22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963</v>
      </c>
      <c r="Q6" s="34" t="s">
        <v>953</v>
      </c>
      <c r="S6" s="34" t="s">
        <v>953</v>
      </c>
      <c r="U6" s="34" t="s">
        <v>953</v>
      </c>
    </row>
    <row r="7" spans="1:22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  <c r="Q7" s="34" t="s">
        <v>8</v>
      </c>
      <c r="R7" s="1" t="s">
        <v>9</v>
      </c>
      <c r="S7" s="34" t="s">
        <v>8</v>
      </c>
      <c r="T7" s="1" t="s">
        <v>9</v>
      </c>
      <c r="U7" s="34" t="s">
        <v>8</v>
      </c>
      <c r="V7" s="1" t="s">
        <v>9</v>
      </c>
    </row>
    <row r="8" spans="1:22" x14ac:dyDescent="0.25">
      <c r="A8" s="34">
        <v>39083</v>
      </c>
      <c r="B8" s="1">
        <v>137448</v>
      </c>
      <c r="C8" s="34">
        <v>39083</v>
      </c>
      <c r="D8" s="1">
        <v>114.1</v>
      </c>
      <c r="E8" s="34">
        <v>39083</v>
      </c>
      <c r="F8" s="1">
        <v>4.5999999999999996</v>
      </c>
      <c r="G8" s="34">
        <v>39083</v>
      </c>
      <c r="H8" s="1">
        <v>1.04</v>
      </c>
      <c r="I8" s="34">
        <v>39083</v>
      </c>
      <c r="J8" s="1">
        <v>145.61000000000001</v>
      </c>
      <c r="K8" s="34">
        <v>39083</v>
      </c>
      <c r="L8" s="1">
        <v>135276</v>
      </c>
      <c r="M8" s="34">
        <v>39083</v>
      </c>
      <c r="N8" s="1">
        <v>21974</v>
      </c>
      <c r="O8" s="34">
        <v>39083</v>
      </c>
      <c r="P8" s="1">
        <v>14873.734</v>
      </c>
      <c r="Q8" s="34">
        <v>39083</v>
      </c>
      <c r="R8" s="1">
        <v>203.43700000000001</v>
      </c>
      <c r="S8" s="34">
        <v>39083</v>
      </c>
      <c r="T8" s="1">
        <v>22095</v>
      </c>
      <c r="U8" s="34">
        <v>39083</v>
      </c>
      <c r="V8" s="1">
        <v>2731</v>
      </c>
    </row>
    <row r="9" spans="1:22" x14ac:dyDescent="0.25">
      <c r="A9" s="34">
        <v>39114</v>
      </c>
      <c r="B9" s="1">
        <v>137536</v>
      </c>
      <c r="C9" s="34">
        <v>39114</v>
      </c>
      <c r="D9" s="1">
        <v>112.1</v>
      </c>
      <c r="E9" s="34">
        <v>39114</v>
      </c>
      <c r="F9" s="1">
        <v>4.5</v>
      </c>
      <c r="G9" s="34">
        <v>39114</v>
      </c>
      <c r="H9" s="1">
        <v>0.85</v>
      </c>
      <c r="I9" s="34">
        <v>39114</v>
      </c>
      <c r="J9" s="1">
        <v>145.9</v>
      </c>
      <c r="K9" s="34">
        <v>39114</v>
      </c>
      <c r="L9" s="1">
        <v>135966</v>
      </c>
      <c r="M9" s="34">
        <v>39114</v>
      </c>
      <c r="N9" s="1">
        <v>22445</v>
      </c>
      <c r="O9" s="34">
        <v>39448</v>
      </c>
      <c r="P9" s="1">
        <v>14830.359</v>
      </c>
      <c r="Q9" s="34">
        <v>39114</v>
      </c>
      <c r="R9" s="1">
        <v>204.226</v>
      </c>
      <c r="S9" s="34">
        <v>39114</v>
      </c>
      <c r="T9" s="1">
        <v>22131</v>
      </c>
      <c r="U9" s="34">
        <v>39114</v>
      </c>
      <c r="V9" s="1">
        <v>2732</v>
      </c>
    </row>
    <row r="10" spans="1:22" x14ac:dyDescent="0.25">
      <c r="A10" s="34">
        <v>39142</v>
      </c>
      <c r="B10" s="1">
        <v>137724</v>
      </c>
      <c r="C10" s="34">
        <v>39142</v>
      </c>
      <c r="D10" s="1">
        <v>139.4</v>
      </c>
      <c r="E10" s="34">
        <v>39142</v>
      </c>
      <c r="F10" s="1">
        <v>4.4000000000000004</v>
      </c>
      <c r="G10" s="34">
        <v>39142</v>
      </c>
      <c r="H10" s="1">
        <v>0.99</v>
      </c>
      <c r="I10" s="34">
        <v>39142</v>
      </c>
      <c r="J10" s="1">
        <v>146.19</v>
      </c>
      <c r="K10" s="34">
        <v>39142</v>
      </c>
      <c r="L10" s="1">
        <v>136862</v>
      </c>
      <c r="M10" s="34">
        <v>39142</v>
      </c>
      <c r="N10" s="1">
        <v>22550</v>
      </c>
      <c r="O10" s="34">
        <v>39814</v>
      </c>
      <c r="P10" s="1">
        <v>14418.739</v>
      </c>
      <c r="Q10" s="34">
        <v>39142</v>
      </c>
      <c r="R10" s="1">
        <v>205.28800000000001</v>
      </c>
      <c r="S10" s="34">
        <v>39142</v>
      </c>
      <c r="T10" s="1">
        <v>22149</v>
      </c>
      <c r="U10" s="34">
        <v>39142</v>
      </c>
      <c r="V10" s="1">
        <v>2731</v>
      </c>
    </row>
    <row r="11" spans="1:22" x14ac:dyDescent="0.25">
      <c r="A11" s="34">
        <v>39173</v>
      </c>
      <c r="B11" s="1">
        <v>137802</v>
      </c>
      <c r="C11" s="34">
        <v>39173</v>
      </c>
      <c r="D11" s="1">
        <v>130.9</v>
      </c>
      <c r="E11" s="34">
        <v>39173</v>
      </c>
      <c r="F11" s="1">
        <v>4.5</v>
      </c>
      <c r="G11" s="34">
        <v>39173</v>
      </c>
      <c r="H11" s="1">
        <v>0.63</v>
      </c>
      <c r="I11" s="34">
        <v>39173</v>
      </c>
      <c r="J11" s="1">
        <v>146.4</v>
      </c>
      <c r="K11" s="34">
        <v>39173</v>
      </c>
      <c r="L11" s="1">
        <v>137668</v>
      </c>
      <c r="M11" s="34">
        <v>39173</v>
      </c>
      <c r="N11" s="1">
        <v>22568</v>
      </c>
      <c r="O11" s="34">
        <v>40179</v>
      </c>
      <c r="P11" s="1">
        <v>14783.808999999999</v>
      </c>
      <c r="Q11" s="34">
        <v>39173</v>
      </c>
      <c r="R11" s="1">
        <v>205.904</v>
      </c>
      <c r="S11" s="34">
        <v>39173</v>
      </c>
      <c r="T11" s="1">
        <v>22175</v>
      </c>
      <c r="U11" s="34">
        <v>39173</v>
      </c>
      <c r="V11" s="1">
        <v>2732</v>
      </c>
    </row>
    <row r="12" spans="1:22" x14ac:dyDescent="0.25">
      <c r="A12" s="34">
        <v>39203</v>
      </c>
      <c r="B12" s="1">
        <v>137946</v>
      </c>
      <c r="C12" s="34">
        <v>39203</v>
      </c>
      <c r="D12" s="1">
        <v>146</v>
      </c>
      <c r="E12" s="34">
        <v>39203</v>
      </c>
      <c r="F12" s="1">
        <v>4.4000000000000004</v>
      </c>
      <c r="G12" s="34">
        <v>39203</v>
      </c>
      <c r="H12" s="1">
        <v>0.75</v>
      </c>
      <c r="I12" s="34">
        <v>39203</v>
      </c>
      <c r="J12" s="1">
        <v>146.62</v>
      </c>
      <c r="K12" s="34">
        <v>39203</v>
      </c>
      <c r="L12" s="1">
        <v>138611</v>
      </c>
      <c r="M12" s="34">
        <v>39203</v>
      </c>
      <c r="N12" s="1">
        <v>22585</v>
      </c>
      <c r="O12" s="34">
        <v>40544</v>
      </c>
      <c r="P12" s="1">
        <v>15020.565000000001</v>
      </c>
      <c r="Q12" s="34">
        <v>39203</v>
      </c>
      <c r="R12" s="1">
        <v>206.755</v>
      </c>
      <c r="S12" s="34">
        <v>39203</v>
      </c>
      <c r="T12" s="1">
        <v>22193</v>
      </c>
      <c r="U12" s="34">
        <v>39203</v>
      </c>
      <c r="V12" s="1">
        <v>2733</v>
      </c>
    </row>
    <row r="13" spans="1:22" x14ac:dyDescent="0.25">
      <c r="A13" s="34">
        <v>39234</v>
      </c>
      <c r="B13" s="1">
        <v>138017</v>
      </c>
      <c r="C13" s="34">
        <v>39234</v>
      </c>
      <c r="D13" s="1">
        <v>135.6</v>
      </c>
      <c r="E13" s="34">
        <v>39234</v>
      </c>
      <c r="F13" s="1">
        <v>4.5999999999999996</v>
      </c>
      <c r="G13" s="34">
        <v>39234</v>
      </c>
      <c r="H13" s="1">
        <v>0.46</v>
      </c>
      <c r="I13" s="34">
        <v>39234</v>
      </c>
      <c r="J13" s="1">
        <v>146.79</v>
      </c>
      <c r="K13" s="34">
        <v>39234</v>
      </c>
      <c r="L13" s="1">
        <v>139114</v>
      </c>
      <c r="M13" s="34">
        <v>39234</v>
      </c>
      <c r="N13" s="1">
        <v>22176</v>
      </c>
      <c r="O13" s="34">
        <v>40909</v>
      </c>
      <c r="P13" s="1">
        <v>15369.205</v>
      </c>
      <c r="Q13" s="34">
        <v>39234</v>
      </c>
      <c r="R13" s="1">
        <v>207.23400000000001</v>
      </c>
      <c r="S13" s="34">
        <v>39234</v>
      </c>
      <c r="T13" s="1">
        <v>22207</v>
      </c>
      <c r="U13" s="34">
        <v>39234</v>
      </c>
      <c r="V13" s="1">
        <v>2729</v>
      </c>
    </row>
    <row r="14" spans="1:22" x14ac:dyDescent="0.25">
      <c r="A14" s="34">
        <v>39264</v>
      </c>
      <c r="B14" s="1">
        <v>137984</v>
      </c>
      <c r="C14" s="34">
        <v>39264</v>
      </c>
      <c r="D14" s="1">
        <v>122.5</v>
      </c>
      <c r="E14" s="34">
        <v>39264</v>
      </c>
      <c r="F14" s="1">
        <v>4.7</v>
      </c>
      <c r="G14" s="34">
        <v>39264</v>
      </c>
      <c r="H14" s="1">
        <v>0.34</v>
      </c>
      <c r="I14" s="34">
        <v>39264</v>
      </c>
      <c r="J14" s="1">
        <v>146.91999999999999</v>
      </c>
      <c r="K14" s="34">
        <v>39264</v>
      </c>
      <c r="L14" s="1">
        <v>137715</v>
      </c>
      <c r="M14" s="34">
        <v>39264</v>
      </c>
      <c r="N14" s="1">
        <v>20963</v>
      </c>
      <c r="O14" s="34">
        <v>41275</v>
      </c>
      <c r="P14" s="1">
        <v>15710.295</v>
      </c>
      <c r="Q14" s="34">
        <v>39264</v>
      </c>
      <c r="R14" s="1">
        <v>207.60300000000001</v>
      </c>
      <c r="S14" s="34">
        <v>39264</v>
      </c>
      <c r="T14" s="1">
        <v>22171</v>
      </c>
      <c r="U14" s="34">
        <v>39264</v>
      </c>
      <c r="V14" s="1">
        <v>2727</v>
      </c>
    </row>
    <row r="15" spans="1:22" x14ac:dyDescent="0.25">
      <c r="A15" s="34">
        <v>39295</v>
      </c>
      <c r="B15" s="1">
        <v>137968</v>
      </c>
      <c r="C15" s="34">
        <v>39295</v>
      </c>
      <c r="D15" s="1">
        <v>126</v>
      </c>
      <c r="E15" s="34">
        <v>39295</v>
      </c>
      <c r="F15" s="1">
        <v>4.5999999999999996</v>
      </c>
      <c r="G15" s="34">
        <v>39295</v>
      </c>
      <c r="H15" s="1">
        <v>0.49</v>
      </c>
      <c r="I15" s="34">
        <v>39295</v>
      </c>
      <c r="J15" s="1">
        <v>147.11000000000001</v>
      </c>
      <c r="K15" s="34">
        <v>39295</v>
      </c>
      <c r="L15" s="1">
        <v>137826</v>
      </c>
      <c r="M15" s="34">
        <v>39295</v>
      </c>
      <c r="N15" s="1">
        <v>21077</v>
      </c>
      <c r="O15" s="34">
        <v>41640</v>
      </c>
      <c r="P15" s="1" t="e">
        <f>NA()</f>
        <v>#N/A</v>
      </c>
      <c r="Q15" s="34">
        <v>39295</v>
      </c>
      <c r="R15" s="1">
        <v>207.667</v>
      </c>
      <c r="S15" s="34">
        <v>39295</v>
      </c>
      <c r="T15" s="1">
        <v>22226</v>
      </c>
      <c r="U15" s="34">
        <v>39295</v>
      </c>
      <c r="V15" s="1">
        <v>2738</v>
      </c>
    </row>
    <row r="16" spans="1:22" x14ac:dyDescent="0.25">
      <c r="A16" s="34">
        <v>39326</v>
      </c>
      <c r="B16" s="1">
        <v>138053</v>
      </c>
      <c r="C16" s="34">
        <v>39326</v>
      </c>
      <c r="D16" s="1">
        <v>100.5</v>
      </c>
      <c r="E16" s="34">
        <v>39326</v>
      </c>
      <c r="F16" s="1">
        <v>4.7</v>
      </c>
      <c r="G16" s="34">
        <v>39326</v>
      </c>
      <c r="H16" s="1">
        <v>0.4</v>
      </c>
      <c r="I16" s="34">
        <v>39326</v>
      </c>
      <c r="J16" s="1">
        <v>147.28</v>
      </c>
      <c r="K16" s="34">
        <v>39326</v>
      </c>
      <c r="L16" s="1">
        <v>138391</v>
      </c>
      <c r="M16" s="34">
        <v>39326</v>
      </c>
      <c r="N16" s="1">
        <v>22086</v>
      </c>
      <c r="Q16" s="34">
        <v>39326</v>
      </c>
      <c r="R16" s="1">
        <v>208.547</v>
      </c>
      <c r="S16" s="34">
        <v>39326</v>
      </c>
      <c r="T16" s="1">
        <v>22279</v>
      </c>
      <c r="U16" s="34">
        <v>39326</v>
      </c>
      <c r="V16" s="1">
        <v>2737</v>
      </c>
    </row>
    <row r="17" spans="1:22" x14ac:dyDescent="0.25">
      <c r="A17" s="34">
        <v>39356</v>
      </c>
      <c r="B17" s="1">
        <v>138135</v>
      </c>
      <c r="C17" s="34">
        <v>39356</v>
      </c>
      <c r="D17" s="1">
        <v>103.8</v>
      </c>
      <c r="E17" s="34">
        <v>39356</v>
      </c>
      <c r="F17" s="1">
        <v>4.7</v>
      </c>
      <c r="G17" s="34">
        <v>39356</v>
      </c>
      <c r="H17" s="1">
        <v>0.4</v>
      </c>
      <c r="I17" s="34">
        <v>39356</v>
      </c>
      <c r="J17" s="1">
        <v>147.41</v>
      </c>
      <c r="K17" s="34">
        <v>39356</v>
      </c>
      <c r="L17" s="1">
        <v>139132</v>
      </c>
      <c r="M17" s="34">
        <v>39356</v>
      </c>
      <c r="N17" s="1">
        <v>22657</v>
      </c>
      <c r="Q17" s="34">
        <v>39356</v>
      </c>
      <c r="R17" s="1">
        <v>209.19</v>
      </c>
      <c r="S17" s="34">
        <v>39356</v>
      </c>
      <c r="T17" s="1">
        <v>22297</v>
      </c>
      <c r="U17" s="34">
        <v>39356</v>
      </c>
      <c r="V17" s="1">
        <v>2734</v>
      </c>
    </row>
    <row r="18" spans="1:22" x14ac:dyDescent="0.25">
      <c r="A18" s="34">
        <v>39387</v>
      </c>
      <c r="B18" s="1">
        <v>138253</v>
      </c>
      <c r="C18" s="34">
        <v>39387</v>
      </c>
      <c r="D18" s="1">
        <v>89.5</v>
      </c>
      <c r="E18" s="34">
        <v>39387</v>
      </c>
      <c r="F18" s="1">
        <v>4.7</v>
      </c>
      <c r="G18" s="34">
        <v>39387</v>
      </c>
      <c r="H18" s="1">
        <v>0.28000000000000003</v>
      </c>
      <c r="I18" s="34">
        <v>39387</v>
      </c>
      <c r="J18" s="1">
        <v>147.57</v>
      </c>
      <c r="K18" s="34">
        <v>39387</v>
      </c>
      <c r="L18" s="1">
        <v>139443</v>
      </c>
      <c r="M18" s="34">
        <v>39387</v>
      </c>
      <c r="N18" s="1">
        <v>22799</v>
      </c>
      <c r="Q18" s="34">
        <v>39387</v>
      </c>
      <c r="R18" s="1">
        <v>210.834</v>
      </c>
      <c r="S18" s="34">
        <v>39387</v>
      </c>
      <c r="T18" s="1">
        <v>22334</v>
      </c>
      <c r="U18" s="34">
        <v>39387</v>
      </c>
      <c r="V18" s="1">
        <v>2744</v>
      </c>
    </row>
    <row r="19" spans="1:22" x14ac:dyDescent="0.25">
      <c r="A19" s="34">
        <v>39417</v>
      </c>
      <c r="B19" s="1">
        <v>138350</v>
      </c>
      <c r="C19" s="34">
        <v>39417</v>
      </c>
      <c r="D19" s="1">
        <v>77.8</v>
      </c>
      <c r="E19" s="34">
        <v>39417</v>
      </c>
      <c r="F19" s="1">
        <v>5</v>
      </c>
      <c r="G19" s="34">
        <v>39417</v>
      </c>
      <c r="H19" s="1">
        <v>0.14000000000000001</v>
      </c>
      <c r="I19" s="34">
        <v>39417</v>
      </c>
      <c r="J19" s="1">
        <v>147.69</v>
      </c>
      <c r="K19" s="34">
        <v>39417</v>
      </c>
      <c r="L19" s="1">
        <v>139231</v>
      </c>
      <c r="M19" s="34">
        <v>39417</v>
      </c>
      <c r="N19" s="1">
        <v>22738</v>
      </c>
      <c r="Q19" s="34">
        <v>39417</v>
      </c>
      <c r="R19" s="1">
        <v>211.44499999999999</v>
      </c>
      <c r="S19" s="34">
        <v>39417</v>
      </c>
      <c r="T19" s="1">
        <v>22376</v>
      </c>
      <c r="U19" s="34">
        <v>39417</v>
      </c>
      <c r="V19" s="1">
        <v>2756</v>
      </c>
    </row>
    <row r="20" spans="1:22" x14ac:dyDescent="0.25">
      <c r="A20" s="34">
        <v>39448</v>
      </c>
      <c r="B20" s="1">
        <v>138365</v>
      </c>
      <c r="C20" s="34">
        <v>39448</v>
      </c>
      <c r="D20" s="1">
        <v>77.400000000000006</v>
      </c>
      <c r="E20" s="34">
        <v>39448</v>
      </c>
      <c r="F20" s="1">
        <v>5</v>
      </c>
      <c r="G20" s="34">
        <v>39448</v>
      </c>
      <c r="H20" s="1">
        <v>0.15</v>
      </c>
      <c r="I20" s="34">
        <v>39448</v>
      </c>
      <c r="J20" s="1">
        <v>147.76</v>
      </c>
      <c r="K20" s="34">
        <v>39448</v>
      </c>
      <c r="L20" s="1">
        <v>136200</v>
      </c>
      <c r="M20" s="34">
        <v>39448</v>
      </c>
      <c r="N20" s="1">
        <v>22250</v>
      </c>
      <c r="Q20" s="34">
        <v>39448</v>
      </c>
      <c r="R20" s="1">
        <v>212.17400000000001</v>
      </c>
      <c r="S20" s="34">
        <v>39448</v>
      </c>
      <c r="T20" s="1">
        <v>22388</v>
      </c>
      <c r="U20" s="34">
        <v>39448</v>
      </c>
      <c r="V20" s="1">
        <v>2738</v>
      </c>
    </row>
    <row r="21" spans="1:22" x14ac:dyDescent="0.25">
      <c r="A21" s="34">
        <v>39479</v>
      </c>
      <c r="B21" s="1">
        <v>138279</v>
      </c>
      <c r="C21" s="34">
        <v>39479</v>
      </c>
      <c r="D21" s="1">
        <v>75</v>
      </c>
      <c r="E21" s="34">
        <v>39479</v>
      </c>
      <c r="F21" s="1">
        <v>4.9000000000000004</v>
      </c>
      <c r="G21" s="34">
        <v>39479</v>
      </c>
      <c r="H21" s="1">
        <v>-0.09</v>
      </c>
      <c r="I21" s="34">
        <v>39479</v>
      </c>
      <c r="J21" s="1">
        <v>147.80000000000001</v>
      </c>
      <c r="K21" s="34">
        <v>39479</v>
      </c>
      <c r="L21" s="1">
        <v>136719</v>
      </c>
      <c r="M21" s="34">
        <v>39479</v>
      </c>
      <c r="N21" s="1">
        <v>22736</v>
      </c>
      <c r="Q21" s="34">
        <v>39479</v>
      </c>
      <c r="R21" s="1">
        <v>212.68700000000001</v>
      </c>
      <c r="S21" s="34">
        <v>39479</v>
      </c>
      <c r="T21" s="1">
        <v>22417</v>
      </c>
      <c r="U21" s="34">
        <v>39479</v>
      </c>
      <c r="V21" s="1">
        <v>2747</v>
      </c>
    </row>
    <row r="22" spans="1:22" x14ac:dyDescent="0.25">
      <c r="A22" s="34">
        <v>39508</v>
      </c>
      <c r="B22" s="1">
        <v>138199</v>
      </c>
      <c r="C22" s="34">
        <v>39508</v>
      </c>
      <c r="D22" s="1">
        <v>79.099999999999994</v>
      </c>
      <c r="E22" s="34">
        <v>39508</v>
      </c>
      <c r="F22" s="1">
        <v>5.0999999999999996</v>
      </c>
      <c r="G22" s="34">
        <v>39508</v>
      </c>
      <c r="H22" s="1">
        <v>-0.08</v>
      </c>
      <c r="I22" s="34">
        <v>39508</v>
      </c>
      <c r="J22" s="1">
        <v>147.83000000000001</v>
      </c>
      <c r="K22" s="34">
        <v>39508</v>
      </c>
      <c r="L22" s="1">
        <v>137309</v>
      </c>
      <c r="M22" s="34">
        <v>39508</v>
      </c>
      <c r="N22" s="1">
        <v>22840</v>
      </c>
      <c r="Q22" s="34">
        <v>39508</v>
      </c>
      <c r="R22" s="1">
        <v>213.44800000000001</v>
      </c>
      <c r="S22" s="34">
        <v>39508</v>
      </c>
      <c r="T22" s="1">
        <v>22443</v>
      </c>
      <c r="U22" s="34">
        <v>39508</v>
      </c>
      <c r="V22" s="1">
        <v>2752</v>
      </c>
    </row>
    <row r="23" spans="1:22" x14ac:dyDescent="0.25">
      <c r="A23" s="34">
        <v>39539</v>
      </c>
      <c r="B23" s="1">
        <v>137985</v>
      </c>
      <c r="C23" s="34">
        <v>39539</v>
      </c>
      <c r="D23" s="1">
        <v>91.5</v>
      </c>
      <c r="E23" s="34">
        <v>39539</v>
      </c>
      <c r="F23" s="1">
        <v>5</v>
      </c>
      <c r="G23" s="34">
        <v>39539</v>
      </c>
      <c r="H23" s="1">
        <v>-0.26</v>
      </c>
      <c r="I23" s="34">
        <v>39539</v>
      </c>
      <c r="J23" s="1">
        <v>147.75</v>
      </c>
      <c r="K23" s="34">
        <v>39539</v>
      </c>
      <c r="L23" s="1">
        <v>137844</v>
      </c>
      <c r="M23" s="34">
        <v>39539</v>
      </c>
      <c r="N23" s="1">
        <v>22849</v>
      </c>
      <c r="Q23" s="34">
        <v>39539</v>
      </c>
      <c r="R23" s="1">
        <v>213.94200000000001</v>
      </c>
      <c r="S23" s="34">
        <v>39539</v>
      </c>
      <c r="T23" s="1">
        <v>22450</v>
      </c>
      <c r="U23" s="34">
        <v>39539</v>
      </c>
      <c r="V23" s="1">
        <v>2755</v>
      </c>
    </row>
    <row r="24" spans="1:22" x14ac:dyDescent="0.25">
      <c r="A24" s="34">
        <v>39569</v>
      </c>
      <c r="B24" s="1">
        <v>137803</v>
      </c>
      <c r="C24" s="34">
        <v>39569</v>
      </c>
      <c r="D24" s="1">
        <v>92.3</v>
      </c>
      <c r="E24" s="34">
        <v>39569</v>
      </c>
      <c r="F24" s="1">
        <v>5.4</v>
      </c>
      <c r="G24" s="34">
        <v>39569</v>
      </c>
      <c r="H24" s="1">
        <v>-0.54</v>
      </c>
      <c r="I24" s="34">
        <v>39569</v>
      </c>
      <c r="J24" s="1">
        <v>147.57</v>
      </c>
      <c r="K24" s="34">
        <v>39569</v>
      </c>
      <c r="L24" s="1">
        <v>138417</v>
      </c>
      <c r="M24" s="34">
        <v>39569</v>
      </c>
      <c r="N24" s="1">
        <v>22881</v>
      </c>
      <c r="Q24" s="34">
        <v>39569</v>
      </c>
      <c r="R24" s="1">
        <v>215.208</v>
      </c>
      <c r="S24" s="34">
        <v>39569</v>
      </c>
      <c r="T24" s="1">
        <v>22483</v>
      </c>
      <c r="U24" s="34">
        <v>39569</v>
      </c>
      <c r="V24" s="1">
        <v>2757</v>
      </c>
    </row>
    <row r="25" spans="1:22" x14ac:dyDescent="0.25">
      <c r="A25" s="34">
        <v>39600</v>
      </c>
      <c r="B25" s="1">
        <v>137631</v>
      </c>
      <c r="C25" s="34">
        <v>39600</v>
      </c>
      <c r="D25" s="1">
        <v>110.6</v>
      </c>
      <c r="E25" s="34">
        <v>39600</v>
      </c>
      <c r="F25" s="1">
        <v>5.6</v>
      </c>
      <c r="G25" s="34">
        <v>39600</v>
      </c>
      <c r="H25" s="1">
        <v>-0.49</v>
      </c>
      <c r="I25" s="34">
        <v>39600</v>
      </c>
      <c r="J25" s="1">
        <v>147.41999999999999</v>
      </c>
      <c r="K25" s="34">
        <v>39600</v>
      </c>
      <c r="L25" s="1">
        <v>138612</v>
      </c>
      <c r="M25" s="34">
        <v>39600</v>
      </c>
      <c r="N25" s="1">
        <v>22497</v>
      </c>
      <c r="Q25" s="34">
        <v>39600</v>
      </c>
      <c r="R25" s="1">
        <v>217.46299999999999</v>
      </c>
      <c r="S25" s="34">
        <v>39600</v>
      </c>
      <c r="T25" s="1">
        <v>22517</v>
      </c>
      <c r="U25" s="34">
        <v>39600</v>
      </c>
      <c r="V25" s="1">
        <v>2759</v>
      </c>
    </row>
    <row r="26" spans="1:22" x14ac:dyDescent="0.25">
      <c r="A26" s="34">
        <v>39630</v>
      </c>
      <c r="B26" s="1">
        <v>137421</v>
      </c>
      <c r="C26" s="34">
        <v>39630</v>
      </c>
      <c r="D26" s="1">
        <v>85.9</v>
      </c>
      <c r="E26" s="34">
        <v>39630</v>
      </c>
      <c r="F26" s="1">
        <v>5.8</v>
      </c>
      <c r="G26" s="34">
        <v>39630</v>
      </c>
      <c r="H26" s="1">
        <v>-0.76</v>
      </c>
      <c r="I26" s="34">
        <v>39630</v>
      </c>
      <c r="J26" s="1">
        <v>147.21</v>
      </c>
      <c r="K26" s="34">
        <v>39630</v>
      </c>
      <c r="L26" s="1">
        <v>137131</v>
      </c>
      <c r="M26" s="34">
        <v>39630</v>
      </c>
      <c r="N26" s="1">
        <v>21346</v>
      </c>
      <c r="Q26" s="34">
        <v>39630</v>
      </c>
      <c r="R26" s="1">
        <v>219.01599999999999</v>
      </c>
      <c r="S26" s="34">
        <v>39630</v>
      </c>
      <c r="T26" s="1">
        <v>22568</v>
      </c>
      <c r="U26" s="34">
        <v>39630</v>
      </c>
      <c r="V26" s="1">
        <v>2767</v>
      </c>
    </row>
    <row r="27" spans="1:22" x14ac:dyDescent="0.25">
      <c r="A27" s="34">
        <v>39661</v>
      </c>
      <c r="B27" s="1">
        <v>137162</v>
      </c>
      <c r="C27" s="34">
        <v>39661</v>
      </c>
      <c r="D27" s="1">
        <v>76.3</v>
      </c>
      <c r="E27" s="34">
        <v>39661</v>
      </c>
      <c r="F27" s="1">
        <v>6.1</v>
      </c>
      <c r="G27" s="34">
        <v>39661</v>
      </c>
      <c r="H27" s="1">
        <v>-1.18</v>
      </c>
      <c r="I27" s="34">
        <v>39661</v>
      </c>
      <c r="J27" s="1">
        <v>146.91999999999999</v>
      </c>
      <c r="K27" s="34">
        <v>39661</v>
      </c>
      <c r="L27" s="1">
        <v>137021</v>
      </c>
      <c r="M27" s="34">
        <v>39661</v>
      </c>
      <c r="N27" s="1">
        <v>21436</v>
      </c>
      <c r="Q27" s="34">
        <v>39661</v>
      </c>
      <c r="R27" s="1">
        <v>218.69</v>
      </c>
      <c r="S27" s="34">
        <v>39661</v>
      </c>
      <c r="T27" s="1">
        <v>22567</v>
      </c>
      <c r="U27" s="34">
        <v>39661</v>
      </c>
      <c r="V27" s="1">
        <v>2766</v>
      </c>
    </row>
    <row r="28" spans="1:22" x14ac:dyDescent="0.25">
      <c r="A28" s="34">
        <v>39692</v>
      </c>
      <c r="B28" s="1">
        <v>136710</v>
      </c>
      <c r="C28" s="34">
        <v>39692</v>
      </c>
      <c r="D28" s="1">
        <v>70.900000000000006</v>
      </c>
      <c r="E28" s="34">
        <v>39692</v>
      </c>
      <c r="F28" s="1">
        <v>6.1</v>
      </c>
      <c r="G28" s="34">
        <v>39692</v>
      </c>
      <c r="H28" s="1">
        <v>-1.25</v>
      </c>
      <c r="I28" s="34">
        <v>39692</v>
      </c>
      <c r="J28" s="1">
        <v>146.53</v>
      </c>
      <c r="K28" s="34">
        <v>39692</v>
      </c>
      <c r="L28" s="1">
        <v>137075</v>
      </c>
      <c r="M28" s="34">
        <v>39692</v>
      </c>
      <c r="N28" s="1">
        <v>22373</v>
      </c>
      <c r="Q28" s="34">
        <v>39692</v>
      </c>
      <c r="R28" s="1">
        <v>218.87700000000001</v>
      </c>
      <c r="S28" s="34">
        <v>39692</v>
      </c>
      <c r="T28" s="1">
        <v>22537</v>
      </c>
      <c r="U28" s="34">
        <v>39692</v>
      </c>
      <c r="V28" s="1">
        <v>2768</v>
      </c>
    </row>
    <row r="29" spans="1:22" x14ac:dyDescent="0.25">
      <c r="A29" s="34">
        <v>39722</v>
      </c>
      <c r="B29" s="1">
        <v>136236</v>
      </c>
      <c r="C29" s="34">
        <v>39722</v>
      </c>
      <c r="D29" s="1">
        <v>63.7</v>
      </c>
      <c r="E29" s="34">
        <v>39722</v>
      </c>
      <c r="F29" s="1">
        <v>6.5</v>
      </c>
      <c r="G29" s="34">
        <v>39722</v>
      </c>
      <c r="H29" s="1">
        <v>-1.76</v>
      </c>
      <c r="I29" s="34">
        <v>39722</v>
      </c>
      <c r="J29" s="1">
        <v>146.05000000000001</v>
      </c>
      <c r="K29" s="34">
        <v>39722</v>
      </c>
      <c r="L29" s="1">
        <v>137368</v>
      </c>
      <c r="M29" s="34">
        <v>39722</v>
      </c>
      <c r="N29" s="1">
        <v>22937</v>
      </c>
      <c r="Q29" s="34">
        <v>39722</v>
      </c>
      <c r="R29" s="1">
        <v>216.995</v>
      </c>
      <c r="S29" s="34">
        <v>39722</v>
      </c>
      <c r="T29" s="1">
        <v>22549</v>
      </c>
      <c r="U29" s="34">
        <v>39722</v>
      </c>
      <c r="V29" s="1">
        <v>2772</v>
      </c>
    </row>
    <row r="30" spans="1:22" x14ac:dyDescent="0.25">
      <c r="A30" s="34">
        <v>39753</v>
      </c>
      <c r="B30" s="1">
        <v>135471</v>
      </c>
      <c r="C30" s="34">
        <v>39753</v>
      </c>
      <c r="D30" s="1">
        <v>41.5</v>
      </c>
      <c r="E30" s="34">
        <v>39753</v>
      </c>
      <c r="F30" s="1">
        <v>6.8</v>
      </c>
      <c r="G30" s="34">
        <v>39753</v>
      </c>
      <c r="H30" s="1">
        <v>-2.61</v>
      </c>
      <c r="I30" s="34">
        <v>39753</v>
      </c>
      <c r="J30" s="1">
        <v>145.35</v>
      </c>
      <c r="K30" s="34">
        <v>39753</v>
      </c>
      <c r="L30" s="1">
        <v>136687</v>
      </c>
      <c r="M30" s="34">
        <v>39753</v>
      </c>
      <c r="N30" s="1">
        <v>23051</v>
      </c>
      <c r="Q30" s="34">
        <v>39753</v>
      </c>
      <c r="R30" s="1">
        <v>213.15299999999999</v>
      </c>
      <c r="S30" s="34">
        <v>39753</v>
      </c>
      <c r="T30" s="1">
        <v>22560</v>
      </c>
      <c r="U30" s="34">
        <v>39753</v>
      </c>
      <c r="V30" s="1">
        <v>2778</v>
      </c>
    </row>
    <row r="31" spans="1:22" x14ac:dyDescent="0.25">
      <c r="A31" s="34">
        <v>39783</v>
      </c>
      <c r="B31" s="1">
        <v>134774</v>
      </c>
      <c r="C31" s="34">
        <v>39783</v>
      </c>
      <c r="D31" s="1">
        <v>41.2</v>
      </c>
      <c r="E31" s="34">
        <v>39783</v>
      </c>
      <c r="F31" s="1">
        <v>7.3</v>
      </c>
      <c r="G31" s="34">
        <v>39783</v>
      </c>
      <c r="H31" s="1">
        <v>-2.74</v>
      </c>
      <c r="I31" s="34">
        <v>39783</v>
      </c>
      <c r="J31" s="1">
        <v>144.59</v>
      </c>
      <c r="K31" s="34">
        <v>39783</v>
      </c>
      <c r="L31" s="1">
        <v>135656</v>
      </c>
      <c r="M31" s="34">
        <v>39783</v>
      </c>
      <c r="N31" s="1">
        <v>22917</v>
      </c>
      <c r="Q31" s="34">
        <v>39783</v>
      </c>
      <c r="R31" s="1">
        <v>211.398</v>
      </c>
      <c r="S31" s="34">
        <v>39783</v>
      </c>
      <c r="T31" s="1">
        <v>22556</v>
      </c>
      <c r="U31" s="34">
        <v>39783</v>
      </c>
      <c r="V31" s="1">
        <v>2775</v>
      </c>
    </row>
    <row r="32" spans="1:22" x14ac:dyDescent="0.25">
      <c r="A32" s="34">
        <v>39814</v>
      </c>
      <c r="B32" s="1">
        <v>133976</v>
      </c>
      <c r="C32" s="34">
        <v>39814</v>
      </c>
      <c r="D32" s="1">
        <v>37.6</v>
      </c>
      <c r="E32" s="34">
        <v>39814</v>
      </c>
      <c r="F32" s="1">
        <v>7.8</v>
      </c>
      <c r="G32" s="34">
        <v>39814</v>
      </c>
      <c r="H32" s="1">
        <v>-3.11</v>
      </c>
      <c r="I32" s="34">
        <v>39814</v>
      </c>
      <c r="J32" s="1">
        <v>143.80000000000001</v>
      </c>
      <c r="K32" s="34">
        <v>39814</v>
      </c>
      <c r="L32" s="1">
        <v>131965</v>
      </c>
      <c r="M32" s="34">
        <v>39814</v>
      </c>
      <c r="N32" s="1">
        <v>22471</v>
      </c>
      <c r="Q32" s="34">
        <v>39814</v>
      </c>
      <c r="R32" s="1">
        <v>211.93299999999999</v>
      </c>
      <c r="S32" s="34">
        <v>39814</v>
      </c>
      <c r="T32" s="1">
        <v>22579</v>
      </c>
      <c r="U32" s="34">
        <v>39814</v>
      </c>
      <c r="V32" s="1">
        <v>2786</v>
      </c>
    </row>
    <row r="33" spans="1:22" x14ac:dyDescent="0.25">
      <c r="A33" s="34">
        <v>39845</v>
      </c>
      <c r="B33" s="1">
        <v>133275</v>
      </c>
      <c r="C33" s="34">
        <v>39845</v>
      </c>
      <c r="D33" s="1">
        <v>39.200000000000003</v>
      </c>
      <c r="E33" s="34">
        <v>39845</v>
      </c>
      <c r="F33" s="1">
        <v>8.3000000000000007</v>
      </c>
      <c r="G33" s="34">
        <v>39845</v>
      </c>
      <c r="H33" s="1">
        <v>-3.05</v>
      </c>
      <c r="I33" s="34">
        <v>39845</v>
      </c>
      <c r="J33" s="1">
        <v>142.96</v>
      </c>
      <c r="K33" s="34">
        <v>39845</v>
      </c>
      <c r="L33" s="1">
        <v>131731</v>
      </c>
      <c r="M33" s="34">
        <v>39845</v>
      </c>
      <c r="N33" s="1">
        <v>22870</v>
      </c>
      <c r="Q33" s="34">
        <v>39845</v>
      </c>
      <c r="R33" s="1">
        <v>212.70500000000001</v>
      </c>
      <c r="S33" s="34">
        <v>39845</v>
      </c>
      <c r="T33" s="1">
        <v>22576</v>
      </c>
      <c r="U33" s="34">
        <v>39845</v>
      </c>
      <c r="V33" s="1">
        <v>2795</v>
      </c>
    </row>
    <row r="34" spans="1:22" x14ac:dyDescent="0.25">
      <c r="A34" s="34">
        <v>39873</v>
      </c>
      <c r="B34" s="1">
        <v>132449</v>
      </c>
      <c r="C34" s="34">
        <v>39873</v>
      </c>
      <c r="D34" s="1">
        <v>45.4</v>
      </c>
      <c r="E34" s="34">
        <v>39873</v>
      </c>
      <c r="F34" s="1">
        <v>8.6999999999999993</v>
      </c>
      <c r="G34" s="34">
        <v>39873</v>
      </c>
      <c r="H34" s="1">
        <v>-3.18</v>
      </c>
      <c r="I34" s="34">
        <v>39873</v>
      </c>
      <c r="J34" s="1">
        <v>142.13</v>
      </c>
      <c r="K34" s="34">
        <v>39873</v>
      </c>
      <c r="L34" s="1">
        <v>131597</v>
      </c>
      <c r="M34" s="34">
        <v>39873</v>
      </c>
      <c r="N34" s="1">
        <v>22960</v>
      </c>
      <c r="Q34" s="34">
        <v>39873</v>
      </c>
      <c r="R34" s="1">
        <v>212.495</v>
      </c>
      <c r="S34" s="34">
        <v>39873</v>
      </c>
      <c r="T34" s="1">
        <v>22560</v>
      </c>
      <c r="U34" s="34">
        <v>39873</v>
      </c>
      <c r="V34" s="1">
        <v>2797</v>
      </c>
    </row>
    <row r="35" spans="1:22" x14ac:dyDescent="0.25">
      <c r="A35" s="34">
        <v>39904</v>
      </c>
      <c r="B35" s="1">
        <v>131765</v>
      </c>
      <c r="C35" s="34">
        <v>39904</v>
      </c>
      <c r="D35" s="1">
        <v>47.8</v>
      </c>
      <c r="E35" s="34">
        <v>39904</v>
      </c>
      <c r="F35" s="1">
        <v>9</v>
      </c>
      <c r="G35" s="34">
        <v>39904</v>
      </c>
      <c r="H35" s="1">
        <v>-2.4</v>
      </c>
      <c r="I35" s="34">
        <v>39904</v>
      </c>
      <c r="J35" s="1">
        <v>141.47</v>
      </c>
      <c r="K35" s="34">
        <v>39904</v>
      </c>
      <c r="L35" s="1">
        <v>131781</v>
      </c>
      <c r="M35" s="34">
        <v>39904</v>
      </c>
      <c r="N35" s="1">
        <v>23094</v>
      </c>
      <c r="Q35" s="34">
        <v>39904</v>
      </c>
      <c r="R35" s="1">
        <v>212.709</v>
      </c>
      <c r="S35" s="34">
        <v>39904</v>
      </c>
      <c r="T35" s="1">
        <v>22677</v>
      </c>
      <c r="U35" s="34">
        <v>39904</v>
      </c>
      <c r="V35" s="1">
        <v>2922</v>
      </c>
    </row>
    <row r="36" spans="1:22" x14ac:dyDescent="0.25">
      <c r="A36" s="34">
        <v>39934</v>
      </c>
      <c r="B36" s="1">
        <v>131411</v>
      </c>
      <c r="C36" s="34">
        <v>39934</v>
      </c>
      <c r="D36" s="1">
        <v>49.5</v>
      </c>
      <c r="E36" s="34">
        <v>39934</v>
      </c>
      <c r="F36" s="1">
        <v>9.4</v>
      </c>
      <c r="G36" s="34">
        <v>39934</v>
      </c>
      <c r="H36" s="1">
        <v>-1.36</v>
      </c>
      <c r="I36" s="34">
        <v>39934</v>
      </c>
      <c r="J36" s="1">
        <v>140.96</v>
      </c>
      <c r="K36" s="34">
        <v>39934</v>
      </c>
      <c r="L36" s="1">
        <v>132054</v>
      </c>
      <c r="M36" s="34">
        <v>39934</v>
      </c>
      <c r="N36" s="1">
        <v>23025</v>
      </c>
      <c r="Q36" s="34">
        <v>39934</v>
      </c>
      <c r="R36" s="1">
        <v>213.02199999999999</v>
      </c>
      <c r="S36" s="34">
        <v>39934</v>
      </c>
      <c r="T36" s="1">
        <v>22617</v>
      </c>
      <c r="U36" s="34">
        <v>39934</v>
      </c>
      <c r="V36" s="1">
        <v>2860</v>
      </c>
    </row>
    <row r="37" spans="1:22" x14ac:dyDescent="0.25">
      <c r="A37" s="34">
        <v>39965</v>
      </c>
      <c r="B37" s="1">
        <v>130944</v>
      </c>
      <c r="C37" s="34">
        <v>39965</v>
      </c>
      <c r="D37" s="1">
        <v>61.3</v>
      </c>
      <c r="E37" s="34">
        <v>39965</v>
      </c>
      <c r="F37" s="1">
        <v>9.5</v>
      </c>
      <c r="G37" s="34">
        <v>39965</v>
      </c>
      <c r="H37" s="1">
        <v>-0.8</v>
      </c>
      <c r="I37" s="34">
        <v>39965</v>
      </c>
      <c r="J37" s="1">
        <v>140.55000000000001</v>
      </c>
      <c r="K37" s="34">
        <v>39965</v>
      </c>
      <c r="L37" s="1">
        <v>131870</v>
      </c>
      <c r="M37" s="34">
        <v>39965</v>
      </c>
      <c r="N37" s="1">
        <v>22564</v>
      </c>
      <c r="Q37" s="34">
        <v>39965</v>
      </c>
      <c r="R37" s="1">
        <v>214.79</v>
      </c>
      <c r="S37" s="34">
        <v>39965</v>
      </c>
      <c r="T37" s="1">
        <v>22576</v>
      </c>
      <c r="U37" s="34">
        <v>39965</v>
      </c>
      <c r="V37" s="1">
        <v>2814</v>
      </c>
    </row>
    <row r="38" spans="1:22" x14ac:dyDescent="0.25">
      <c r="A38" s="34">
        <v>39995</v>
      </c>
      <c r="B38" s="1">
        <v>130617</v>
      </c>
      <c r="C38" s="34">
        <v>39995</v>
      </c>
      <c r="D38" s="1">
        <v>56.1</v>
      </c>
      <c r="E38" s="34">
        <v>39995</v>
      </c>
      <c r="F38" s="1">
        <v>9.5</v>
      </c>
      <c r="G38" s="34">
        <v>39995</v>
      </c>
      <c r="H38" s="1">
        <v>-0.33</v>
      </c>
      <c r="I38" s="34">
        <v>39995</v>
      </c>
      <c r="J38" s="1">
        <v>140.25</v>
      </c>
      <c r="K38" s="34">
        <v>39995</v>
      </c>
      <c r="L38" s="1">
        <v>130273</v>
      </c>
      <c r="M38" s="34">
        <v>39995</v>
      </c>
      <c r="N38" s="1">
        <v>21280</v>
      </c>
      <c r="Q38" s="34">
        <v>39995</v>
      </c>
      <c r="R38" s="1">
        <v>214.726</v>
      </c>
      <c r="S38" s="34">
        <v>39995</v>
      </c>
      <c r="T38" s="1">
        <v>22521</v>
      </c>
      <c r="U38" s="34">
        <v>39995</v>
      </c>
      <c r="V38" s="1">
        <v>2826</v>
      </c>
    </row>
    <row r="39" spans="1:22" x14ac:dyDescent="0.25">
      <c r="A39" s="34">
        <v>40026</v>
      </c>
      <c r="B39" s="1">
        <v>130401</v>
      </c>
      <c r="C39" s="34">
        <v>40026</v>
      </c>
      <c r="D39" s="1">
        <v>54</v>
      </c>
      <c r="E39" s="34">
        <v>40026</v>
      </c>
      <c r="F39" s="1">
        <v>9.6</v>
      </c>
      <c r="G39" s="34">
        <v>40026</v>
      </c>
      <c r="H39" s="1">
        <v>-0.28000000000000003</v>
      </c>
      <c r="I39" s="34">
        <v>40026</v>
      </c>
      <c r="J39" s="1">
        <v>140.04</v>
      </c>
      <c r="K39" s="34">
        <v>40026</v>
      </c>
      <c r="L39" s="1">
        <v>130150</v>
      </c>
      <c r="M39" s="34">
        <v>40026</v>
      </c>
      <c r="N39" s="1">
        <v>21349</v>
      </c>
      <c r="Q39" s="34">
        <v>40026</v>
      </c>
      <c r="R39" s="1">
        <v>215.44499999999999</v>
      </c>
      <c r="S39" s="34">
        <v>40026</v>
      </c>
      <c r="T39" s="1">
        <v>22537</v>
      </c>
      <c r="U39" s="34">
        <v>40026</v>
      </c>
      <c r="V39" s="1">
        <v>2825</v>
      </c>
    </row>
    <row r="40" spans="1:22" x14ac:dyDescent="0.25">
      <c r="A40" s="34">
        <v>40057</v>
      </c>
      <c r="B40" s="1">
        <v>130174</v>
      </c>
      <c r="C40" s="34">
        <v>40057</v>
      </c>
      <c r="D40" s="1">
        <v>52.9</v>
      </c>
      <c r="E40" s="34">
        <v>40057</v>
      </c>
      <c r="F40" s="1">
        <v>9.8000000000000007</v>
      </c>
      <c r="G40" s="34">
        <v>40057</v>
      </c>
      <c r="H40" s="1">
        <v>0.02</v>
      </c>
      <c r="I40" s="34">
        <v>40057</v>
      </c>
      <c r="J40" s="1">
        <v>139.87</v>
      </c>
      <c r="K40" s="34">
        <v>40057</v>
      </c>
      <c r="L40" s="1">
        <v>130509</v>
      </c>
      <c r="M40" s="34">
        <v>40057</v>
      </c>
      <c r="N40" s="1">
        <v>22291</v>
      </c>
      <c r="Q40" s="34">
        <v>40057</v>
      </c>
      <c r="R40" s="1">
        <v>215.86099999999999</v>
      </c>
      <c r="S40" s="34">
        <v>40057</v>
      </c>
      <c r="T40" s="1">
        <v>22451</v>
      </c>
      <c r="U40" s="34">
        <v>40057</v>
      </c>
      <c r="V40" s="1">
        <v>2826</v>
      </c>
    </row>
    <row r="41" spans="1:22" x14ac:dyDescent="0.25">
      <c r="A41" s="34">
        <v>40087</v>
      </c>
      <c r="B41" s="1">
        <v>129976</v>
      </c>
      <c r="C41" s="34">
        <v>40087</v>
      </c>
      <c r="D41" s="1">
        <v>47.9</v>
      </c>
      <c r="E41" s="34">
        <v>40087</v>
      </c>
      <c r="F41" s="1">
        <v>10</v>
      </c>
      <c r="G41" s="34">
        <v>40087</v>
      </c>
      <c r="H41" s="1">
        <v>0.01</v>
      </c>
      <c r="I41" s="34">
        <v>40087</v>
      </c>
      <c r="J41" s="1">
        <v>139.76</v>
      </c>
      <c r="K41" s="34">
        <v>40087</v>
      </c>
      <c r="L41" s="1">
        <v>131106</v>
      </c>
      <c r="M41" s="34">
        <v>40087</v>
      </c>
      <c r="N41" s="1">
        <v>22905</v>
      </c>
      <c r="Q41" s="34">
        <v>40087</v>
      </c>
      <c r="R41" s="1">
        <v>216.50899999999999</v>
      </c>
      <c r="S41" s="34">
        <v>40087</v>
      </c>
      <c r="T41" s="1">
        <v>22524</v>
      </c>
      <c r="U41" s="34">
        <v>40087</v>
      </c>
      <c r="V41" s="1">
        <v>2843</v>
      </c>
    </row>
    <row r="42" spans="1:22" x14ac:dyDescent="0.25">
      <c r="A42" s="34">
        <v>40118</v>
      </c>
      <c r="B42" s="1">
        <v>129970</v>
      </c>
      <c r="C42" s="34">
        <v>40118</v>
      </c>
      <c r="D42" s="1">
        <v>42.1</v>
      </c>
      <c r="E42" s="34">
        <v>40118</v>
      </c>
      <c r="F42" s="1">
        <v>9.9</v>
      </c>
      <c r="G42" s="34">
        <v>40118</v>
      </c>
      <c r="H42" s="1">
        <v>0.42</v>
      </c>
      <c r="I42" s="34">
        <v>40118</v>
      </c>
      <c r="J42" s="1">
        <v>139.78</v>
      </c>
      <c r="K42" s="34">
        <v>40118</v>
      </c>
      <c r="L42" s="1">
        <v>131152</v>
      </c>
      <c r="M42" s="34">
        <v>40118</v>
      </c>
      <c r="N42" s="1">
        <v>23007</v>
      </c>
      <c r="Q42" s="34">
        <v>40118</v>
      </c>
      <c r="R42" s="1">
        <v>217.23400000000001</v>
      </c>
      <c r="S42" s="34">
        <v>40118</v>
      </c>
      <c r="T42" s="1">
        <v>22533</v>
      </c>
      <c r="U42" s="34">
        <v>40118</v>
      </c>
      <c r="V42" s="1">
        <v>2842</v>
      </c>
    </row>
    <row r="43" spans="1:22" x14ac:dyDescent="0.25">
      <c r="A43" s="34">
        <v>40148</v>
      </c>
      <c r="B43" s="1">
        <v>129687</v>
      </c>
      <c r="C43" s="34">
        <v>40148</v>
      </c>
      <c r="D43" s="1">
        <v>49.2</v>
      </c>
      <c r="E43" s="34">
        <v>40148</v>
      </c>
      <c r="F43" s="1">
        <v>9.9</v>
      </c>
      <c r="G43" s="34">
        <v>40148</v>
      </c>
      <c r="H43" s="1">
        <v>0.5</v>
      </c>
      <c r="I43" s="34">
        <v>40148</v>
      </c>
      <c r="J43" s="1">
        <v>139.79</v>
      </c>
      <c r="K43" s="34">
        <v>40148</v>
      </c>
      <c r="L43" s="1">
        <v>130606</v>
      </c>
      <c r="M43" s="34">
        <v>40148</v>
      </c>
      <c r="N43" s="1">
        <v>22840</v>
      </c>
      <c r="Q43" s="34">
        <v>40148</v>
      </c>
      <c r="R43" s="1">
        <v>217.34700000000001</v>
      </c>
      <c r="S43" s="34">
        <v>40148</v>
      </c>
      <c r="T43" s="1">
        <v>22482</v>
      </c>
      <c r="U43" s="34">
        <v>40148</v>
      </c>
      <c r="V43" s="1">
        <v>2831</v>
      </c>
    </row>
    <row r="44" spans="1:22" x14ac:dyDescent="0.25">
      <c r="A44" s="34">
        <v>40179</v>
      </c>
      <c r="B44" s="1">
        <v>129705</v>
      </c>
      <c r="C44" s="34">
        <v>40179</v>
      </c>
      <c r="D44" s="1">
        <v>40.4</v>
      </c>
      <c r="E44" s="34">
        <v>40179</v>
      </c>
      <c r="F44" s="1">
        <v>9.8000000000000007</v>
      </c>
      <c r="G44" s="34">
        <v>40179</v>
      </c>
      <c r="H44" s="1">
        <v>0.59</v>
      </c>
      <c r="I44" s="34">
        <v>40179</v>
      </c>
      <c r="J44" s="1">
        <v>139.91</v>
      </c>
      <c r="K44" s="34">
        <v>40179</v>
      </c>
      <c r="L44" s="1">
        <v>127736</v>
      </c>
      <c r="M44" s="34">
        <v>40179</v>
      </c>
      <c r="N44" s="1">
        <v>22376</v>
      </c>
      <c r="Q44" s="34">
        <v>40179</v>
      </c>
      <c r="R44" s="1">
        <v>217.46600000000001</v>
      </c>
      <c r="S44" s="34">
        <v>40179</v>
      </c>
      <c r="T44" s="1">
        <v>22480</v>
      </c>
      <c r="U44" s="34">
        <v>40179</v>
      </c>
      <c r="V44" s="1">
        <v>2860</v>
      </c>
    </row>
    <row r="45" spans="1:22" x14ac:dyDescent="0.25">
      <c r="A45" s="34">
        <v>40210</v>
      </c>
      <c r="B45" s="1">
        <v>129655</v>
      </c>
      <c r="C45" s="34">
        <v>40210</v>
      </c>
      <c r="D45" s="1">
        <v>45.3</v>
      </c>
      <c r="E45" s="34">
        <v>40210</v>
      </c>
      <c r="F45" s="1">
        <v>9.8000000000000007</v>
      </c>
      <c r="G45" s="34">
        <v>40210</v>
      </c>
      <c r="H45" s="1">
        <v>0.7</v>
      </c>
      <c r="I45" s="34">
        <v>40210</v>
      </c>
      <c r="J45" s="1">
        <v>140.02000000000001</v>
      </c>
      <c r="K45" s="34">
        <v>40210</v>
      </c>
      <c r="L45" s="1">
        <v>128170</v>
      </c>
      <c r="M45" s="34">
        <v>40210</v>
      </c>
      <c r="N45" s="1">
        <v>22765</v>
      </c>
      <c r="Q45" s="34">
        <v>40210</v>
      </c>
      <c r="R45" s="1">
        <v>217.251</v>
      </c>
      <c r="S45" s="34">
        <v>40210</v>
      </c>
      <c r="T45" s="1">
        <v>22468</v>
      </c>
      <c r="U45" s="34">
        <v>40210</v>
      </c>
      <c r="V45" s="1">
        <v>2871</v>
      </c>
    </row>
    <row r="46" spans="1:22" x14ac:dyDescent="0.25">
      <c r="A46" s="34">
        <v>40238</v>
      </c>
      <c r="B46" s="1">
        <v>129811</v>
      </c>
      <c r="C46" s="34">
        <v>40238</v>
      </c>
      <c r="D46" s="1">
        <v>64.099999999999994</v>
      </c>
      <c r="E46" s="34">
        <v>40238</v>
      </c>
      <c r="F46" s="1">
        <v>9.9</v>
      </c>
      <c r="G46" s="34">
        <v>40238</v>
      </c>
      <c r="H46" s="1">
        <v>1.3</v>
      </c>
      <c r="I46" s="34">
        <v>40238</v>
      </c>
      <c r="J46" s="1">
        <v>140.29</v>
      </c>
      <c r="K46" s="34">
        <v>40238</v>
      </c>
      <c r="L46" s="1">
        <v>129003</v>
      </c>
      <c r="M46" s="34">
        <v>40238</v>
      </c>
      <c r="N46" s="1">
        <v>22913</v>
      </c>
      <c r="Q46" s="34">
        <v>40238</v>
      </c>
      <c r="R46" s="1">
        <v>217.30500000000001</v>
      </c>
      <c r="S46" s="34">
        <v>40238</v>
      </c>
      <c r="T46" s="1">
        <v>22511</v>
      </c>
      <c r="U46" s="34">
        <v>40238</v>
      </c>
      <c r="V46" s="1">
        <v>2922</v>
      </c>
    </row>
    <row r="47" spans="1:22" x14ac:dyDescent="0.25">
      <c r="A47" s="34">
        <v>40269</v>
      </c>
      <c r="B47" s="1">
        <v>130062</v>
      </c>
      <c r="C47" s="34">
        <v>40269</v>
      </c>
      <c r="D47" s="1">
        <v>58.9</v>
      </c>
      <c r="E47" s="34">
        <v>40269</v>
      </c>
      <c r="F47" s="1">
        <v>9.9</v>
      </c>
      <c r="G47" s="34">
        <v>40269</v>
      </c>
      <c r="H47" s="1">
        <v>1.45</v>
      </c>
      <c r="I47" s="34">
        <v>40269</v>
      </c>
      <c r="J47" s="1">
        <v>140.63</v>
      </c>
      <c r="K47" s="34">
        <v>40269</v>
      </c>
      <c r="L47" s="1">
        <v>130125</v>
      </c>
      <c r="M47" s="34">
        <v>40269</v>
      </c>
      <c r="N47" s="1">
        <v>22992</v>
      </c>
      <c r="Q47" s="34">
        <v>40269</v>
      </c>
      <c r="R47" s="1">
        <v>217.376</v>
      </c>
      <c r="S47" s="34">
        <v>40269</v>
      </c>
      <c r="T47" s="1">
        <v>22570</v>
      </c>
      <c r="U47" s="34">
        <v>40269</v>
      </c>
      <c r="V47" s="1">
        <v>2986</v>
      </c>
    </row>
    <row r="48" spans="1:22" x14ac:dyDescent="0.25">
      <c r="A48" s="34">
        <v>40299</v>
      </c>
      <c r="B48" s="1">
        <v>130578</v>
      </c>
      <c r="C48" s="34">
        <v>40299</v>
      </c>
      <c r="D48" s="1">
        <v>51.1</v>
      </c>
      <c r="E48" s="34">
        <v>40299</v>
      </c>
      <c r="F48" s="1">
        <v>9.6</v>
      </c>
      <c r="G48" s="34">
        <v>40299</v>
      </c>
      <c r="H48" s="1">
        <v>1.36</v>
      </c>
      <c r="I48" s="34">
        <v>40299</v>
      </c>
      <c r="J48" s="1">
        <v>140.99</v>
      </c>
      <c r="K48" s="34">
        <v>40299</v>
      </c>
      <c r="L48" s="1">
        <v>131240</v>
      </c>
      <c r="M48" s="34">
        <v>40299</v>
      </c>
      <c r="N48" s="1">
        <v>23399</v>
      </c>
      <c r="Q48" s="34">
        <v>40299</v>
      </c>
      <c r="R48" s="1">
        <v>217.29900000000001</v>
      </c>
      <c r="S48" s="34">
        <v>40299</v>
      </c>
      <c r="T48" s="1">
        <v>22992</v>
      </c>
      <c r="U48" s="34">
        <v>40299</v>
      </c>
      <c r="V48" s="1">
        <v>3415</v>
      </c>
    </row>
    <row r="49" spans="1:22" x14ac:dyDescent="0.25">
      <c r="A49" s="34">
        <v>40330</v>
      </c>
      <c r="B49" s="1">
        <v>130456</v>
      </c>
      <c r="C49" s="34">
        <v>40330</v>
      </c>
      <c r="D49" s="1">
        <v>59.2</v>
      </c>
      <c r="E49" s="34">
        <v>40330</v>
      </c>
      <c r="F49" s="1">
        <v>9.4</v>
      </c>
      <c r="G49" s="34">
        <v>40330</v>
      </c>
      <c r="H49" s="1">
        <v>0.83</v>
      </c>
      <c r="I49" s="34">
        <v>40330</v>
      </c>
      <c r="J49" s="1">
        <v>141.19</v>
      </c>
      <c r="K49" s="34">
        <v>40330</v>
      </c>
      <c r="L49" s="1">
        <v>131360</v>
      </c>
      <c r="M49" s="34">
        <v>40330</v>
      </c>
      <c r="N49" s="1">
        <v>22738</v>
      </c>
      <c r="Q49" s="34">
        <v>40330</v>
      </c>
      <c r="R49" s="1">
        <v>217.285</v>
      </c>
      <c r="S49" s="34">
        <v>40330</v>
      </c>
      <c r="T49" s="1">
        <v>22760</v>
      </c>
      <c r="U49" s="34">
        <v>40330</v>
      </c>
      <c r="V49" s="1">
        <v>3193</v>
      </c>
    </row>
    <row r="50" spans="1:22" x14ac:dyDescent="0.25">
      <c r="A50" s="34">
        <v>40360</v>
      </c>
      <c r="B50" s="1">
        <v>130395</v>
      </c>
      <c r="C50" s="34">
        <v>40360</v>
      </c>
      <c r="D50" s="1">
        <v>51.6</v>
      </c>
      <c r="E50" s="34">
        <v>40360</v>
      </c>
      <c r="F50" s="1">
        <v>9.4</v>
      </c>
      <c r="G50" s="34">
        <v>40360</v>
      </c>
      <c r="H50" s="1">
        <v>0.79</v>
      </c>
      <c r="I50" s="34">
        <v>40360</v>
      </c>
      <c r="J50" s="1">
        <v>141.36000000000001</v>
      </c>
      <c r="K50" s="34">
        <v>40360</v>
      </c>
      <c r="L50" s="1">
        <v>130022</v>
      </c>
      <c r="M50" s="34">
        <v>40360</v>
      </c>
      <c r="N50" s="1">
        <v>21327</v>
      </c>
      <c r="Q50" s="34">
        <v>40360</v>
      </c>
      <c r="R50" s="1">
        <v>217.67699999999999</v>
      </c>
      <c r="S50" s="34">
        <v>40360</v>
      </c>
      <c r="T50" s="1">
        <v>22579</v>
      </c>
      <c r="U50" s="34">
        <v>40360</v>
      </c>
      <c r="V50" s="1">
        <v>3054</v>
      </c>
    </row>
    <row r="51" spans="1:22" x14ac:dyDescent="0.25">
      <c r="A51" s="34">
        <v>40391</v>
      </c>
      <c r="B51" s="1">
        <v>130353</v>
      </c>
      <c r="C51" s="34">
        <v>40391</v>
      </c>
      <c r="D51" s="1">
        <v>53.7</v>
      </c>
      <c r="E51" s="34">
        <v>40391</v>
      </c>
      <c r="F51" s="1">
        <v>9.5</v>
      </c>
      <c r="G51" s="34">
        <v>40391</v>
      </c>
      <c r="H51" s="1">
        <v>0.5</v>
      </c>
      <c r="I51" s="34">
        <v>40391</v>
      </c>
      <c r="J51" s="1">
        <v>141.47</v>
      </c>
      <c r="K51" s="34">
        <v>40391</v>
      </c>
      <c r="L51" s="1">
        <v>130088</v>
      </c>
      <c r="M51" s="34">
        <v>40391</v>
      </c>
      <c r="N51" s="1">
        <v>21239</v>
      </c>
      <c r="Q51" s="34">
        <v>40391</v>
      </c>
      <c r="R51" s="1">
        <v>218.012</v>
      </c>
      <c r="S51" s="34">
        <v>40391</v>
      </c>
      <c r="T51" s="1">
        <v>22420</v>
      </c>
      <c r="U51" s="34">
        <v>40391</v>
      </c>
      <c r="V51" s="1">
        <v>2945</v>
      </c>
    </row>
    <row r="52" spans="1:22" x14ac:dyDescent="0.25">
      <c r="A52" s="34">
        <v>40422</v>
      </c>
      <c r="B52" s="1">
        <v>130296</v>
      </c>
      <c r="C52" s="34">
        <v>40422</v>
      </c>
      <c r="D52" s="1">
        <v>48.5</v>
      </c>
      <c r="E52" s="34">
        <v>40422</v>
      </c>
      <c r="F52" s="1">
        <v>9.5</v>
      </c>
      <c r="G52" s="34">
        <v>40422</v>
      </c>
      <c r="H52" s="1">
        <v>0.36</v>
      </c>
      <c r="I52" s="34">
        <v>40422</v>
      </c>
      <c r="J52" s="1">
        <v>141.6</v>
      </c>
      <c r="K52" s="34">
        <v>40422</v>
      </c>
      <c r="L52" s="1">
        <v>130583</v>
      </c>
      <c r="M52" s="34">
        <v>40422</v>
      </c>
      <c r="N52" s="1">
        <v>22101</v>
      </c>
      <c r="Q52" s="34">
        <v>40422</v>
      </c>
      <c r="R52" s="1">
        <v>218.28100000000001</v>
      </c>
      <c r="S52" s="34">
        <v>40422</v>
      </c>
      <c r="T52" s="1">
        <v>22256</v>
      </c>
      <c r="U52" s="34">
        <v>40422</v>
      </c>
      <c r="V52" s="1">
        <v>2869</v>
      </c>
    </row>
    <row r="53" spans="1:22" x14ac:dyDescent="0.25">
      <c r="A53" s="34">
        <v>40452</v>
      </c>
      <c r="B53" s="1">
        <v>130537</v>
      </c>
      <c r="C53" s="34">
        <v>40452</v>
      </c>
      <c r="D53" s="1">
        <v>43.5</v>
      </c>
      <c r="E53" s="34">
        <v>40452</v>
      </c>
      <c r="F53" s="1">
        <v>9.4</v>
      </c>
      <c r="G53" s="34">
        <v>40452</v>
      </c>
      <c r="H53" s="1">
        <v>0.9</v>
      </c>
      <c r="I53" s="34">
        <v>40452</v>
      </c>
      <c r="J53" s="1">
        <v>141.88</v>
      </c>
      <c r="K53" s="34">
        <v>40452</v>
      </c>
      <c r="L53" s="1">
        <v>131557</v>
      </c>
      <c r="M53" s="34">
        <v>40452</v>
      </c>
      <c r="N53" s="1">
        <v>22657</v>
      </c>
      <c r="Q53" s="34">
        <v>40452</v>
      </c>
      <c r="R53" s="1">
        <v>219.024</v>
      </c>
      <c r="S53" s="34">
        <v>40452</v>
      </c>
      <c r="T53" s="1">
        <v>22298</v>
      </c>
      <c r="U53" s="34">
        <v>40452</v>
      </c>
      <c r="V53" s="1">
        <v>2866</v>
      </c>
    </row>
    <row r="54" spans="1:22" x14ac:dyDescent="0.25">
      <c r="A54" s="34">
        <v>40483</v>
      </c>
      <c r="B54" s="1">
        <v>130674</v>
      </c>
      <c r="C54" s="34">
        <v>40483</v>
      </c>
      <c r="D54" s="1">
        <v>40.9</v>
      </c>
      <c r="E54" s="34">
        <v>40483</v>
      </c>
      <c r="F54" s="1">
        <v>9.8000000000000007</v>
      </c>
      <c r="G54" s="34">
        <v>40483</v>
      </c>
      <c r="H54" s="1">
        <v>1.29</v>
      </c>
      <c r="I54" s="34">
        <v>40483</v>
      </c>
      <c r="J54" s="1">
        <v>142.1</v>
      </c>
      <c r="K54" s="34">
        <v>40483</v>
      </c>
      <c r="L54" s="1">
        <v>131862</v>
      </c>
      <c r="M54" s="34">
        <v>40483</v>
      </c>
      <c r="N54" s="1">
        <v>22767</v>
      </c>
      <c r="Q54" s="34">
        <v>40483</v>
      </c>
      <c r="R54" s="1">
        <v>219.54400000000001</v>
      </c>
      <c r="S54" s="34">
        <v>40483</v>
      </c>
      <c r="T54" s="1">
        <v>22286</v>
      </c>
      <c r="U54" s="34">
        <v>40483</v>
      </c>
      <c r="V54" s="1">
        <v>2866</v>
      </c>
    </row>
    <row r="55" spans="1:22" x14ac:dyDescent="0.25">
      <c r="A55" s="34">
        <v>40513</v>
      </c>
      <c r="B55" s="1">
        <v>130745</v>
      </c>
      <c r="C55" s="34">
        <v>40513</v>
      </c>
      <c r="D55" s="1">
        <v>47.6</v>
      </c>
      <c r="E55" s="34">
        <v>40513</v>
      </c>
      <c r="F55" s="1">
        <v>9.3000000000000007</v>
      </c>
      <c r="G55" s="34">
        <v>40513</v>
      </c>
      <c r="H55" s="1">
        <v>1.36</v>
      </c>
      <c r="I55" s="34">
        <v>40513</v>
      </c>
      <c r="J55" s="1">
        <v>142.37</v>
      </c>
      <c r="K55" s="34">
        <v>40513</v>
      </c>
      <c r="L55" s="1">
        <v>131556</v>
      </c>
      <c r="M55" s="34">
        <v>40513</v>
      </c>
      <c r="N55" s="1">
        <v>22607</v>
      </c>
      <c r="Q55" s="34">
        <v>40513</v>
      </c>
      <c r="R55" s="1">
        <v>220.43700000000001</v>
      </c>
      <c r="S55" s="34">
        <v>40513</v>
      </c>
      <c r="T55" s="1">
        <v>22263</v>
      </c>
      <c r="U55" s="34">
        <v>40513</v>
      </c>
      <c r="V55" s="1">
        <v>2870</v>
      </c>
    </row>
    <row r="56" spans="1:22" x14ac:dyDescent="0.25">
      <c r="A56" s="34">
        <v>40544</v>
      </c>
      <c r="B56" s="1">
        <v>130815</v>
      </c>
      <c r="C56" s="34">
        <v>40544</v>
      </c>
      <c r="D56" s="1">
        <v>36.299999999999997</v>
      </c>
      <c r="E56" s="34">
        <v>40544</v>
      </c>
      <c r="F56" s="1">
        <v>9.1999999999999993</v>
      </c>
      <c r="G56" s="34">
        <v>40544</v>
      </c>
      <c r="H56" s="1">
        <v>1.26</v>
      </c>
      <c r="I56" s="34">
        <v>40544</v>
      </c>
      <c r="J56" s="1">
        <v>142.65</v>
      </c>
      <c r="K56" s="34">
        <v>40544</v>
      </c>
      <c r="L56" s="1">
        <v>128692</v>
      </c>
      <c r="M56" s="34">
        <v>40544</v>
      </c>
      <c r="N56" s="1">
        <v>22128</v>
      </c>
      <c r="Q56" s="34">
        <v>40544</v>
      </c>
      <c r="R56" s="1">
        <v>221.08199999999999</v>
      </c>
      <c r="S56" s="34">
        <v>40544</v>
      </c>
      <c r="T56" s="1">
        <v>22261</v>
      </c>
      <c r="U56" s="34">
        <v>40544</v>
      </c>
      <c r="V56" s="1">
        <v>2874</v>
      </c>
    </row>
    <row r="57" spans="1:22" x14ac:dyDescent="0.25">
      <c r="A57" s="34">
        <v>40575</v>
      </c>
      <c r="B57" s="1">
        <v>130983</v>
      </c>
      <c r="C57" s="34">
        <v>40575</v>
      </c>
      <c r="D57" s="1">
        <v>37.700000000000003</v>
      </c>
      <c r="E57" s="34">
        <v>40575</v>
      </c>
      <c r="F57" s="1">
        <v>9</v>
      </c>
      <c r="G57" s="34">
        <v>40575</v>
      </c>
      <c r="H57" s="1">
        <v>1.22</v>
      </c>
      <c r="I57" s="34">
        <v>40575</v>
      </c>
      <c r="J57" s="1">
        <v>142.96</v>
      </c>
      <c r="K57" s="34">
        <v>40575</v>
      </c>
      <c r="L57" s="1">
        <v>129505</v>
      </c>
      <c r="M57" s="34">
        <v>40575</v>
      </c>
      <c r="N57" s="1">
        <v>22505</v>
      </c>
      <c r="Q57" s="34">
        <v>40575</v>
      </c>
      <c r="R57" s="1">
        <v>221.816</v>
      </c>
      <c r="S57" s="34">
        <v>40575</v>
      </c>
      <c r="T57" s="1">
        <v>22206</v>
      </c>
      <c r="U57" s="34">
        <v>40575</v>
      </c>
      <c r="V57" s="1">
        <v>2875</v>
      </c>
    </row>
    <row r="58" spans="1:22" x14ac:dyDescent="0.25">
      <c r="A58" s="34">
        <v>40603</v>
      </c>
      <c r="B58" s="1">
        <v>131195</v>
      </c>
      <c r="C58" s="34">
        <v>40603</v>
      </c>
      <c r="D58" s="1">
        <v>54.4</v>
      </c>
      <c r="E58" s="34">
        <v>40603</v>
      </c>
      <c r="F58" s="1">
        <v>9</v>
      </c>
      <c r="G58" s="34">
        <v>40603</v>
      </c>
      <c r="H58" s="1">
        <v>1.45</v>
      </c>
      <c r="I58" s="34">
        <v>40603</v>
      </c>
      <c r="J58" s="1">
        <v>143.28</v>
      </c>
      <c r="K58" s="34">
        <v>40603</v>
      </c>
      <c r="L58" s="1">
        <v>130410</v>
      </c>
      <c r="M58" s="34">
        <v>40603</v>
      </c>
      <c r="N58" s="1">
        <v>22595</v>
      </c>
      <c r="Q58" s="34">
        <v>40603</v>
      </c>
      <c r="R58" s="1">
        <v>222.95500000000001</v>
      </c>
      <c r="S58" s="34">
        <v>40603</v>
      </c>
      <c r="T58" s="1">
        <v>22187</v>
      </c>
      <c r="U58" s="34">
        <v>40603</v>
      </c>
      <c r="V58" s="1">
        <v>2876</v>
      </c>
    </row>
    <row r="59" spans="1:22" x14ac:dyDescent="0.25">
      <c r="A59" s="34">
        <v>40634</v>
      </c>
      <c r="B59" s="1">
        <v>131517</v>
      </c>
      <c r="C59" s="34">
        <v>40634</v>
      </c>
      <c r="D59" s="1">
        <v>50.7</v>
      </c>
      <c r="E59" s="34">
        <v>40634</v>
      </c>
      <c r="F59" s="1">
        <v>9.1</v>
      </c>
      <c r="G59" s="34">
        <v>40634</v>
      </c>
      <c r="H59" s="1">
        <v>1.52</v>
      </c>
      <c r="I59" s="34">
        <v>40634</v>
      </c>
      <c r="J59" s="1">
        <v>143.65</v>
      </c>
      <c r="K59" s="34">
        <v>40634</v>
      </c>
      <c r="L59" s="1">
        <v>131627</v>
      </c>
      <c r="M59" s="34">
        <v>40634</v>
      </c>
      <c r="N59" s="1">
        <v>22617</v>
      </c>
      <c r="Q59" s="34">
        <v>40634</v>
      </c>
      <c r="R59" s="1">
        <v>224.05600000000001</v>
      </c>
      <c r="S59" s="34">
        <v>40634</v>
      </c>
      <c r="T59" s="1">
        <v>22189</v>
      </c>
      <c r="U59" s="34">
        <v>40634</v>
      </c>
      <c r="V59" s="1">
        <v>2872</v>
      </c>
    </row>
    <row r="60" spans="1:22" x14ac:dyDescent="0.25">
      <c r="A60" s="34">
        <v>40664</v>
      </c>
      <c r="B60" s="1">
        <v>131619</v>
      </c>
      <c r="C60" s="34">
        <v>40664</v>
      </c>
      <c r="D60" s="1">
        <v>57.3</v>
      </c>
      <c r="E60" s="34">
        <v>40664</v>
      </c>
      <c r="F60" s="1">
        <v>9</v>
      </c>
      <c r="G60" s="34">
        <v>40664</v>
      </c>
      <c r="H60" s="1">
        <v>1.26</v>
      </c>
      <c r="I60" s="34">
        <v>40664</v>
      </c>
      <c r="J60" s="1">
        <v>143.96</v>
      </c>
      <c r="K60" s="34">
        <v>40664</v>
      </c>
      <c r="L60" s="1">
        <v>132310</v>
      </c>
      <c r="M60" s="34">
        <v>40664</v>
      </c>
      <c r="N60" s="1">
        <v>22525</v>
      </c>
      <c r="Q60" s="34">
        <v>40664</v>
      </c>
      <c r="R60" s="1">
        <v>224.91800000000001</v>
      </c>
      <c r="S60" s="34">
        <v>40664</v>
      </c>
      <c r="T60" s="1">
        <v>22125</v>
      </c>
      <c r="U60" s="34">
        <v>40664</v>
      </c>
      <c r="V60" s="1">
        <v>2872</v>
      </c>
    </row>
    <row r="61" spans="1:22" x14ac:dyDescent="0.25">
      <c r="A61" s="34">
        <v>40695</v>
      </c>
      <c r="B61" s="1">
        <v>131836</v>
      </c>
      <c r="C61" s="34">
        <v>40695</v>
      </c>
      <c r="D61" s="1">
        <v>63.8</v>
      </c>
      <c r="E61" s="34">
        <v>40695</v>
      </c>
      <c r="F61" s="1">
        <v>9.1</v>
      </c>
      <c r="G61" s="34">
        <v>40695</v>
      </c>
      <c r="H61" s="1">
        <v>1.04</v>
      </c>
      <c r="I61" s="34">
        <v>40695</v>
      </c>
      <c r="J61" s="1">
        <v>144.22</v>
      </c>
      <c r="K61" s="34">
        <v>40695</v>
      </c>
      <c r="L61" s="1">
        <v>132799</v>
      </c>
      <c r="M61" s="34">
        <v>40695</v>
      </c>
      <c r="N61" s="1">
        <v>22094</v>
      </c>
      <c r="Q61" s="34">
        <v>40695</v>
      </c>
      <c r="R61" s="1">
        <v>224.99</v>
      </c>
      <c r="S61" s="34">
        <v>40695</v>
      </c>
      <c r="T61" s="1">
        <v>22156</v>
      </c>
      <c r="U61" s="34">
        <v>40695</v>
      </c>
      <c r="V61" s="1">
        <v>2859</v>
      </c>
    </row>
    <row r="62" spans="1:22" x14ac:dyDescent="0.25">
      <c r="A62" s="34">
        <v>40725</v>
      </c>
      <c r="B62" s="1">
        <v>131942</v>
      </c>
      <c r="C62" s="34">
        <v>40725</v>
      </c>
      <c r="D62" s="1">
        <v>52.6</v>
      </c>
      <c r="E62" s="34">
        <v>40725</v>
      </c>
      <c r="F62" s="1">
        <v>9</v>
      </c>
      <c r="G62" s="34">
        <v>40725</v>
      </c>
      <c r="H62" s="1">
        <v>1.23</v>
      </c>
      <c r="I62" s="34">
        <v>40725</v>
      </c>
      <c r="J62" s="1">
        <v>144.51</v>
      </c>
      <c r="K62" s="34">
        <v>40725</v>
      </c>
      <c r="L62" s="1">
        <v>131525</v>
      </c>
      <c r="M62" s="34">
        <v>40725</v>
      </c>
      <c r="N62" s="1">
        <v>20767</v>
      </c>
      <c r="Q62" s="34">
        <v>40725</v>
      </c>
      <c r="R62" s="1">
        <v>225.553</v>
      </c>
      <c r="S62" s="34">
        <v>40725</v>
      </c>
      <c r="T62" s="1">
        <v>22043</v>
      </c>
      <c r="U62" s="34">
        <v>40725</v>
      </c>
      <c r="V62" s="1">
        <v>2860</v>
      </c>
    </row>
    <row r="63" spans="1:22" x14ac:dyDescent="0.25">
      <c r="A63" s="34">
        <v>40756</v>
      </c>
      <c r="B63" s="1">
        <v>132064</v>
      </c>
      <c r="C63" s="34">
        <v>40756</v>
      </c>
      <c r="D63" s="1">
        <v>62.6</v>
      </c>
      <c r="E63" s="34">
        <v>40756</v>
      </c>
      <c r="F63" s="1">
        <v>9</v>
      </c>
      <c r="G63" s="34">
        <v>40756</v>
      </c>
      <c r="H63" s="1">
        <v>1.59</v>
      </c>
      <c r="I63" s="34">
        <v>40756</v>
      </c>
      <c r="J63" s="1">
        <v>144.80000000000001</v>
      </c>
      <c r="K63" s="34">
        <v>40756</v>
      </c>
      <c r="L63" s="1">
        <v>131799</v>
      </c>
      <c r="M63" s="34">
        <v>40756</v>
      </c>
      <c r="N63" s="1">
        <v>20868</v>
      </c>
      <c r="Q63" s="34">
        <v>40756</v>
      </c>
      <c r="R63" s="1">
        <v>226.149</v>
      </c>
      <c r="S63" s="34">
        <v>40756</v>
      </c>
      <c r="T63" s="1">
        <v>22040</v>
      </c>
      <c r="U63" s="34">
        <v>40756</v>
      </c>
      <c r="V63" s="1">
        <v>2852</v>
      </c>
    </row>
    <row r="64" spans="1:22" x14ac:dyDescent="0.25">
      <c r="A64" s="34">
        <v>40787</v>
      </c>
      <c r="B64" s="1">
        <v>132285</v>
      </c>
      <c r="C64" s="34">
        <v>40787</v>
      </c>
      <c r="D64" s="1">
        <v>53.2</v>
      </c>
      <c r="E64" s="34">
        <v>40787</v>
      </c>
      <c r="F64" s="1">
        <v>9</v>
      </c>
      <c r="G64" s="34">
        <v>40787</v>
      </c>
      <c r="H64" s="1">
        <v>1.45</v>
      </c>
      <c r="I64" s="34">
        <v>40787</v>
      </c>
      <c r="J64" s="1">
        <v>145.15</v>
      </c>
      <c r="K64" s="34">
        <v>40787</v>
      </c>
      <c r="L64" s="1">
        <v>132545</v>
      </c>
      <c r="M64" s="34">
        <v>40787</v>
      </c>
      <c r="N64" s="1">
        <v>21848</v>
      </c>
      <c r="Q64" s="34">
        <v>40787</v>
      </c>
      <c r="R64" s="1">
        <v>226.67400000000001</v>
      </c>
      <c r="S64" s="34">
        <v>40787</v>
      </c>
      <c r="T64" s="1">
        <v>21993</v>
      </c>
      <c r="U64" s="34">
        <v>40787</v>
      </c>
      <c r="V64" s="1">
        <v>2846</v>
      </c>
    </row>
    <row r="65" spans="1:22" x14ac:dyDescent="0.25">
      <c r="A65" s="34">
        <v>40817</v>
      </c>
      <c r="B65" s="1">
        <v>132468</v>
      </c>
      <c r="C65" s="34">
        <v>40817</v>
      </c>
      <c r="D65" s="1">
        <v>52</v>
      </c>
      <c r="E65" s="34">
        <v>40817</v>
      </c>
      <c r="F65" s="1">
        <v>8.8000000000000007</v>
      </c>
      <c r="G65" s="34">
        <v>40817</v>
      </c>
      <c r="H65" s="1">
        <v>1.5</v>
      </c>
      <c r="I65" s="34">
        <v>40817</v>
      </c>
      <c r="J65" s="1">
        <v>145.5</v>
      </c>
      <c r="K65" s="34">
        <v>40817</v>
      </c>
      <c r="L65" s="1">
        <v>133466</v>
      </c>
      <c r="M65" s="34">
        <v>40817</v>
      </c>
      <c r="N65" s="1">
        <v>22359</v>
      </c>
      <c r="Q65" s="34">
        <v>40817</v>
      </c>
      <c r="R65" s="1">
        <v>226.761</v>
      </c>
      <c r="S65" s="34">
        <v>40817</v>
      </c>
      <c r="T65" s="1">
        <v>21999</v>
      </c>
      <c r="U65" s="34">
        <v>40817</v>
      </c>
      <c r="V65" s="1">
        <v>2849</v>
      </c>
    </row>
    <row r="66" spans="1:22" x14ac:dyDescent="0.25">
      <c r="A66" s="34">
        <v>40848</v>
      </c>
      <c r="B66" s="1">
        <v>132632</v>
      </c>
      <c r="C66" s="34">
        <v>40848</v>
      </c>
      <c r="D66" s="1">
        <v>51.9</v>
      </c>
      <c r="E66" s="34">
        <v>40848</v>
      </c>
      <c r="F66" s="1">
        <v>8.6</v>
      </c>
      <c r="G66" s="34">
        <v>40848</v>
      </c>
      <c r="H66" s="1">
        <v>1.57</v>
      </c>
      <c r="I66" s="34">
        <v>40848</v>
      </c>
      <c r="J66" s="1">
        <v>145.83000000000001</v>
      </c>
      <c r="K66" s="34">
        <v>40848</v>
      </c>
      <c r="L66" s="1">
        <v>133800</v>
      </c>
      <c r="M66" s="34">
        <v>40848</v>
      </c>
      <c r="N66" s="1">
        <v>22441</v>
      </c>
      <c r="Q66" s="34">
        <v>40848</v>
      </c>
      <c r="R66" s="1">
        <v>227.136</v>
      </c>
      <c r="S66" s="34">
        <v>40848</v>
      </c>
      <c r="T66" s="1">
        <v>21972</v>
      </c>
      <c r="U66" s="34">
        <v>40848</v>
      </c>
      <c r="V66" s="1">
        <v>2843</v>
      </c>
    </row>
    <row r="67" spans="1:22" x14ac:dyDescent="0.25">
      <c r="A67" s="34">
        <v>40878</v>
      </c>
      <c r="B67" s="1">
        <v>132828</v>
      </c>
      <c r="C67" s="34">
        <v>40878</v>
      </c>
      <c r="D67" s="1">
        <v>51.6</v>
      </c>
      <c r="E67" s="34">
        <v>40878</v>
      </c>
      <c r="F67" s="1">
        <v>8.5</v>
      </c>
      <c r="G67" s="34">
        <v>40878</v>
      </c>
      <c r="H67" s="1">
        <v>1.55</v>
      </c>
      <c r="I67" s="34">
        <v>40878</v>
      </c>
      <c r="J67" s="1">
        <v>146.16999999999999</v>
      </c>
      <c r="K67" s="34">
        <v>40878</v>
      </c>
      <c r="L67" s="1">
        <v>133625</v>
      </c>
      <c r="M67" s="34">
        <v>40878</v>
      </c>
      <c r="N67" s="1">
        <v>22290</v>
      </c>
      <c r="Q67" s="34">
        <v>40878</v>
      </c>
      <c r="R67" s="1">
        <v>227.09299999999999</v>
      </c>
      <c r="S67" s="34">
        <v>40878</v>
      </c>
      <c r="T67" s="1">
        <v>21946</v>
      </c>
      <c r="U67" s="34">
        <v>40878</v>
      </c>
      <c r="V67" s="1">
        <v>2839</v>
      </c>
    </row>
    <row r="68" spans="1:22" x14ac:dyDescent="0.25">
      <c r="A68" s="34">
        <v>40909</v>
      </c>
      <c r="B68" s="1">
        <v>133188</v>
      </c>
      <c r="C68" s="34">
        <v>40909</v>
      </c>
      <c r="D68" s="1">
        <v>47.8</v>
      </c>
      <c r="E68" s="34">
        <v>40909</v>
      </c>
      <c r="F68" s="1">
        <v>8.3000000000000007</v>
      </c>
      <c r="G68" s="34">
        <v>40909</v>
      </c>
      <c r="H68" s="1">
        <v>2.09</v>
      </c>
      <c r="I68" s="34">
        <v>40909</v>
      </c>
      <c r="J68" s="1">
        <v>146.66999999999999</v>
      </c>
      <c r="K68" s="34">
        <v>40909</v>
      </c>
      <c r="L68" s="1">
        <v>131033</v>
      </c>
      <c r="M68" s="34">
        <v>40909</v>
      </c>
      <c r="N68" s="1">
        <v>21810</v>
      </c>
      <c r="Q68" s="34">
        <v>40909</v>
      </c>
      <c r="R68" s="1">
        <v>227.666</v>
      </c>
      <c r="S68" s="34">
        <v>40909</v>
      </c>
      <c r="T68" s="1">
        <v>21942</v>
      </c>
      <c r="U68" s="34">
        <v>40909</v>
      </c>
      <c r="V68" s="1">
        <v>2833</v>
      </c>
    </row>
    <row r="69" spans="1:22" x14ac:dyDescent="0.25">
      <c r="A69" s="34">
        <v>40940</v>
      </c>
      <c r="B69" s="1">
        <v>133414</v>
      </c>
      <c r="C69" s="34">
        <v>40940</v>
      </c>
      <c r="D69" s="1">
        <v>53.5</v>
      </c>
      <c r="E69" s="34">
        <v>40940</v>
      </c>
      <c r="F69" s="1">
        <v>8.3000000000000007</v>
      </c>
      <c r="G69" s="34">
        <v>40940</v>
      </c>
      <c r="H69" s="1">
        <v>1.84</v>
      </c>
      <c r="I69" s="34">
        <v>40940</v>
      </c>
      <c r="J69" s="1">
        <v>147.06</v>
      </c>
      <c r="K69" s="34">
        <v>40940</v>
      </c>
      <c r="L69" s="1">
        <v>131987</v>
      </c>
      <c r="M69" s="34">
        <v>40940</v>
      </c>
      <c r="N69" s="1">
        <v>22271</v>
      </c>
      <c r="Q69" s="34">
        <v>40940</v>
      </c>
      <c r="R69" s="1">
        <v>228.13800000000001</v>
      </c>
      <c r="S69" s="34">
        <v>40940</v>
      </c>
      <c r="T69" s="1">
        <v>21940</v>
      </c>
      <c r="U69" s="34">
        <v>40940</v>
      </c>
      <c r="V69" s="1">
        <v>2827</v>
      </c>
    </row>
    <row r="70" spans="1:22" x14ac:dyDescent="0.25">
      <c r="A70" s="34">
        <v>40969</v>
      </c>
      <c r="B70" s="1">
        <v>133657</v>
      </c>
      <c r="C70" s="34">
        <v>40969</v>
      </c>
      <c r="D70" s="1">
        <v>69.5</v>
      </c>
      <c r="E70" s="34">
        <v>40969</v>
      </c>
      <c r="F70" s="1">
        <v>8.1999999999999993</v>
      </c>
      <c r="G70" s="34">
        <v>40969</v>
      </c>
      <c r="H70" s="1">
        <v>1.68</v>
      </c>
      <c r="I70" s="34">
        <v>40969</v>
      </c>
      <c r="J70" s="1">
        <v>147.41999999999999</v>
      </c>
      <c r="K70" s="34">
        <v>40969</v>
      </c>
      <c r="L70" s="1">
        <v>132881</v>
      </c>
      <c r="M70" s="34">
        <v>40969</v>
      </c>
      <c r="N70" s="1">
        <v>22348</v>
      </c>
      <c r="Q70" s="34">
        <v>40969</v>
      </c>
      <c r="R70" s="1">
        <v>228.732</v>
      </c>
      <c r="S70" s="34">
        <v>40969</v>
      </c>
      <c r="T70" s="1">
        <v>21937</v>
      </c>
      <c r="U70" s="34">
        <v>40969</v>
      </c>
      <c r="V70" s="1">
        <v>2826</v>
      </c>
    </row>
    <row r="71" spans="1:22" x14ac:dyDescent="0.25">
      <c r="A71" s="34">
        <v>41000</v>
      </c>
      <c r="B71" s="1">
        <v>133753</v>
      </c>
      <c r="C71" s="34">
        <v>41000</v>
      </c>
      <c r="D71" s="1">
        <v>64.099999999999994</v>
      </c>
      <c r="E71" s="34">
        <v>41000</v>
      </c>
      <c r="F71" s="1">
        <v>8.1999999999999993</v>
      </c>
      <c r="G71" s="34">
        <v>41000</v>
      </c>
      <c r="H71" s="1">
        <v>1.53</v>
      </c>
      <c r="I71" s="34">
        <v>41000</v>
      </c>
      <c r="J71" s="1">
        <v>147.72</v>
      </c>
      <c r="K71" s="34">
        <v>41000</v>
      </c>
      <c r="L71" s="1">
        <v>133769</v>
      </c>
      <c r="M71" s="34">
        <v>41000</v>
      </c>
      <c r="N71" s="1">
        <v>22349</v>
      </c>
      <c r="Q71" s="34">
        <v>41000</v>
      </c>
      <c r="R71" s="1">
        <v>229.184</v>
      </c>
      <c r="S71" s="34">
        <v>41000</v>
      </c>
      <c r="T71" s="1">
        <v>21931</v>
      </c>
      <c r="U71" s="34">
        <v>41000</v>
      </c>
      <c r="V71" s="1">
        <v>2826</v>
      </c>
    </row>
    <row r="72" spans="1:22" x14ac:dyDescent="0.25">
      <c r="A72" s="34">
        <v>41030</v>
      </c>
      <c r="B72" s="1">
        <v>133863</v>
      </c>
      <c r="C72" s="34">
        <v>41030</v>
      </c>
      <c r="D72" s="1">
        <v>77.7</v>
      </c>
      <c r="E72" s="34">
        <v>41030</v>
      </c>
      <c r="F72" s="1">
        <v>8.1999999999999993</v>
      </c>
      <c r="G72" s="34">
        <v>41030</v>
      </c>
      <c r="H72" s="1">
        <v>1.41</v>
      </c>
      <c r="I72" s="34">
        <v>41030</v>
      </c>
      <c r="J72" s="1">
        <v>147.99</v>
      </c>
      <c r="K72" s="34">
        <v>41030</v>
      </c>
      <c r="L72" s="1">
        <v>134582</v>
      </c>
      <c r="M72" s="34">
        <v>41030</v>
      </c>
      <c r="N72" s="1">
        <v>22300</v>
      </c>
      <c r="Q72" s="34">
        <v>41030</v>
      </c>
      <c r="R72" s="1">
        <v>228.88399999999999</v>
      </c>
      <c r="S72" s="34">
        <v>41030</v>
      </c>
      <c r="T72" s="1">
        <v>21910</v>
      </c>
      <c r="U72" s="34">
        <v>41030</v>
      </c>
      <c r="V72" s="1">
        <v>2825</v>
      </c>
    </row>
    <row r="73" spans="1:22" x14ac:dyDescent="0.25">
      <c r="A73" s="34">
        <v>41061</v>
      </c>
      <c r="B73" s="1">
        <v>133951</v>
      </c>
      <c r="C73" s="34">
        <v>41061</v>
      </c>
      <c r="D73" s="1">
        <v>75.900000000000006</v>
      </c>
      <c r="E73" s="34">
        <v>41061</v>
      </c>
      <c r="F73" s="1">
        <v>8.1999999999999993</v>
      </c>
      <c r="G73" s="34">
        <v>41061</v>
      </c>
      <c r="H73" s="1">
        <v>1.32</v>
      </c>
      <c r="I73" s="34">
        <v>41061</v>
      </c>
      <c r="J73" s="1">
        <v>148.28</v>
      </c>
      <c r="K73" s="34">
        <v>41061</v>
      </c>
      <c r="L73" s="1">
        <v>134919</v>
      </c>
      <c r="M73" s="34">
        <v>41061</v>
      </c>
      <c r="N73" s="1">
        <v>21850</v>
      </c>
      <c r="Q73" s="34">
        <v>41061</v>
      </c>
      <c r="R73" s="1">
        <v>228.82499999999999</v>
      </c>
      <c r="S73" s="34">
        <v>41061</v>
      </c>
      <c r="T73" s="1">
        <v>21923</v>
      </c>
      <c r="U73" s="34">
        <v>41061</v>
      </c>
      <c r="V73" s="1">
        <v>2824</v>
      </c>
    </row>
    <row r="74" spans="1:22" x14ac:dyDescent="0.25">
      <c r="A74" s="34">
        <v>41091</v>
      </c>
      <c r="B74" s="1">
        <v>134111</v>
      </c>
      <c r="C74" s="34">
        <v>41091</v>
      </c>
      <c r="D74" s="1">
        <v>74.099999999999994</v>
      </c>
      <c r="E74" s="34">
        <v>41091</v>
      </c>
      <c r="F74" s="1">
        <v>8.1999999999999993</v>
      </c>
      <c r="G74" s="34">
        <v>41091</v>
      </c>
      <c r="H74" s="1">
        <v>1.38</v>
      </c>
      <c r="I74" s="34">
        <v>41091</v>
      </c>
      <c r="J74" s="1">
        <v>148.59</v>
      </c>
      <c r="K74" s="34">
        <v>41091</v>
      </c>
      <c r="L74" s="1">
        <v>133702</v>
      </c>
      <c r="M74" s="34">
        <v>41091</v>
      </c>
      <c r="N74" s="1">
        <v>20624</v>
      </c>
      <c r="Q74" s="34">
        <v>41091</v>
      </c>
      <c r="R74" s="1">
        <v>228.779</v>
      </c>
      <c r="S74" s="34">
        <v>41091</v>
      </c>
      <c r="T74" s="1">
        <v>21911</v>
      </c>
      <c r="U74" s="34">
        <v>41091</v>
      </c>
      <c r="V74" s="1">
        <v>2814</v>
      </c>
    </row>
    <row r="75" spans="1:22" x14ac:dyDescent="0.25">
      <c r="A75" s="34">
        <v>41122</v>
      </c>
      <c r="B75" s="1">
        <v>134261</v>
      </c>
      <c r="C75" s="34">
        <v>41122</v>
      </c>
      <c r="D75" s="1">
        <v>80</v>
      </c>
      <c r="E75" s="34">
        <v>41122</v>
      </c>
      <c r="F75" s="1">
        <v>8</v>
      </c>
      <c r="G75" s="34">
        <v>41122</v>
      </c>
      <c r="H75" s="1">
        <v>1.3</v>
      </c>
      <c r="I75" s="34">
        <v>41122</v>
      </c>
      <c r="J75" s="1">
        <v>148.88999999999999</v>
      </c>
      <c r="K75" s="34">
        <v>41122</v>
      </c>
      <c r="L75" s="1">
        <v>134082</v>
      </c>
      <c r="M75" s="34">
        <v>41122</v>
      </c>
      <c r="N75" s="1">
        <v>20830</v>
      </c>
      <c r="Q75" s="34">
        <v>41122</v>
      </c>
      <c r="R75" s="1">
        <v>229.952</v>
      </c>
      <c r="S75" s="34">
        <v>41122</v>
      </c>
      <c r="T75" s="1">
        <v>21925</v>
      </c>
      <c r="U75" s="34">
        <v>41122</v>
      </c>
      <c r="V75" s="1">
        <v>2819</v>
      </c>
    </row>
    <row r="76" spans="1:22" x14ac:dyDescent="0.25">
      <c r="A76" s="34">
        <v>41153</v>
      </c>
      <c r="B76" s="1">
        <v>134422</v>
      </c>
      <c r="C76" s="34">
        <v>41153</v>
      </c>
      <c r="D76" s="1">
        <v>73.7</v>
      </c>
      <c r="E76" s="34">
        <v>41153</v>
      </c>
      <c r="F76" s="1">
        <v>7.8</v>
      </c>
      <c r="G76" s="34">
        <v>41153</v>
      </c>
      <c r="H76" s="1">
        <v>1.35</v>
      </c>
      <c r="I76" s="34">
        <v>41153</v>
      </c>
      <c r="J76" s="1">
        <v>149.19999999999999</v>
      </c>
      <c r="K76" s="34">
        <v>41153</v>
      </c>
      <c r="L76" s="1">
        <v>134708</v>
      </c>
      <c r="M76" s="34">
        <v>41153</v>
      </c>
      <c r="N76" s="1">
        <v>21798</v>
      </c>
      <c r="Q76" s="34">
        <v>41153</v>
      </c>
      <c r="R76" s="1">
        <v>231.08600000000001</v>
      </c>
      <c r="S76" s="34">
        <v>41153</v>
      </c>
      <c r="T76" s="1">
        <v>21927</v>
      </c>
      <c r="U76" s="34">
        <v>41153</v>
      </c>
      <c r="V76" s="1">
        <v>2819</v>
      </c>
    </row>
    <row r="77" spans="1:22" x14ac:dyDescent="0.25">
      <c r="A77" s="34">
        <v>41183</v>
      </c>
      <c r="B77" s="1">
        <v>134647</v>
      </c>
      <c r="C77" s="34">
        <v>41183</v>
      </c>
      <c r="D77" s="1">
        <v>77.5</v>
      </c>
      <c r="E77" s="34">
        <v>41183</v>
      </c>
      <c r="F77" s="1">
        <v>7.8</v>
      </c>
      <c r="G77" s="34">
        <v>41183</v>
      </c>
      <c r="H77" s="1">
        <v>1.47</v>
      </c>
      <c r="I77" s="34">
        <v>41183</v>
      </c>
      <c r="J77" s="1">
        <v>149.47999999999999</v>
      </c>
      <c r="K77" s="34">
        <v>41183</v>
      </c>
      <c r="L77" s="1">
        <v>135630</v>
      </c>
      <c r="M77" s="34">
        <v>41183</v>
      </c>
      <c r="N77" s="1">
        <v>22258</v>
      </c>
      <c r="Q77" s="34">
        <v>41183</v>
      </c>
      <c r="R77" s="1">
        <v>231.65199999999999</v>
      </c>
      <c r="S77" s="34">
        <v>41183</v>
      </c>
      <c r="T77" s="1">
        <v>21897</v>
      </c>
      <c r="U77" s="34">
        <v>41183</v>
      </c>
      <c r="V77" s="1">
        <v>2821</v>
      </c>
    </row>
    <row r="78" spans="1:22" x14ac:dyDescent="0.25">
      <c r="A78" s="34">
        <v>41214</v>
      </c>
      <c r="B78" s="1">
        <v>134850</v>
      </c>
      <c r="C78" s="34">
        <v>41214</v>
      </c>
      <c r="D78" s="1">
        <v>68.7</v>
      </c>
      <c r="E78" s="34">
        <v>41214</v>
      </c>
      <c r="F78" s="1">
        <v>7.7</v>
      </c>
      <c r="G78" s="34">
        <v>41214</v>
      </c>
      <c r="H78" s="1">
        <v>1.34</v>
      </c>
      <c r="I78" s="34">
        <v>41214</v>
      </c>
      <c r="J78" s="1">
        <v>149.82</v>
      </c>
      <c r="K78" s="34">
        <v>41214</v>
      </c>
      <c r="L78" s="1">
        <v>136014</v>
      </c>
      <c r="M78" s="34">
        <v>41214</v>
      </c>
      <c r="N78" s="1">
        <v>22358</v>
      </c>
      <c r="Q78" s="34">
        <v>41214</v>
      </c>
      <c r="R78" s="1">
        <v>231.19</v>
      </c>
      <c r="S78" s="34">
        <v>41214</v>
      </c>
      <c r="T78" s="1">
        <v>21889</v>
      </c>
      <c r="U78" s="34">
        <v>41214</v>
      </c>
      <c r="V78" s="1">
        <v>2816</v>
      </c>
    </row>
    <row r="79" spans="1:22" x14ac:dyDescent="0.25">
      <c r="A79" s="34">
        <v>41244</v>
      </c>
      <c r="B79" s="1">
        <v>135064</v>
      </c>
      <c r="C79" s="34">
        <v>41244</v>
      </c>
      <c r="D79" s="1">
        <v>67.2</v>
      </c>
      <c r="E79" s="34">
        <v>41244</v>
      </c>
      <c r="F79" s="1">
        <v>7.9</v>
      </c>
      <c r="G79" s="34">
        <v>41244</v>
      </c>
      <c r="H79" s="1">
        <v>1.66</v>
      </c>
      <c r="I79" s="34">
        <v>41244</v>
      </c>
      <c r="J79" s="1">
        <v>150.22999999999999</v>
      </c>
      <c r="K79" s="34">
        <v>41244</v>
      </c>
      <c r="L79" s="1">
        <v>135938</v>
      </c>
      <c r="M79" s="34">
        <v>41244</v>
      </c>
      <c r="N79" s="1">
        <v>22245</v>
      </c>
      <c r="Q79" s="34">
        <v>41244</v>
      </c>
      <c r="R79" s="1">
        <v>231.09899999999999</v>
      </c>
      <c r="S79" s="34">
        <v>41244</v>
      </c>
      <c r="T79" s="1">
        <v>21888</v>
      </c>
      <c r="U79" s="34">
        <v>41244</v>
      </c>
      <c r="V79" s="1">
        <v>2814</v>
      </c>
    </row>
    <row r="80" spans="1:22" x14ac:dyDescent="0.25">
      <c r="A80" s="34">
        <v>41275</v>
      </c>
      <c r="B80" s="1">
        <v>135261</v>
      </c>
      <c r="C80" s="34">
        <v>41275</v>
      </c>
      <c r="D80" s="1">
        <v>65.5</v>
      </c>
      <c r="E80" s="34">
        <v>41275</v>
      </c>
      <c r="F80" s="1">
        <v>8</v>
      </c>
      <c r="G80" s="34">
        <v>41275</v>
      </c>
      <c r="H80" s="1">
        <v>1.73</v>
      </c>
      <c r="I80" s="34">
        <v>41275</v>
      </c>
      <c r="J80" s="1">
        <v>150.61000000000001</v>
      </c>
      <c r="K80" s="34">
        <v>41275</v>
      </c>
      <c r="L80" s="1">
        <v>133074</v>
      </c>
      <c r="M80" s="34">
        <v>41275</v>
      </c>
      <c r="N80" s="1">
        <v>21732</v>
      </c>
      <c r="Q80" s="34">
        <v>41275</v>
      </c>
      <c r="R80" s="1">
        <v>231.321</v>
      </c>
      <c r="S80" s="34">
        <v>41275</v>
      </c>
      <c r="T80" s="1">
        <v>21866</v>
      </c>
      <c r="U80" s="34">
        <v>41275</v>
      </c>
      <c r="V80" s="1">
        <v>2809</v>
      </c>
    </row>
    <row r="81" spans="1:22" x14ac:dyDescent="0.25">
      <c r="A81" s="34">
        <v>41306</v>
      </c>
      <c r="B81" s="1">
        <v>135541</v>
      </c>
      <c r="C81" s="34">
        <v>41306</v>
      </c>
      <c r="D81" s="1">
        <v>67.8</v>
      </c>
      <c r="E81" s="34">
        <v>41306</v>
      </c>
      <c r="F81" s="1">
        <v>7.7</v>
      </c>
      <c r="G81" s="34">
        <v>41306</v>
      </c>
      <c r="H81" s="1">
        <v>1.84</v>
      </c>
      <c r="I81" s="34">
        <v>41306</v>
      </c>
      <c r="J81" s="1">
        <v>151.04</v>
      </c>
      <c r="K81" s="34">
        <v>41306</v>
      </c>
      <c r="L81" s="1">
        <v>134112</v>
      </c>
      <c r="M81" s="34">
        <v>41306</v>
      </c>
      <c r="N81" s="1">
        <v>22217</v>
      </c>
      <c r="Q81" s="34">
        <v>41306</v>
      </c>
      <c r="R81" s="1">
        <v>232.59899999999999</v>
      </c>
      <c r="S81" s="34">
        <v>41306</v>
      </c>
      <c r="T81" s="1">
        <v>21883</v>
      </c>
      <c r="U81" s="34">
        <v>41306</v>
      </c>
      <c r="V81" s="1">
        <v>2810</v>
      </c>
    </row>
    <row r="82" spans="1:22" x14ac:dyDescent="0.25">
      <c r="A82" s="34">
        <v>41334</v>
      </c>
      <c r="B82" s="1">
        <v>135682</v>
      </c>
      <c r="C82" s="34">
        <v>41334</v>
      </c>
      <c r="D82" s="1">
        <v>77.7</v>
      </c>
      <c r="E82" s="34">
        <v>41334</v>
      </c>
      <c r="F82" s="1">
        <v>7.5</v>
      </c>
      <c r="G82" s="34">
        <v>41334</v>
      </c>
      <c r="H82" s="1">
        <v>1.6</v>
      </c>
      <c r="I82" s="34">
        <v>41334</v>
      </c>
      <c r="J82" s="1">
        <v>151.41999999999999</v>
      </c>
      <c r="K82" s="34">
        <v>41334</v>
      </c>
      <c r="L82" s="1">
        <v>134917</v>
      </c>
      <c r="M82" s="34">
        <v>41334</v>
      </c>
      <c r="N82" s="1">
        <v>22273</v>
      </c>
      <c r="Q82" s="34">
        <v>41334</v>
      </c>
      <c r="R82" s="1">
        <v>232.07499999999999</v>
      </c>
      <c r="S82" s="34">
        <v>41334</v>
      </c>
      <c r="T82" s="1">
        <v>21860</v>
      </c>
      <c r="U82" s="34">
        <v>41334</v>
      </c>
      <c r="V82" s="1">
        <v>2789</v>
      </c>
    </row>
    <row r="83" spans="1:22" x14ac:dyDescent="0.25">
      <c r="A83" s="34">
        <v>41365</v>
      </c>
      <c r="B83" s="1">
        <v>135885</v>
      </c>
      <c r="C83" s="34">
        <v>41365</v>
      </c>
      <c r="D83" s="1">
        <v>92.8</v>
      </c>
      <c r="E83" s="34">
        <v>41365</v>
      </c>
      <c r="F83" s="1">
        <v>7.6</v>
      </c>
      <c r="G83" s="34">
        <v>41365</v>
      </c>
      <c r="H83" s="1">
        <v>1.44</v>
      </c>
      <c r="I83" s="34">
        <v>41365</v>
      </c>
      <c r="J83" s="1">
        <v>151.72</v>
      </c>
      <c r="K83" s="34">
        <v>41365</v>
      </c>
      <c r="L83" s="1">
        <v>135911</v>
      </c>
      <c r="M83" s="34">
        <v>41365</v>
      </c>
      <c r="N83" s="1">
        <v>22294</v>
      </c>
      <c r="Q83" s="34">
        <v>41365</v>
      </c>
      <c r="R83" s="1">
        <v>231.70699999999999</v>
      </c>
      <c r="S83" s="34">
        <v>41365</v>
      </c>
      <c r="T83" s="1">
        <v>21875</v>
      </c>
      <c r="U83" s="34">
        <v>41365</v>
      </c>
      <c r="V83" s="1">
        <v>2791</v>
      </c>
    </row>
    <row r="84" spans="1:22" x14ac:dyDescent="0.25">
      <c r="A84" s="34">
        <v>41395</v>
      </c>
      <c r="B84" s="1">
        <v>136084</v>
      </c>
      <c r="C84" s="34">
        <v>41395</v>
      </c>
      <c r="D84" s="1">
        <v>97.2</v>
      </c>
      <c r="E84" s="34">
        <v>41395</v>
      </c>
      <c r="F84" s="1">
        <v>7.5</v>
      </c>
      <c r="G84" s="34">
        <v>41395</v>
      </c>
      <c r="H84" s="1">
        <v>1.41</v>
      </c>
      <c r="I84" s="34">
        <v>41395</v>
      </c>
      <c r="J84" s="5">
        <v>152.02000000000001</v>
      </c>
      <c r="K84" s="43">
        <v>41395</v>
      </c>
      <c r="L84" s="5">
        <v>136793</v>
      </c>
      <c r="M84" s="34">
        <v>41395</v>
      </c>
      <c r="N84" s="1">
        <v>22248</v>
      </c>
      <c r="Q84" s="34">
        <v>41395</v>
      </c>
      <c r="R84" s="1">
        <v>232.124</v>
      </c>
      <c r="S84" s="34">
        <v>41395</v>
      </c>
      <c r="T84" s="1">
        <v>21852</v>
      </c>
      <c r="U84" s="34">
        <v>41395</v>
      </c>
      <c r="V84" s="1">
        <v>2768</v>
      </c>
    </row>
    <row r="85" spans="1:22" x14ac:dyDescent="0.25">
      <c r="A85" s="34">
        <v>41426</v>
      </c>
      <c r="B85" s="1">
        <v>136285</v>
      </c>
      <c r="C85" s="34">
        <v>41426</v>
      </c>
      <c r="D85" s="1">
        <v>85.7</v>
      </c>
      <c r="E85" s="34">
        <v>41426</v>
      </c>
      <c r="F85" s="1">
        <v>7.5</v>
      </c>
      <c r="G85" s="34">
        <v>41426</v>
      </c>
      <c r="H85" s="1">
        <v>1.45</v>
      </c>
      <c r="I85" s="34">
        <v>41426</v>
      </c>
      <c r="J85" s="1">
        <v>152.36000000000001</v>
      </c>
      <c r="K85" s="34">
        <v>41426</v>
      </c>
      <c r="L85" s="1">
        <v>137195</v>
      </c>
      <c r="M85" s="34">
        <v>41426</v>
      </c>
      <c r="N85" s="1">
        <v>21794</v>
      </c>
      <c r="Q85" s="34">
        <v>41426</v>
      </c>
      <c r="R85" s="1">
        <v>232.86</v>
      </c>
      <c r="S85" s="34">
        <v>41426</v>
      </c>
      <c r="T85" s="1">
        <v>21852</v>
      </c>
      <c r="U85" s="34">
        <v>41426</v>
      </c>
      <c r="V85" s="1">
        <v>2767</v>
      </c>
    </row>
    <row r="86" spans="1:22" x14ac:dyDescent="0.25">
      <c r="A86" s="34">
        <v>41456</v>
      </c>
      <c r="B86" s="1">
        <v>136434</v>
      </c>
      <c r="C86" s="34">
        <v>41456</v>
      </c>
      <c r="D86" s="1">
        <v>90.2</v>
      </c>
      <c r="E86" s="34">
        <v>41456</v>
      </c>
      <c r="F86" s="1">
        <v>7.3</v>
      </c>
      <c r="G86" s="34">
        <v>41456</v>
      </c>
      <c r="H86" s="1">
        <v>1.43</v>
      </c>
      <c r="I86" s="34">
        <v>41456</v>
      </c>
      <c r="J86" s="1">
        <v>152.72</v>
      </c>
      <c r="K86" s="34">
        <v>41456</v>
      </c>
      <c r="L86" s="1">
        <v>136050</v>
      </c>
      <c r="M86" s="34">
        <v>41456</v>
      </c>
      <c r="N86" s="1">
        <v>20537</v>
      </c>
      <c r="Q86" s="34">
        <v>41456</v>
      </c>
      <c r="R86" s="1">
        <v>233.25200000000001</v>
      </c>
      <c r="S86" s="34">
        <v>41456</v>
      </c>
      <c r="T86" s="1">
        <v>21831</v>
      </c>
      <c r="U86" s="34">
        <v>41456</v>
      </c>
      <c r="V86" s="1">
        <v>2756</v>
      </c>
    </row>
    <row r="87" spans="1:22" x14ac:dyDescent="0.25">
      <c r="A87" s="34">
        <v>41487</v>
      </c>
      <c r="B87" s="1">
        <v>136636</v>
      </c>
      <c r="C87" s="34">
        <v>41487</v>
      </c>
      <c r="D87" s="1">
        <v>87.1</v>
      </c>
      <c r="E87" s="34">
        <v>41487</v>
      </c>
      <c r="F87" s="1">
        <v>7.2</v>
      </c>
      <c r="G87" s="34">
        <v>41487</v>
      </c>
      <c r="H87" s="1">
        <v>1.66</v>
      </c>
      <c r="I87" s="34">
        <v>41487</v>
      </c>
      <c r="J87" s="1">
        <v>153.13</v>
      </c>
      <c r="K87" s="34">
        <v>41487</v>
      </c>
      <c r="L87" s="1">
        <v>136477</v>
      </c>
      <c r="M87" s="34">
        <v>41487</v>
      </c>
      <c r="N87" s="1">
        <v>20768</v>
      </c>
      <c r="Q87" s="34">
        <v>41487</v>
      </c>
      <c r="R87" s="1">
        <v>233.43299999999999</v>
      </c>
      <c r="S87" s="34">
        <v>41487</v>
      </c>
      <c r="T87" s="1">
        <v>21853</v>
      </c>
      <c r="U87" s="34">
        <v>41487</v>
      </c>
      <c r="V87" s="1">
        <v>2749</v>
      </c>
    </row>
    <row r="88" spans="1:22" x14ac:dyDescent="0.25">
      <c r="A88" s="34">
        <v>41518</v>
      </c>
      <c r="B88" s="1">
        <v>136800</v>
      </c>
      <c r="C88" s="34">
        <v>41518</v>
      </c>
      <c r="D88" s="1">
        <v>83.1</v>
      </c>
      <c r="E88" s="34">
        <v>41518</v>
      </c>
      <c r="F88" s="1">
        <v>7.2</v>
      </c>
      <c r="G88" s="34">
        <v>41518</v>
      </c>
      <c r="H88" s="1">
        <v>1.64</v>
      </c>
      <c r="I88" s="34">
        <v>41518</v>
      </c>
      <c r="J88" s="1">
        <v>153.47</v>
      </c>
      <c r="K88" s="34">
        <v>41518</v>
      </c>
      <c r="L88" s="1">
        <v>137069</v>
      </c>
      <c r="M88" s="34">
        <v>41518</v>
      </c>
      <c r="N88" s="1">
        <v>21747</v>
      </c>
      <c r="Q88" s="34">
        <v>41518</v>
      </c>
      <c r="R88" s="1">
        <v>233.74299999999999</v>
      </c>
      <c r="S88" s="34">
        <v>41518</v>
      </c>
      <c r="T88" s="1">
        <v>21864</v>
      </c>
      <c r="U88" s="34">
        <v>41518</v>
      </c>
      <c r="V88" s="1">
        <v>2744</v>
      </c>
    </row>
    <row r="89" spans="1:22" x14ac:dyDescent="0.25">
      <c r="A89" s="34">
        <v>41548</v>
      </c>
      <c r="B89" s="1">
        <v>137037</v>
      </c>
      <c r="C89" s="34">
        <v>41548</v>
      </c>
      <c r="D89" s="1">
        <v>92.5</v>
      </c>
      <c r="E89" s="34">
        <v>41548</v>
      </c>
      <c r="F89" s="1">
        <v>7.2</v>
      </c>
      <c r="G89" s="34">
        <v>41548</v>
      </c>
      <c r="H89" s="1">
        <v>1.41</v>
      </c>
      <c r="I89" s="34">
        <v>41548</v>
      </c>
      <c r="J89" s="1">
        <v>153.84</v>
      </c>
      <c r="K89" s="34">
        <v>41548</v>
      </c>
      <c r="L89" s="1">
        <v>138013</v>
      </c>
      <c r="M89" s="34">
        <v>41548</v>
      </c>
      <c r="N89" s="1">
        <v>22215</v>
      </c>
      <c r="Q89" s="34">
        <v>41548</v>
      </c>
      <c r="R89" s="1">
        <v>233.78200000000001</v>
      </c>
      <c r="S89" s="34">
        <v>41548</v>
      </c>
      <c r="T89" s="1">
        <v>21854</v>
      </c>
      <c r="U89" s="34">
        <v>41548</v>
      </c>
      <c r="V89" s="1">
        <v>2732</v>
      </c>
    </row>
    <row r="90" spans="1:22" x14ac:dyDescent="0.25">
      <c r="A90" s="34">
        <v>41579</v>
      </c>
      <c r="B90" s="1">
        <v>137311</v>
      </c>
      <c r="C90" s="34">
        <v>41579</v>
      </c>
      <c r="D90" s="1">
        <v>73.5</v>
      </c>
      <c r="E90" s="34">
        <v>41579</v>
      </c>
      <c r="F90" s="1">
        <v>7</v>
      </c>
      <c r="G90" s="34">
        <v>41579</v>
      </c>
      <c r="H90" s="1">
        <v>1.57</v>
      </c>
      <c r="I90" s="34">
        <v>41579</v>
      </c>
      <c r="J90" s="1">
        <v>154.25</v>
      </c>
      <c r="K90" s="34">
        <v>41579</v>
      </c>
      <c r="L90" s="1">
        <v>138536</v>
      </c>
      <c r="M90" s="34">
        <v>41579</v>
      </c>
      <c r="N90" s="1">
        <v>22340</v>
      </c>
      <c r="Q90" s="34">
        <v>41579</v>
      </c>
      <c r="R90" s="1">
        <v>234.03299999999999</v>
      </c>
      <c r="S90" s="34">
        <v>41579</v>
      </c>
      <c r="T90" s="1">
        <v>21856</v>
      </c>
      <c r="U90" s="34">
        <v>41579</v>
      </c>
      <c r="V90" s="1">
        <v>2739</v>
      </c>
    </row>
    <row r="91" spans="1:22" x14ac:dyDescent="0.25">
      <c r="A91" s="34">
        <v>41609</v>
      </c>
      <c r="B91" s="1">
        <v>137395</v>
      </c>
      <c r="C91" s="34">
        <v>41609</v>
      </c>
      <c r="D91" s="1">
        <v>77.8</v>
      </c>
      <c r="E91" s="34">
        <v>41609</v>
      </c>
      <c r="F91" s="1">
        <v>6.7</v>
      </c>
      <c r="G91" s="34">
        <v>41609</v>
      </c>
      <c r="H91" s="1">
        <v>1.36</v>
      </c>
      <c r="I91" s="34">
        <v>41609</v>
      </c>
      <c r="J91" s="1">
        <v>154.59</v>
      </c>
      <c r="K91" s="34">
        <v>41609</v>
      </c>
      <c r="L91" s="1">
        <v>138269</v>
      </c>
      <c r="M91" s="34">
        <v>41609</v>
      </c>
      <c r="N91" s="1">
        <v>22208</v>
      </c>
      <c r="Q91" s="34">
        <v>41609</v>
      </c>
      <c r="R91" s="1">
        <v>234.59399999999999</v>
      </c>
      <c r="S91" s="34">
        <v>41609</v>
      </c>
      <c r="T91" s="1">
        <v>21854</v>
      </c>
      <c r="U91" s="34">
        <v>41609</v>
      </c>
      <c r="V91" s="1">
        <v>2736</v>
      </c>
    </row>
    <row r="92" spans="1:22" x14ac:dyDescent="0.25">
      <c r="A92" s="34">
        <v>41640</v>
      </c>
      <c r="B92" s="1">
        <v>137539</v>
      </c>
      <c r="C92" s="34">
        <v>41640</v>
      </c>
      <c r="D92" s="1">
        <v>65</v>
      </c>
      <c r="E92" s="34">
        <v>41640</v>
      </c>
      <c r="F92" s="1">
        <v>6.6</v>
      </c>
      <c r="G92" s="34">
        <v>41640</v>
      </c>
      <c r="H92" s="1">
        <v>1.42</v>
      </c>
      <c r="I92" s="34">
        <v>41640</v>
      </c>
      <c r="J92" s="1">
        <v>154.91</v>
      </c>
      <c r="K92" s="34">
        <v>41640</v>
      </c>
      <c r="L92" s="1">
        <v>135451</v>
      </c>
      <c r="M92" s="34">
        <v>41640</v>
      </c>
      <c r="N92" s="1">
        <v>21711</v>
      </c>
      <c r="Q92" s="34">
        <v>41640</v>
      </c>
      <c r="R92" s="1">
        <v>234.93299999999999</v>
      </c>
      <c r="S92" s="34">
        <v>41640</v>
      </c>
      <c r="T92" s="1">
        <v>21832</v>
      </c>
      <c r="U92" s="34">
        <v>41640</v>
      </c>
      <c r="V92" s="1">
        <v>2721</v>
      </c>
    </row>
    <row r="93" spans="1:22" x14ac:dyDescent="0.25">
      <c r="A93" s="34">
        <v>41671</v>
      </c>
      <c r="B93" s="1">
        <v>137761</v>
      </c>
      <c r="C93" s="34">
        <v>41671</v>
      </c>
      <c r="D93" s="1">
        <v>70.5</v>
      </c>
      <c r="E93" s="34">
        <v>41671</v>
      </c>
      <c r="F93" s="1">
        <v>6.7</v>
      </c>
      <c r="G93" s="34">
        <v>41671</v>
      </c>
      <c r="H93" s="1">
        <v>1.36</v>
      </c>
      <c r="I93" s="34">
        <v>41671</v>
      </c>
      <c r="J93" s="1">
        <v>155.29</v>
      </c>
      <c r="K93" s="34">
        <v>41671</v>
      </c>
      <c r="L93" s="1">
        <v>136192</v>
      </c>
      <c r="M93" s="34">
        <v>41671</v>
      </c>
      <c r="N93" s="1">
        <v>22145</v>
      </c>
      <c r="Q93" s="34">
        <v>41671</v>
      </c>
      <c r="R93" s="1">
        <v>235.16900000000001</v>
      </c>
      <c r="S93" s="34">
        <v>41671</v>
      </c>
      <c r="T93" s="1">
        <v>21853</v>
      </c>
      <c r="U93" s="34">
        <v>41671</v>
      </c>
      <c r="V93" s="1">
        <v>2718</v>
      </c>
    </row>
    <row r="94" spans="1:22" x14ac:dyDescent="0.25">
      <c r="A94" s="34">
        <v>41699</v>
      </c>
      <c r="B94" s="1">
        <v>137964</v>
      </c>
      <c r="C94" s="34">
        <v>41699</v>
      </c>
      <c r="D94" s="1">
        <v>83.7</v>
      </c>
      <c r="E94" s="34">
        <v>41699</v>
      </c>
      <c r="F94" s="1">
        <v>6.6</v>
      </c>
      <c r="G94" s="34">
        <v>41699</v>
      </c>
      <c r="H94" s="1">
        <v>1.51</v>
      </c>
      <c r="I94" s="34">
        <v>41699</v>
      </c>
      <c r="J94" s="1">
        <v>155.68</v>
      </c>
      <c r="K94" s="34">
        <v>41699</v>
      </c>
      <c r="L94" s="1">
        <v>137147</v>
      </c>
      <c r="M94" s="34">
        <v>41699</v>
      </c>
      <c r="N94" s="1">
        <v>22263</v>
      </c>
      <c r="Q94" s="34">
        <v>41699</v>
      </c>
      <c r="R94" s="1">
        <v>235.64</v>
      </c>
      <c r="S94" s="34">
        <v>41699</v>
      </c>
      <c r="T94" s="1">
        <v>21856</v>
      </c>
      <c r="U94" s="34">
        <v>41699</v>
      </c>
      <c r="V94" s="1">
        <v>2713</v>
      </c>
    </row>
    <row r="95" spans="1:22" x14ac:dyDescent="0.25">
      <c r="A95" s="34">
        <v>41730</v>
      </c>
      <c r="B95" s="1">
        <v>138268</v>
      </c>
      <c r="C95" s="34">
        <v>41730</v>
      </c>
      <c r="D95" s="1">
        <v>94.7</v>
      </c>
      <c r="E95" s="34">
        <v>41730</v>
      </c>
      <c r="F95" s="1">
        <v>6.2</v>
      </c>
      <c r="G95" s="34">
        <v>41730</v>
      </c>
      <c r="H95" s="1">
        <v>1.76</v>
      </c>
      <c r="I95" s="34">
        <v>41730</v>
      </c>
      <c r="J95" s="1">
        <v>156.15</v>
      </c>
      <c r="K95" s="34">
        <v>41730</v>
      </c>
      <c r="L95" s="1">
        <v>138265</v>
      </c>
      <c r="M95" s="34">
        <v>41730</v>
      </c>
      <c r="N95" s="1">
        <v>22307</v>
      </c>
      <c r="Q95" s="34">
        <v>41730</v>
      </c>
      <c r="R95" s="1">
        <v>236.25399999999999</v>
      </c>
      <c r="S95" s="34">
        <v>41730</v>
      </c>
      <c r="T95" s="1">
        <v>21882</v>
      </c>
      <c r="U95" s="34">
        <v>41730</v>
      </c>
      <c r="V95" s="1">
        <v>2713</v>
      </c>
    </row>
    <row r="96" spans="1:22" x14ac:dyDescent="0.25">
      <c r="A96" s="34">
        <v>41760</v>
      </c>
      <c r="B96" s="1">
        <v>138497</v>
      </c>
      <c r="C96" s="34">
        <v>41760</v>
      </c>
      <c r="D96" s="1">
        <v>92.2</v>
      </c>
      <c r="E96" s="34">
        <v>41760</v>
      </c>
      <c r="F96" s="1">
        <v>6.3</v>
      </c>
      <c r="G96" s="34">
        <v>41760</v>
      </c>
      <c r="H96" s="1">
        <v>1.73</v>
      </c>
      <c r="I96" s="34">
        <v>41760</v>
      </c>
      <c r="J96" s="5">
        <v>156.61000000000001</v>
      </c>
      <c r="K96" s="34">
        <v>41760</v>
      </c>
      <c r="L96" s="1">
        <v>139184</v>
      </c>
      <c r="M96" s="34">
        <v>41760</v>
      </c>
      <c r="N96" s="1">
        <v>22255</v>
      </c>
      <c r="Q96" s="34">
        <v>41760</v>
      </c>
      <c r="R96" s="1">
        <v>237.083</v>
      </c>
      <c r="S96" s="34">
        <v>41760</v>
      </c>
      <c r="T96" s="1">
        <v>21883</v>
      </c>
      <c r="U96" s="34">
        <v>41760</v>
      </c>
      <c r="V96" s="1">
        <v>2712</v>
      </c>
    </row>
    <row r="97" spans="1:22" x14ac:dyDescent="0.25">
      <c r="A97" s="34">
        <v>41791</v>
      </c>
      <c r="B97" s="5">
        <v>138764</v>
      </c>
      <c r="C97" s="34">
        <v>41791</v>
      </c>
      <c r="D97" s="1">
        <v>92.3</v>
      </c>
      <c r="E97" s="34">
        <v>41791</v>
      </c>
      <c r="F97" s="1">
        <v>6.1</v>
      </c>
      <c r="G97" s="34">
        <v>41791</v>
      </c>
      <c r="H97" s="1">
        <v>1.82</v>
      </c>
      <c r="I97" s="34">
        <v>41791</v>
      </c>
      <c r="J97" s="5">
        <v>157.05000000000001</v>
      </c>
      <c r="K97" s="34">
        <v>41791</v>
      </c>
      <c r="L97" s="1">
        <v>139772</v>
      </c>
      <c r="M97" s="34">
        <v>41791</v>
      </c>
      <c r="N97" s="1">
        <v>21859</v>
      </c>
      <c r="Q97" s="34">
        <v>41791</v>
      </c>
      <c r="R97" s="1">
        <v>237.69300000000001</v>
      </c>
      <c r="S97" s="34">
        <v>41791</v>
      </c>
      <c r="T97" s="1">
        <v>21890</v>
      </c>
      <c r="U97" s="34">
        <v>41791</v>
      </c>
      <c r="V97" s="1">
        <v>2715</v>
      </c>
    </row>
    <row r="98" spans="1:22" x14ac:dyDescent="0.25">
      <c r="A98" s="34">
        <v>41821</v>
      </c>
      <c r="B98" s="1">
        <v>139007</v>
      </c>
      <c r="C98" s="34">
        <v>41821</v>
      </c>
      <c r="D98" s="1">
        <v>97.6</v>
      </c>
      <c r="E98" s="34">
        <v>41821</v>
      </c>
      <c r="F98" s="1">
        <v>6.2</v>
      </c>
      <c r="G98" s="34">
        <v>41821</v>
      </c>
      <c r="H98" s="1">
        <v>1.7</v>
      </c>
      <c r="I98" s="34">
        <v>41821</v>
      </c>
      <c r="J98" s="5">
        <v>157.41</v>
      </c>
      <c r="K98" s="34">
        <v>41821</v>
      </c>
      <c r="L98" s="1">
        <v>138669</v>
      </c>
      <c r="M98" s="34">
        <v>41821</v>
      </c>
      <c r="N98" s="1">
        <v>20604</v>
      </c>
      <c r="Q98" s="34">
        <v>41821</v>
      </c>
      <c r="R98" s="1">
        <v>237.90899999999999</v>
      </c>
      <c r="S98" s="34">
        <v>41821</v>
      </c>
      <c r="T98" s="1">
        <v>21894</v>
      </c>
      <c r="U98" s="34">
        <v>41821</v>
      </c>
      <c r="V98" s="1">
        <v>2713</v>
      </c>
    </row>
    <row r="99" spans="1:22" x14ac:dyDescent="0.25">
      <c r="A99" s="34">
        <v>41852</v>
      </c>
      <c r="B99" s="1">
        <v>139210</v>
      </c>
      <c r="C99" s="34">
        <v>41852</v>
      </c>
      <c r="D99" s="1">
        <v>87.2</v>
      </c>
      <c r="E99" s="34">
        <v>41852</v>
      </c>
      <c r="F99" s="1">
        <v>6.1</v>
      </c>
      <c r="G99" s="34">
        <v>41852</v>
      </c>
      <c r="H99" s="1">
        <v>1.66</v>
      </c>
      <c r="I99" s="34">
        <v>41852</v>
      </c>
      <c r="J99" s="1">
        <v>157.83000000000001</v>
      </c>
      <c r="K99" s="34">
        <v>41852</v>
      </c>
      <c r="L99" s="1">
        <v>139061</v>
      </c>
      <c r="M99" s="34">
        <v>41852</v>
      </c>
      <c r="N99" s="1">
        <v>20803</v>
      </c>
      <c r="Q99" s="34">
        <v>41852</v>
      </c>
      <c r="R99" s="1">
        <v>237.428</v>
      </c>
      <c r="S99" s="34">
        <v>41852</v>
      </c>
      <c r="T99" s="1">
        <v>21897</v>
      </c>
      <c r="U99" s="34">
        <v>41852</v>
      </c>
      <c r="V99" s="1">
        <v>2716</v>
      </c>
    </row>
    <row r="100" spans="1:22" x14ac:dyDescent="0.25">
      <c r="A100" s="34">
        <v>41883</v>
      </c>
      <c r="B100" s="1">
        <v>139481</v>
      </c>
      <c r="C100" s="34">
        <v>41883</v>
      </c>
      <c r="D100" s="5">
        <v>90.7</v>
      </c>
      <c r="E100" s="34">
        <v>41883</v>
      </c>
      <c r="F100" s="1">
        <v>5.9</v>
      </c>
      <c r="G100" s="34">
        <v>41883</v>
      </c>
      <c r="H100" s="1">
        <v>1.91</v>
      </c>
      <c r="I100" s="34">
        <v>41883</v>
      </c>
      <c r="J100" s="1">
        <v>158.28</v>
      </c>
      <c r="K100" s="34">
        <v>41883</v>
      </c>
      <c r="L100" s="1">
        <v>139753</v>
      </c>
      <c r="M100" s="34">
        <v>41883</v>
      </c>
      <c r="N100" s="1">
        <v>21816</v>
      </c>
      <c r="Q100" s="34">
        <v>41883</v>
      </c>
      <c r="R100" s="1">
        <v>237.63300000000001</v>
      </c>
      <c r="S100" s="34">
        <v>41883</v>
      </c>
      <c r="T100" s="1">
        <v>21919</v>
      </c>
      <c r="U100" s="34">
        <v>41883</v>
      </c>
      <c r="V100" s="1">
        <v>2716</v>
      </c>
    </row>
    <row r="101" spans="1:22" x14ac:dyDescent="0.25">
      <c r="A101" s="34">
        <v>41913</v>
      </c>
      <c r="B101" s="1">
        <v>139742</v>
      </c>
      <c r="C101" s="34">
        <v>41913</v>
      </c>
      <c r="D101" s="1">
        <v>96.4</v>
      </c>
      <c r="E101" s="34">
        <v>41913</v>
      </c>
      <c r="F101" s="1">
        <v>5.7</v>
      </c>
      <c r="G101" s="34">
        <v>41913</v>
      </c>
      <c r="H101" s="1">
        <v>1.84</v>
      </c>
      <c r="I101" s="34">
        <v>41913</v>
      </c>
      <c r="J101" s="1">
        <v>158.74</v>
      </c>
      <c r="K101" s="34">
        <v>41913</v>
      </c>
      <c r="L101" s="1">
        <v>140811</v>
      </c>
      <c r="M101" s="34">
        <v>41913</v>
      </c>
      <c r="N101" s="1">
        <v>22310</v>
      </c>
      <c r="Q101" s="34">
        <v>41913</v>
      </c>
      <c r="R101" s="1">
        <v>237.642</v>
      </c>
      <c r="S101" s="34">
        <v>41913</v>
      </c>
      <c r="T101" s="1">
        <v>21925</v>
      </c>
      <c r="U101" s="34">
        <v>41913</v>
      </c>
      <c r="V101" s="1">
        <v>2713</v>
      </c>
    </row>
    <row r="102" spans="1:22" x14ac:dyDescent="0.25">
      <c r="A102" s="34">
        <v>41944</v>
      </c>
      <c r="B102" s="1">
        <v>140095</v>
      </c>
      <c r="C102" s="34">
        <v>41944</v>
      </c>
      <c r="D102" s="1">
        <v>71.3</v>
      </c>
      <c r="E102" s="34">
        <v>41944</v>
      </c>
      <c r="F102" s="1">
        <v>5.8</v>
      </c>
      <c r="G102" s="34">
        <v>41944</v>
      </c>
      <c r="H102" s="1">
        <v>1.71</v>
      </c>
      <c r="I102" s="34">
        <v>41944</v>
      </c>
      <c r="J102" s="1">
        <v>159.22</v>
      </c>
      <c r="K102" s="34">
        <v>41944</v>
      </c>
      <c r="L102" s="1">
        <v>141321</v>
      </c>
      <c r="M102" s="34">
        <v>41944</v>
      </c>
      <c r="N102" s="1">
        <v>22425</v>
      </c>
      <c r="Q102" s="34">
        <v>41944</v>
      </c>
      <c r="R102" s="1">
        <v>237.03200000000001</v>
      </c>
      <c r="S102" s="34">
        <v>41944</v>
      </c>
      <c r="T102" s="1">
        <v>21933</v>
      </c>
      <c r="U102" s="34">
        <v>41944</v>
      </c>
      <c r="V102" s="1">
        <v>2718</v>
      </c>
    </row>
    <row r="103" spans="1:22" x14ac:dyDescent="0.25">
      <c r="A103" s="34">
        <v>41974</v>
      </c>
      <c r="B103" s="1">
        <v>140347</v>
      </c>
      <c r="C103" s="34">
        <v>41974</v>
      </c>
      <c r="D103" s="1">
        <v>80.599999999999994</v>
      </c>
      <c r="E103" s="34">
        <v>41974</v>
      </c>
      <c r="F103" s="1">
        <v>5.6</v>
      </c>
      <c r="K103" s="34">
        <v>41974</v>
      </c>
      <c r="L103" s="1">
        <v>141256</v>
      </c>
      <c r="M103" s="34">
        <v>41974</v>
      </c>
      <c r="N103" s="1">
        <v>22305</v>
      </c>
      <c r="Q103" s="34">
        <v>41974</v>
      </c>
      <c r="R103" s="1">
        <v>236.149</v>
      </c>
      <c r="S103" s="34">
        <v>41974</v>
      </c>
      <c r="T103" s="1">
        <v>21945</v>
      </c>
      <c r="U103" s="34">
        <v>41974</v>
      </c>
      <c r="V103" s="1">
        <v>2719</v>
      </c>
    </row>
    <row r="779" spans="20:22" x14ac:dyDescent="0.25">
      <c r="U779" s="44"/>
    </row>
    <row r="780" spans="20:22" x14ac:dyDescent="0.25">
      <c r="T780" s="5"/>
      <c r="V780" s="5"/>
    </row>
    <row r="783" spans="20:22" x14ac:dyDescent="0.25">
      <c r="T783" s="5"/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  <hyperlink ref="Q5" r:id="rId9"/>
    <hyperlink ref="S5" r:id="rId10"/>
    <hyperlink ref="U5" r:id="rId1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03"/>
  <sheetViews>
    <sheetView workbookViewId="0">
      <pane ySplit="7" topLeftCell="A86" activePane="bottomLeft" state="frozen"/>
      <selection activeCell="N99" sqref="N99"/>
      <selection pane="bottomLeft" activeCell="F103" sqref="F103"/>
    </sheetView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28</v>
      </c>
      <c r="C1" s="34" t="s">
        <v>29</v>
      </c>
      <c r="E1" s="34" t="s">
        <v>30</v>
      </c>
      <c r="G1" s="34" t="s">
        <v>31</v>
      </c>
      <c r="I1" s="34" t="s">
        <v>32</v>
      </c>
      <c r="K1" s="34" t="str">
        <f>CONCATENATE(LEFT(A1,2), "NAN")</f>
        <v>AKNAN</v>
      </c>
      <c r="M1" s="34" t="str">
        <f>CONCATENATE(LEFT($A$1,2), "GOVTN")</f>
        <v>AKGOVTN</v>
      </c>
      <c r="O1" s="34" t="str">
        <f>CONCATENATE(LEFT($A$1,2), "RGSP")</f>
        <v>AKRGSP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991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844</v>
      </c>
      <c r="C5" s="35" t="s">
        <v>33</v>
      </c>
      <c r="E5" s="35" t="s">
        <v>34</v>
      </c>
      <c r="G5" s="35" t="s">
        <v>35</v>
      </c>
      <c r="I5" s="35" t="s">
        <v>36</v>
      </c>
      <c r="K5" s="35" t="s">
        <v>844</v>
      </c>
      <c r="M5" s="35" t="s">
        <v>845</v>
      </c>
      <c r="O5" s="35" t="s">
        <v>767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315.7</v>
      </c>
      <c r="C8" s="34">
        <v>39083</v>
      </c>
      <c r="D8" s="1">
        <v>80</v>
      </c>
      <c r="E8" s="34">
        <v>39083</v>
      </c>
      <c r="F8" s="1">
        <v>6.1</v>
      </c>
      <c r="G8" s="34">
        <v>39083</v>
      </c>
      <c r="H8" s="1">
        <v>1.04</v>
      </c>
      <c r="I8" s="34">
        <v>39083</v>
      </c>
      <c r="J8" s="1">
        <v>110.95</v>
      </c>
      <c r="K8" s="34">
        <v>39083</v>
      </c>
      <c r="L8" s="1">
        <v>295.3</v>
      </c>
      <c r="M8" s="34">
        <v>39083</v>
      </c>
      <c r="N8" s="1">
        <v>78.900000000000006</v>
      </c>
      <c r="O8" s="34">
        <v>39083</v>
      </c>
      <c r="P8" s="1">
        <v>46086</v>
      </c>
    </row>
    <row r="9" spans="1:16" x14ac:dyDescent="0.25">
      <c r="A9" s="34">
        <v>39114</v>
      </c>
      <c r="B9" s="1">
        <v>316.7</v>
      </c>
      <c r="C9" s="34">
        <v>39114</v>
      </c>
      <c r="D9" s="1">
        <v>168</v>
      </c>
      <c r="E9" s="34">
        <v>39114</v>
      </c>
      <c r="F9" s="1">
        <v>6</v>
      </c>
      <c r="G9" s="34">
        <v>39114</v>
      </c>
      <c r="H9" s="1">
        <v>0.99</v>
      </c>
      <c r="I9" s="34">
        <v>39114</v>
      </c>
      <c r="J9" s="1">
        <v>111.16</v>
      </c>
      <c r="K9" s="34">
        <v>39114</v>
      </c>
      <c r="L9" s="1">
        <v>302</v>
      </c>
      <c r="M9" s="34">
        <v>39114</v>
      </c>
      <c r="N9" s="1">
        <v>81.900000000000006</v>
      </c>
      <c r="O9" s="34">
        <v>39448</v>
      </c>
      <c r="P9" s="1">
        <v>46266</v>
      </c>
    </row>
    <row r="10" spans="1:16" x14ac:dyDescent="0.25">
      <c r="A10" s="34">
        <v>39142</v>
      </c>
      <c r="B10" s="1">
        <v>316.89999999999998</v>
      </c>
      <c r="C10" s="34">
        <v>39142</v>
      </c>
      <c r="D10" s="1">
        <v>106</v>
      </c>
      <c r="E10" s="34">
        <v>39142</v>
      </c>
      <c r="F10" s="1">
        <v>5.9</v>
      </c>
      <c r="G10" s="34">
        <v>39142</v>
      </c>
      <c r="H10" s="1">
        <v>0.56999999999999995</v>
      </c>
      <c r="I10" s="34">
        <v>39142</v>
      </c>
      <c r="J10" s="1">
        <v>111.32</v>
      </c>
      <c r="K10" s="34">
        <v>39142</v>
      </c>
      <c r="L10" s="1">
        <v>304.89999999999998</v>
      </c>
      <c r="M10" s="34">
        <v>39142</v>
      </c>
      <c r="N10" s="1">
        <v>82.6</v>
      </c>
      <c r="O10" s="34">
        <v>39814</v>
      </c>
      <c r="P10" s="1">
        <v>49954</v>
      </c>
    </row>
    <row r="11" spans="1:16" x14ac:dyDescent="0.25">
      <c r="A11" s="34">
        <v>39173</v>
      </c>
      <c r="B11" s="1">
        <v>316.60000000000002</v>
      </c>
      <c r="C11" s="34">
        <v>39173</v>
      </c>
      <c r="D11" s="1">
        <v>233</v>
      </c>
      <c r="E11" s="34">
        <v>39173</v>
      </c>
      <c r="F11" s="1">
        <v>5.9</v>
      </c>
      <c r="G11" s="34">
        <v>39173</v>
      </c>
      <c r="H11" s="1">
        <v>-0.31</v>
      </c>
      <c r="I11" s="34">
        <v>39173</v>
      </c>
      <c r="J11" s="1">
        <v>111.32</v>
      </c>
      <c r="K11" s="34">
        <v>39173</v>
      </c>
      <c r="L11" s="1">
        <v>308.89999999999998</v>
      </c>
      <c r="M11" s="34">
        <v>39173</v>
      </c>
      <c r="N11" s="1">
        <v>83.1</v>
      </c>
      <c r="O11" s="34">
        <v>40179</v>
      </c>
      <c r="P11" s="1">
        <v>49023</v>
      </c>
    </row>
    <row r="12" spans="1:16" x14ac:dyDescent="0.25">
      <c r="A12" s="34">
        <v>39203</v>
      </c>
      <c r="B12" s="1">
        <v>317.5</v>
      </c>
      <c r="C12" s="34">
        <v>39203</v>
      </c>
      <c r="D12" s="1">
        <v>288</v>
      </c>
      <c r="E12" s="34">
        <v>39203</v>
      </c>
      <c r="F12" s="1">
        <v>6</v>
      </c>
      <c r="G12" s="34">
        <v>39203</v>
      </c>
      <c r="H12" s="1">
        <v>-1.01</v>
      </c>
      <c r="I12" s="34">
        <v>39203</v>
      </c>
      <c r="J12" s="1">
        <v>111.19</v>
      </c>
      <c r="K12" s="34">
        <v>39203</v>
      </c>
      <c r="L12" s="1">
        <v>321.10000000000002</v>
      </c>
      <c r="M12" s="34">
        <v>39203</v>
      </c>
      <c r="N12" s="1">
        <v>83.1</v>
      </c>
      <c r="O12" s="34">
        <v>40544</v>
      </c>
      <c r="P12" s="1">
        <v>51100</v>
      </c>
    </row>
    <row r="13" spans="1:16" x14ac:dyDescent="0.25">
      <c r="A13" s="34">
        <v>39234</v>
      </c>
      <c r="B13" s="1">
        <v>316.8</v>
      </c>
      <c r="C13" s="34">
        <v>39234</v>
      </c>
      <c r="D13" s="1">
        <v>159</v>
      </c>
      <c r="E13" s="34">
        <v>39234</v>
      </c>
      <c r="F13" s="1">
        <v>6</v>
      </c>
      <c r="G13" s="34">
        <v>39234</v>
      </c>
      <c r="H13" s="1">
        <v>-0.45</v>
      </c>
      <c r="I13" s="34">
        <v>39234</v>
      </c>
      <c r="J13" s="1">
        <v>111.21</v>
      </c>
      <c r="K13" s="34">
        <v>39234</v>
      </c>
      <c r="L13" s="1">
        <v>335.6</v>
      </c>
      <c r="M13" s="34">
        <v>39234</v>
      </c>
      <c r="N13" s="1">
        <v>80.5</v>
      </c>
      <c r="O13" s="34">
        <v>40909</v>
      </c>
      <c r="P13" s="1">
        <v>52870</v>
      </c>
    </row>
    <row r="14" spans="1:16" x14ac:dyDescent="0.25">
      <c r="A14" s="34">
        <v>39264</v>
      </c>
      <c r="B14" s="1">
        <v>315.8</v>
      </c>
      <c r="C14" s="34">
        <v>39264</v>
      </c>
      <c r="D14" s="1">
        <v>170</v>
      </c>
      <c r="E14" s="34">
        <v>39264</v>
      </c>
      <c r="F14" s="1">
        <v>6.1</v>
      </c>
      <c r="G14" s="34">
        <v>39264</v>
      </c>
      <c r="H14" s="1">
        <v>-0.84</v>
      </c>
      <c r="I14" s="34">
        <v>39264</v>
      </c>
      <c r="J14" s="1">
        <v>110.98</v>
      </c>
      <c r="K14" s="34">
        <v>39264</v>
      </c>
      <c r="L14" s="1">
        <v>338.8</v>
      </c>
      <c r="M14" s="34">
        <v>39264</v>
      </c>
      <c r="N14" s="1">
        <v>75.7</v>
      </c>
      <c r="O14" s="34">
        <v>41275</v>
      </c>
      <c r="P14" s="1">
        <v>51542</v>
      </c>
    </row>
    <row r="15" spans="1:16" x14ac:dyDescent="0.25">
      <c r="A15" s="34">
        <v>39295</v>
      </c>
      <c r="B15" s="1">
        <v>316.89999999999998</v>
      </c>
      <c r="C15" s="34">
        <v>39295</v>
      </c>
      <c r="D15" s="1">
        <v>196</v>
      </c>
      <c r="E15" s="34">
        <v>39295</v>
      </c>
      <c r="F15" s="1">
        <v>6.2</v>
      </c>
      <c r="G15" s="34">
        <v>39295</v>
      </c>
      <c r="H15" s="1">
        <v>-1.1299999999999999</v>
      </c>
      <c r="I15" s="34">
        <v>39295</v>
      </c>
      <c r="J15" s="1">
        <v>110.82</v>
      </c>
      <c r="K15" s="34">
        <v>39295</v>
      </c>
      <c r="L15" s="1">
        <v>339.5</v>
      </c>
      <c r="M15" s="34">
        <v>39295</v>
      </c>
      <c r="N15" s="1">
        <v>76.900000000000006</v>
      </c>
    </row>
    <row r="16" spans="1:16" x14ac:dyDescent="0.25">
      <c r="A16" s="34">
        <v>39326</v>
      </c>
      <c r="B16" s="1">
        <v>317.2</v>
      </c>
      <c r="C16" s="34">
        <v>39326</v>
      </c>
      <c r="D16" s="1">
        <v>128</v>
      </c>
      <c r="E16" s="34">
        <v>39326</v>
      </c>
      <c r="F16" s="1">
        <v>6.2</v>
      </c>
      <c r="G16" s="34">
        <v>39326</v>
      </c>
      <c r="H16" s="1">
        <v>-0.57999999999999996</v>
      </c>
      <c r="I16" s="34">
        <v>39326</v>
      </c>
      <c r="J16" s="1">
        <v>110.77</v>
      </c>
      <c r="K16" s="34">
        <v>39326</v>
      </c>
      <c r="L16" s="1">
        <v>331.2</v>
      </c>
      <c r="M16" s="34">
        <v>39326</v>
      </c>
      <c r="N16" s="1">
        <v>82</v>
      </c>
    </row>
    <row r="17" spans="1:14" x14ac:dyDescent="0.25">
      <c r="A17" s="34">
        <v>39356</v>
      </c>
      <c r="B17" s="1">
        <v>317.39999999999998</v>
      </c>
      <c r="C17" s="34">
        <v>39356</v>
      </c>
      <c r="D17" s="1">
        <v>122</v>
      </c>
      <c r="E17" s="34">
        <v>39356</v>
      </c>
      <c r="F17" s="1">
        <v>6.2</v>
      </c>
      <c r="G17" s="34">
        <v>39356</v>
      </c>
      <c r="H17" s="1">
        <v>-0.1</v>
      </c>
      <c r="I17" s="34">
        <v>39356</v>
      </c>
      <c r="J17" s="1">
        <v>110.74</v>
      </c>
      <c r="K17" s="34">
        <v>39356</v>
      </c>
      <c r="L17" s="1">
        <v>314.3</v>
      </c>
      <c r="M17" s="34">
        <v>39356</v>
      </c>
      <c r="N17" s="1">
        <v>83.2</v>
      </c>
    </row>
    <row r="18" spans="1:14" x14ac:dyDescent="0.25">
      <c r="A18" s="34">
        <v>39387</v>
      </c>
      <c r="B18" s="1">
        <v>317.60000000000002</v>
      </c>
      <c r="C18" s="34">
        <v>39387</v>
      </c>
      <c r="D18" s="1">
        <v>146</v>
      </c>
      <c r="E18" s="34">
        <v>39387</v>
      </c>
      <c r="F18" s="1">
        <v>6.2</v>
      </c>
      <c r="G18" s="34">
        <v>39387</v>
      </c>
      <c r="H18" s="1">
        <v>0.04</v>
      </c>
      <c r="I18" s="34">
        <v>39387</v>
      </c>
      <c r="J18" s="1">
        <v>110.74</v>
      </c>
      <c r="K18" s="34">
        <v>39387</v>
      </c>
      <c r="L18" s="1">
        <v>307.10000000000002</v>
      </c>
      <c r="M18" s="34">
        <v>39387</v>
      </c>
      <c r="N18" s="1">
        <v>82.7</v>
      </c>
    </row>
    <row r="19" spans="1:14" x14ac:dyDescent="0.25">
      <c r="A19" s="34">
        <v>39417</v>
      </c>
      <c r="B19" s="1">
        <v>318</v>
      </c>
      <c r="C19" s="34">
        <v>39417</v>
      </c>
      <c r="D19" s="1">
        <v>41</v>
      </c>
      <c r="E19" s="34">
        <v>39417</v>
      </c>
      <c r="F19" s="1">
        <v>6.2</v>
      </c>
      <c r="G19" s="34">
        <v>39417</v>
      </c>
      <c r="H19" s="1">
        <v>0.53</v>
      </c>
      <c r="I19" s="34">
        <v>39417</v>
      </c>
      <c r="J19" s="1">
        <v>110.77</v>
      </c>
      <c r="K19" s="34">
        <v>39417</v>
      </c>
      <c r="L19" s="1">
        <v>303.7</v>
      </c>
      <c r="M19" s="34">
        <v>39417</v>
      </c>
      <c r="N19" s="1">
        <v>82.5</v>
      </c>
    </row>
    <row r="20" spans="1:14" x14ac:dyDescent="0.25">
      <c r="A20" s="34">
        <v>39448</v>
      </c>
      <c r="B20" s="1">
        <v>320.5</v>
      </c>
      <c r="C20" s="34">
        <v>39448</v>
      </c>
      <c r="D20" s="1">
        <v>78</v>
      </c>
      <c r="E20" s="34">
        <v>39448</v>
      </c>
      <c r="F20" s="1">
        <v>6.2</v>
      </c>
      <c r="G20" s="34">
        <v>39448</v>
      </c>
      <c r="H20" s="1">
        <v>0.76</v>
      </c>
      <c r="I20" s="34">
        <v>39448</v>
      </c>
      <c r="J20" s="1">
        <v>110.86</v>
      </c>
      <c r="K20" s="34">
        <v>39448</v>
      </c>
      <c r="L20" s="1">
        <v>299.3</v>
      </c>
      <c r="M20" s="34">
        <v>39448</v>
      </c>
      <c r="N20" s="1">
        <v>80.400000000000006</v>
      </c>
    </row>
    <row r="21" spans="1:14" x14ac:dyDescent="0.25">
      <c r="A21" s="34">
        <v>39479</v>
      </c>
      <c r="B21" s="1">
        <v>319.7</v>
      </c>
      <c r="C21" s="34">
        <v>39479</v>
      </c>
      <c r="D21" s="1">
        <v>62</v>
      </c>
      <c r="E21" s="34">
        <v>39479</v>
      </c>
      <c r="F21" s="1">
        <v>6.2</v>
      </c>
      <c r="G21" s="34">
        <v>39479</v>
      </c>
      <c r="H21" s="1">
        <v>0.35</v>
      </c>
      <c r="I21" s="34">
        <v>39479</v>
      </c>
      <c r="J21" s="1">
        <v>110.93</v>
      </c>
      <c r="K21" s="34">
        <v>39479</v>
      </c>
      <c r="L21" s="1">
        <v>305.10000000000002</v>
      </c>
      <c r="M21" s="34">
        <v>39479</v>
      </c>
      <c r="N21" s="1">
        <v>82.4</v>
      </c>
    </row>
    <row r="22" spans="1:14" x14ac:dyDescent="0.25">
      <c r="A22" s="34">
        <v>39508</v>
      </c>
      <c r="B22" s="1">
        <v>319.60000000000002</v>
      </c>
      <c r="C22" s="34">
        <v>39508</v>
      </c>
      <c r="D22" s="1">
        <v>75</v>
      </c>
      <c r="E22" s="34">
        <v>39508</v>
      </c>
      <c r="F22" s="1">
        <v>6.2</v>
      </c>
      <c r="G22" s="34">
        <v>39508</v>
      </c>
      <c r="H22" s="1">
        <v>0.16</v>
      </c>
      <c r="I22" s="34">
        <v>39508</v>
      </c>
      <c r="J22" s="1">
        <v>111.03</v>
      </c>
      <c r="K22" s="34">
        <v>39508</v>
      </c>
      <c r="L22" s="1">
        <v>307.5</v>
      </c>
      <c r="M22" s="34">
        <v>39508</v>
      </c>
      <c r="N22" s="1">
        <v>82.7</v>
      </c>
    </row>
    <row r="23" spans="1:14" x14ac:dyDescent="0.25">
      <c r="A23" s="34">
        <v>39539</v>
      </c>
      <c r="B23" s="1">
        <v>319.8</v>
      </c>
      <c r="C23" s="34">
        <v>39539</v>
      </c>
      <c r="D23" s="1">
        <v>91</v>
      </c>
      <c r="E23" s="34">
        <v>39539</v>
      </c>
      <c r="F23" s="1">
        <v>6.3</v>
      </c>
      <c r="G23" s="34">
        <v>39539</v>
      </c>
      <c r="H23" s="1">
        <v>-0.4</v>
      </c>
      <c r="I23" s="34">
        <v>39539</v>
      </c>
      <c r="J23" s="1">
        <v>110.98</v>
      </c>
      <c r="K23" s="34">
        <v>39539</v>
      </c>
      <c r="L23" s="1">
        <v>312.10000000000002</v>
      </c>
      <c r="M23" s="34">
        <v>39539</v>
      </c>
      <c r="N23" s="1">
        <v>84</v>
      </c>
    </row>
    <row r="24" spans="1:14" x14ac:dyDescent="0.25">
      <c r="A24" s="34">
        <v>39569</v>
      </c>
      <c r="B24" s="1">
        <v>320.89999999999998</v>
      </c>
      <c r="C24" s="34">
        <v>39569</v>
      </c>
      <c r="D24" s="1">
        <v>112</v>
      </c>
      <c r="E24" s="34">
        <v>39569</v>
      </c>
      <c r="F24" s="1">
        <v>6.3</v>
      </c>
      <c r="G24" s="34">
        <v>39569</v>
      </c>
      <c r="H24" s="1">
        <v>0.74</v>
      </c>
      <c r="I24" s="34">
        <v>39569</v>
      </c>
      <c r="J24" s="1">
        <v>111.24</v>
      </c>
      <c r="K24" s="34">
        <v>39569</v>
      </c>
      <c r="L24" s="1">
        <v>326.3</v>
      </c>
      <c r="M24" s="34">
        <v>39569</v>
      </c>
      <c r="N24" s="1">
        <v>82.9</v>
      </c>
    </row>
    <row r="25" spans="1:14" x14ac:dyDescent="0.25">
      <c r="A25" s="34">
        <v>39600</v>
      </c>
      <c r="B25" s="1">
        <v>321.60000000000002</v>
      </c>
      <c r="C25" s="34">
        <v>39600</v>
      </c>
      <c r="D25" s="1">
        <v>109</v>
      </c>
      <c r="E25" s="34">
        <v>39600</v>
      </c>
      <c r="F25" s="1">
        <v>6.4</v>
      </c>
      <c r="G25" s="34">
        <v>39600</v>
      </c>
      <c r="H25" s="1">
        <v>0.15</v>
      </c>
      <c r="I25" s="34">
        <v>39600</v>
      </c>
      <c r="J25" s="1">
        <v>111.21</v>
      </c>
      <c r="K25" s="34">
        <v>39600</v>
      </c>
      <c r="L25" s="1">
        <v>340.1</v>
      </c>
      <c r="M25" s="34">
        <v>39600</v>
      </c>
      <c r="N25" s="1">
        <v>82.1</v>
      </c>
    </row>
    <row r="26" spans="1:14" x14ac:dyDescent="0.25">
      <c r="A26" s="34">
        <v>39630</v>
      </c>
      <c r="B26" s="1">
        <v>322.3</v>
      </c>
      <c r="C26" s="34">
        <v>39630</v>
      </c>
      <c r="D26" s="1">
        <v>96</v>
      </c>
      <c r="E26" s="34">
        <v>39630</v>
      </c>
      <c r="F26" s="1">
        <v>6.5</v>
      </c>
      <c r="G26" s="34">
        <v>39630</v>
      </c>
      <c r="H26" s="1">
        <v>-0.21</v>
      </c>
      <c r="I26" s="34">
        <v>39630</v>
      </c>
      <c r="J26" s="1">
        <v>111.24</v>
      </c>
      <c r="K26" s="34">
        <v>39630</v>
      </c>
      <c r="L26" s="1">
        <v>345.4</v>
      </c>
      <c r="M26" s="34">
        <v>39630</v>
      </c>
      <c r="N26" s="1">
        <v>77.3</v>
      </c>
    </row>
    <row r="27" spans="1:14" x14ac:dyDescent="0.25">
      <c r="A27" s="34">
        <v>39661</v>
      </c>
      <c r="B27" s="1">
        <v>322.10000000000002</v>
      </c>
      <c r="C27" s="34">
        <v>39661</v>
      </c>
      <c r="D27" s="1">
        <v>82</v>
      </c>
      <c r="E27" s="34">
        <v>39661</v>
      </c>
      <c r="F27" s="1">
        <v>6.5</v>
      </c>
      <c r="G27" s="34">
        <v>39661</v>
      </c>
      <c r="H27" s="1">
        <v>0.57999999999999996</v>
      </c>
      <c r="I27" s="34">
        <v>39661</v>
      </c>
      <c r="J27" s="1">
        <v>111.41</v>
      </c>
      <c r="K27" s="34">
        <v>39661</v>
      </c>
      <c r="L27" s="1">
        <v>344.6</v>
      </c>
      <c r="M27" s="34">
        <v>39661</v>
      </c>
      <c r="N27" s="1">
        <v>78.7</v>
      </c>
    </row>
    <row r="28" spans="1:14" x14ac:dyDescent="0.25">
      <c r="A28" s="34">
        <v>39692</v>
      </c>
      <c r="B28" s="1">
        <v>322.10000000000002</v>
      </c>
      <c r="C28" s="34">
        <v>39692</v>
      </c>
      <c r="D28" s="1">
        <v>96</v>
      </c>
      <c r="E28" s="34">
        <v>39692</v>
      </c>
      <c r="F28" s="1">
        <v>6.6</v>
      </c>
      <c r="G28" s="34">
        <v>39692</v>
      </c>
      <c r="H28" s="1">
        <v>0.13</v>
      </c>
      <c r="I28" s="34">
        <v>39692</v>
      </c>
      <c r="J28" s="1">
        <v>111.43</v>
      </c>
      <c r="K28" s="34">
        <v>39692</v>
      </c>
      <c r="L28" s="1">
        <v>336.4</v>
      </c>
      <c r="M28" s="34">
        <v>39692</v>
      </c>
      <c r="N28" s="1">
        <v>83.5</v>
      </c>
    </row>
    <row r="29" spans="1:14" x14ac:dyDescent="0.25">
      <c r="A29" s="34">
        <v>39722</v>
      </c>
      <c r="B29" s="1">
        <v>321.5</v>
      </c>
      <c r="C29" s="34">
        <v>39722</v>
      </c>
      <c r="D29" s="1">
        <v>46</v>
      </c>
      <c r="E29" s="34">
        <v>39722</v>
      </c>
      <c r="F29" s="1">
        <v>6.6</v>
      </c>
      <c r="G29" s="34">
        <v>39722</v>
      </c>
      <c r="H29" s="1">
        <v>0.08</v>
      </c>
      <c r="I29" s="34">
        <v>39722</v>
      </c>
      <c r="J29" s="1">
        <v>111.62</v>
      </c>
      <c r="K29" s="34">
        <v>39722</v>
      </c>
      <c r="L29" s="1">
        <v>318.10000000000002</v>
      </c>
      <c r="M29" s="34">
        <v>39722</v>
      </c>
      <c r="N29" s="1">
        <v>84</v>
      </c>
    </row>
    <row r="30" spans="1:14" x14ac:dyDescent="0.25">
      <c r="A30" s="34">
        <v>39753</v>
      </c>
      <c r="B30" s="1">
        <v>321.2</v>
      </c>
      <c r="C30" s="34">
        <v>39753</v>
      </c>
      <c r="D30" s="1">
        <v>40</v>
      </c>
      <c r="E30" s="34">
        <v>39753</v>
      </c>
      <c r="F30" s="1">
        <v>6.7</v>
      </c>
      <c r="G30" s="34">
        <v>39753</v>
      </c>
      <c r="H30" s="1">
        <v>-0.66</v>
      </c>
      <c r="I30" s="34">
        <v>39753</v>
      </c>
      <c r="J30" s="1">
        <v>111.67</v>
      </c>
      <c r="K30" s="34">
        <v>39753</v>
      </c>
      <c r="L30" s="1">
        <v>310.7</v>
      </c>
      <c r="M30" s="34">
        <v>39753</v>
      </c>
      <c r="N30" s="1">
        <v>83.8</v>
      </c>
    </row>
    <row r="31" spans="1:14" x14ac:dyDescent="0.25">
      <c r="A31" s="34">
        <v>39783</v>
      </c>
      <c r="B31" s="1">
        <v>322.7</v>
      </c>
      <c r="C31" s="34">
        <v>39783</v>
      </c>
      <c r="D31" s="1">
        <v>21</v>
      </c>
      <c r="E31" s="34">
        <v>39783</v>
      </c>
      <c r="F31" s="1">
        <v>6.8</v>
      </c>
      <c r="G31" s="34">
        <v>39783</v>
      </c>
      <c r="H31" s="1">
        <v>-0.36</v>
      </c>
      <c r="I31" s="34">
        <v>39783</v>
      </c>
      <c r="J31" s="1">
        <v>111.74</v>
      </c>
      <c r="K31" s="34">
        <v>39783</v>
      </c>
      <c r="L31" s="1">
        <v>308.2</v>
      </c>
      <c r="M31" s="34">
        <v>39783</v>
      </c>
      <c r="N31" s="1">
        <v>83.3</v>
      </c>
    </row>
    <row r="32" spans="1:14" x14ac:dyDescent="0.25">
      <c r="A32" s="34">
        <v>39814</v>
      </c>
      <c r="B32" s="1">
        <v>320.2</v>
      </c>
      <c r="C32" s="34">
        <v>39814</v>
      </c>
      <c r="D32" s="1">
        <v>15</v>
      </c>
      <c r="E32" s="34">
        <v>39814</v>
      </c>
      <c r="F32" s="1">
        <v>7</v>
      </c>
      <c r="G32" s="34">
        <v>39814</v>
      </c>
      <c r="H32" s="1">
        <v>-1.1299999999999999</v>
      </c>
      <c r="I32" s="34">
        <v>39814</v>
      </c>
      <c r="J32" s="1">
        <v>111.56</v>
      </c>
      <c r="K32" s="34">
        <v>39814</v>
      </c>
      <c r="L32" s="1">
        <v>301.60000000000002</v>
      </c>
      <c r="M32" s="34">
        <v>39814</v>
      </c>
      <c r="N32" s="1">
        <v>81.599999999999994</v>
      </c>
    </row>
    <row r="33" spans="1:14" x14ac:dyDescent="0.25">
      <c r="A33" s="34">
        <v>39845</v>
      </c>
      <c r="B33" s="1">
        <v>321</v>
      </c>
      <c r="C33" s="34">
        <v>39845</v>
      </c>
      <c r="D33" s="1">
        <v>20</v>
      </c>
      <c r="E33" s="34">
        <v>39845</v>
      </c>
      <c r="F33" s="1">
        <v>7.2</v>
      </c>
      <c r="G33" s="34">
        <v>39845</v>
      </c>
      <c r="H33" s="1">
        <v>-1.0900000000000001</v>
      </c>
      <c r="I33" s="34">
        <v>39845</v>
      </c>
      <c r="J33" s="1">
        <v>111.35</v>
      </c>
      <c r="K33" s="34">
        <v>39845</v>
      </c>
      <c r="L33" s="1">
        <v>306.8</v>
      </c>
      <c r="M33" s="34">
        <v>39845</v>
      </c>
      <c r="N33" s="1">
        <v>83.6</v>
      </c>
    </row>
    <row r="34" spans="1:14" x14ac:dyDescent="0.25">
      <c r="A34" s="34">
        <v>39873</v>
      </c>
      <c r="B34" s="1">
        <v>319.89999999999998</v>
      </c>
      <c r="C34" s="34">
        <v>39873</v>
      </c>
      <c r="D34" s="1">
        <v>43</v>
      </c>
      <c r="E34" s="34">
        <v>39873</v>
      </c>
      <c r="F34" s="1">
        <v>7.4</v>
      </c>
      <c r="G34" s="34">
        <v>39873</v>
      </c>
      <c r="H34" s="1">
        <v>-1.28</v>
      </c>
      <c r="I34" s="34">
        <v>39873</v>
      </c>
      <c r="J34" s="1">
        <v>111.07</v>
      </c>
      <c r="K34" s="34">
        <v>39873</v>
      </c>
      <c r="L34" s="1">
        <v>308</v>
      </c>
      <c r="M34" s="34">
        <v>39873</v>
      </c>
      <c r="N34" s="1">
        <v>83.6</v>
      </c>
    </row>
    <row r="35" spans="1:14" x14ac:dyDescent="0.25">
      <c r="A35" s="34">
        <v>39904</v>
      </c>
      <c r="B35" s="1">
        <v>320.5</v>
      </c>
      <c r="C35" s="34">
        <v>39904</v>
      </c>
      <c r="D35" s="1">
        <v>73</v>
      </c>
      <c r="E35" s="34">
        <v>39904</v>
      </c>
      <c r="F35" s="1">
        <v>7.5</v>
      </c>
      <c r="G35" s="34">
        <v>39904</v>
      </c>
      <c r="H35" s="1">
        <v>-0.51</v>
      </c>
      <c r="I35" s="34">
        <v>39904</v>
      </c>
      <c r="J35" s="1">
        <v>110.93</v>
      </c>
      <c r="K35" s="34">
        <v>39904</v>
      </c>
      <c r="L35" s="1">
        <v>312.8</v>
      </c>
      <c r="M35" s="34">
        <v>39904</v>
      </c>
      <c r="N35" s="1">
        <v>85.7</v>
      </c>
    </row>
    <row r="36" spans="1:14" x14ac:dyDescent="0.25">
      <c r="A36" s="34">
        <v>39934</v>
      </c>
      <c r="B36" s="1">
        <v>319.7</v>
      </c>
      <c r="C36" s="34">
        <v>39934</v>
      </c>
      <c r="D36" s="1">
        <v>211</v>
      </c>
      <c r="E36" s="34">
        <v>39934</v>
      </c>
      <c r="F36" s="1">
        <v>7.7</v>
      </c>
      <c r="G36" s="34">
        <v>39934</v>
      </c>
      <c r="H36" s="1">
        <v>-1.1000000000000001</v>
      </c>
      <c r="I36" s="34">
        <v>39934</v>
      </c>
      <c r="J36" s="1">
        <v>110.54</v>
      </c>
      <c r="K36" s="34">
        <v>39934</v>
      </c>
      <c r="L36" s="1">
        <v>322.2</v>
      </c>
      <c r="M36" s="34">
        <v>39934</v>
      </c>
      <c r="N36" s="1">
        <v>83.4</v>
      </c>
    </row>
    <row r="37" spans="1:14" x14ac:dyDescent="0.25">
      <c r="A37" s="34">
        <v>39965</v>
      </c>
      <c r="B37" s="1">
        <v>319.60000000000002</v>
      </c>
      <c r="C37" s="34">
        <v>39965</v>
      </c>
      <c r="D37" s="1">
        <v>93</v>
      </c>
      <c r="E37" s="34">
        <v>39965</v>
      </c>
      <c r="F37" s="1">
        <v>7.8</v>
      </c>
      <c r="G37" s="34">
        <v>39965</v>
      </c>
      <c r="H37" s="1">
        <v>-0.89</v>
      </c>
      <c r="I37" s="34">
        <v>39965</v>
      </c>
      <c r="J37" s="1">
        <v>110.32</v>
      </c>
      <c r="K37" s="34">
        <v>39965</v>
      </c>
      <c r="L37" s="1">
        <v>337.3</v>
      </c>
      <c r="M37" s="34">
        <v>39965</v>
      </c>
      <c r="N37" s="1">
        <v>84.3</v>
      </c>
    </row>
    <row r="38" spans="1:14" x14ac:dyDescent="0.25">
      <c r="A38" s="34">
        <v>39995</v>
      </c>
      <c r="B38" s="1">
        <v>319.39999999999998</v>
      </c>
      <c r="C38" s="34">
        <v>39995</v>
      </c>
      <c r="D38" s="1">
        <v>91</v>
      </c>
      <c r="E38" s="34">
        <v>39995</v>
      </c>
      <c r="F38" s="1">
        <v>7.9</v>
      </c>
      <c r="G38" s="34">
        <v>39995</v>
      </c>
      <c r="H38" s="1">
        <v>-0.55000000000000004</v>
      </c>
      <c r="I38" s="34">
        <v>39995</v>
      </c>
      <c r="J38" s="1">
        <v>110.08</v>
      </c>
      <c r="K38" s="34">
        <v>39995</v>
      </c>
      <c r="L38" s="1">
        <v>343</v>
      </c>
      <c r="M38" s="34">
        <v>39995</v>
      </c>
      <c r="N38" s="1">
        <v>79.400000000000006</v>
      </c>
    </row>
    <row r="39" spans="1:14" x14ac:dyDescent="0.25">
      <c r="A39" s="34">
        <v>40026</v>
      </c>
      <c r="B39" s="1">
        <v>319.5</v>
      </c>
      <c r="C39" s="34">
        <v>40026</v>
      </c>
      <c r="D39" s="1">
        <v>94</v>
      </c>
      <c r="E39" s="34">
        <v>40026</v>
      </c>
      <c r="F39" s="1">
        <v>8</v>
      </c>
      <c r="G39" s="34">
        <v>40026</v>
      </c>
      <c r="H39" s="1">
        <v>-0.47</v>
      </c>
      <c r="I39" s="34">
        <v>40026</v>
      </c>
      <c r="J39" s="1">
        <v>109.81</v>
      </c>
      <c r="K39" s="34">
        <v>40026</v>
      </c>
      <c r="L39" s="1">
        <v>341.7</v>
      </c>
      <c r="M39" s="34">
        <v>40026</v>
      </c>
      <c r="N39" s="1">
        <v>80.3</v>
      </c>
    </row>
    <row r="40" spans="1:14" x14ac:dyDescent="0.25">
      <c r="A40" s="34">
        <v>40057</v>
      </c>
      <c r="B40" s="1">
        <v>319.8</v>
      </c>
      <c r="C40" s="34">
        <v>40057</v>
      </c>
      <c r="D40" s="1">
        <v>93</v>
      </c>
      <c r="E40" s="34">
        <v>40057</v>
      </c>
      <c r="F40" s="1">
        <v>8</v>
      </c>
      <c r="G40" s="34">
        <v>40057</v>
      </c>
      <c r="H40" s="1">
        <v>-0.06</v>
      </c>
      <c r="I40" s="34">
        <v>40057</v>
      </c>
      <c r="J40" s="1">
        <v>109.69</v>
      </c>
      <c r="K40" s="34">
        <v>40057</v>
      </c>
      <c r="L40" s="1">
        <v>333.1</v>
      </c>
      <c r="M40" s="34">
        <v>40057</v>
      </c>
      <c r="N40" s="1">
        <v>84.9</v>
      </c>
    </row>
    <row r="41" spans="1:14" x14ac:dyDescent="0.25">
      <c r="A41" s="34">
        <v>40087</v>
      </c>
      <c r="B41" s="1">
        <v>320.10000000000002</v>
      </c>
      <c r="C41" s="34">
        <v>40087</v>
      </c>
      <c r="D41" s="1">
        <v>60</v>
      </c>
      <c r="E41" s="34">
        <v>40087</v>
      </c>
      <c r="F41" s="1">
        <v>8.1</v>
      </c>
      <c r="G41" s="34">
        <v>40087</v>
      </c>
      <c r="H41" s="1">
        <v>-0.44</v>
      </c>
      <c r="I41" s="34">
        <v>40087</v>
      </c>
      <c r="J41" s="1">
        <v>109.47</v>
      </c>
      <c r="K41" s="34">
        <v>40087</v>
      </c>
      <c r="L41" s="1">
        <v>316.7</v>
      </c>
      <c r="M41" s="34">
        <v>40087</v>
      </c>
      <c r="N41" s="1">
        <v>86</v>
      </c>
    </row>
    <row r="42" spans="1:14" x14ac:dyDescent="0.25">
      <c r="A42" s="34">
        <v>40118</v>
      </c>
      <c r="B42" s="1">
        <v>320</v>
      </c>
      <c r="C42" s="34">
        <v>40118</v>
      </c>
      <c r="D42" s="1">
        <v>35</v>
      </c>
      <c r="E42" s="34">
        <v>40118</v>
      </c>
      <c r="F42" s="1">
        <v>8.1</v>
      </c>
      <c r="G42" s="34">
        <v>40118</v>
      </c>
      <c r="H42" s="1">
        <v>-0.2</v>
      </c>
      <c r="I42" s="34">
        <v>40118</v>
      </c>
      <c r="J42" s="1">
        <v>109.43</v>
      </c>
      <c r="K42" s="34">
        <v>40118</v>
      </c>
      <c r="L42" s="1">
        <v>309.60000000000002</v>
      </c>
      <c r="M42" s="34">
        <v>40118</v>
      </c>
      <c r="N42" s="1">
        <v>85.5</v>
      </c>
    </row>
    <row r="43" spans="1:14" x14ac:dyDescent="0.25">
      <c r="A43" s="34">
        <v>40148</v>
      </c>
      <c r="B43" s="1">
        <v>319</v>
      </c>
      <c r="C43" s="34">
        <v>40148</v>
      </c>
      <c r="D43" s="1">
        <v>32</v>
      </c>
      <c r="E43" s="34">
        <v>40148</v>
      </c>
      <c r="F43" s="1">
        <v>8.1</v>
      </c>
      <c r="G43" s="34">
        <v>40148</v>
      </c>
      <c r="H43" s="1">
        <v>7.0000000000000007E-2</v>
      </c>
      <c r="I43" s="34">
        <v>40148</v>
      </c>
      <c r="J43" s="1">
        <v>109.4</v>
      </c>
      <c r="K43" s="34">
        <v>40148</v>
      </c>
      <c r="L43" s="1">
        <v>306.3</v>
      </c>
      <c r="M43" s="34">
        <v>40148</v>
      </c>
      <c r="N43" s="1">
        <v>85.5</v>
      </c>
    </row>
    <row r="44" spans="1:14" x14ac:dyDescent="0.25">
      <c r="A44" s="34">
        <v>40179</v>
      </c>
      <c r="B44" s="1">
        <v>320.60000000000002</v>
      </c>
      <c r="C44" s="34">
        <v>40179</v>
      </c>
      <c r="D44" s="1">
        <v>24</v>
      </c>
      <c r="E44" s="34">
        <v>40179</v>
      </c>
      <c r="F44" s="1">
        <v>8.1999999999999993</v>
      </c>
      <c r="G44" s="34">
        <v>40179</v>
      </c>
      <c r="H44" s="1">
        <v>-0.45</v>
      </c>
      <c r="I44" s="34">
        <v>40179</v>
      </c>
      <c r="J44" s="1">
        <v>109.28</v>
      </c>
      <c r="K44" s="34">
        <v>40179</v>
      </c>
      <c r="L44" s="1">
        <v>301.89999999999998</v>
      </c>
      <c r="M44" s="34">
        <v>40179</v>
      </c>
      <c r="N44" s="1">
        <v>83.1</v>
      </c>
    </row>
    <row r="45" spans="1:14" x14ac:dyDescent="0.25">
      <c r="A45" s="34">
        <v>40210</v>
      </c>
      <c r="B45" s="1">
        <v>320</v>
      </c>
      <c r="C45" s="34">
        <v>40210</v>
      </c>
      <c r="D45" s="1">
        <v>45</v>
      </c>
      <c r="E45" s="34">
        <v>40210</v>
      </c>
      <c r="F45" s="1">
        <v>8.1999999999999993</v>
      </c>
      <c r="G45" s="34">
        <v>40210</v>
      </c>
      <c r="H45" s="1">
        <v>-0.27</v>
      </c>
      <c r="I45" s="34">
        <v>40210</v>
      </c>
      <c r="J45" s="1">
        <v>109.25</v>
      </c>
      <c r="K45" s="34">
        <v>40210</v>
      </c>
      <c r="L45" s="1">
        <v>306.10000000000002</v>
      </c>
      <c r="M45" s="34">
        <v>40210</v>
      </c>
      <c r="N45" s="1">
        <v>85.2</v>
      </c>
    </row>
    <row r="46" spans="1:14" x14ac:dyDescent="0.25">
      <c r="A46" s="34">
        <v>40238</v>
      </c>
      <c r="B46" s="1">
        <v>320.3</v>
      </c>
      <c r="C46" s="34">
        <v>40238</v>
      </c>
      <c r="D46" s="1">
        <v>46</v>
      </c>
      <c r="E46" s="34">
        <v>40238</v>
      </c>
      <c r="F46" s="1">
        <v>8.1</v>
      </c>
      <c r="G46" s="34">
        <v>40238</v>
      </c>
      <c r="H46" s="1">
        <v>0.97</v>
      </c>
      <c r="I46" s="34">
        <v>40238</v>
      </c>
      <c r="J46" s="1">
        <v>109.43</v>
      </c>
      <c r="K46" s="34">
        <v>40238</v>
      </c>
      <c r="L46" s="1">
        <v>308.60000000000002</v>
      </c>
      <c r="M46" s="34">
        <v>40238</v>
      </c>
      <c r="N46" s="1">
        <v>85.7</v>
      </c>
    </row>
    <row r="47" spans="1:14" x14ac:dyDescent="0.25">
      <c r="A47" s="34">
        <v>40269</v>
      </c>
      <c r="B47" s="1">
        <v>322.2</v>
      </c>
      <c r="C47" s="34">
        <v>40269</v>
      </c>
      <c r="D47" s="1">
        <v>100</v>
      </c>
      <c r="E47" s="34">
        <v>40269</v>
      </c>
      <c r="F47" s="1">
        <v>8</v>
      </c>
      <c r="G47" s="34">
        <v>40269</v>
      </c>
      <c r="H47" s="1">
        <v>1.45</v>
      </c>
      <c r="I47" s="34">
        <v>40269</v>
      </c>
      <c r="J47" s="1">
        <v>109.67</v>
      </c>
      <c r="K47" s="34">
        <v>40269</v>
      </c>
      <c r="L47" s="1">
        <v>314.7</v>
      </c>
      <c r="M47" s="34">
        <v>40269</v>
      </c>
      <c r="N47" s="1">
        <v>87.1</v>
      </c>
    </row>
    <row r="48" spans="1:14" x14ac:dyDescent="0.25">
      <c r="A48" s="34">
        <v>40299</v>
      </c>
      <c r="B48" s="1">
        <v>323</v>
      </c>
      <c r="C48" s="34">
        <v>40299</v>
      </c>
      <c r="D48" s="1">
        <v>157</v>
      </c>
      <c r="E48" s="34">
        <v>40299</v>
      </c>
      <c r="F48" s="1">
        <v>7.9</v>
      </c>
      <c r="G48" s="34">
        <v>40299</v>
      </c>
      <c r="H48" s="1">
        <v>1.6</v>
      </c>
      <c r="I48" s="34">
        <v>40299</v>
      </c>
      <c r="J48" s="1">
        <v>109.9</v>
      </c>
      <c r="K48" s="34">
        <v>40299</v>
      </c>
      <c r="L48" s="1">
        <v>324.89999999999998</v>
      </c>
      <c r="M48" s="34">
        <v>40299</v>
      </c>
      <c r="N48" s="1">
        <v>85.8</v>
      </c>
    </row>
    <row r="49" spans="1:14" x14ac:dyDescent="0.25">
      <c r="A49" s="34">
        <v>40330</v>
      </c>
      <c r="B49" s="1">
        <v>325.2</v>
      </c>
      <c r="C49" s="34">
        <v>40330</v>
      </c>
      <c r="D49" s="1">
        <v>109</v>
      </c>
      <c r="E49" s="34">
        <v>40330</v>
      </c>
      <c r="F49" s="1">
        <v>7.8</v>
      </c>
      <c r="G49" s="34">
        <v>40330</v>
      </c>
      <c r="H49" s="1">
        <v>1.74</v>
      </c>
      <c r="I49" s="34">
        <v>40330</v>
      </c>
      <c r="J49" s="1">
        <v>110.25</v>
      </c>
      <c r="K49" s="34">
        <v>40330</v>
      </c>
      <c r="L49" s="1">
        <v>342.9</v>
      </c>
      <c r="M49" s="34">
        <v>40330</v>
      </c>
      <c r="N49" s="1">
        <v>86.8</v>
      </c>
    </row>
    <row r="50" spans="1:14" x14ac:dyDescent="0.25">
      <c r="A50" s="34">
        <v>40360</v>
      </c>
      <c r="B50" s="1">
        <v>325.3</v>
      </c>
      <c r="C50" s="34">
        <v>40360</v>
      </c>
      <c r="D50" s="1">
        <v>91</v>
      </c>
      <c r="E50" s="34">
        <v>40360</v>
      </c>
      <c r="F50" s="1">
        <v>7.8</v>
      </c>
      <c r="G50" s="34">
        <v>40360</v>
      </c>
      <c r="H50" s="1">
        <v>0.92</v>
      </c>
      <c r="I50" s="34">
        <v>40360</v>
      </c>
      <c r="J50" s="1">
        <v>110.41</v>
      </c>
      <c r="K50" s="34">
        <v>40360</v>
      </c>
      <c r="L50" s="1">
        <v>348.7</v>
      </c>
      <c r="M50" s="34">
        <v>40360</v>
      </c>
      <c r="N50" s="1">
        <v>81.099999999999994</v>
      </c>
    </row>
    <row r="51" spans="1:14" x14ac:dyDescent="0.25">
      <c r="A51" s="34">
        <v>40391</v>
      </c>
      <c r="B51" s="1">
        <v>325</v>
      </c>
      <c r="C51" s="34">
        <v>40391</v>
      </c>
      <c r="D51" s="1">
        <v>127</v>
      </c>
      <c r="E51" s="34">
        <v>40391</v>
      </c>
      <c r="F51" s="1">
        <v>7.8</v>
      </c>
      <c r="G51" s="34">
        <v>40391</v>
      </c>
      <c r="H51" s="1">
        <v>0.28999999999999998</v>
      </c>
      <c r="I51" s="34">
        <v>40391</v>
      </c>
      <c r="J51" s="1">
        <v>110.55</v>
      </c>
      <c r="K51" s="34">
        <v>40391</v>
      </c>
      <c r="L51" s="1">
        <v>347</v>
      </c>
      <c r="M51" s="34">
        <v>40391</v>
      </c>
      <c r="N51" s="1">
        <v>82</v>
      </c>
    </row>
    <row r="52" spans="1:14" x14ac:dyDescent="0.25">
      <c r="A52" s="34">
        <v>40422</v>
      </c>
      <c r="B52" s="1">
        <v>325.3</v>
      </c>
      <c r="C52" s="34">
        <v>40422</v>
      </c>
      <c r="D52" s="1">
        <v>87</v>
      </c>
      <c r="E52" s="34">
        <v>40422</v>
      </c>
      <c r="F52" s="1">
        <v>7.8</v>
      </c>
      <c r="G52" s="34">
        <v>40422</v>
      </c>
      <c r="H52" s="1">
        <v>0.39</v>
      </c>
      <c r="I52" s="34">
        <v>40422</v>
      </c>
      <c r="J52" s="1">
        <v>110.73</v>
      </c>
      <c r="K52" s="34">
        <v>40422</v>
      </c>
      <c r="L52" s="1">
        <v>340.5</v>
      </c>
      <c r="M52" s="34">
        <v>40422</v>
      </c>
      <c r="N52" s="1">
        <v>87.3</v>
      </c>
    </row>
    <row r="53" spans="1:14" x14ac:dyDescent="0.25">
      <c r="A53" s="34">
        <v>40452</v>
      </c>
      <c r="B53" s="1">
        <v>326.3</v>
      </c>
      <c r="C53" s="34">
        <v>40452</v>
      </c>
      <c r="D53" s="1">
        <v>53</v>
      </c>
      <c r="E53" s="34">
        <v>40452</v>
      </c>
      <c r="F53" s="1">
        <v>7.9</v>
      </c>
      <c r="G53" s="34">
        <v>40452</v>
      </c>
      <c r="H53" s="1">
        <v>-0.39</v>
      </c>
      <c r="I53" s="34">
        <v>40452</v>
      </c>
      <c r="J53" s="1">
        <v>110.68</v>
      </c>
      <c r="K53" s="34">
        <v>40452</v>
      </c>
      <c r="L53" s="1">
        <v>323.89999999999998</v>
      </c>
      <c r="M53" s="34">
        <v>40452</v>
      </c>
      <c r="N53" s="1">
        <v>87.4</v>
      </c>
    </row>
    <row r="54" spans="1:14" x14ac:dyDescent="0.25">
      <c r="A54" s="34">
        <v>40483</v>
      </c>
      <c r="B54" s="1">
        <v>327</v>
      </c>
      <c r="C54" s="34">
        <v>40483</v>
      </c>
      <c r="D54" s="1">
        <v>37</v>
      </c>
      <c r="E54" s="34">
        <v>40483</v>
      </c>
      <c r="F54" s="1">
        <v>7.9</v>
      </c>
      <c r="G54" s="34">
        <v>40483</v>
      </c>
      <c r="H54" s="1">
        <v>-0.17</v>
      </c>
      <c r="I54" s="34">
        <v>40483</v>
      </c>
      <c r="J54" s="1">
        <v>110.71</v>
      </c>
      <c r="K54" s="34">
        <v>40483</v>
      </c>
      <c r="L54" s="1">
        <v>316.60000000000002</v>
      </c>
      <c r="M54" s="34">
        <v>40483</v>
      </c>
      <c r="N54" s="1">
        <v>86.8</v>
      </c>
    </row>
    <row r="55" spans="1:14" x14ac:dyDescent="0.25">
      <c r="A55" s="34">
        <v>40513</v>
      </c>
      <c r="B55" s="1">
        <v>327.2</v>
      </c>
      <c r="C55" s="34">
        <v>40513</v>
      </c>
      <c r="D55" s="1">
        <v>28</v>
      </c>
      <c r="E55" s="34">
        <v>40513</v>
      </c>
      <c r="F55" s="1">
        <v>7.8</v>
      </c>
      <c r="G55" s="34">
        <v>40513</v>
      </c>
      <c r="H55" s="1">
        <v>0.1</v>
      </c>
      <c r="I55" s="34">
        <v>40513</v>
      </c>
      <c r="J55" s="1">
        <v>110.81</v>
      </c>
      <c r="K55" s="34">
        <v>40513</v>
      </c>
      <c r="L55" s="1">
        <v>313.39999999999998</v>
      </c>
      <c r="M55" s="34">
        <v>40513</v>
      </c>
      <c r="N55" s="1">
        <v>86.7</v>
      </c>
    </row>
    <row r="56" spans="1:14" x14ac:dyDescent="0.25">
      <c r="A56" s="34">
        <v>40544</v>
      </c>
      <c r="B56" s="1">
        <v>328.4</v>
      </c>
      <c r="C56" s="34">
        <v>40544</v>
      </c>
      <c r="D56" s="1">
        <v>54</v>
      </c>
      <c r="E56" s="34">
        <v>40544</v>
      </c>
      <c r="F56" s="1">
        <v>7.8</v>
      </c>
      <c r="G56" s="34">
        <v>40544</v>
      </c>
      <c r="H56" s="1">
        <v>-0.8</v>
      </c>
      <c r="I56" s="34">
        <v>40544</v>
      </c>
      <c r="J56" s="1">
        <v>110.68</v>
      </c>
      <c r="K56" s="34">
        <v>40544</v>
      </c>
      <c r="L56" s="1">
        <v>307.8</v>
      </c>
      <c r="M56" s="34">
        <v>40544</v>
      </c>
      <c r="N56" s="1">
        <v>84.2</v>
      </c>
    </row>
    <row r="57" spans="1:14" x14ac:dyDescent="0.25">
      <c r="A57" s="34">
        <v>40575</v>
      </c>
      <c r="B57" s="1">
        <v>327.8</v>
      </c>
      <c r="C57" s="34">
        <v>40575</v>
      </c>
      <c r="D57" s="1">
        <v>41</v>
      </c>
      <c r="E57" s="34">
        <v>40575</v>
      </c>
      <c r="F57" s="1">
        <v>7.7</v>
      </c>
      <c r="G57" s="34">
        <v>40575</v>
      </c>
      <c r="H57" s="1">
        <v>-0.54</v>
      </c>
      <c r="I57" s="34">
        <v>40575</v>
      </c>
      <c r="J57" s="1">
        <v>110.66</v>
      </c>
      <c r="K57" s="34">
        <v>40575</v>
      </c>
      <c r="L57" s="1">
        <v>313.5</v>
      </c>
      <c r="M57" s="34">
        <v>40575</v>
      </c>
      <c r="N57" s="1">
        <v>85.8</v>
      </c>
    </row>
    <row r="58" spans="1:14" x14ac:dyDescent="0.25">
      <c r="A58" s="34">
        <v>40603</v>
      </c>
      <c r="B58" s="1">
        <v>327.7</v>
      </c>
      <c r="C58" s="34">
        <v>40603</v>
      </c>
      <c r="D58" s="1">
        <v>41</v>
      </c>
      <c r="E58" s="34">
        <v>40603</v>
      </c>
      <c r="F58" s="1">
        <v>7.6</v>
      </c>
      <c r="G58" s="34">
        <v>40603</v>
      </c>
      <c r="H58" s="1">
        <v>-0.12</v>
      </c>
      <c r="I58" s="34">
        <v>40603</v>
      </c>
      <c r="J58" s="1">
        <v>110.64</v>
      </c>
      <c r="K58" s="34">
        <v>40603</v>
      </c>
      <c r="L58" s="1">
        <v>315.8</v>
      </c>
      <c r="M58" s="34">
        <v>40603</v>
      </c>
      <c r="N58" s="1">
        <v>85.5</v>
      </c>
    </row>
    <row r="59" spans="1:14" x14ac:dyDescent="0.25">
      <c r="A59" s="34">
        <v>40634</v>
      </c>
      <c r="B59" s="1">
        <v>328.4</v>
      </c>
      <c r="C59" s="34">
        <v>40634</v>
      </c>
      <c r="D59" s="1">
        <v>153</v>
      </c>
      <c r="E59" s="34">
        <v>40634</v>
      </c>
      <c r="F59" s="1">
        <v>7.5</v>
      </c>
      <c r="G59" s="34">
        <v>40634</v>
      </c>
      <c r="H59" s="1">
        <v>0.23</v>
      </c>
      <c r="I59" s="34">
        <v>40634</v>
      </c>
      <c r="J59" s="1">
        <v>110.69</v>
      </c>
      <c r="K59" s="34">
        <v>40634</v>
      </c>
      <c r="L59" s="1">
        <v>320.39999999999998</v>
      </c>
      <c r="M59" s="34">
        <v>40634</v>
      </c>
      <c r="N59" s="1">
        <v>86.6</v>
      </c>
    </row>
    <row r="60" spans="1:14" x14ac:dyDescent="0.25">
      <c r="A60" s="34">
        <v>40664</v>
      </c>
      <c r="B60" s="1">
        <v>327.8</v>
      </c>
      <c r="C60" s="34">
        <v>40664</v>
      </c>
      <c r="D60" s="1">
        <v>83</v>
      </c>
      <c r="E60" s="34">
        <v>40664</v>
      </c>
      <c r="F60" s="1">
        <v>7.5</v>
      </c>
      <c r="G60" s="34">
        <v>40664</v>
      </c>
      <c r="H60" s="1">
        <v>-0.27</v>
      </c>
      <c r="I60" s="34">
        <v>40664</v>
      </c>
      <c r="J60" s="1">
        <v>110.66</v>
      </c>
      <c r="K60" s="34">
        <v>40664</v>
      </c>
      <c r="L60" s="1">
        <v>329.8</v>
      </c>
      <c r="M60" s="34">
        <v>40664</v>
      </c>
      <c r="N60" s="1">
        <v>84.9</v>
      </c>
    </row>
    <row r="61" spans="1:14" x14ac:dyDescent="0.25">
      <c r="A61" s="34">
        <v>40695</v>
      </c>
      <c r="B61" s="1">
        <v>329.2</v>
      </c>
      <c r="C61" s="34">
        <v>40695</v>
      </c>
      <c r="D61" s="1">
        <v>95</v>
      </c>
      <c r="E61" s="34">
        <v>40695</v>
      </c>
      <c r="F61" s="1">
        <v>7.6</v>
      </c>
      <c r="G61" s="34">
        <v>40695</v>
      </c>
      <c r="H61" s="1">
        <v>-0.16</v>
      </c>
      <c r="I61" s="34">
        <v>40695</v>
      </c>
      <c r="J61" s="1">
        <v>110.65</v>
      </c>
      <c r="K61" s="34">
        <v>40695</v>
      </c>
      <c r="L61" s="1">
        <v>348.1</v>
      </c>
      <c r="M61" s="34">
        <v>40695</v>
      </c>
      <c r="N61" s="1">
        <v>85.7</v>
      </c>
    </row>
    <row r="62" spans="1:14" x14ac:dyDescent="0.25">
      <c r="A62" s="34">
        <v>40725</v>
      </c>
      <c r="B62" s="1">
        <v>330</v>
      </c>
      <c r="C62" s="34">
        <v>40725</v>
      </c>
      <c r="D62" s="1">
        <v>112</v>
      </c>
      <c r="E62" s="34">
        <v>40725</v>
      </c>
      <c r="F62" s="1">
        <v>7.6</v>
      </c>
      <c r="G62" s="34">
        <v>40725</v>
      </c>
      <c r="H62" s="1">
        <v>0.17</v>
      </c>
      <c r="I62" s="34">
        <v>40725</v>
      </c>
      <c r="J62" s="1">
        <v>110.77</v>
      </c>
      <c r="K62" s="34">
        <v>40725</v>
      </c>
      <c r="L62" s="1">
        <v>353.3</v>
      </c>
      <c r="M62" s="34">
        <v>40725</v>
      </c>
      <c r="N62" s="1">
        <v>79.900000000000006</v>
      </c>
    </row>
    <row r="63" spans="1:14" x14ac:dyDescent="0.25">
      <c r="A63" s="34">
        <v>40756</v>
      </c>
      <c r="B63" s="1">
        <v>329.1</v>
      </c>
      <c r="C63" s="34">
        <v>40756</v>
      </c>
      <c r="D63" s="1">
        <v>83</v>
      </c>
      <c r="E63" s="34">
        <v>40756</v>
      </c>
      <c r="F63" s="1">
        <v>7.6</v>
      </c>
      <c r="G63" s="34">
        <v>40756</v>
      </c>
      <c r="H63" s="1">
        <v>0.72</v>
      </c>
      <c r="I63" s="34">
        <v>40756</v>
      </c>
      <c r="J63" s="1">
        <v>110.87</v>
      </c>
      <c r="K63" s="34">
        <v>40756</v>
      </c>
      <c r="L63" s="1">
        <v>351.9</v>
      </c>
      <c r="M63" s="34">
        <v>40756</v>
      </c>
      <c r="N63" s="1">
        <v>80.099999999999994</v>
      </c>
    </row>
    <row r="64" spans="1:14" x14ac:dyDescent="0.25">
      <c r="A64" s="34">
        <v>40787</v>
      </c>
      <c r="B64" s="1">
        <v>330.9</v>
      </c>
      <c r="C64" s="34">
        <v>40787</v>
      </c>
      <c r="D64" s="1">
        <v>69</v>
      </c>
      <c r="E64" s="34">
        <v>40787</v>
      </c>
      <c r="F64" s="1">
        <v>7.6</v>
      </c>
      <c r="G64" s="34">
        <v>40787</v>
      </c>
      <c r="H64" s="1">
        <v>0.89</v>
      </c>
      <c r="I64" s="34">
        <v>40787</v>
      </c>
      <c r="J64" s="1">
        <v>111</v>
      </c>
      <c r="K64" s="34">
        <v>40787</v>
      </c>
      <c r="L64" s="1">
        <v>346.5</v>
      </c>
      <c r="M64" s="34">
        <v>40787</v>
      </c>
      <c r="N64" s="1">
        <v>86.2</v>
      </c>
    </row>
    <row r="65" spans="1:14" x14ac:dyDescent="0.25">
      <c r="A65" s="34">
        <v>40817</v>
      </c>
      <c r="B65" s="1">
        <v>331</v>
      </c>
      <c r="C65" s="34">
        <v>40817</v>
      </c>
      <c r="D65" s="1">
        <v>50</v>
      </c>
      <c r="E65" s="34">
        <v>40817</v>
      </c>
      <c r="F65" s="1">
        <v>7.6</v>
      </c>
      <c r="G65" s="34">
        <v>40817</v>
      </c>
      <c r="H65" s="1">
        <v>0.19</v>
      </c>
      <c r="I65" s="34">
        <v>40817</v>
      </c>
      <c r="J65" s="1">
        <v>111.03</v>
      </c>
      <c r="K65" s="34">
        <v>40817</v>
      </c>
      <c r="L65" s="1">
        <v>328.4</v>
      </c>
      <c r="M65" s="34">
        <v>40817</v>
      </c>
      <c r="N65" s="1">
        <v>86.6</v>
      </c>
    </row>
    <row r="66" spans="1:14" x14ac:dyDescent="0.25">
      <c r="A66" s="34">
        <v>40848</v>
      </c>
      <c r="B66" s="1">
        <v>331.4</v>
      </c>
      <c r="C66" s="34">
        <v>40848</v>
      </c>
      <c r="D66" s="1">
        <v>35</v>
      </c>
      <c r="E66" s="34">
        <v>40848</v>
      </c>
      <c r="F66" s="1">
        <v>7.5</v>
      </c>
      <c r="G66" s="34">
        <v>40848</v>
      </c>
      <c r="H66" s="1">
        <v>0.36</v>
      </c>
      <c r="I66" s="34">
        <v>40848</v>
      </c>
      <c r="J66" s="1">
        <v>111.18</v>
      </c>
      <c r="K66" s="34">
        <v>40848</v>
      </c>
      <c r="L66" s="1">
        <v>320.5</v>
      </c>
      <c r="M66" s="34">
        <v>40848</v>
      </c>
      <c r="N66" s="1">
        <v>85.9</v>
      </c>
    </row>
    <row r="67" spans="1:14" x14ac:dyDescent="0.25">
      <c r="A67" s="34">
        <v>40878</v>
      </c>
      <c r="B67" s="1">
        <v>331.7</v>
      </c>
      <c r="C67" s="34">
        <v>40878</v>
      </c>
      <c r="D67" s="1">
        <v>27</v>
      </c>
      <c r="E67" s="34">
        <v>40878</v>
      </c>
      <c r="F67" s="1">
        <v>7.4</v>
      </c>
      <c r="G67" s="34">
        <v>40878</v>
      </c>
      <c r="H67" s="1">
        <v>0.28999999999999998</v>
      </c>
      <c r="I67" s="34">
        <v>40878</v>
      </c>
      <c r="J67" s="1">
        <v>111.27</v>
      </c>
      <c r="K67" s="34">
        <v>40878</v>
      </c>
      <c r="L67" s="1">
        <v>317.5</v>
      </c>
      <c r="M67" s="34">
        <v>40878</v>
      </c>
      <c r="N67" s="1">
        <v>85.9</v>
      </c>
    </row>
    <row r="68" spans="1:14" x14ac:dyDescent="0.25">
      <c r="A68" s="34">
        <v>40909</v>
      </c>
      <c r="B68" s="1">
        <v>333.6</v>
      </c>
      <c r="C68" s="34">
        <v>40909</v>
      </c>
      <c r="D68" s="1">
        <v>34</v>
      </c>
      <c r="E68" s="34">
        <v>40909</v>
      </c>
      <c r="F68" s="1">
        <v>7.2</v>
      </c>
      <c r="G68" s="34">
        <v>40909</v>
      </c>
      <c r="H68" s="1">
        <v>0.84</v>
      </c>
      <c r="I68" s="34">
        <v>40909</v>
      </c>
      <c r="J68" s="1">
        <v>111.54</v>
      </c>
      <c r="K68" s="34">
        <v>40909</v>
      </c>
      <c r="L68" s="1">
        <v>312.10000000000002</v>
      </c>
      <c r="M68" s="34">
        <v>40909</v>
      </c>
      <c r="N68" s="1">
        <v>82</v>
      </c>
    </row>
    <row r="69" spans="1:14" x14ac:dyDescent="0.25">
      <c r="A69" s="34">
        <v>40940</v>
      </c>
      <c r="B69" s="1">
        <v>333.7</v>
      </c>
      <c r="C69" s="34">
        <v>40940</v>
      </c>
      <c r="D69" s="1">
        <v>39</v>
      </c>
      <c r="E69" s="34">
        <v>40940</v>
      </c>
      <c r="F69" s="1">
        <v>7.1</v>
      </c>
      <c r="G69" s="34">
        <v>40940</v>
      </c>
      <c r="H69" s="1">
        <v>0.19</v>
      </c>
      <c r="I69" s="34">
        <v>40940</v>
      </c>
      <c r="J69" s="1">
        <v>111.65</v>
      </c>
      <c r="K69" s="34">
        <v>40940</v>
      </c>
      <c r="L69" s="1">
        <v>319.39999999999998</v>
      </c>
      <c r="M69" s="34">
        <v>40940</v>
      </c>
      <c r="N69" s="1">
        <v>85.3</v>
      </c>
    </row>
    <row r="70" spans="1:14" x14ac:dyDescent="0.25">
      <c r="A70" s="34">
        <v>40969</v>
      </c>
      <c r="B70" s="1">
        <v>334.2</v>
      </c>
      <c r="C70" s="34">
        <v>40969</v>
      </c>
      <c r="D70" s="1">
        <v>56</v>
      </c>
      <c r="E70" s="34">
        <v>40969</v>
      </c>
      <c r="F70" s="1">
        <v>7</v>
      </c>
      <c r="G70" s="34">
        <v>40969</v>
      </c>
      <c r="H70" s="1">
        <v>0</v>
      </c>
      <c r="I70" s="34">
        <v>40969</v>
      </c>
      <c r="J70" s="1">
        <v>111.79</v>
      </c>
      <c r="K70" s="34">
        <v>40969</v>
      </c>
      <c r="L70" s="1">
        <v>322.2</v>
      </c>
      <c r="M70" s="34">
        <v>40969</v>
      </c>
      <c r="N70" s="1">
        <v>85.8</v>
      </c>
    </row>
    <row r="71" spans="1:14" x14ac:dyDescent="0.25">
      <c r="A71" s="34">
        <v>41000</v>
      </c>
      <c r="B71" s="1">
        <v>334.7</v>
      </c>
      <c r="C71" s="34">
        <v>41000</v>
      </c>
      <c r="D71" s="1">
        <v>101</v>
      </c>
      <c r="E71" s="34">
        <v>41000</v>
      </c>
      <c r="F71" s="1">
        <v>7</v>
      </c>
      <c r="G71" s="34">
        <v>41000</v>
      </c>
      <c r="H71" s="1">
        <v>-0.31</v>
      </c>
      <c r="I71" s="34">
        <v>41000</v>
      </c>
      <c r="J71" s="1">
        <v>111.78</v>
      </c>
      <c r="K71" s="34">
        <v>41000</v>
      </c>
      <c r="L71" s="1">
        <v>326.2</v>
      </c>
      <c r="M71" s="34">
        <v>41000</v>
      </c>
      <c r="N71" s="1">
        <v>85.9</v>
      </c>
    </row>
    <row r="72" spans="1:14" x14ac:dyDescent="0.25">
      <c r="A72" s="34">
        <v>41030</v>
      </c>
      <c r="B72" s="1">
        <v>335.5</v>
      </c>
      <c r="C72" s="34">
        <v>41030</v>
      </c>
      <c r="D72" s="1">
        <v>106</v>
      </c>
      <c r="E72" s="34">
        <v>41030</v>
      </c>
      <c r="F72" s="1">
        <v>7.1</v>
      </c>
      <c r="G72" s="34">
        <v>41030</v>
      </c>
      <c r="H72" s="1">
        <v>-0.61</v>
      </c>
      <c r="I72" s="34">
        <v>41030</v>
      </c>
      <c r="J72" s="1">
        <v>111.63</v>
      </c>
      <c r="K72" s="34">
        <v>41030</v>
      </c>
      <c r="L72" s="1">
        <v>337.3</v>
      </c>
      <c r="M72" s="34">
        <v>41030</v>
      </c>
      <c r="N72" s="1">
        <v>84.8</v>
      </c>
    </row>
    <row r="73" spans="1:14" x14ac:dyDescent="0.25">
      <c r="A73" s="34">
        <v>41061</v>
      </c>
      <c r="B73" s="1">
        <v>334.7</v>
      </c>
      <c r="C73" s="34">
        <v>41061</v>
      </c>
      <c r="D73" s="1">
        <v>163</v>
      </c>
      <c r="E73" s="34">
        <v>41061</v>
      </c>
      <c r="F73" s="1">
        <v>7.1</v>
      </c>
      <c r="G73" s="34">
        <v>41061</v>
      </c>
      <c r="H73" s="1">
        <v>-0.13</v>
      </c>
      <c r="I73" s="34">
        <v>41061</v>
      </c>
      <c r="J73" s="1">
        <v>111.6</v>
      </c>
      <c r="K73" s="34">
        <v>41061</v>
      </c>
      <c r="L73" s="1">
        <v>354</v>
      </c>
      <c r="M73" s="34">
        <v>41061</v>
      </c>
      <c r="N73" s="1">
        <v>84.3</v>
      </c>
    </row>
    <row r="74" spans="1:14" x14ac:dyDescent="0.25">
      <c r="A74" s="34">
        <v>41091</v>
      </c>
      <c r="B74" s="1">
        <v>334</v>
      </c>
      <c r="C74" s="34">
        <v>41091</v>
      </c>
      <c r="D74" s="1">
        <v>114</v>
      </c>
      <c r="E74" s="34">
        <v>41091</v>
      </c>
      <c r="F74" s="1">
        <v>7.1</v>
      </c>
      <c r="G74" s="34">
        <v>41091</v>
      </c>
      <c r="H74" s="1">
        <v>-0.55000000000000004</v>
      </c>
      <c r="I74" s="34">
        <v>41091</v>
      </c>
      <c r="J74" s="1">
        <v>111.41</v>
      </c>
      <c r="K74" s="34">
        <v>41091</v>
      </c>
      <c r="L74" s="1">
        <v>357.3</v>
      </c>
      <c r="M74" s="34">
        <v>41091</v>
      </c>
      <c r="N74" s="1">
        <v>79</v>
      </c>
    </row>
    <row r="75" spans="1:14" x14ac:dyDescent="0.25">
      <c r="A75" s="34">
        <v>41122</v>
      </c>
      <c r="B75" s="1">
        <v>333.7</v>
      </c>
      <c r="C75" s="34">
        <v>41122</v>
      </c>
      <c r="D75" s="1">
        <v>84</v>
      </c>
      <c r="E75" s="34">
        <v>41122</v>
      </c>
      <c r="F75" s="1">
        <v>7</v>
      </c>
      <c r="G75" s="34">
        <v>41122</v>
      </c>
      <c r="H75" s="1">
        <v>-0.04</v>
      </c>
      <c r="I75" s="34">
        <v>41122</v>
      </c>
      <c r="J75" s="1">
        <v>111.42</v>
      </c>
      <c r="K75" s="34">
        <v>41122</v>
      </c>
      <c r="L75" s="1">
        <v>356.4</v>
      </c>
      <c r="M75" s="34">
        <v>41122</v>
      </c>
      <c r="N75" s="1">
        <v>80.400000000000006</v>
      </c>
    </row>
    <row r="76" spans="1:14" x14ac:dyDescent="0.25">
      <c r="A76" s="34">
        <v>41153</v>
      </c>
      <c r="B76" s="1">
        <v>334.6</v>
      </c>
      <c r="C76" s="34">
        <v>41153</v>
      </c>
      <c r="D76" s="1">
        <v>130</v>
      </c>
      <c r="E76" s="34">
        <v>41153</v>
      </c>
      <c r="F76" s="1">
        <v>6.9</v>
      </c>
      <c r="G76" s="34">
        <v>41153</v>
      </c>
      <c r="H76" s="1">
        <v>0.19</v>
      </c>
      <c r="I76" s="34">
        <v>41153</v>
      </c>
      <c r="J76" s="1">
        <v>111.39</v>
      </c>
      <c r="K76" s="34">
        <v>41153</v>
      </c>
      <c r="L76" s="1">
        <v>348.6</v>
      </c>
      <c r="M76" s="34">
        <v>41153</v>
      </c>
      <c r="N76" s="1">
        <v>85.6</v>
      </c>
    </row>
    <row r="77" spans="1:14" x14ac:dyDescent="0.25">
      <c r="A77" s="34">
        <v>41183</v>
      </c>
      <c r="B77" s="1">
        <v>338.6</v>
      </c>
      <c r="C77" s="34">
        <v>41183</v>
      </c>
      <c r="D77" s="1">
        <v>99</v>
      </c>
      <c r="E77" s="34">
        <v>41183</v>
      </c>
      <c r="F77" s="1">
        <v>6.8</v>
      </c>
      <c r="G77" s="34">
        <v>41183</v>
      </c>
      <c r="H77" s="1">
        <v>0.62</v>
      </c>
      <c r="I77" s="34">
        <v>41183</v>
      </c>
      <c r="J77" s="1">
        <v>111.51</v>
      </c>
      <c r="K77" s="34">
        <v>41183</v>
      </c>
      <c r="L77" s="1">
        <v>335.9</v>
      </c>
      <c r="M77" s="34">
        <v>41183</v>
      </c>
      <c r="N77" s="1">
        <v>85.7</v>
      </c>
    </row>
    <row r="78" spans="1:14" x14ac:dyDescent="0.25">
      <c r="A78" s="34">
        <v>41214</v>
      </c>
      <c r="B78" s="1">
        <v>335.4</v>
      </c>
      <c r="C78" s="34">
        <v>41214</v>
      </c>
      <c r="D78" s="1">
        <v>68</v>
      </c>
      <c r="E78" s="34">
        <v>41214</v>
      </c>
      <c r="F78" s="1">
        <v>6.7</v>
      </c>
      <c r="G78" s="34">
        <v>41214</v>
      </c>
      <c r="H78" s="1">
        <v>-0.38</v>
      </c>
      <c r="I78" s="34">
        <v>41214</v>
      </c>
      <c r="J78" s="1">
        <v>111.34</v>
      </c>
      <c r="K78" s="34">
        <v>41214</v>
      </c>
      <c r="L78" s="1">
        <v>324.7</v>
      </c>
      <c r="M78" s="34">
        <v>41214</v>
      </c>
      <c r="N78" s="1">
        <v>85.2</v>
      </c>
    </row>
    <row r="79" spans="1:14" x14ac:dyDescent="0.25">
      <c r="A79" s="34">
        <v>41244</v>
      </c>
      <c r="B79" s="1">
        <v>335.5</v>
      </c>
      <c r="C79" s="34">
        <v>41244</v>
      </c>
      <c r="D79" s="1">
        <v>26</v>
      </c>
      <c r="E79" s="34">
        <v>41244</v>
      </c>
      <c r="F79" s="1">
        <v>6.6</v>
      </c>
      <c r="G79" s="34">
        <v>41244</v>
      </c>
      <c r="H79" s="1">
        <v>-0.41</v>
      </c>
      <c r="I79" s="34">
        <v>41244</v>
      </c>
      <c r="J79" s="1">
        <v>111.27</v>
      </c>
      <c r="K79" s="34">
        <v>41244</v>
      </c>
      <c r="L79" s="1">
        <v>321.3</v>
      </c>
      <c r="M79" s="34">
        <v>41244</v>
      </c>
      <c r="N79" s="1">
        <v>85</v>
      </c>
    </row>
    <row r="80" spans="1:14" x14ac:dyDescent="0.25">
      <c r="A80" s="34">
        <v>41275</v>
      </c>
      <c r="B80" s="1">
        <v>335.8</v>
      </c>
      <c r="C80" s="34">
        <v>41275</v>
      </c>
      <c r="D80" s="1">
        <v>56</v>
      </c>
      <c r="E80" s="34">
        <v>41275</v>
      </c>
      <c r="F80" s="1">
        <v>6.5</v>
      </c>
      <c r="G80" s="34">
        <v>41275</v>
      </c>
      <c r="H80" s="1">
        <v>-0.36</v>
      </c>
      <c r="I80" s="34">
        <v>41275</v>
      </c>
      <c r="J80" s="1">
        <v>111.14</v>
      </c>
      <c r="K80" s="34">
        <v>41275</v>
      </c>
      <c r="L80" s="1">
        <v>314.3</v>
      </c>
      <c r="M80" s="34">
        <v>41275</v>
      </c>
      <c r="N80" s="1">
        <v>81.2</v>
      </c>
    </row>
    <row r="81" spans="1:14" x14ac:dyDescent="0.25">
      <c r="A81" s="34">
        <v>41306</v>
      </c>
      <c r="B81" s="1">
        <v>336.2</v>
      </c>
      <c r="C81" s="34">
        <v>41306</v>
      </c>
      <c r="D81" s="1">
        <v>56</v>
      </c>
      <c r="E81" s="34">
        <v>41306</v>
      </c>
      <c r="F81" s="1">
        <v>6.5</v>
      </c>
      <c r="G81" s="34">
        <v>41306</v>
      </c>
      <c r="H81" s="1">
        <v>-0.67</v>
      </c>
      <c r="I81" s="34">
        <v>41306</v>
      </c>
      <c r="J81" s="1">
        <v>110.94</v>
      </c>
      <c r="K81" s="34">
        <v>41306</v>
      </c>
      <c r="L81" s="1">
        <v>321.8</v>
      </c>
      <c r="M81" s="34">
        <v>41306</v>
      </c>
      <c r="N81" s="1">
        <v>84.1</v>
      </c>
    </row>
    <row r="82" spans="1:14" x14ac:dyDescent="0.25">
      <c r="A82" s="34">
        <v>41334</v>
      </c>
      <c r="B82" s="1">
        <v>336.2</v>
      </c>
      <c r="C82" s="34">
        <v>41334</v>
      </c>
      <c r="D82" s="1">
        <v>96</v>
      </c>
      <c r="E82" s="34">
        <v>41334</v>
      </c>
      <c r="F82" s="1">
        <v>6.4</v>
      </c>
      <c r="G82" s="34">
        <v>41334</v>
      </c>
      <c r="H82" s="1">
        <v>-0.17</v>
      </c>
      <c r="I82" s="34">
        <v>41334</v>
      </c>
      <c r="J82" s="1">
        <v>110.89</v>
      </c>
      <c r="K82" s="34">
        <v>41334</v>
      </c>
      <c r="L82" s="1">
        <v>324.2</v>
      </c>
      <c r="M82" s="34">
        <v>41334</v>
      </c>
      <c r="N82" s="1">
        <v>84.3</v>
      </c>
    </row>
    <row r="83" spans="1:14" x14ac:dyDescent="0.25">
      <c r="A83" s="34">
        <v>41365</v>
      </c>
      <c r="B83" s="1">
        <v>336.9</v>
      </c>
      <c r="C83" s="34">
        <v>41365</v>
      </c>
      <c r="D83" s="1">
        <v>127</v>
      </c>
      <c r="E83" s="34">
        <v>41365</v>
      </c>
      <c r="F83" s="1">
        <v>6.4</v>
      </c>
      <c r="G83" s="34">
        <v>41365</v>
      </c>
      <c r="H83" s="1">
        <v>-0.15</v>
      </c>
      <c r="I83" s="34">
        <v>41365</v>
      </c>
      <c r="J83" s="1">
        <v>110.75</v>
      </c>
      <c r="K83" s="34">
        <v>41365</v>
      </c>
      <c r="L83" s="1">
        <v>328.5</v>
      </c>
      <c r="M83" s="34">
        <v>41365</v>
      </c>
      <c r="N83" s="1">
        <v>84.9</v>
      </c>
    </row>
    <row r="84" spans="1:14" x14ac:dyDescent="0.25">
      <c r="A84" s="34">
        <v>41395</v>
      </c>
      <c r="B84" s="1">
        <v>335.7</v>
      </c>
      <c r="C84" s="34">
        <v>41395</v>
      </c>
      <c r="D84" s="1">
        <v>129</v>
      </c>
      <c r="E84" s="34">
        <v>41395</v>
      </c>
      <c r="F84" s="1">
        <v>6.5</v>
      </c>
      <c r="G84" s="34">
        <v>41395</v>
      </c>
      <c r="H84" s="1">
        <v>-1.07</v>
      </c>
      <c r="I84" s="34">
        <v>41395</v>
      </c>
      <c r="J84" s="1">
        <v>110.52</v>
      </c>
      <c r="K84" s="34">
        <v>41395</v>
      </c>
      <c r="L84" s="1">
        <v>339.3</v>
      </c>
      <c r="M84" s="34">
        <v>41395</v>
      </c>
      <c r="N84" s="1">
        <v>84.2</v>
      </c>
    </row>
    <row r="85" spans="1:14" x14ac:dyDescent="0.25">
      <c r="A85" s="34">
        <v>41426</v>
      </c>
      <c r="B85" s="1">
        <v>336.1</v>
      </c>
      <c r="C85" s="34">
        <v>41426</v>
      </c>
      <c r="D85" s="1">
        <v>130</v>
      </c>
      <c r="E85" s="34">
        <v>41426</v>
      </c>
      <c r="F85" s="1">
        <v>6.6</v>
      </c>
      <c r="G85" s="34">
        <v>41426</v>
      </c>
      <c r="H85" s="1">
        <v>-1.21</v>
      </c>
      <c r="I85" s="34">
        <v>41426</v>
      </c>
      <c r="J85" s="1">
        <v>110.31</v>
      </c>
      <c r="K85" s="34">
        <v>41426</v>
      </c>
      <c r="L85" s="1">
        <v>354.3</v>
      </c>
      <c r="M85" s="34">
        <v>41426</v>
      </c>
      <c r="N85" s="1">
        <v>83.5</v>
      </c>
    </row>
    <row r="86" spans="1:14" x14ac:dyDescent="0.25">
      <c r="A86" s="34">
        <v>41456</v>
      </c>
      <c r="B86" s="1">
        <v>335.5</v>
      </c>
      <c r="C86" s="34">
        <v>41456</v>
      </c>
      <c r="D86" s="1">
        <v>113</v>
      </c>
      <c r="E86" s="34">
        <v>41456</v>
      </c>
      <c r="F86" s="1">
        <v>6.7</v>
      </c>
      <c r="G86" s="34">
        <v>41456</v>
      </c>
      <c r="H86" s="1">
        <v>-1.1100000000000001</v>
      </c>
      <c r="I86" s="34">
        <v>41456</v>
      </c>
      <c r="J86" s="1">
        <v>110.1</v>
      </c>
      <c r="K86" s="34">
        <v>41456</v>
      </c>
      <c r="L86" s="1">
        <v>359.3</v>
      </c>
      <c r="M86" s="34">
        <v>41456</v>
      </c>
      <c r="N86" s="1">
        <v>77.900000000000006</v>
      </c>
    </row>
    <row r="87" spans="1:14" x14ac:dyDescent="0.25">
      <c r="A87" s="34">
        <v>41487</v>
      </c>
      <c r="B87" s="1">
        <v>336.3</v>
      </c>
      <c r="C87" s="34">
        <v>41487</v>
      </c>
      <c r="D87" s="1">
        <v>85</v>
      </c>
      <c r="E87" s="34">
        <v>41487</v>
      </c>
      <c r="F87" s="1">
        <v>6.7</v>
      </c>
      <c r="G87" s="34">
        <v>41487</v>
      </c>
      <c r="H87" s="1">
        <v>-0.51</v>
      </c>
      <c r="I87" s="34">
        <v>41487</v>
      </c>
      <c r="J87" s="1">
        <v>110.02</v>
      </c>
      <c r="K87" s="34">
        <v>41487</v>
      </c>
      <c r="L87" s="1">
        <v>359.4</v>
      </c>
      <c r="M87" s="34">
        <v>41487</v>
      </c>
      <c r="N87" s="1">
        <v>78.8</v>
      </c>
    </row>
    <row r="88" spans="1:14" x14ac:dyDescent="0.25">
      <c r="A88" s="34">
        <v>41518</v>
      </c>
      <c r="B88" s="1">
        <v>336.6</v>
      </c>
      <c r="C88" s="34">
        <v>41518</v>
      </c>
      <c r="D88" s="1">
        <v>126</v>
      </c>
      <c r="E88" s="34">
        <v>41518</v>
      </c>
      <c r="F88" s="1">
        <v>6.6</v>
      </c>
      <c r="G88" s="34">
        <v>41518</v>
      </c>
      <c r="H88" s="1">
        <v>-0.06</v>
      </c>
      <c r="I88" s="34">
        <v>41518</v>
      </c>
      <c r="J88" s="1">
        <v>110</v>
      </c>
      <c r="K88" s="34">
        <v>41518</v>
      </c>
      <c r="L88" s="1">
        <v>350.8</v>
      </c>
      <c r="M88" s="34">
        <v>41518</v>
      </c>
      <c r="N88" s="1">
        <v>83.4</v>
      </c>
    </row>
    <row r="89" spans="1:14" x14ac:dyDescent="0.25">
      <c r="A89" s="34">
        <v>41548</v>
      </c>
      <c r="B89" s="1">
        <v>337.2</v>
      </c>
      <c r="C89" s="34">
        <v>41548</v>
      </c>
      <c r="D89" s="1">
        <v>87</v>
      </c>
      <c r="E89" s="34">
        <v>41548</v>
      </c>
      <c r="F89" s="1">
        <v>6.6</v>
      </c>
      <c r="G89" s="34">
        <v>41548</v>
      </c>
      <c r="H89" s="1">
        <v>-0.57999999999999996</v>
      </c>
      <c r="I89" s="34">
        <v>41548</v>
      </c>
      <c r="J89" s="1">
        <v>109.83</v>
      </c>
      <c r="K89" s="34">
        <v>41548</v>
      </c>
      <c r="L89" s="5">
        <v>332.9</v>
      </c>
      <c r="M89" s="34">
        <v>41548</v>
      </c>
      <c r="N89" s="1">
        <v>83.5</v>
      </c>
    </row>
    <row r="90" spans="1:14" x14ac:dyDescent="0.25">
      <c r="A90" s="34">
        <v>41579</v>
      </c>
      <c r="B90" s="1">
        <v>338.6</v>
      </c>
      <c r="C90" s="34">
        <v>41579</v>
      </c>
      <c r="D90" s="1">
        <v>58</v>
      </c>
      <c r="E90" s="34">
        <v>41579</v>
      </c>
      <c r="F90" s="1">
        <v>6.5</v>
      </c>
      <c r="G90" s="34">
        <v>41579</v>
      </c>
      <c r="H90" s="1">
        <v>-0.02</v>
      </c>
      <c r="I90" s="34">
        <v>41579</v>
      </c>
      <c r="J90" s="1">
        <v>109.85</v>
      </c>
      <c r="K90" s="34">
        <v>41579</v>
      </c>
      <c r="L90" s="1">
        <v>324.5</v>
      </c>
      <c r="M90" s="34">
        <v>41579</v>
      </c>
      <c r="N90" s="1">
        <v>83.2</v>
      </c>
    </row>
    <row r="91" spans="1:14" x14ac:dyDescent="0.25">
      <c r="A91" s="34">
        <v>41609</v>
      </c>
      <c r="B91" s="1">
        <v>338.8</v>
      </c>
      <c r="C91" s="34">
        <v>41609</v>
      </c>
      <c r="D91" s="1">
        <v>35</v>
      </c>
      <c r="E91" s="34">
        <v>41609</v>
      </c>
      <c r="F91" s="1">
        <v>6.4</v>
      </c>
      <c r="G91" s="34">
        <v>41609</v>
      </c>
      <c r="H91" s="1">
        <v>0.62</v>
      </c>
      <c r="I91" s="34">
        <v>41609</v>
      </c>
      <c r="J91" s="1">
        <v>109.95</v>
      </c>
      <c r="K91" s="34">
        <v>41609</v>
      </c>
      <c r="L91" s="1">
        <v>320.8</v>
      </c>
      <c r="M91" s="34">
        <v>41609</v>
      </c>
      <c r="N91" s="1">
        <v>83.3</v>
      </c>
    </row>
    <row r="92" spans="1:14" x14ac:dyDescent="0.25">
      <c r="A92" s="34">
        <v>41640</v>
      </c>
      <c r="B92" s="1">
        <v>338</v>
      </c>
      <c r="C92" s="34">
        <v>41640</v>
      </c>
      <c r="D92" s="1">
        <v>79</v>
      </c>
      <c r="E92" s="34">
        <v>41640</v>
      </c>
      <c r="F92" s="1">
        <v>6.4</v>
      </c>
      <c r="G92" s="34">
        <v>41640</v>
      </c>
      <c r="H92" s="1">
        <v>1.05</v>
      </c>
      <c r="I92" s="34">
        <v>41640</v>
      </c>
      <c r="J92" s="1">
        <v>110.11</v>
      </c>
      <c r="K92" s="34">
        <v>41640</v>
      </c>
      <c r="L92" s="1">
        <v>319.2</v>
      </c>
      <c r="M92" s="34">
        <v>41640</v>
      </c>
      <c r="N92" s="1">
        <v>81.7</v>
      </c>
    </row>
    <row r="93" spans="1:14" x14ac:dyDescent="0.25">
      <c r="A93" s="34">
        <v>41671</v>
      </c>
      <c r="B93" s="1">
        <v>335.8</v>
      </c>
      <c r="C93" s="34">
        <v>41671</v>
      </c>
      <c r="D93" s="1">
        <v>57</v>
      </c>
      <c r="E93" s="34">
        <v>41671</v>
      </c>
      <c r="F93" s="1">
        <v>6.5</v>
      </c>
      <c r="G93" s="34">
        <v>41671</v>
      </c>
      <c r="H93" s="1">
        <v>-0.6</v>
      </c>
      <c r="I93" s="34">
        <v>41671</v>
      </c>
      <c r="J93" s="1">
        <v>109.87</v>
      </c>
      <c r="K93" s="34">
        <v>41671</v>
      </c>
      <c r="L93" s="1">
        <v>322.3</v>
      </c>
      <c r="M93" s="34">
        <v>41671</v>
      </c>
      <c r="N93" s="1">
        <v>82.8</v>
      </c>
    </row>
    <row r="94" spans="1:14" x14ac:dyDescent="0.25">
      <c r="A94" s="34">
        <v>41699</v>
      </c>
      <c r="B94" s="1">
        <v>336.4</v>
      </c>
      <c r="C94" s="34">
        <v>41699</v>
      </c>
      <c r="D94" s="1">
        <v>95</v>
      </c>
      <c r="E94" s="34">
        <v>41699</v>
      </c>
      <c r="F94" s="1">
        <v>6.6</v>
      </c>
      <c r="G94" s="34">
        <v>41699</v>
      </c>
      <c r="H94" s="5">
        <v>-1.6</v>
      </c>
      <c r="I94" s="34">
        <v>41699</v>
      </c>
      <c r="J94" s="1">
        <v>109.64</v>
      </c>
      <c r="K94" s="34">
        <v>41699</v>
      </c>
      <c r="L94" s="1">
        <v>325.5</v>
      </c>
      <c r="M94" s="34">
        <v>41699</v>
      </c>
      <c r="N94" s="1">
        <v>82.9</v>
      </c>
    </row>
    <row r="95" spans="1:14" x14ac:dyDescent="0.25">
      <c r="A95" s="34">
        <v>41730</v>
      </c>
      <c r="B95" s="1">
        <v>338.8</v>
      </c>
      <c r="C95" s="34">
        <v>41730</v>
      </c>
      <c r="D95" s="1">
        <v>132</v>
      </c>
      <c r="E95" s="34">
        <v>41730</v>
      </c>
      <c r="F95" s="1">
        <v>6.4</v>
      </c>
      <c r="G95" s="34">
        <v>41730</v>
      </c>
      <c r="H95" s="5">
        <v>-0.08</v>
      </c>
      <c r="I95" s="34">
        <v>41730</v>
      </c>
      <c r="J95" s="1">
        <v>109.7</v>
      </c>
      <c r="K95" s="34">
        <v>41730</v>
      </c>
      <c r="L95" s="1">
        <v>329.3</v>
      </c>
      <c r="M95" s="34">
        <v>41730</v>
      </c>
      <c r="N95" s="1">
        <v>83.5</v>
      </c>
    </row>
    <row r="96" spans="1:14" x14ac:dyDescent="0.25">
      <c r="A96" s="34">
        <v>41760</v>
      </c>
      <c r="B96" s="1">
        <v>339.5</v>
      </c>
      <c r="C96" s="34">
        <v>41760</v>
      </c>
      <c r="D96" s="1">
        <v>145</v>
      </c>
      <c r="E96" s="34">
        <v>41760</v>
      </c>
      <c r="F96" s="1">
        <v>6.3</v>
      </c>
      <c r="G96" s="34">
        <v>41760</v>
      </c>
      <c r="H96" s="5">
        <v>-0.35</v>
      </c>
      <c r="I96" s="34">
        <v>41760</v>
      </c>
      <c r="J96" s="1">
        <v>109.55</v>
      </c>
      <c r="K96" s="34">
        <v>41760</v>
      </c>
      <c r="L96" s="1">
        <v>338.7</v>
      </c>
      <c r="M96" s="34">
        <v>41760</v>
      </c>
      <c r="N96" s="1">
        <v>83.2</v>
      </c>
    </row>
    <row r="97" spans="1:14" x14ac:dyDescent="0.25">
      <c r="A97" s="34">
        <v>41791</v>
      </c>
      <c r="B97" s="1">
        <v>333.4</v>
      </c>
      <c r="C97" s="34">
        <v>41791</v>
      </c>
      <c r="D97" s="1">
        <v>111</v>
      </c>
      <c r="E97" s="34">
        <v>41791</v>
      </c>
      <c r="F97" s="1">
        <v>6.4</v>
      </c>
      <c r="G97" s="34">
        <v>41791</v>
      </c>
      <c r="H97" s="5">
        <v>-2</v>
      </c>
      <c r="I97" s="34">
        <v>41791</v>
      </c>
      <c r="J97" s="1">
        <v>109.19</v>
      </c>
      <c r="K97" s="34">
        <v>41791</v>
      </c>
      <c r="L97" s="1">
        <v>353.5</v>
      </c>
      <c r="M97" s="34">
        <v>41791</v>
      </c>
      <c r="N97" s="1">
        <v>82.3</v>
      </c>
    </row>
    <row r="98" spans="1:14" x14ac:dyDescent="0.25">
      <c r="A98" s="34">
        <v>41821</v>
      </c>
      <c r="B98" s="1">
        <v>332.9</v>
      </c>
      <c r="C98" s="34">
        <v>41821</v>
      </c>
      <c r="D98" s="1">
        <v>130</v>
      </c>
      <c r="E98" s="34">
        <v>41821</v>
      </c>
      <c r="F98" s="1">
        <v>6.5</v>
      </c>
      <c r="G98" s="34">
        <v>41821</v>
      </c>
      <c r="H98" s="5">
        <v>-1.38</v>
      </c>
      <c r="I98" s="34">
        <v>41821</v>
      </c>
      <c r="J98" s="1">
        <v>109</v>
      </c>
      <c r="K98" s="34">
        <v>41821</v>
      </c>
      <c r="L98" s="1">
        <v>359</v>
      </c>
      <c r="M98" s="34">
        <v>41821</v>
      </c>
      <c r="N98" s="1">
        <v>76.400000000000006</v>
      </c>
    </row>
    <row r="99" spans="1:14" x14ac:dyDescent="0.25">
      <c r="A99" s="34">
        <v>41852</v>
      </c>
      <c r="B99" s="1">
        <v>333.1</v>
      </c>
      <c r="C99" s="34">
        <v>41852</v>
      </c>
      <c r="D99" s="1">
        <v>106</v>
      </c>
      <c r="E99" s="34">
        <v>41852</v>
      </c>
      <c r="F99" s="1">
        <v>6.8</v>
      </c>
      <c r="G99" s="34">
        <v>41852</v>
      </c>
      <c r="H99" s="1">
        <v>-2.39</v>
      </c>
      <c r="I99" s="34">
        <v>41852</v>
      </c>
      <c r="J99" s="1">
        <v>108.44</v>
      </c>
      <c r="K99" s="34">
        <v>41852</v>
      </c>
      <c r="L99" s="1">
        <v>357.2</v>
      </c>
      <c r="M99" s="34">
        <v>41852</v>
      </c>
      <c r="N99" s="1">
        <v>77.400000000000006</v>
      </c>
    </row>
    <row r="100" spans="1:14" x14ac:dyDescent="0.25">
      <c r="A100" s="34">
        <v>41883</v>
      </c>
      <c r="B100" s="1">
        <v>335.1</v>
      </c>
      <c r="C100" s="34">
        <v>41883</v>
      </c>
      <c r="D100" s="1">
        <v>121</v>
      </c>
      <c r="E100" s="34">
        <v>41883</v>
      </c>
      <c r="F100" s="1">
        <v>6.8</v>
      </c>
      <c r="G100" s="34">
        <v>41883</v>
      </c>
      <c r="H100" s="1">
        <v>-1.64</v>
      </c>
      <c r="I100" s="34">
        <v>41883</v>
      </c>
      <c r="J100" s="1">
        <v>108.25</v>
      </c>
      <c r="K100" s="34">
        <v>41883</v>
      </c>
      <c r="L100" s="1">
        <v>348.8</v>
      </c>
      <c r="M100" s="34">
        <v>41883</v>
      </c>
      <c r="N100" s="1">
        <v>82.1</v>
      </c>
    </row>
    <row r="101" spans="1:14" x14ac:dyDescent="0.25">
      <c r="A101" s="34">
        <v>41913</v>
      </c>
      <c r="B101" s="1">
        <v>335.8</v>
      </c>
      <c r="C101" s="34">
        <v>41913</v>
      </c>
      <c r="D101" s="1">
        <v>145</v>
      </c>
      <c r="E101" s="34">
        <v>41913</v>
      </c>
      <c r="F101" s="1">
        <v>6.7</v>
      </c>
      <c r="G101" s="34">
        <v>41913</v>
      </c>
      <c r="H101" s="1">
        <v>-0.21</v>
      </c>
      <c r="I101" s="34">
        <v>41913</v>
      </c>
      <c r="J101" s="1">
        <v>108.09</v>
      </c>
      <c r="K101" s="34">
        <v>41913</v>
      </c>
      <c r="L101" s="1">
        <v>329.9</v>
      </c>
      <c r="M101" s="34">
        <v>41913</v>
      </c>
      <c r="N101" s="1">
        <v>82.5</v>
      </c>
    </row>
    <row r="102" spans="1:14" x14ac:dyDescent="0.25">
      <c r="A102" s="34">
        <v>41944</v>
      </c>
      <c r="B102" s="1">
        <v>338.4</v>
      </c>
      <c r="C102" s="34">
        <v>41944</v>
      </c>
      <c r="D102" s="1">
        <v>62</v>
      </c>
      <c r="E102" s="34">
        <v>41944</v>
      </c>
      <c r="F102" s="1">
        <v>6.5</v>
      </c>
      <c r="G102" s="34">
        <v>41944</v>
      </c>
      <c r="H102" s="1">
        <v>-0.03</v>
      </c>
      <c r="I102" s="34">
        <v>41944</v>
      </c>
      <c r="J102" s="1">
        <v>107.98</v>
      </c>
      <c r="K102" s="34">
        <v>41944</v>
      </c>
      <c r="L102" s="1">
        <v>324.39999999999998</v>
      </c>
      <c r="M102" s="34">
        <v>41944</v>
      </c>
      <c r="N102" s="1">
        <v>82.4</v>
      </c>
    </row>
    <row r="103" spans="1:14" x14ac:dyDescent="0.25">
      <c r="A103" s="34">
        <v>41974</v>
      </c>
      <c r="B103" s="1">
        <v>340.9</v>
      </c>
      <c r="E103" s="34">
        <v>41974</v>
      </c>
      <c r="F103" s="1">
        <v>6.3</v>
      </c>
      <c r="K103" s="34">
        <v>41974</v>
      </c>
      <c r="L103" s="1">
        <v>323</v>
      </c>
      <c r="M103" s="34">
        <v>41974</v>
      </c>
      <c r="N103" s="1">
        <v>82.3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103"/>
  <sheetViews>
    <sheetView workbookViewId="0">
      <selection activeCell="A5" sqref="A5"/>
    </sheetView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15</v>
      </c>
      <c r="C1" s="34" t="s">
        <v>16</v>
      </c>
      <c r="E1" s="34" t="s">
        <v>17</v>
      </c>
      <c r="G1" s="34" t="s">
        <v>18</v>
      </c>
      <c r="I1" s="34" t="s">
        <v>22</v>
      </c>
      <c r="K1" s="34" t="str">
        <f>CONCATENATE(LEFT(A1,2), "NAN")</f>
        <v>ALNAN</v>
      </c>
      <c r="M1" s="34" t="str">
        <f>CONCATENATE(LEFT(A1,2), "GOVTN")</f>
        <v>ALGOVTN</v>
      </c>
      <c r="O1" s="34" t="str">
        <f>CONCATENATE(LEFT($A$1,2), "RGSP")</f>
        <v>ALRGSP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846</v>
      </c>
      <c r="C5" s="35" t="s">
        <v>23</v>
      </c>
      <c r="E5" s="35" t="s">
        <v>25</v>
      </c>
      <c r="G5" s="35" t="s">
        <v>26</v>
      </c>
      <c r="I5" s="35" t="s">
        <v>27</v>
      </c>
      <c r="K5" s="35" t="s">
        <v>846</v>
      </c>
      <c r="M5" s="35" t="s">
        <v>847</v>
      </c>
      <c r="O5" s="35" t="s">
        <v>819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1997.5</v>
      </c>
      <c r="C8" s="34">
        <v>39083</v>
      </c>
      <c r="D8" s="1">
        <v>2200</v>
      </c>
      <c r="E8" s="34">
        <v>39083</v>
      </c>
      <c r="F8" s="1">
        <v>3.3</v>
      </c>
      <c r="G8" s="34">
        <v>39083</v>
      </c>
      <c r="H8" s="1">
        <v>1.59</v>
      </c>
      <c r="I8" s="34">
        <v>39083</v>
      </c>
      <c r="J8" s="1">
        <v>141.97999999999999</v>
      </c>
      <c r="K8" s="34">
        <v>39083</v>
      </c>
      <c r="L8" s="1">
        <v>1974.9</v>
      </c>
      <c r="M8" s="34">
        <v>39083</v>
      </c>
      <c r="N8" s="1">
        <v>374.2</v>
      </c>
      <c r="O8" s="34">
        <v>39083</v>
      </c>
      <c r="P8" s="1">
        <v>175271</v>
      </c>
    </row>
    <row r="9" spans="1:16" x14ac:dyDescent="0.25">
      <c r="A9" s="34">
        <v>39114</v>
      </c>
      <c r="B9" s="1">
        <v>2002.2</v>
      </c>
      <c r="C9" s="34">
        <v>39114</v>
      </c>
      <c r="D9" s="1">
        <v>2076</v>
      </c>
      <c r="E9" s="34">
        <v>39114</v>
      </c>
      <c r="F9" s="1">
        <v>3.2</v>
      </c>
      <c r="G9" s="34">
        <v>39114</v>
      </c>
      <c r="H9" s="1">
        <v>1.32</v>
      </c>
      <c r="I9" s="34">
        <v>39114</v>
      </c>
      <c r="J9" s="1">
        <v>142.47</v>
      </c>
      <c r="K9" s="34">
        <v>39114</v>
      </c>
      <c r="L9" s="1">
        <v>1987.3</v>
      </c>
      <c r="M9" s="34">
        <v>39114</v>
      </c>
      <c r="N9" s="1">
        <v>376.6</v>
      </c>
      <c r="O9" s="34">
        <v>39448</v>
      </c>
      <c r="P9" s="1">
        <v>175037</v>
      </c>
    </row>
    <row r="10" spans="1:16" x14ac:dyDescent="0.25">
      <c r="A10" s="34">
        <v>39142</v>
      </c>
      <c r="B10" s="1">
        <v>2006.9</v>
      </c>
      <c r="C10" s="34">
        <v>39142</v>
      </c>
      <c r="D10" s="1">
        <v>2058</v>
      </c>
      <c r="E10" s="34">
        <v>39142</v>
      </c>
      <c r="F10" s="1">
        <v>3.2</v>
      </c>
      <c r="G10" s="34">
        <v>39142</v>
      </c>
      <c r="H10" s="1">
        <v>0.62</v>
      </c>
      <c r="I10" s="34">
        <v>39142</v>
      </c>
      <c r="J10" s="1">
        <v>142.81</v>
      </c>
      <c r="K10" s="34">
        <v>39142</v>
      </c>
      <c r="L10" s="1">
        <v>2004.4</v>
      </c>
      <c r="M10" s="34">
        <v>39142</v>
      </c>
      <c r="N10" s="1">
        <v>377.9</v>
      </c>
      <c r="O10" s="34">
        <v>39814</v>
      </c>
      <c r="P10" s="1">
        <v>169052</v>
      </c>
    </row>
    <row r="11" spans="1:16" x14ac:dyDescent="0.25">
      <c r="A11" s="34">
        <v>39173</v>
      </c>
      <c r="B11" s="1">
        <v>2000.5</v>
      </c>
      <c r="C11" s="34">
        <v>39173</v>
      </c>
      <c r="D11" s="1">
        <v>2222</v>
      </c>
      <c r="E11" s="34">
        <v>39173</v>
      </c>
      <c r="F11" s="1">
        <v>3.2</v>
      </c>
      <c r="G11" s="34">
        <v>39173</v>
      </c>
      <c r="H11" s="1">
        <v>0.13</v>
      </c>
      <c r="I11" s="34">
        <v>39173</v>
      </c>
      <c r="J11" s="1">
        <v>143.06</v>
      </c>
      <c r="K11" s="34">
        <v>39173</v>
      </c>
      <c r="L11" s="1">
        <v>2000.9</v>
      </c>
      <c r="M11" s="34">
        <v>39173</v>
      </c>
      <c r="N11" s="1">
        <v>378.4</v>
      </c>
      <c r="O11" s="34">
        <v>40179</v>
      </c>
      <c r="P11" s="1">
        <v>172998</v>
      </c>
    </row>
    <row r="12" spans="1:16" x14ac:dyDescent="0.25">
      <c r="A12" s="34">
        <v>39203</v>
      </c>
      <c r="B12" s="1">
        <v>2002.1</v>
      </c>
      <c r="C12" s="34">
        <v>39203</v>
      </c>
      <c r="D12" s="1">
        <v>2262</v>
      </c>
      <c r="E12" s="34">
        <v>39203</v>
      </c>
      <c r="F12" s="1">
        <v>3.3</v>
      </c>
      <c r="G12" s="34">
        <v>39203</v>
      </c>
      <c r="H12" s="1">
        <v>-0.32</v>
      </c>
      <c r="I12" s="34">
        <v>39203</v>
      </c>
      <c r="J12" s="1">
        <v>143.12</v>
      </c>
      <c r="K12" s="34">
        <v>39203</v>
      </c>
      <c r="L12" s="1">
        <v>2009.4</v>
      </c>
      <c r="M12" s="34">
        <v>39203</v>
      </c>
      <c r="N12" s="1">
        <v>379.3</v>
      </c>
      <c r="O12" s="34">
        <v>40544</v>
      </c>
      <c r="P12" s="1">
        <v>175159</v>
      </c>
    </row>
    <row r="13" spans="1:16" x14ac:dyDescent="0.25">
      <c r="A13" s="34">
        <v>39234</v>
      </c>
      <c r="B13" s="1">
        <v>2005.1</v>
      </c>
      <c r="C13" s="34">
        <v>39234</v>
      </c>
      <c r="D13" s="1">
        <v>1991</v>
      </c>
      <c r="E13" s="34">
        <v>39234</v>
      </c>
      <c r="F13" s="1">
        <v>3.3</v>
      </c>
      <c r="G13" s="34">
        <v>39234</v>
      </c>
      <c r="H13" s="1">
        <v>-0.02</v>
      </c>
      <c r="I13" s="34">
        <v>39234</v>
      </c>
      <c r="J13" s="1">
        <v>143.24</v>
      </c>
      <c r="K13" s="34">
        <v>39234</v>
      </c>
      <c r="L13" s="1">
        <v>2018.4</v>
      </c>
      <c r="M13" s="34">
        <v>39234</v>
      </c>
      <c r="N13" s="1">
        <v>379.1</v>
      </c>
      <c r="O13" s="34">
        <v>40909</v>
      </c>
      <c r="P13" s="1">
        <v>179312</v>
      </c>
    </row>
    <row r="14" spans="1:16" x14ac:dyDescent="0.25">
      <c r="A14" s="34">
        <v>39264</v>
      </c>
      <c r="B14" s="1">
        <v>2003.1</v>
      </c>
      <c r="C14" s="34">
        <v>39264</v>
      </c>
      <c r="D14" s="1">
        <v>1928</v>
      </c>
      <c r="E14" s="34">
        <v>39264</v>
      </c>
      <c r="F14" s="1">
        <v>3.4</v>
      </c>
      <c r="G14" s="34">
        <v>39264</v>
      </c>
      <c r="H14" s="1">
        <v>-0.25</v>
      </c>
      <c r="I14" s="34">
        <v>39264</v>
      </c>
      <c r="J14" s="1">
        <v>143.26</v>
      </c>
      <c r="K14" s="34">
        <v>39264</v>
      </c>
      <c r="L14" s="1">
        <v>1994</v>
      </c>
      <c r="M14" s="34">
        <v>39264</v>
      </c>
      <c r="N14" s="1">
        <v>364.6</v>
      </c>
      <c r="O14" s="34">
        <v>41275</v>
      </c>
      <c r="P14" s="1">
        <v>180727</v>
      </c>
    </row>
    <row r="15" spans="1:16" x14ac:dyDescent="0.25">
      <c r="A15" s="34">
        <v>39295</v>
      </c>
      <c r="B15" s="1">
        <v>2006</v>
      </c>
      <c r="C15" s="34">
        <v>39295</v>
      </c>
      <c r="D15" s="1">
        <v>2350</v>
      </c>
      <c r="E15" s="34">
        <v>39295</v>
      </c>
      <c r="F15" s="1">
        <v>3.4</v>
      </c>
      <c r="G15" s="34">
        <v>39295</v>
      </c>
      <c r="H15" s="1">
        <v>0.18</v>
      </c>
      <c r="I15" s="34">
        <v>39295</v>
      </c>
      <c r="J15" s="1">
        <v>143.38</v>
      </c>
      <c r="K15" s="34">
        <v>39295</v>
      </c>
      <c r="L15" s="1">
        <v>2004.4</v>
      </c>
      <c r="M15" s="34">
        <v>39295</v>
      </c>
      <c r="N15" s="1">
        <v>368.6</v>
      </c>
    </row>
    <row r="16" spans="1:16" x14ac:dyDescent="0.25">
      <c r="A16" s="34">
        <v>39326</v>
      </c>
      <c r="B16" s="1">
        <v>2008.8</v>
      </c>
      <c r="C16" s="34">
        <v>39326</v>
      </c>
      <c r="D16" s="1">
        <v>1689</v>
      </c>
      <c r="E16" s="34">
        <v>39326</v>
      </c>
      <c r="F16" s="1">
        <v>3.5</v>
      </c>
      <c r="G16" s="34">
        <v>39326</v>
      </c>
      <c r="H16" s="1">
        <v>-0.28000000000000003</v>
      </c>
      <c r="I16" s="34">
        <v>39326</v>
      </c>
      <c r="J16" s="1">
        <v>143.41999999999999</v>
      </c>
      <c r="K16" s="34">
        <v>39326</v>
      </c>
      <c r="L16" s="1">
        <v>2013.3</v>
      </c>
      <c r="M16" s="34">
        <v>39326</v>
      </c>
      <c r="N16" s="1">
        <v>377.8</v>
      </c>
    </row>
    <row r="17" spans="1:14" x14ac:dyDescent="0.25">
      <c r="A17" s="34">
        <v>39356</v>
      </c>
      <c r="B17" s="1">
        <v>2010.6</v>
      </c>
      <c r="C17" s="34">
        <v>39356</v>
      </c>
      <c r="D17" s="1">
        <v>1540</v>
      </c>
      <c r="E17" s="34">
        <v>39356</v>
      </c>
      <c r="F17" s="1">
        <v>3.6</v>
      </c>
      <c r="G17" s="34">
        <v>39356</v>
      </c>
      <c r="H17" s="1">
        <v>-0.35</v>
      </c>
      <c r="I17" s="34">
        <v>39356</v>
      </c>
      <c r="J17" s="1">
        <v>143.43</v>
      </c>
      <c r="K17" s="34">
        <v>39356</v>
      </c>
      <c r="L17" s="1">
        <v>2012.4</v>
      </c>
      <c r="M17" s="34">
        <v>39356</v>
      </c>
      <c r="N17" s="1">
        <v>380.4</v>
      </c>
    </row>
    <row r="18" spans="1:14" x14ac:dyDescent="0.25">
      <c r="A18" s="34">
        <v>39387</v>
      </c>
      <c r="B18" s="1">
        <v>2011.6</v>
      </c>
      <c r="C18" s="34">
        <v>39387</v>
      </c>
      <c r="D18" s="1">
        <v>1960</v>
      </c>
      <c r="E18" s="34">
        <v>39387</v>
      </c>
      <c r="F18" s="1">
        <v>3.7</v>
      </c>
      <c r="G18" s="34">
        <v>39387</v>
      </c>
      <c r="H18" s="1">
        <v>-0.34</v>
      </c>
      <c r="I18" s="34">
        <v>39387</v>
      </c>
      <c r="J18" s="1">
        <v>143.41</v>
      </c>
      <c r="K18" s="34">
        <v>39387</v>
      </c>
      <c r="L18" s="1">
        <v>2022</v>
      </c>
      <c r="M18" s="34">
        <v>39387</v>
      </c>
      <c r="N18" s="1">
        <v>381.9</v>
      </c>
    </row>
    <row r="19" spans="1:14" x14ac:dyDescent="0.25">
      <c r="A19" s="34">
        <v>39417</v>
      </c>
      <c r="B19" s="1">
        <v>2014.9</v>
      </c>
      <c r="C19" s="34">
        <v>39417</v>
      </c>
      <c r="D19" s="1">
        <v>1441</v>
      </c>
      <c r="E19" s="34">
        <v>39417</v>
      </c>
      <c r="F19" s="1">
        <v>3.7</v>
      </c>
      <c r="G19" s="34">
        <v>39417</v>
      </c>
      <c r="H19" s="1">
        <v>-0.13</v>
      </c>
      <c r="I19" s="34">
        <v>39417</v>
      </c>
      <c r="J19" s="1">
        <v>143.49</v>
      </c>
      <c r="K19" s="34">
        <v>39417</v>
      </c>
      <c r="L19" s="1">
        <v>2026.7</v>
      </c>
      <c r="M19" s="34">
        <v>39417</v>
      </c>
      <c r="N19" s="1">
        <v>381.8</v>
      </c>
    </row>
    <row r="20" spans="1:14" x14ac:dyDescent="0.25">
      <c r="A20" s="34">
        <v>39448</v>
      </c>
      <c r="B20" s="1">
        <v>2010</v>
      </c>
      <c r="C20" s="34">
        <v>39448</v>
      </c>
      <c r="D20" s="1">
        <v>1558</v>
      </c>
      <c r="E20" s="34">
        <v>39448</v>
      </c>
      <c r="F20" s="1">
        <v>3.8</v>
      </c>
      <c r="G20" s="34">
        <v>39448</v>
      </c>
      <c r="H20" s="1">
        <v>-0.55000000000000004</v>
      </c>
      <c r="I20" s="34">
        <v>39448</v>
      </c>
      <c r="J20" s="1">
        <v>143.46</v>
      </c>
      <c r="K20" s="34">
        <v>39448</v>
      </c>
      <c r="L20" s="1">
        <v>1986</v>
      </c>
      <c r="M20" s="34">
        <v>39448</v>
      </c>
      <c r="N20" s="1">
        <v>380.3</v>
      </c>
    </row>
    <row r="21" spans="1:14" x14ac:dyDescent="0.25">
      <c r="A21" s="34">
        <v>39479</v>
      </c>
      <c r="B21" s="1">
        <v>2010.3</v>
      </c>
      <c r="C21" s="34">
        <v>39479</v>
      </c>
      <c r="D21" s="1">
        <v>1515</v>
      </c>
      <c r="E21" s="34">
        <v>39479</v>
      </c>
      <c r="F21" s="1">
        <v>3.9</v>
      </c>
      <c r="G21" s="34">
        <v>39479</v>
      </c>
      <c r="H21" s="1">
        <v>-1.06</v>
      </c>
      <c r="I21" s="34">
        <v>39479</v>
      </c>
      <c r="J21" s="1">
        <v>143.36000000000001</v>
      </c>
      <c r="K21" s="34">
        <v>39479</v>
      </c>
      <c r="L21" s="1">
        <v>1994.5</v>
      </c>
      <c r="M21" s="34">
        <v>39479</v>
      </c>
      <c r="N21" s="1">
        <v>384.1</v>
      </c>
    </row>
    <row r="22" spans="1:14" x14ac:dyDescent="0.25">
      <c r="A22" s="34">
        <v>39508</v>
      </c>
      <c r="B22" s="1">
        <v>2005.7</v>
      </c>
      <c r="C22" s="34">
        <v>39508</v>
      </c>
      <c r="D22" s="1">
        <v>1452</v>
      </c>
      <c r="E22" s="34">
        <v>39508</v>
      </c>
      <c r="F22" s="1">
        <v>4.0999999999999996</v>
      </c>
      <c r="G22" s="34">
        <v>39508</v>
      </c>
      <c r="H22" s="1">
        <v>-1.48</v>
      </c>
      <c r="I22" s="34">
        <v>39508</v>
      </c>
      <c r="J22" s="1">
        <v>143.07</v>
      </c>
      <c r="K22" s="34">
        <v>39508</v>
      </c>
      <c r="L22" s="1">
        <v>2002.7</v>
      </c>
      <c r="M22" s="34">
        <v>39508</v>
      </c>
      <c r="N22" s="1">
        <v>385.3</v>
      </c>
    </row>
    <row r="23" spans="1:14" x14ac:dyDescent="0.25">
      <c r="A23" s="34">
        <v>39539</v>
      </c>
      <c r="B23" s="1">
        <v>2008.3</v>
      </c>
      <c r="C23" s="34">
        <v>39539</v>
      </c>
      <c r="D23" s="1">
        <v>1715</v>
      </c>
      <c r="E23" s="34">
        <v>39539</v>
      </c>
      <c r="F23" s="1">
        <v>4.2</v>
      </c>
      <c r="G23" s="34">
        <v>39539</v>
      </c>
      <c r="H23" s="1">
        <v>-1.02</v>
      </c>
      <c r="I23" s="34">
        <v>39539</v>
      </c>
      <c r="J23" s="1">
        <v>142.77000000000001</v>
      </c>
      <c r="K23" s="34">
        <v>39539</v>
      </c>
      <c r="L23" s="1">
        <v>2008.7</v>
      </c>
      <c r="M23" s="34">
        <v>39539</v>
      </c>
      <c r="N23" s="1">
        <v>386.6</v>
      </c>
    </row>
    <row r="24" spans="1:14" x14ac:dyDescent="0.25">
      <c r="A24" s="34">
        <v>39569</v>
      </c>
      <c r="B24" s="1">
        <v>2004.2</v>
      </c>
      <c r="C24" s="34">
        <v>39569</v>
      </c>
      <c r="D24" s="1">
        <v>1338</v>
      </c>
      <c r="E24" s="34">
        <v>39569</v>
      </c>
      <c r="F24" s="1">
        <v>4.4000000000000004</v>
      </c>
      <c r="G24" s="34">
        <v>39569</v>
      </c>
      <c r="H24" s="1">
        <v>-1.71</v>
      </c>
      <c r="I24" s="34">
        <v>39569</v>
      </c>
      <c r="J24" s="1">
        <v>142.34</v>
      </c>
      <c r="K24" s="34">
        <v>39569</v>
      </c>
      <c r="L24" s="1">
        <v>2012.5</v>
      </c>
      <c r="M24" s="34">
        <v>39569</v>
      </c>
      <c r="N24" s="1">
        <v>388.1</v>
      </c>
    </row>
    <row r="25" spans="1:14" x14ac:dyDescent="0.25">
      <c r="A25" s="34">
        <v>39600</v>
      </c>
      <c r="B25" s="1">
        <v>2000.7</v>
      </c>
      <c r="C25" s="34">
        <v>39600</v>
      </c>
      <c r="D25" s="1">
        <v>1390</v>
      </c>
      <c r="E25" s="34">
        <v>39600</v>
      </c>
      <c r="F25" s="1">
        <v>4.7</v>
      </c>
      <c r="G25" s="34">
        <v>39600</v>
      </c>
      <c r="H25" s="1">
        <v>-2.35</v>
      </c>
      <c r="I25" s="34">
        <v>39600</v>
      </c>
      <c r="J25" s="1">
        <v>141.69999999999999</v>
      </c>
      <c r="K25" s="34">
        <v>39600</v>
      </c>
      <c r="L25" s="1">
        <v>2012.1</v>
      </c>
      <c r="M25" s="34">
        <v>39600</v>
      </c>
      <c r="N25" s="1">
        <v>387.9</v>
      </c>
    </row>
    <row r="26" spans="1:14" x14ac:dyDescent="0.25">
      <c r="A26" s="34">
        <v>39630</v>
      </c>
      <c r="B26" s="1">
        <v>1998</v>
      </c>
      <c r="C26" s="34">
        <v>39630</v>
      </c>
      <c r="D26" s="1">
        <v>1179</v>
      </c>
      <c r="E26" s="34">
        <v>39630</v>
      </c>
      <c r="F26" s="1">
        <v>4.9000000000000004</v>
      </c>
      <c r="G26" s="34">
        <v>39630</v>
      </c>
      <c r="H26" s="1">
        <v>-2.12</v>
      </c>
      <c r="I26" s="34">
        <v>39630</v>
      </c>
      <c r="J26" s="1">
        <v>141.07</v>
      </c>
      <c r="K26" s="34">
        <v>39630</v>
      </c>
      <c r="L26" s="1">
        <v>1989</v>
      </c>
      <c r="M26" s="34">
        <v>39630</v>
      </c>
      <c r="N26" s="1">
        <v>372.2</v>
      </c>
    </row>
    <row r="27" spans="1:14" x14ac:dyDescent="0.25">
      <c r="A27" s="34">
        <v>39661</v>
      </c>
      <c r="B27" s="1">
        <v>1992</v>
      </c>
      <c r="C27" s="34">
        <v>39661</v>
      </c>
      <c r="D27" s="1">
        <v>976</v>
      </c>
      <c r="E27" s="34">
        <v>39661</v>
      </c>
      <c r="F27" s="1">
        <v>5.0999999999999996</v>
      </c>
      <c r="G27" s="34">
        <v>39661</v>
      </c>
      <c r="H27" s="1">
        <v>-2.19</v>
      </c>
      <c r="I27" s="34">
        <v>39661</v>
      </c>
      <c r="J27" s="1">
        <v>140.44</v>
      </c>
      <c r="K27" s="34">
        <v>39661</v>
      </c>
      <c r="L27" s="1">
        <v>1991.1</v>
      </c>
      <c r="M27" s="34">
        <v>39661</v>
      </c>
      <c r="N27" s="1">
        <v>375</v>
      </c>
    </row>
    <row r="28" spans="1:14" x14ac:dyDescent="0.25">
      <c r="A28" s="34">
        <v>39692</v>
      </c>
      <c r="B28" s="1">
        <v>1986.9</v>
      </c>
      <c r="C28" s="34">
        <v>39692</v>
      </c>
      <c r="D28" s="1">
        <v>925</v>
      </c>
      <c r="E28" s="34">
        <v>39692</v>
      </c>
      <c r="F28" s="1">
        <v>5.4</v>
      </c>
      <c r="G28" s="34">
        <v>39692</v>
      </c>
      <c r="H28" s="1">
        <v>-2.62</v>
      </c>
      <c r="I28" s="34">
        <v>39692</v>
      </c>
      <c r="J28" s="1">
        <v>139.68</v>
      </c>
      <c r="K28" s="34">
        <v>39692</v>
      </c>
      <c r="L28" s="1">
        <v>1992.2</v>
      </c>
      <c r="M28" s="34">
        <v>39692</v>
      </c>
      <c r="N28" s="1">
        <v>383.1</v>
      </c>
    </row>
    <row r="29" spans="1:14" x14ac:dyDescent="0.25">
      <c r="A29" s="34">
        <v>39722</v>
      </c>
      <c r="B29" s="1">
        <v>1976.6</v>
      </c>
      <c r="C29" s="34">
        <v>39722</v>
      </c>
      <c r="D29" s="1">
        <v>1318</v>
      </c>
      <c r="E29" s="34">
        <v>39722</v>
      </c>
      <c r="F29" s="1">
        <v>5.9</v>
      </c>
      <c r="G29" s="34">
        <v>39722</v>
      </c>
      <c r="H29" s="1">
        <v>-4.1900000000000004</v>
      </c>
      <c r="I29" s="34">
        <v>39722</v>
      </c>
      <c r="J29" s="1">
        <v>138.61000000000001</v>
      </c>
      <c r="K29" s="34">
        <v>39722</v>
      </c>
      <c r="L29" s="1">
        <v>1981.3</v>
      </c>
      <c r="M29" s="34">
        <v>39722</v>
      </c>
      <c r="N29" s="1">
        <v>387.6</v>
      </c>
    </row>
    <row r="30" spans="1:14" x14ac:dyDescent="0.25">
      <c r="A30" s="34">
        <v>39753</v>
      </c>
      <c r="B30" s="1">
        <v>1961.2</v>
      </c>
      <c r="C30" s="34">
        <v>39753</v>
      </c>
      <c r="D30" s="1">
        <v>989</v>
      </c>
      <c r="E30" s="34">
        <v>39753</v>
      </c>
      <c r="F30" s="1">
        <v>6.5</v>
      </c>
      <c r="G30" s="34">
        <v>39753</v>
      </c>
      <c r="H30" s="1">
        <v>-5.3</v>
      </c>
      <c r="I30" s="34">
        <v>39753</v>
      </c>
      <c r="J30" s="1">
        <v>137.24</v>
      </c>
      <c r="K30" s="34">
        <v>39753</v>
      </c>
      <c r="L30" s="1">
        <v>1970.9</v>
      </c>
      <c r="M30" s="34">
        <v>39753</v>
      </c>
      <c r="N30" s="1">
        <v>387.2</v>
      </c>
    </row>
    <row r="31" spans="1:14" x14ac:dyDescent="0.25">
      <c r="A31" s="34">
        <v>39783</v>
      </c>
      <c r="B31" s="1">
        <v>1953.8</v>
      </c>
      <c r="C31" s="34">
        <v>39783</v>
      </c>
      <c r="D31" s="1">
        <v>797</v>
      </c>
      <c r="E31" s="34">
        <v>39783</v>
      </c>
      <c r="F31" s="1">
        <v>7.2</v>
      </c>
      <c r="G31" s="34">
        <v>39783</v>
      </c>
      <c r="H31" s="1">
        <v>-5.68</v>
      </c>
      <c r="I31" s="34">
        <v>39783</v>
      </c>
      <c r="J31" s="1">
        <v>135.61000000000001</v>
      </c>
      <c r="K31" s="34">
        <v>39783</v>
      </c>
      <c r="L31" s="1">
        <v>1964.4</v>
      </c>
      <c r="M31" s="34">
        <v>39783</v>
      </c>
      <c r="N31" s="1">
        <v>387.8</v>
      </c>
    </row>
    <row r="32" spans="1:14" x14ac:dyDescent="0.25">
      <c r="A32" s="34">
        <v>39814</v>
      </c>
      <c r="B32" s="1">
        <v>1929.2</v>
      </c>
      <c r="C32" s="34">
        <v>39814</v>
      </c>
      <c r="D32" s="1">
        <v>871</v>
      </c>
      <c r="E32" s="34">
        <v>39814</v>
      </c>
      <c r="F32" s="1">
        <v>7.8</v>
      </c>
      <c r="G32" s="34">
        <v>39814</v>
      </c>
      <c r="H32" s="1">
        <v>-5.54</v>
      </c>
      <c r="I32" s="34">
        <v>39814</v>
      </c>
      <c r="J32" s="1">
        <v>133.96</v>
      </c>
      <c r="K32" s="34">
        <v>39814</v>
      </c>
      <c r="L32" s="1">
        <v>1905.6</v>
      </c>
      <c r="M32" s="34">
        <v>39814</v>
      </c>
      <c r="N32" s="1">
        <v>383.1</v>
      </c>
    </row>
    <row r="33" spans="1:14" x14ac:dyDescent="0.25">
      <c r="A33" s="34">
        <v>39845</v>
      </c>
      <c r="B33" s="1">
        <v>1915.2</v>
      </c>
      <c r="C33" s="34">
        <v>39845</v>
      </c>
      <c r="D33" s="1">
        <v>649</v>
      </c>
      <c r="E33" s="34">
        <v>39845</v>
      </c>
      <c r="F33" s="1">
        <v>8.5</v>
      </c>
      <c r="G33" s="34">
        <v>39845</v>
      </c>
      <c r="H33" s="1">
        <v>-5.6</v>
      </c>
      <c r="I33" s="34">
        <v>39845</v>
      </c>
      <c r="J33" s="1">
        <v>132.21</v>
      </c>
      <c r="K33" s="34">
        <v>39845</v>
      </c>
      <c r="L33" s="1">
        <v>1899.9</v>
      </c>
      <c r="M33" s="34">
        <v>39845</v>
      </c>
      <c r="N33" s="1">
        <v>385.2</v>
      </c>
    </row>
    <row r="34" spans="1:14" x14ac:dyDescent="0.25">
      <c r="A34" s="34">
        <v>39873</v>
      </c>
      <c r="B34" s="1">
        <v>1903.6</v>
      </c>
      <c r="C34" s="34">
        <v>39873</v>
      </c>
      <c r="D34" s="1">
        <v>895</v>
      </c>
      <c r="E34" s="34">
        <v>39873</v>
      </c>
      <c r="F34" s="1">
        <v>9</v>
      </c>
      <c r="G34" s="34">
        <v>39873</v>
      </c>
      <c r="H34" s="1">
        <v>-5.04</v>
      </c>
      <c r="I34" s="34">
        <v>39873</v>
      </c>
      <c r="J34" s="1">
        <v>130.66999999999999</v>
      </c>
      <c r="K34" s="34">
        <v>39873</v>
      </c>
      <c r="L34" s="1">
        <v>1900.1</v>
      </c>
      <c r="M34" s="34">
        <v>39873</v>
      </c>
      <c r="N34" s="1">
        <v>386.1</v>
      </c>
    </row>
    <row r="35" spans="1:14" x14ac:dyDescent="0.25">
      <c r="A35" s="34">
        <v>39904</v>
      </c>
      <c r="B35" s="1">
        <v>1896.9</v>
      </c>
      <c r="C35" s="34">
        <v>39904</v>
      </c>
      <c r="D35" s="1">
        <v>1391</v>
      </c>
      <c r="E35" s="34">
        <v>39904</v>
      </c>
      <c r="F35" s="1">
        <v>9.4</v>
      </c>
      <c r="G35" s="34">
        <v>39904</v>
      </c>
      <c r="H35" s="1">
        <v>-3.71</v>
      </c>
      <c r="I35" s="34">
        <v>39904</v>
      </c>
      <c r="J35" s="1">
        <v>129.37</v>
      </c>
      <c r="K35" s="34">
        <v>39904</v>
      </c>
      <c r="L35" s="1">
        <v>1900.1</v>
      </c>
      <c r="M35" s="34">
        <v>39904</v>
      </c>
      <c r="N35" s="1">
        <v>388.5</v>
      </c>
    </row>
    <row r="36" spans="1:14" x14ac:dyDescent="0.25">
      <c r="A36" s="34">
        <v>39934</v>
      </c>
      <c r="B36" s="1">
        <v>1891</v>
      </c>
      <c r="C36" s="34">
        <v>39934</v>
      </c>
      <c r="D36" s="1">
        <v>851</v>
      </c>
      <c r="E36" s="34">
        <v>39934</v>
      </c>
      <c r="F36" s="1">
        <v>9.8000000000000007</v>
      </c>
      <c r="G36" s="34">
        <v>39934</v>
      </c>
      <c r="H36" s="1">
        <v>-3.37</v>
      </c>
      <c r="I36" s="34">
        <v>39934</v>
      </c>
      <c r="J36" s="1">
        <v>128.19</v>
      </c>
      <c r="K36" s="34">
        <v>39934</v>
      </c>
      <c r="L36" s="1">
        <v>1899.7</v>
      </c>
      <c r="M36" s="34">
        <v>39934</v>
      </c>
      <c r="N36" s="1">
        <v>388.8</v>
      </c>
    </row>
    <row r="37" spans="1:14" x14ac:dyDescent="0.25">
      <c r="A37" s="34">
        <v>39965</v>
      </c>
      <c r="B37" s="1">
        <v>1883.8</v>
      </c>
      <c r="C37" s="34">
        <v>39965</v>
      </c>
      <c r="D37" s="1">
        <v>1314</v>
      </c>
      <c r="E37" s="34">
        <v>39965</v>
      </c>
      <c r="F37" s="1">
        <v>10</v>
      </c>
      <c r="G37" s="34">
        <v>39965</v>
      </c>
      <c r="H37" s="1">
        <v>-2.0699999999999998</v>
      </c>
      <c r="I37" s="34">
        <v>39965</v>
      </c>
      <c r="J37" s="1">
        <v>127.3</v>
      </c>
      <c r="K37" s="34">
        <v>39965</v>
      </c>
      <c r="L37" s="1">
        <v>1895.5</v>
      </c>
      <c r="M37" s="34">
        <v>39965</v>
      </c>
      <c r="N37" s="1">
        <v>387.6</v>
      </c>
    </row>
    <row r="38" spans="1:14" x14ac:dyDescent="0.25">
      <c r="A38" s="34">
        <v>39995</v>
      </c>
      <c r="B38" s="1">
        <v>1880.2</v>
      </c>
      <c r="C38" s="34">
        <v>39995</v>
      </c>
      <c r="D38" s="1">
        <v>1394</v>
      </c>
      <c r="E38" s="34">
        <v>39995</v>
      </c>
      <c r="F38" s="1">
        <v>10.199999999999999</v>
      </c>
      <c r="G38" s="34">
        <v>39995</v>
      </c>
      <c r="H38" s="1">
        <v>-0.96</v>
      </c>
      <c r="I38" s="34">
        <v>39995</v>
      </c>
      <c r="J38" s="1">
        <v>126.54</v>
      </c>
      <c r="K38" s="34">
        <v>39995</v>
      </c>
      <c r="L38" s="1">
        <v>1873.5</v>
      </c>
      <c r="M38" s="34">
        <v>39995</v>
      </c>
      <c r="N38" s="1">
        <v>371.2</v>
      </c>
    </row>
    <row r="39" spans="1:14" x14ac:dyDescent="0.25">
      <c r="A39" s="34">
        <v>40026</v>
      </c>
      <c r="B39" s="1">
        <v>1873.9</v>
      </c>
      <c r="C39" s="34">
        <v>40026</v>
      </c>
      <c r="D39" s="1">
        <v>1215</v>
      </c>
      <c r="E39" s="34">
        <v>40026</v>
      </c>
      <c r="F39" s="1">
        <v>10.3</v>
      </c>
      <c r="G39" s="34">
        <v>40026</v>
      </c>
      <c r="H39" s="1">
        <v>-0.86</v>
      </c>
      <c r="I39" s="34">
        <v>40026</v>
      </c>
      <c r="J39" s="1">
        <v>125.97</v>
      </c>
      <c r="K39" s="34">
        <v>40026</v>
      </c>
      <c r="L39" s="1">
        <v>1870.8</v>
      </c>
      <c r="M39" s="34">
        <v>40026</v>
      </c>
      <c r="N39" s="1">
        <v>373.2</v>
      </c>
    </row>
    <row r="40" spans="1:14" x14ac:dyDescent="0.25">
      <c r="A40" s="34">
        <v>40057</v>
      </c>
      <c r="B40" s="1">
        <v>1867.6</v>
      </c>
      <c r="C40" s="34">
        <v>40057</v>
      </c>
      <c r="D40" s="1">
        <v>860</v>
      </c>
      <c r="E40" s="34">
        <v>40057</v>
      </c>
      <c r="F40" s="1">
        <v>10.4</v>
      </c>
      <c r="G40" s="34">
        <v>40057</v>
      </c>
      <c r="H40" s="1">
        <v>-0.47</v>
      </c>
      <c r="I40" s="34">
        <v>40057</v>
      </c>
      <c r="J40" s="1">
        <v>125.49</v>
      </c>
      <c r="K40" s="34">
        <v>40057</v>
      </c>
      <c r="L40" s="1">
        <v>1872.6</v>
      </c>
      <c r="M40" s="34">
        <v>40057</v>
      </c>
      <c r="N40" s="1">
        <v>382</v>
      </c>
    </row>
    <row r="41" spans="1:14" x14ac:dyDescent="0.25">
      <c r="A41" s="34">
        <v>40087</v>
      </c>
      <c r="B41" s="1">
        <v>1864.7</v>
      </c>
      <c r="C41" s="34">
        <v>40087</v>
      </c>
      <c r="D41" s="1">
        <v>725</v>
      </c>
      <c r="E41" s="34">
        <v>40087</v>
      </c>
      <c r="F41" s="1">
        <v>10.4</v>
      </c>
      <c r="G41" s="34">
        <v>40087</v>
      </c>
      <c r="H41" s="1">
        <v>-0.2</v>
      </c>
      <c r="I41" s="34">
        <v>40087</v>
      </c>
      <c r="J41" s="1">
        <v>125.18</v>
      </c>
      <c r="K41" s="34">
        <v>40087</v>
      </c>
      <c r="L41" s="1">
        <v>1868.4</v>
      </c>
      <c r="M41" s="34">
        <v>40087</v>
      </c>
      <c r="N41" s="1">
        <v>386.8</v>
      </c>
    </row>
    <row r="42" spans="1:14" x14ac:dyDescent="0.25">
      <c r="A42" s="34">
        <v>40118</v>
      </c>
      <c r="B42" s="1">
        <v>1865.8</v>
      </c>
      <c r="C42" s="34">
        <v>40118</v>
      </c>
      <c r="D42" s="1">
        <v>894</v>
      </c>
      <c r="E42" s="34">
        <v>40118</v>
      </c>
      <c r="F42" s="1">
        <v>10.4</v>
      </c>
      <c r="G42" s="34">
        <v>40118</v>
      </c>
      <c r="H42" s="1">
        <v>0.14000000000000001</v>
      </c>
      <c r="I42" s="34">
        <v>40118</v>
      </c>
      <c r="J42" s="1">
        <v>124.96</v>
      </c>
      <c r="K42" s="34">
        <v>40118</v>
      </c>
      <c r="L42" s="1">
        <v>1875.8</v>
      </c>
      <c r="M42" s="34">
        <v>40118</v>
      </c>
      <c r="N42" s="1">
        <v>387.3</v>
      </c>
    </row>
    <row r="43" spans="1:14" x14ac:dyDescent="0.25">
      <c r="A43" s="34">
        <v>40148</v>
      </c>
      <c r="B43" s="1">
        <v>1864.2</v>
      </c>
      <c r="C43" s="34">
        <v>40148</v>
      </c>
      <c r="D43" s="1">
        <v>1031</v>
      </c>
      <c r="E43" s="34">
        <v>40148</v>
      </c>
      <c r="F43" s="1">
        <v>10.4</v>
      </c>
      <c r="G43" s="34">
        <v>40148</v>
      </c>
      <c r="H43" s="1">
        <v>0.01</v>
      </c>
      <c r="I43" s="34">
        <v>40148</v>
      </c>
      <c r="J43" s="1">
        <v>124.79</v>
      </c>
      <c r="K43" s="34">
        <v>40148</v>
      </c>
      <c r="L43" s="1">
        <v>1876</v>
      </c>
      <c r="M43" s="34">
        <v>40148</v>
      </c>
      <c r="N43" s="1">
        <v>388</v>
      </c>
    </row>
    <row r="44" spans="1:14" x14ac:dyDescent="0.25">
      <c r="A44" s="34">
        <v>40179</v>
      </c>
      <c r="B44" s="1">
        <v>1863.9</v>
      </c>
      <c r="C44" s="34">
        <v>40179</v>
      </c>
      <c r="D44" s="1">
        <v>881</v>
      </c>
      <c r="E44" s="34">
        <v>40179</v>
      </c>
      <c r="F44" s="1">
        <v>10.3</v>
      </c>
      <c r="G44" s="34">
        <v>40179</v>
      </c>
      <c r="H44" s="1">
        <v>0.33</v>
      </c>
      <c r="I44" s="34">
        <v>40179</v>
      </c>
      <c r="J44" s="1">
        <v>124.76</v>
      </c>
      <c r="K44" s="34">
        <v>40179</v>
      </c>
      <c r="L44" s="1">
        <v>1840.1</v>
      </c>
      <c r="M44" s="34">
        <v>40179</v>
      </c>
      <c r="N44" s="1">
        <v>384.1</v>
      </c>
    </row>
    <row r="45" spans="1:14" x14ac:dyDescent="0.25">
      <c r="A45" s="34">
        <v>40210</v>
      </c>
      <c r="B45" s="1">
        <v>1860.1</v>
      </c>
      <c r="C45" s="34">
        <v>40210</v>
      </c>
      <c r="D45" s="1">
        <v>878</v>
      </c>
      <c r="E45" s="34">
        <v>40210</v>
      </c>
      <c r="F45" s="1">
        <v>10.199999999999999</v>
      </c>
      <c r="G45" s="34">
        <v>40210</v>
      </c>
      <c r="H45" s="1">
        <v>0.76</v>
      </c>
      <c r="I45" s="34">
        <v>40210</v>
      </c>
      <c r="J45" s="1">
        <v>124.78</v>
      </c>
      <c r="K45" s="34">
        <v>40210</v>
      </c>
      <c r="L45" s="1">
        <v>1844.6</v>
      </c>
      <c r="M45" s="34">
        <v>40210</v>
      </c>
      <c r="N45" s="1">
        <v>386.6</v>
      </c>
    </row>
    <row r="46" spans="1:14" x14ac:dyDescent="0.25">
      <c r="A46" s="34">
        <v>40238</v>
      </c>
      <c r="B46" s="1">
        <v>1864.4</v>
      </c>
      <c r="C46" s="34">
        <v>40238</v>
      </c>
      <c r="D46" s="1">
        <v>1343</v>
      </c>
      <c r="E46" s="34">
        <v>40238</v>
      </c>
      <c r="F46" s="1">
        <v>10</v>
      </c>
      <c r="G46" s="34">
        <v>40238</v>
      </c>
      <c r="H46" s="1">
        <v>1.47</v>
      </c>
      <c r="I46" s="34">
        <v>40238</v>
      </c>
      <c r="J46" s="1">
        <v>124.95</v>
      </c>
      <c r="K46" s="34">
        <v>40238</v>
      </c>
      <c r="L46" s="1">
        <v>1860.7</v>
      </c>
      <c r="M46" s="34">
        <v>40238</v>
      </c>
      <c r="N46" s="1">
        <v>389.6</v>
      </c>
    </row>
    <row r="47" spans="1:14" x14ac:dyDescent="0.25">
      <c r="A47" s="34">
        <v>40269</v>
      </c>
      <c r="B47" s="1">
        <v>1868.2</v>
      </c>
      <c r="C47" s="34">
        <v>40269</v>
      </c>
      <c r="D47" s="1">
        <v>1142</v>
      </c>
      <c r="E47" s="34">
        <v>40269</v>
      </c>
      <c r="F47" s="1">
        <v>9.3000000000000007</v>
      </c>
      <c r="G47" s="34">
        <v>40269</v>
      </c>
      <c r="H47" s="1">
        <v>4.75</v>
      </c>
      <c r="I47" s="34">
        <v>40269</v>
      </c>
      <c r="J47" s="1">
        <v>125.75</v>
      </c>
      <c r="K47" s="34">
        <v>40269</v>
      </c>
      <c r="L47" s="1">
        <v>1872.1</v>
      </c>
      <c r="M47" s="34">
        <v>40269</v>
      </c>
      <c r="N47" s="1">
        <v>391.2</v>
      </c>
    </row>
    <row r="48" spans="1:14" x14ac:dyDescent="0.25">
      <c r="A48" s="34">
        <v>40299</v>
      </c>
      <c r="B48" s="1">
        <v>1879</v>
      </c>
      <c r="C48" s="34">
        <v>40299</v>
      </c>
      <c r="D48" s="1">
        <v>1057</v>
      </c>
      <c r="E48" s="34">
        <v>40299</v>
      </c>
      <c r="F48" s="1">
        <v>9</v>
      </c>
      <c r="G48" s="34">
        <v>40299</v>
      </c>
      <c r="H48" s="1">
        <v>2.82</v>
      </c>
      <c r="I48" s="34">
        <v>40299</v>
      </c>
      <c r="J48" s="1">
        <v>126.45</v>
      </c>
      <c r="K48" s="34">
        <v>40299</v>
      </c>
      <c r="L48" s="1">
        <v>1888.2</v>
      </c>
      <c r="M48" s="34">
        <v>40299</v>
      </c>
      <c r="N48" s="1">
        <v>400.3</v>
      </c>
    </row>
    <row r="49" spans="1:14" x14ac:dyDescent="0.25">
      <c r="A49" s="34">
        <v>40330</v>
      </c>
      <c r="B49" s="1">
        <v>1877.6</v>
      </c>
      <c r="C49" s="34">
        <v>40330</v>
      </c>
      <c r="D49" s="1">
        <v>759</v>
      </c>
      <c r="E49" s="34">
        <v>40330</v>
      </c>
      <c r="F49" s="1">
        <v>8.8000000000000007</v>
      </c>
      <c r="G49" s="34">
        <v>40330</v>
      </c>
      <c r="H49" s="1">
        <v>1.54</v>
      </c>
      <c r="I49" s="34">
        <v>40330</v>
      </c>
      <c r="J49" s="1">
        <v>126.97</v>
      </c>
      <c r="K49" s="34">
        <v>40330</v>
      </c>
      <c r="L49" s="1">
        <v>1889.3</v>
      </c>
      <c r="M49" s="34">
        <v>40330</v>
      </c>
      <c r="N49" s="1">
        <v>394.6</v>
      </c>
    </row>
    <row r="50" spans="1:14" x14ac:dyDescent="0.25">
      <c r="A50" s="34">
        <v>40360</v>
      </c>
      <c r="B50" s="1">
        <v>1876.6</v>
      </c>
      <c r="C50" s="34">
        <v>40360</v>
      </c>
      <c r="D50" s="1">
        <v>731</v>
      </c>
      <c r="E50" s="34">
        <v>40360</v>
      </c>
      <c r="F50" s="1">
        <v>8.6999999999999993</v>
      </c>
      <c r="G50" s="34">
        <v>40360</v>
      </c>
      <c r="H50" s="1">
        <v>0.86</v>
      </c>
      <c r="I50" s="34">
        <v>40360</v>
      </c>
      <c r="J50" s="1">
        <v>127.29</v>
      </c>
      <c r="K50" s="34">
        <v>40360</v>
      </c>
      <c r="L50" s="1">
        <v>1870.4</v>
      </c>
      <c r="M50" s="34">
        <v>40360</v>
      </c>
      <c r="N50" s="1">
        <v>376.2</v>
      </c>
    </row>
    <row r="51" spans="1:14" x14ac:dyDescent="0.25">
      <c r="A51" s="34">
        <v>40391</v>
      </c>
      <c r="B51" s="1">
        <v>1872.1</v>
      </c>
      <c r="C51" s="34">
        <v>40391</v>
      </c>
      <c r="D51" s="1">
        <v>623</v>
      </c>
      <c r="E51" s="34">
        <v>40391</v>
      </c>
      <c r="F51" s="1">
        <v>8.6999999999999993</v>
      </c>
      <c r="G51" s="34">
        <v>40391</v>
      </c>
      <c r="H51" s="1">
        <v>-0.06</v>
      </c>
      <c r="I51" s="34">
        <v>40391</v>
      </c>
      <c r="J51" s="1">
        <v>127.41</v>
      </c>
      <c r="K51" s="34">
        <v>40391</v>
      </c>
      <c r="L51" s="1">
        <v>1868.7</v>
      </c>
      <c r="M51" s="34">
        <v>40391</v>
      </c>
      <c r="N51" s="1">
        <v>376.1</v>
      </c>
    </row>
    <row r="52" spans="1:14" x14ac:dyDescent="0.25">
      <c r="A52" s="34">
        <v>40422</v>
      </c>
      <c r="B52" s="1">
        <v>1869</v>
      </c>
      <c r="C52" s="34">
        <v>40422</v>
      </c>
      <c r="D52" s="1">
        <v>738</v>
      </c>
      <c r="E52" s="34">
        <v>40422</v>
      </c>
      <c r="F52" s="1">
        <v>8.6999999999999993</v>
      </c>
      <c r="G52" s="34">
        <v>40422</v>
      </c>
      <c r="H52" s="1">
        <v>-0.35</v>
      </c>
      <c r="I52" s="34">
        <v>40422</v>
      </c>
      <c r="J52" s="1">
        <v>127.43</v>
      </c>
      <c r="K52" s="34">
        <v>40422</v>
      </c>
      <c r="L52" s="1">
        <v>1872.3</v>
      </c>
      <c r="M52" s="34">
        <v>40422</v>
      </c>
      <c r="N52" s="1">
        <v>383.9</v>
      </c>
    </row>
    <row r="53" spans="1:14" x14ac:dyDescent="0.25">
      <c r="A53" s="34">
        <v>40452</v>
      </c>
      <c r="B53" s="1">
        <v>1873.8</v>
      </c>
      <c r="C53" s="34">
        <v>40452</v>
      </c>
      <c r="D53" s="1">
        <v>806</v>
      </c>
      <c r="E53" s="34">
        <v>40452</v>
      </c>
      <c r="F53" s="1">
        <v>8.8000000000000007</v>
      </c>
      <c r="G53" s="34">
        <v>40452</v>
      </c>
      <c r="H53" s="1">
        <v>-0.68</v>
      </c>
      <c r="I53" s="34">
        <v>40452</v>
      </c>
      <c r="J53" s="1">
        <v>127.31</v>
      </c>
      <c r="K53" s="34">
        <v>40452</v>
      </c>
      <c r="L53" s="1">
        <v>1877.1</v>
      </c>
      <c r="M53" s="34">
        <v>40452</v>
      </c>
      <c r="N53" s="1">
        <v>387</v>
      </c>
    </row>
    <row r="54" spans="1:14" x14ac:dyDescent="0.25">
      <c r="A54" s="34">
        <v>40483</v>
      </c>
      <c r="B54" s="1">
        <v>1873.3</v>
      </c>
      <c r="C54" s="34">
        <v>40483</v>
      </c>
      <c r="D54" s="1">
        <v>596</v>
      </c>
      <c r="E54" s="34">
        <v>40483</v>
      </c>
      <c r="F54" s="1">
        <v>8.9</v>
      </c>
      <c r="G54" s="34">
        <v>40483</v>
      </c>
      <c r="H54" s="1">
        <v>-0.44</v>
      </c>
      <c r="I54" s="34">
        <v>40483</v>
      </c>
      <c r="J54" s="1">
        <v>127.1</v>
      </c>
      <c r="K54" s="34">
        <v>40483</v>
      </c>
      <c r="L54" s="1">
        <v>1883.4</v>
      </c>
      <c r="M54" s="34">
        <v>40483</v>
      </c>
      <c r="N54" s="1">
        <v>388.2</v>
      </c>
    </row>
    <row r="55" spans="1:14" x14ac:dyDescent="0.25">
      <c r="A55" s="34">
        <v>40513</v>
      </c>
      <c r="B55" s="1">
        <v>1873.4</v>
      </c>
      <c r="C55" s="34">
        <v>40513</v>
      </c>
      <c r="D55" s="1">
        <v>873</v>
      </c>
      <c r="E55" s="34">
        <v>40513</v>
      </c>
      <c r="F55" s="1">
        <v>8.9</v>
      </c>
      <c r="G55" s="34">
        <v>40513</v>
      </c>
      <c r="H55" s="1">
        <v>0</v>
      </c>
      <c r="I55" s="34">
        <v>40513</v>
      </c>
      <c r="J55" s="1">
        <v>126.96</v>
      </c>
      <c r="K55" s="34">
        <v>40513</v>
      </c>
      <c r="L55" s="1">
        <v>1882.4</v>
      </c>
      <c r="M55" s="34">
        <v>40513</v>
      </c>
      <c r="N55" s="1">
        <v>388.1</v>
      </c>
    </row>
    <row r="56" spans="1:14" x14ac:dyDescent="0.25">
      <c r="A56" s="34">
        <v>40544</v>
      </c>
      <c r="B56" s="1">
        <v>1864.2</v>
      </c>
      <c r="C56" s="34">
        <v>40544</v>
      </c>
      <c r="D56" s="1">
        <v>992</v>
      </c>
      <c r="E56" s="34">
        <v>40544</v>
      </c>
      <c r="F56" s="1">
        <v>8.9</v>
      </c>
      <c r="G56" s="34">
        <v>40544</v>
      </c>
      <c r="H56" s="1">
        <v>-7.0000000000000007E-2</v>
      </c>
      <c r="I56" s="34">
        <v>40544</v>
      </c>
      <c r="J56" s="1">
        <v>126.85</v>
      </c>
      <c r="K56" s="34">
        <v>40544</v>
      </c>
      <c r="L56" s="1">
        <v>1839.4</v>
      </c>
      <c r="M56" s="34">
        <v>40544</v>
      </c>
      <c r="N56" s="1">
        <v>384.2</v>
      </c>
    </row>
    <row r="57" spans="1:14" x14ac:dyDescent="0.25">
      <c r="A57" s="34">
        <v>40575</v>
      </c>
      <c r="B57" s="1">
        <v>1869.1</v>
      </c>
      <c r="C57" s="34">
        <v>40575</v>
      </c>
      <c r="D57" s="1">
        <v>763</v>
      </c>
      <c r="E57" s="34">
        <v>40575</v>
      </c>
      <c r="F57" s="1">
        <v>8.9</v>
      </c>
      <c r="G57" s="34">
        <v>40575</v>
      </c>
      <c r="H57" s="1">
        <v>0.18</v>
      </c>
      <c r="I57" s="34">
        <v>40575</v>
      </c>
      <c r="J57" s="1">
        <v>126.76</v>
      </c>
      <c r="K57" s="34">
        <v>40575</v>
      </c>
      <c r="L57" s="1">
        <v>1853.3</v>
      </c>
      <c r="M57" s="34">
        <v>40575</v>
      </c>
      <c r="N57" s="1">
        <v>386.7</v>
      </c>
    </row>
    <row r="58" spans="1:14" x14ac:dyDescent="0.25">
      <c r="A58" s="34">
        <v>40603</v>
      </c>
      <c r="B58" s="1">
        <v>1868.8</v>
      </c>
      <c r="C58" s="34">
        <v>40603</v>
      </c>
      <c r="D58" s="1">
        <v>1004</v>
      </c>
      <c r="E58" s="34">
        <v>40603</v>
      </c>
      <c r="F58" s="1">
        <v>8.8000000000000007</v>
      </c>
      <c r="G58" s="34">
        <v>40603</v>
      </c>
      <c r="H58" s="1">
        <v>1.02</v>
      </c>
      <c r="I58" s="34">
        <v>40603</v>
      </c>
      <c r="J58" s="1">
        <v>126.78</v>
      </c>
      <c r="K58" s="34">
        <v>40603</v>
      </c>
      <c r="L58" s="1">
        <v>1865.6</v>
      </c>
      <c r="M58" s="34">
        <v>40603</v>
      </c>
      <c r="N58" s="1">
        <v>387.8</v>
      </c>
    </row>
    <row r="59" spans="1:14" x14ac:dyDescent="0.25">
      <c r="A59" s="34">
        <v>40634</v>
      </c>
      <c r="B59" s="1">
        <v>1870</v>
      </c>
      <c r="C59" s="34">
        <v>40634</v>
      </c>
      <c r="D59" s="1">
        <v>686</v>
      </c>
      <c r="E59" s="34">
        <v>40634</v>
      </c>
      <c r="F59" s="1">
        <v>8.8000000000000007</v>
      </c>
      <c r="G59" s="34">
        <v>40634</v>
      </c>
      <c r="H59" s="1">
        <v>7.0000000000000007E-2</v>
      </c>
      <c r="I59" s="34">
        <v>40634</v>
      </c>
      <c r="J59" s="1">
        <v>126.75</v>
      </c>
      <c r="K59" s="34">
        <v>40634</v>
      </c>
      <c r="L59" s="1">
        <v>1875</v>
      </c>
      <c r="M59" s="34">
        <v>40634</v>
      </c>
      <c r="N59" s="1">
        <v>387.8</v>
      </c>
    </row>
    <row r="60" spans="1:14" x14ac:dyDescent="0.25">
      <c r="A60" s="34">
        <v>40664</v>
      </c>
      <c r="B60" s="1">
        <v>1868.2</v>
      </c>
      <c r="C60" s="34">
        <v>40664</v>
      </c>
      <c r="D60" s="1">
        <v>751</v>
      </c>
      <c r="E60" s="34">
        <v>40664</v>
      </c>
      <c r="F60" s="1">
        <v>8.8000000000000007</v>
      </c>
      <c r="G60" s="34">
        <v>40664</v>
      </c>
      <c r="H60" s="1">
        <v>0.08</v>
      </c>
      <c r="I60" s="34">
        <v>40664</v>
      </c>
      <c r="J60" s="1">
        <v>126.69</v>
      </c>
      <c r="K60" s="34">
        <v>40664</v>
      </c>
      <c r="L60" s="1">
        <v>1877.8</v>
      </c>
      <c r="M60" s="34">
        <v>40664</v>
      </c>
      <c r="N60" s="1">
        <v>387.4</v>
      </c>
    </row>
    <row r="61" spans="1:14" x14ac:dyDescent="0.25">
      <c r="A61" s="34">
        <v>40695</v>
      </c>
      <c r="B61" s="1">
        <v>1865.9</v>
      </c>
      <c r="C61" s="34">
        <v>40695</v>
      </c>
      <c r="D61" s="1">
        <v>935</v>
      </c>
      <c r="E61" s="34">
        <v>40695</v>
      </c>
      <c r="F61" s="1">
        <v>8.8000000000000007</v>
      </c>
      <c r="G61" s="34">
        <v>40695</v>
      </c>
      <c r="H61" s="1">
        <v>0.23</v>
      </c>
      <c r="I61" s="34">
        <v>40695</v>
      </c>
      <c r="J61" s="1">
        <v>126.61</v>
      </c>
      <c r="K61" s="34">
        <v>40695</v>
      </c>
      <c r="L61" s="1">
        <v>1878.2</v>
      </c>
      <c r="M61" s="34">
        <v>40695</v>
      </c>
      <c r="N61" s="1">
        <v>384.2</v>
      </c>
    </row>
    <row r="62" spans="1:14" x14ac:dyDescent="0.25">
      <c r="A62" s="34">
        <v>40725</v>
      </c>
      <c r="B62" s="1">
        <v>1872.1</v>
      </c>
      <c r="C62" s="34">
        <v>40725</v>
      </c>
      <c r="D62" s="1">
        <v>851</v>
      </c>
      <c r="E62" s="34">
        <v>40725</v>
      </c>
      <c r="F62" s="1">
        <v>8.6999999999999993</v>
      </c>
      <c r="G62" s="34">
        <v>40725</v>
      </c>
      <c r="H62" s="1">
        <v>1.1499999999999999</v>
      </c>
      <c r="I62" s="34">
        <v>40725</v>
      </c>
      <c r="J62" s="1">
        <v>126.63</v>
      </c>
      <c r="K62" s="34">
        <v>40725</v>
      </c>
      <c r="L62" s="1">
        <v>1863.2</v>
      </c>
      <c r="M62" s="34">
        <v>40725</v>
      </c>
      <c r="N62" s="1">
        <v>371.6</v>
      </c>
    </row>
    <row r="63" spans="1:14" x14ac:dyDescent="0.25">
      <c r="A63" s="34">
        <v>40756</v>
      </c>
      <c r="B63" s="1">
        <v>1871.9</v>
      </c>
      <c r="C63" s="34">
        <v>40756</v>
      </c>
      <c r="D63" s="1">
        <v>853</v>
      </c>
      <c r="E63" s="34">
        <v>40756</v>
      </c>
      <c r="F63" s="1">
        <v>8.6</v>
      </c>
      <c r="G63" s="34">
        <v>40756</v>
      </c>
      <c r="H63" s="1">
        <v>1.38</v>
      </c>
      <c r="I63" s="34">
        <v>40756</v>
      </c>
      <c r="J63" s="1">
        <v>126.68</v>
      </c>
      <c r="K63" s="34">
        <v>40756</v>
      </c>
      <c r="L63" s="1">
        <v>1868.3</v>
      </c>
      <c r="M63" s="34">
        <v>40756</v>
      </c>
      <c r="N63" s="1">
        <v>371.3</v>
      </c>
    </row>
    <row r="64" spans="1:14" x14ac:dyDescent="0.25">
      <c r="A64" s="34">
        <v>40787</v>
      </c>
      <c r="B64" s="1">
        <v>1876.6</v>
      </c>
      <c r="C64" s="34">
        <v>40787</v>
      </c>
      <c r="D64" s="1">
        <v>814</v>
      </c>
      <c r="E64" s="34">
        <v>40787</v>
      </c>
      <c r="F64" s="1">
        <v>8.3000000000000007</v>
      </c>
      <c r="G64" s="34">
        <v>40787</v>
      </c>
      <c r="H64" s="1">
        <v>1.8</v>
      </c>
      <c r="I64" s="34">
        <v>40787</v>
      </c>
      <c r="J64" s="1">
        <v>126.95</v>
      </c>
      <c r="K64" s="34">
        <v>40787</v>
      </c>
      <c r="L64" s="1">
        <v>1879.6</v>
      </c>
      <c r="M64" s="34">
        <v>40787</v>
      </c>
      <c r="N64" s="1">
        <v>380.2</v>
      </c>
    </row>
    <row r="65" spans="1:14" x14ac:dyDescent="0.25">
      <c r="A65" s="34">
        <v>40817</v>
      </c>
      <c r="B65" s="1">
        <v>1870.5</v>
      </c>
      <c r="C65" s="34">
        <v>40817</v>
      </c>
      <c r="D65" s="1">
        <v>953</v>
      </c>
      <c r="E65" s="34">
        <v>40817</v>
      </c>
      <c r="F65" s="1">
        <v>8</v>
      </c>
      <c r="G65" s="34">
        <v>40817</v>
      </c>
      <c r="H65" s="1">
        <v>2.1800000000000002</v>
      </c>
      <c r="I65" s="34">
        <v>40817</v>
      </c>
      <c r="J65" s="1">
        <v>127.33</v>
      </c>
      <c r="K65" s="34">
        <v>40817</v>
      </c>
      <c r="L65" s="1">
        <v>1873.5</v>
      </c>
      <c r="M65" s="34">
        <v>40817</v>
      </c>
      <c r="N65" s="1">
        <v>381.8</v>
      </c>
    </row>
    <row r="66" spans="1:14" x14ac:dyDescent="0.25">
      <c r="A66" s="34">
        <v>40848</v>
      </c>
      <c r="B66" s="1">
        <v>1873.4</v>
      </c>
      <c r="C66" s="34">
        <v>40848</v>
      </c>
      <c r="D66" s="1">
        <v>829</v>
      </c>
      <c r="E66" s="34">
        <v>40848</v>
      </c>
      <c r="F66" s="1">
        <v>7.6</v>
      </c>
      <c r="G66" s="34">
        <v>40848</v>
      </c>
      <c r="H66" s="1">
        <v>2.83</v>
      </c>
      <c r="I66" s="34">
        <v>40848</v>
      </c>
      <c r="J66" s="1">
        <v>127.9</v>
      </c>
      <c r="K66" s="34">
        <v>40848</v>
      </c>
      <c r="L66" s="1">
        <v>1883.6</v>
      </c>
      <c r="M66" s="34">
        <v>40848</v>
      </c>
      <c r="N66" s="1">
        <v>383.3</v>
      </c>
    </row>
    <row r="67" spans="1:14" x14ac:dyDescent="0.25">
      <c r="A67" s="34">
        <v>40878</v>
      </c>
      <c r="B67" s="1">
        <v>1874.5</v>
      </c>
      <c r="C67" s="34">
        <v>40878</v>
      </c>
      <c r="D67" s="1">
        <v>854</v>
      </c>
      <c r="E67" s="34">
        <v>40878</v>
      </c>
      <c r="F67" s="1">
        <v>7.3</v>
      </c>
      <c r="G67" s="34">
        <v>40878</v>
      </c>
      <c r="H67" s="1">
        <v>2.4300000000000002</v>
      </c>
      <c r="I67" s="34">
        <v>40878</v>
      </c>
      <c r="J67" s="1">
        <v>128.5</v>
      </c>
      <c r="K67" s="34">
        <v>40878</v>
      </c>
      <c r="L67" s="1">
        <v>1882.7</v>
      </c>
      <c r="M67" s="34">
        <v>40878</v>
      </c>
      <c r="N67" s="1">
        <v>380.9</v>
      </c>
    </row>
    <row r="68" spans="1:14" x14ac:dyDescent="0.25">
      <c r="A68" s="34">
        <v>40909</v>
      </c>
      <c r="B68" s="1">
        <v>1875.6</v>
      </c>
      <c r="C68" s="34">
        <v>40909</v>
      </c>
      <c r="D68" s="1">
        <v>874</v>
      </c>
      <c r="E68" s="34">
        <v>40909</v>
      </c>
      <c r="F68" s="1">
        <v>7.1</v>
      </c>
      <c r="G68" s="34">
        <v>40909</v>
      </c>
      <c r="H68" s="1">
        <v>2</v>
      </c>
      <c r="I68" s="34">
        <v>40909</v>
      </c>
      <c r="J68" s="1">
        <v>129.06</v>
      </c>
      <c r="K68" s="34">
        <v>40909</v>
      </c>
      <c r="L68" s="1">
        <v>1850.5</v>
      </c>
      <c r="M68" s="34">
        <v>40909</v>
      </c>
      <c r="N68" s="1">
        <v>378.1</v>
      </c>
    </row>
    <row r="69" spans="1:14" x14ac:dyDescent="0.25">
      <c r="A69" s="34">
        <v>40940</v>
      </c>
      <c r="B69" s="1">
        <v>1877.9</v>
      </c>
      <c r="C69" s="34">
        <v>40940</v>
      </c>
      <c r="D69" s="1">
        <v>681</v>
      </c>
      <c r="E69" s="34">
        <v>40940</v>
      </c>
      <c r="F69" s="1">
        <v>7</v>
      </c>
      <c r="G69" s="34">
        <v>40940</v>
      </c>
      <c r="H69" s="1">
        <v>1.3</v>
      </c>
      <c r="I69" s="34">
        <v>40940</v>
      </c>
      <c r="J69" s="1">
        <v>129.51</v>
      </c>
      <c r="K69" s="34">
        <v>40940</v>
      </c>
      <c r="L69" s="1">
        <v>1862.1</v>
      </c>
      <c r="M69" s="34">
        <v>40940</v>
      </c>
      <c r="N69" s="1">
        <v>381.4</v>
      </c>
    </row>
    <row r="70" spans="1:14" x14ac:dyDescent="0.25">
      <c r="A70" s="34">
        <v>40969</v>
      </c>
      <c r="B70" s="1">
        <v>1882.9</v>
      </c>
      <c r="C70" s="34">
        <v>40969</v>
      </c>
      <c r="D70" s="1">
        <v>1131</v>
      </c>
      <c r="E70" s="34">
        <v>40969</v>
      </c>
      <c r="F70" s="1">
        <v>7</v>
      </c>
      <c r="G70" s="34">
        <v>40969</v>
      </c>
      <c r="H70" s="1">
        <v>0.97</v>
      </c>
      <c r="I70" s="34">
        <v>40969</v>
      </c>
      <c r="J70" s="1">
        <v>129.82</v>
      </c>
      <c r="K70" s="34">
        <v>40969</v>
      </c>
      <c r="L70" s="1">
        <v>1880.5</v>
      </c>
      <c r="M70" s="34">
        <v>40969</v>
      </c>
      <c r="N70" s="1">
        <v>383.6</v>
      </c>
    </row>
    <row r="71" spans="1:14" x14ac:dyDescent="0.25">
      <c r="A71" s="34">
        <v>41000</v>
      </c>
      <c r="B71" s="1">
        <v>1885.3</v>
      </c>
      <c r="C71" s="34">
        <v>41000</v>
      </c>
      <c r="D71" s="1">
        <v>776</v>
      </c>
      <c r="E71" s="34">
        <v>41000</v>
      </c>
      <c r="F71" s="1">
        <v>7.1</v>
      </c>
      <c r="G71" s="34">
        <v>41000</v>
      </c>
      <c r="H71" s="1">
        <v>0.35</v>
      </c>
      <c r="I71" s="34">
        <v>41000</v>
      </c>
      <c r="J71" s="1">
        <v>129.94</v>
      </c>
      <c r="K71" s="34">
        <v>41000</v>
      </c>
      <c r="L71" s="1">
        <v>1889.2</v>
      </c>
      <c r="M71" s="34">
        <v>41000</v>
      </c>
      <c r="N71" s="1">
        <v>382.8</v>
      </c>
    </row>
    <row r="72" spans="1:14" x14ac:dyDescent="0.25">
      <c r="A72" s="34">
        <v>41030</v>
      </c>
      <c r="B72" s="1">
        <v>1883.1</v>
      </c>
      <c r="C72" s="34">
        <v>41030</v>
      </c>
      <c r="D72" s="1">
        <v>1158</v>
      </c>
      <c r="E72" s="34">
        <v>41030</v>
      </c>
      <c r="F72" s="1">
        <v>7.3</v>
      </c>
      <c r="G72" s="34">
        <v>41030</v>
      </c>
      <c r="H72" s="1">
        <v>-0.42</v>
      </c>
      <c r="I72" s="34">
        <v>41030</v>
      </c>
      <c r="J72" s="1">
        <v>129.84</v>
      </c>
      <c r="K72" s="34">
        <v>41030</v>
      </c>
      <c r="L72" s="1">
        <v>1893</v>
      </c>
      <c r="M72" s="34">
        <v>41030</v>
      </c>
      <c r="N72" s="1">
        <v>382.1</v>
      </c>
    </row>
    <row r="73" spans="1:14" x14ac:dyDescent="0.25">
      <c r="A73" s="34">
        <v>41061</v>
      </c>
      <c r="B73" s="1">
        <v>1884.5</v>
      </c>
      <c r="C73" s="34">
        <v>41061</v>
      </c>
      <c r="D73" s="1">
        <v>1064</v>
      </c>
      <c r="E73" s="34">
        <v>41061</v>
      </c>
      <c r="F73" s="1">
        <v>7.4</v>
      </c>
      <c r="G73" s="34">
        <v>41061</v>
      </c>
      <c r="H73" s="1">
        <v>7.0000000000000007E-2</v>
      </c>
      <c r="I73" s="34">
        <v>41061</v>
      </c>
      <c r="J73" s="1">
        <v>129.72</v>
      </c>
      <c r="K73" s="34">
        <v>41061</v>
      </c>
      <c r="L73" s="1">
        <v>1897.2</v>
      </c>
      <c r="M73" s="34">
        <v>41061</v>
      </c>
      <c r="N73" s="1">
        <v>379.4</v>
      </c>
    </row>
    <row r="74" spans="1:14" x14ac:dyDescent="0.25">
      <c r="A74" s="34">
        <v>41091</v>
      </c>
      <c r="B74" s="1">
        <v>1883.1</v>
      </c>
      <c r="C74" s="34">
        <v>41091</v>
      </c>
      <c r="D74" s="1">
        <v>1212</v>
      </c>
      <c r="E74" s="34">
        <v>41091</v>
      </c>
      <c r="F74" s="1">
        <v>7.4</v>
      </c>
      <c r="G74" s="34">
        <v>41091</v>
      </c>
      <c r="H74" s="1">
        <v>0.75</v>
      </c>
      <c r="I74" s="34">
        <v>41091</v>
      </c>
      <c r="J74" s="1">
        <v>129.71</v>
      </c>
      <c r="K74" s="34">
        <v>41091</v>
      </c>
      <c r="L74" s="1">
        <v>1874</v>
      </c>
      <c r="M74" s="34">
        <v>41091</v>
      </c>
      <c r="N74" s="1">
        <v>365.8</v>
      </c>
    </row>
    <row r="75" spans="1:14" x14ac:dyDescent="0.25">
      <c r="A75" s="34">
        <v>41122</v>
      </c>
      <c r="B75" s="1">
        <v>1886</v>
      </c>
      <c r="C75" s="34">
        <v>41122</v>
      </c>
      <c r="D75" s="1">
        <v>1173</v>
      </c>
      <c r="E75" s="34">
        <v>41122</v>
      </c>
      <c r="F75" s="1">
        <v>7.3</v>
      </c>
      <c r="G75" s="34">
        <v>41122</v>
      </c>
      <c r="H75" s="1">
        <v>1.53</v>
      </c>
      <c r="I75" s="34">
        <v>41122</v>
      </c>
      <c r="J75" s="1">
        <v>129.85</v>
      </c>
      <c r="K75" s="34">
        <v>41122</v>
      </c>
      <c r="L75" s="1">
        <v>1884.3</v>
      </c>
      <c r="M75" s="34">
        <v>41122</v>
      </c>
      <c r="N75" s="1">
        <v>366.5</v>
      </c>
    </row>
    <row r="76" spans="1:14" x14ac:dyDescent="0.25">
      <c r="A76" s="34">
        <v>41153</v>
      </c>
      <c r="B76" s="1">
        <v>1886.6</v>
      </c>
      <c r="C76" s="34">
        <v>41153</v>
      </c>
      <c r="D76" s="1">
        <v>767</v>
      </c>
      <c r="E76" s="34">
        <v>41153</v>
      </c>
      <c r="F76" s="1">
        <v>7.1</v>
      </c>
      <c r="G76" s="34">
        <v>41153</v>
      </c>
      <c r="H76" s="1">
        <v>2.3199999999999998</v>
      </c>
      <c r="I76" s="34">
        <v>41153</v>
      </c>
      <c r="J76" s="1">
        <v>130.19999999999999</v>
      </c>
      <c r="K76" s="34">
        <v>41153</v>
      </c>
      <c r="L76" s="1">
        <v>1890.7</v>
      </c>
      <c r="M76" s="34">
        <v>41153</v>
      </c>
      <c r="N76" s="1">
        <v>374.7</v>
      </c>
    </row>
    <row r="77" spans="1:14" x14ac:dyDescent="0.25">
      <c r="A77" s="34">
        <v>41183</v>
      </c>
      <c r="B77" s="1">
        <v>1889.7</v>
      </c>
      <c r="C77" s="34">
        <v>41183</v>
      </c>
      <c r="D77" s="1">
        <v>813</v>
      </c>
      <c r="E77" s="34">
        <v>41183</v>
      </c>
      <c r="F77" s="1">
        <v>7</v>
      </c>
      <c r="G77" s="34">
        <v>41183</v>
      </c>
      <c r="H77" s="1">
        <v>1.82</v>
      </c>
      <c r="I77" s="34">
        <v>41183</v>
      </c>
      <c r="J77" s="1">
        <v>130.55000000000001</v>
      </c>
      <c r="K77" s="34">
        <v>41183</v>
      </c>
      <c r="L77" s="1">
        <v>1892.6</v>
      </c>
      <c r="M77" s="34">
        <v>41183</v>
      </c>
      <c r="N77" s="1">
        <v>379.8</v>
      </c>
    </row>
    <row r="78" spans="1:14" x14ac:dyDescent="0.25">
      <c r="A78" s="34">
        <v>41214</v>
      </c>
      <c r="B78" s="1">
        <v>1892.8</v>
      </c>
      <c r="C78" s="34">
        <v>41214</v>
      </c>
      <c r="D78" s="1">
        <v>928</v>
      </c>
      <c r="E78" s="34">
        <v>41214</v>
      </c>
      <c r="F78" s="1">
        <v>6.8</v>
      </c>
      <c r="G78" s="34">
        <v>41214</v>
      </c>
      <c r="H78" s="1">
        <v>2.17</v>
      </c>
      <c r="I78" s="34">
        <v>41214</v>
      </c>
      <c r="J78" s="1">
        <v>131.02000000000001</v>
      </c>
      <c r="K78" s="34">
        <v>41214</v>
      </c>
      <c r="L78" s="1">
        <v>1904.8</v>
      </c>
      <c r="M78" s="34">
        <v>41214</v>
      </c>
      <c r="N78" s="1">
        <v>381.1</v>
      </c>
    </row>
    <row r="79" spans="1:14" x14ac:dyDescent="0.25">
      <c r="A79" s="34">
        <v>41244</v>
      </c>
      <c r="B79" s="1">
        <v>1893.1</v>
      </c>
      <c r="C79" s="34">
        <v>41244</v>
      </c>
      <c r="D79" s="1">
        <v>641</v>
      </c>
      <c r="E79" s="34">
        <v>41244</v>
      </c>
      <c r="F79" s="1">
        <v>6.8</v>
      </c>
      <c r="G79" s="34">
        <v>41244</v>
      </c>
      <c r="H79" s="1">
        <v>1.17</v>
      </c>
      <c r="I79" s="34">
        <v>41244</v>
      </c>
      <c r="J79" s="1">
        <v>131.31</v>
      </c>
      <c r="K79" s="34">
        <v>41244</v>
      </c>
      <c r="L79" s="1">
        <v>1903.2</v>
      </c>
      <c r="M79" s="34">
        <v>41244</v>
      </c>
      <c r="N79" s="1">
        <v>380.4</v>
      </c>
    </row>
    <row r="80" spans="1:14" x14ac:dyDescent="0.25">
      <c r="A80" s="34">
        <v>41275</v>
      </c>
      <c r="B80" s="1">
        <v>1891.3</v>
      </c>
      <c r="C80" s="34">
        <v>41275</v>
      </c>
      <c r="D80" s="1">
        <v>912</v>
      </c>
      <c r="E80" s="34">
        <v>41275</v>
      </c>
      <c r="F80" s="1">
        <v>6.7</v>
      </c>
      <c r="G80" s="34">
        <v>41275</v>
      </c>
      <c r="H80" s="1">
        <v>1.4</v>
      </c>
      <c r="I80" s="34">
        <v>41275</v>
      </c>
      <c r="J80" s="1">
        <v>131.62</v>
      </c>
      <c r="K80" s="34">
        <v>41275</v>
      </c>
      <c r="L80" s="1">
        <v>1865.9</v>
      </c>
      <c r="M80" s="34">
        <v>41275</v>
      </c>
      <c r="N80" s="1">
        <v>376.6</v>
      </c>
    </row>
    <row r="81" spans="1:14" x14ac:dyDescent="0.25">
      <c r="A81" s="34">
        <v>41306</v>
      </c>
      <c r="B81" s="1">
        <v>1897</v>
      </c>
      <c r="C81" s="34">
        <v>41306</v>
      </c>
      <c r="D81" s="1">
        <v>714</v>
      </c>
      <c r="E81" s="34">
        <v>41306</v>
      </c>
      <c r="F81" s="1">
        <v>6.6</v>
      </c>
      <c r="G81" s="34">
        <v>41306</v>
      </c>
      <c r="H81" s="1">
        <v>1.3</v>
      </c>
      <c r="I81" s="34">
        <v>41306</v>
      </c>
      <c r="J81" s="1">
        <v>131.93</v>
      </c>
      <c r="K81" s="34">
        <v>41306</v>
      </c>
      <c r="L81" s="1">
        <v>1881.4</v>
      </c>
      <c r="M81" s="34">
        <v>41306</v>
      </c>
      <c r="N81" s="1">
        <v>380.4</v>
      </c>
    </row>
    <row r="82" spans="1:14" x14ac:dyDescent="0.25">
      <c r="A82" s="34">
        <v>41334</v>
      </c>
      <c r="B82" s="1">
        <v>1898.4</v>
      </c>
      <c r="C82" s="34">
        <v>41334</v>
      </c>
      <c r="D82" s="1">
        <v>885</v>
      </c>
      <c r="E82" s="34">
        <v>41334</v>
      </c>
      <c r="F82" s="1">
        <v>6.6</v>
      </c>
      <c r="G82" s="34">
        <v>41334</v>
      </c>
      <c r="H82" s="1">
        <v>0.62</v>
      </c>
      <c r="I82" s="34">
        <v>41334</v>
      </c>
      <c r="J82" s="1">
        <v>132.12</v>
      </c>
      <c r="K82" s="34">
        <v>41334</v>
      </c>
      <c r="L82" s="1">
        <v>1896.5</v>
      </c>
      <c r="M82" s="34">
        <v>41334</v>
      </c>
      <c r="N82" s="1">
        <v>382.6</v>
      </c>
    </row>
    <row r="83" spans="1:14" x14ac:dyDescent="0.25">
      <c r="A83" s="34">
        <v>41365</v>
      </c>
      <c r="B83" s="1">
        <v>1900.5</v>
      </c>
      <c r="C83" s="34">
        <v>41365</v>
      </c>
      <c r="D83" s="1">
        <v>1093</v>
      </c>
      <c r="E83" s="34">
        <v>41365</v>
      </c>
      <c r="F83" s="1">
        <v>6.5</v>
      </c>
      <c r="G83" s="34">
        <v>41365</v>
      </c>
      <c r="H83" s="1">
        <v>1.17</v>
      </c>
      <c r="I83" s="34">
        <v>41365</v>
      </c>
      <c r="J83" s="1">
        <v>132.37</v>
      </c>
      <c r="K83" s="34">
        <v>41365</v>
      </c>
      <c r="L83" s="1">
        <v>1905.4</v>
      </c>
      <c r="M83" s="34">
        <v>41365</v>
      </c>
      <c r="N83" s="1">
        <v>382.6</v>
      </c>
    </row>
    <row r="84" spans="1:14" x14ac:dyDescent="0.25">
      <c r="A84" s="34">
        <v>41395</v>
      </c>
      <c r="B84" s="1">
        <v>1901.3</v>
      </c>
      <c r="C84" s="34">
        <v>41395</v>
      </c>
      <c r="D84" s="1">
        <v>1195</v>
      </c>
      <c r="E84" s="34">
        <v>41395</v>
      </c>
      <c r="F84" s="1">
        <v>6.4</v>
      </c>
      <c r="G84" s="34">
        <v>41395</v>
      </c>
      <c r="H84" s="1">
        <v>1.61</v>
      </c>
      <c r="I84" s="34">
        <v>41395</v>
      </c>
      <c r="J84" s="1">
        <v>132.63999999999999</v>
      </c>
      <c r="K84" s="34">
        <v>41395</v>
      </c>
      <c r="L84" s="1">
        <v>1912.8</v>
      </c>
      <c r="M84" s="34">
        <v>41395</v>
      </c>
      <c r="N84" s="1">
        <v>381.9</v>
      </c>
    </row>
    <row r="85" spans="1:14" x14ac:dyDescent="0.25">
      <c r="A85" s="34">
        <v>41426</v>
      </c>
      <c r="B85" s="1">
        <v>1903.6</v>
      </c>
      <c r="C85" s="34">
        <v>41426</v>
      </c>
      <c r="D85" s="1">
        <v>903</v>
      </c>
      <c r="E85" s="34">
        <v>41426</v>
      </c>
      <c r="F85" s="1">
        <v>6.5</v>
      </c>
      <c r="G85" s="34">
        <v>41426</v>
      </c>
      <c r="H85" s="1">
        <v>0.1</v>
      </c>
      <c r="I85" s="34">
        <v>41426</v>
      </c>
      <c r="J85" s="1">
        <v>132.69</v>
      </c>
      <c r="K85" s="34">
        <v>41426</v>
      </c>
      <c r="L85" s="1">
        <v>1915.2</v>
      </c>
      <c r="M85" s="34">
        <v>41426</v>
      </c>
      <c r="N85" s="1">
        <v>378.5</v>
      </c>
    </row>
    <row r="86" spans="1:14" x14ac:dyDescent="0.25">
      <c r="A86" s="34">
        <v>41456</v>
      </c>
      <c r="B86" s="1">
        <v>1905.5</v>
      </c>
      <c r="C86" s="34">
        <v>41456</v>
      </c>
      <c r="D86" s="1">
        <v>949</v>
      </c>
      <c r="E86" s="34">
        <v>41456</v>
      </c>
      <c r="F86" s="1">
        <v>6.5</v>
      </c>
      <c r="G86" s="34">
        <v>41456</v>
      </c>
      <c r="H86" s="1">
        <v>0.28000000000000003</v>
      </c>
      <c r="I86" s="34">
        <v>41456</v>
      </c>
      <c r="J86" s="1">
        <v>132.74</v>
      </c>
      <c r="K86" s="34">
        <v>41456</v>
      </c>
      <c r="L86" s="1">
        <v>1896.6</v>
      </c>
      <c r="M86" s="34">
        <v>41456</v>
      </c>
      <c r="N86" s="1">
        <v>369.6</v>
      </c>
    </row>
    <row r="87" spans="1:14" x14ac:dyDescent="0.25">
      <c r="A87" s="34">
        <v>41487</v>
      </c>
      <c r="B87" s="1">
        <v>1906.4</v>
      </c>
      <c r="C87" s="34">
        <v>41487</v>
      </c>
      <c r="D87" s="1">
        <v>838</v>
      </c>
      <c r="E87" s="34">
        <v>41487</v>
      </c>
      <c r="F87" s="1">
        <v>6.5</v>
      </c>
      <c r="G87" s="34">
        <v>41487</v>
      </c>
      <c r="H87" s="1">
        <v>0.76</v>
      </c>
      <c r="I87" s="34">
        <v>41487</v>
      </c>
      <c r="J87" s="1">
        <v>132.79</v>
      </c>
      <c r="K87" s="34">
        <v>41487</v>
      </c>
      <c r="L87" s="1">
        <v>1904.3</v>
      </c>
      <c r="M87" s="34">
        <v>41487</v>
      </c>
      <c r="N87" s="1">
        <v>369.8</v>
      </c>
    </row>
    <row r="88" spans="1:14" x14ac:dyDescent="0.25">
      <c r="A88" s="34">
        <v>41518</v>
      </c>
      <c r="B88" s="1">
        <v>1902.4</v>
      </c>
      <c r="C88" s="34">
        <v>41518</v>
      </c>
      <c r="D88" s="1">
        <v>944</v>
      </c>
      <c r="E88" s="34">
        <v>41518</v>
      </c>
      <c r="F88" s="1">
        <v>6.4</v>
      </c>
      <c r="G88" s="34">
        <v>41518</v>
      </c>
      <c r="H88" s="1">
        <v>1.35</v>
      </c>
      <c r="I88" s="34">
        <v>41518</v>
      </c>
      <c r="J88" s="1">
        <v>132.97</v>
      </c>
      <c r="K88" s="34">
        <v>41518</v>
      </c>
      <c r="L88" s="1">
        <v>1906.2</v>
      </c>
      <c r="M88" s="34">
        <v>41518</v>
      </c>
      <c r="N88" s="1">
        <v>375.2</v>
      </c>
    </row>
    <row r="89" spans="1:14" x14ac:dyDescent="0.25">
      <c r="A89" s="34">
        <v>41548</v>
      </c>
      <c r="B89" s="1">
        <v>1908.9</v>
      </c>
      <c r="C89" s="34">
        <v>41548</v>
      </c>
      <c r="D89" s="1">
        <v>958</v>
      </c>
      <c r="E89" s="34">
        <v>41548</v>
      </c>
      <c r="F89" s="1">
        <v>6.3</v>
      </c>
      <c r="G89" s="34">
        <v>41548</v>
      </c>
      <c r="H89" s="1">
        <v>1.67</v>
      </c>
      <c r="I89" s="34">
        <v>41548</v>
      </c>
      <c r="J89" s="1">
        <v>133.24</v>
      </c>
      <c r="K89" s="34">
        <v>41548</v>
      </c>
      <c r="L89" s="1">
        <v>1915.5</v>
      </c>
      <c r="M89" s="34">
        <v>41548</v>
      </c>
      <c r="N89" s="1">
        <v>379</v>
      </c>
    </row>
    <row r="90" spans="1:14" x14ac:dyDescent="0.25">
      <c r="A90" s="34">
        <v>41579</v>
      </c>
      <c r="B90" s="1">
        <v>1913.1</v>
      </c>
      <c r="C90" s="34">
        <v>41579</v>
      </c>
      <c r="D90" s="1">
        <v>694</v>
      </c>
      <c r="E90" s="34">
        <v>41579</v>
      </c>
      <c r="F90" s="1">
        <v>6.2</v>
      </c>
      <c r="G90" s="34">
        <v>41579</v>
      </c>
      <c r="H90" s="1">
        <v>1.33</v>
      </c>
      <c r="I90" s="34">
        <v>41579</v>
      </c>
      <c r="J90" s="1">
        <v>133.58000000000001</v>
      </c>
      <c r="K90" s="34">
        <v>41579</v>
      </c>
      <c r="L90" s="1">
        <v>1920.7</v>
      </c>
      <c r="M90" s="34">
        <v>41579</v>
      </c>
      <c r="N90" s="1">
        <v>379.7</v>
      </c>
    </row>
    <row r="91" spans="1:14" x14ac:dyDescent="0.25">
      <c r="A91" s="34">
        <v>41609</v>
      </c>
      <c r="B91" s="1">
        <v>1916.6</v>
      </c>
      <c r="C91" s="34">
        <v>41609</v>
      </c>
      <c r="D91" s="1">
        <v>874</v>
      </c>
      <c r="E91" s="34">
        <v>41609</v>
      </c>
      <c r="F91" s="1">
        <v>6.1</v>
      </c>
      <c r="G91" s="34">
        <v>41609</v>
      </c>
      <c r="H91" s="1">
        <v>1.64</v>
      </c>
      <c r="I91" s="34">
        <v>41609</v>
      </c>
      <c r="J91" s="1">
        <v>133.97999999999999</v>
      </c>
      <c r="K91" s="34">
        <v>41609</v>
      </c>
      <c r="L91" s="1">
        <v>1919.9</v>
      </c>
      <c r="M91" s="34">
        <v>41609</v>
      </c>
      <c r="N91" s="1">
        <v>377.9</v>
      </c>
    </row>
    <row r="92" spans="1:14" x14ac:dyDescent="0.25">
      <c r="A92" s="34">
        <v>41640</v>
      </c>
      <c r="B92" s="1">
        <v>1911.1</v>
      </c>
      <c r="C92" s="34">
        <v>41640</v>
      </c>
      <c r="D92" s="1">
        <v>835</v>
      </c>
      <c r="E92" s="34">
        <v>41640</v>
      </c>
      <c r="F92" s="1">
        <v>6.1</v>
      </c>
      <c r="G92" s="34">
        <v>41640</v>
      </c>
      <c r="H92" s="1">
        <v>1.36</v>
      </c>
      <c r="I92" s="34">
        <v>41640</v>
      </c>
      <c r="J92" s="1">
        <v>134.31</v>
      </c>
      <c r="K92" s="34">
        <v>41640</v>
      </c>
      <c r="L92" s="1">
        <v>1889</v>
      </c>
      <c r="M92" s="34">
        <v>41640</v>
      </c>
      <c r="N92" s="1">
        <v>375.2</v>
      </c>
    </row>
    <row r="93" spans="1:14" x14ac:dyDescent="0.25">
      <c r="A93" s="34">
        <v>41671</v>
      </c>
      <c r="B93" s="1">
        <v>1912.5</v>
      </c>
      <c r="C93" s="34">
        <v>41671</v>
      </c>
      <c r="D93" s="1">
        <v>1271</v>
      </c>
      <c r="E93" s="34">
        <v>41671</v>
      </c>
      <c r="F93" s="1">
        <v>6.4</v>
      </c>
      <c r="G93" s="34">
        <v>41671</v>
      </c>
      <c r="H93" s="1">
        <v>-0.3</v>
      </c>
      <c r="I93" s="34">
        <v>41671</v>
      </c>
      <c r="J93" s="1">
        <v>134.28</v>
      </c>
      <c r="K93" s="34">
        <v>41671</v>
      </c>
      <c r="L93" s="1">
        <v>1898.8</v>
      </c>
      <c r="M93" s="34">
        <v>41671</v>
      </c>
      <c r="N93" s="1">
        <v>377.8</v>
      </c>
    </row>
    <row r="94" spans="1:14" x14ac:dyDescent="0.25">
      <c r="A94" s="34">
        <v>41699</v>
      </c>
      <c r="B94" s="1">
        <v>1912.2</v>
      </c>
      <c r="C94" s="34">
        <v>41699</v>
      </c>
      <c r="D94" s="1">
        <v>1312</v>
      </c>
      <c r="E94" s="34">
        <v>41699</v>
      </c>
      <c r="F94" s="1">
        <v>6.7</v>
      </c>
      <c r="G94" s="34">
        <v>41699</v>
      </c>
      <c r="H94" s="1">
        <v>-0.75</v>
      </c>
      <c r="I94" s="34">
        <v>41699</v>
      </c>
      <c r="J94" s="1">
        <v>134.07</v>
      </c>
      <c r="K94" s="34">
        <v>41699</v>
      </c>
      <c r="L94" s="1">
        <v>1910.6</v>
      </c>
      <c r="M94" s="34">
        <v>41699</v>
      </c>
      <c r="N94" s="1">
        <v>379</v>
      </c>
    </row>
    <row r="95" spans="1:14" x14ac:dyDescent="0.25">
      <c r="A95" s="34">
        <v>41730</v>
      </c>
      <c r="B95" s="1">
        <v>1913.7</v>
      </c>
      <c r="C95" s="34">
        <v>41730</v>
      </c>
      <c r="D95" s="1">
        <v>943</v>
      </c>
      <c r="E95" s="34">
        <v>41730</v>
      </c>
      <c r="F95" s="1">
        <v>6.9</v>
      </c>
      <c r="G95" s="34">
        <v>41730</v>
      </c>
      <c r="H95" s="1">
        <v>-7.0000000000000007E-2</v>
      </c>
      <c r="I95" s="34">
        <v>41730</v>
      </c>
      <c r="J95" s="1">
        <v>133.9</v>
      </c>
      <c r="K95" s="34">
        <v>41730</v>
      </c>
      <c r="L95" s="1">
        <v>1920.3</v>
      </c>
      <c r="M95" s="34">
        <v>41730</v>
      </c>
      <c r="N95" s="1">
        <v>379.7</v>
      </c>
    </row>
    <row r="96" spans="1:14" x14ac:dyDescent="0.25">
      <c r="A96" s="34">
        <v>41760</v>
      </c>
      <c r="B96" s="1">
        <v>1913.3</v>
      </c>
      <c r="C96" s="34">
        <v>41760</v>
      </c>
      <c r="D96" s="1">
        <v>906</v>
      </c>
      <c r="E96" s="34">
        <v>41760</v>
      </c>
      <c r="F96" s="1">
        <v>6.8</v>
      </c>
      <c r="G96" s="34">
        <v>41760</v>
      </c>
      <c r="H96" s="1">
        <v>1.99</v>
      </c>
      <c r="I96" s="34">
        <v>41760</v>
      </c>
      <c r="J96" s="1">
        <v>134.11000000000001</v>
      </c>
      <c r="K96" s="34">
        <v>41760</v>
      </c>
      <c r="L96" s="1">
        <v>1923.9</v>
      </c>
      <c r="M96" s="34">
        <v>41760</v>
      </c>
      <c r="N96" s="1">
        <v>379.3</v>
      </c>
    </row>
    <row r="97" spans="1:14" x14ac:dyDescent="0.25">
      <c r="A97" s="34">
        <v>41791</v>
      </c>
      <c r="B97" s="1">
        <v>1912.9</v>
      </c>
      <c r="C97" s="34">
        <v>41791</v>
      </c>
      <c r="D97" s="1">
        <v>1288</v>
      </c>
      <c r="E97" s="34">
        <v>41791</v>
      </c>
      <c r="F97" s="1">
        <v>6.8</v>
      </c>
      <c r="G97" s="34">
        <v>41791</v>
      </c>
      <c r="H97" s="1">
        <v>1.89</v>
      </c>
      <c r="I97" s="34">
        <v>41791</v>
      </c>
      <c r="J97" s="1">
        <v>134.41999999999999</v>
      </c>
      <c r="K97" s="34">
        <v>41791</v>
      </c>
      <c r="L97" s="1">
        <v>1923.4</v>
      </c>
      <c r="M97" s="34">
        <v>41791</v>
      </c>
      <c r="N97" s="1">
        <v>377</v>
      </c>
    </row>
    <row r="98" spans="1:14" x14ac:dyDescent="0.25">
      <c r="A98" s="34">
        <v>41821</v>
      </c>
      <c r="B98" s="1">
        <v>1918.1</v>
      </c>
      <c r="C98" s="34">
        <v>41821</v>
      </c>
      <c r="D98" s="1">
        <v>1103</v>
      </c>
      <c r="E98" s="34">
        <v>41821</v>
      </c>
      <c r="F98" s="1">
        <v>7</v>
      </c>
      <c r="G98" s="34">
        <v>41821</v>
      </c>
      <c r="H98" s="1">
        <v>0.64</v>
      </c>
      <c r="I98" s="34">
        <v>41821</v>
      </c>
      <c r="J98" s="1">
        <v>134.57</v>
      </c>
      <c r="K98" s="34">
        <v>41821</v>
      </c>
      <c r="L98" s="1">
        <v>1914.4</v>
      </c>
      <c r="M98" s="34">
        <v>41821</v>
      </c>
      <c r="N98" s="1">
        <v>365.3</v>
      </c>
    </row>
    <row r="99" spans="1:14" x14ac:dyDescent="0.25">
      <c r="A99" s="34">
        <v>41852</v>
      </c>
      <c r="B99" s="1">
        <v>1927.8</v>
      </c>
      <c r="C99" s="34">
        <v>41852</v>
      </c>
      <c r="D99" s="1">
        <v>1121</v>
      </c>
      <c r="E99" s="34">
        <v>41852</v>
      </c>
      <c r="F99" s="1">
        <v>6.9</v>
      </c>
      <c r="G99" s="34">
        <v>41852</v>
      </c>
      <c r="H99" s="1">
        <v>1.99</v>
      </c>
      <c r="I99" s="34">
        <v>41852</v>
      </c>
      <c r="J99" s="1">
        <v>134.96</v>
      </c>
      <c r="K99" s="34">
        <v>41852</v>
      </c>
      <c r="L99" s="1">
        <v>1925.1</v>
      </c>
      <c r="M99" s="34">
        <v>41852</v>
      </c>
      <c r="N99" s="1">
        <v>368.7</v>
      </c>
    </row>
    <row r="100" spans="1:14" x14ac:dyDescent="0.25">
      <c r="A100" s="34">
        <v>41883</v>
      </c>
      <c r="B100" s="1">
        <v>1940.2</v>
      </c>
      <c r="C100" s="34">
        <v>41883</v>
      </c>
      <c r="D100" s="1">
        <v>961</v>
      </c>
      <c r="E100" s="34">
        <v>41883</v>
      </c>
      <c r="F100" s="1">
        <v>6.6</v>
      </c>
      <c r="G100" s="34">
        <v>41883</v>
      </c>
      <c r="H100" s="1">
        <v>3.71</v>
      </c>
      <c r="I100" s="34">
        <v>41883</v>
      </c>
      <c r="J100" s="1">
        <v>135.69999999999999</v>
      </c>
      <c r="K100" s="34">
        <v>41883</v>
      </c>
      <c r="L100" s="1">
        <v>1938.8</v>
      </c>
      <c r="M100" s="34">
        <v>41883</v>
      </c>
      <c r="N100" s="1">
        <v>377.4</v>
      </c>
    </row>
    <row r="101" spans="1:14" x14ac:dyDescent="0.25">
      <c r="A101" s="34">
        <v>41913</v>
      </c>
      <c r="B101" s="1">
        <v>1940.5</v>
      </c>
      <c r="C101" s="34">
        <v>41913</v>
      </c>
      <c r="D101" s="1">
        <v>1282</v>
      </c>
      <c r="E101" s="34">
        <v>41913</v>
      </c>
      <c r="F101" s="1">
        <v>6.3</v>
      </c>
      <c r="G101" s="34">
        <v>41913</v>
      </c>
      <c r="H101" s="1">
        <v>3.86</v>
      </c>
      <c r="I101" s="34">
        <v>41913</v>
      </c>
      <c r="J101" s="1">
        <v>136.61000000000001</v>
      </c>
      <c r="K101" s="34">
        <v>41913</v>
      </c>
      <c r="L101" s="1">
        <v>1946.7</v>
      </c>
      <c r="M101" s="34">
        <v>41913</v>
      </c>
      <c r="N101" s="1">
        <v>379.9</v>
      </c>
    </row>
    <row r="102" spans="1:14" x14ac:dyDescent="0.25">
      <c r="A102" s="34">
        <v>41944</v>
      </c>
      <c r="B102" s="1">
        <v>1947.2</v>
      </c>
      <c r="C102" s="34">
        <v>41944</v>
      </c>
      <c r="D102" s="1">
        <v>683</v>
      </c>
      <c r="E102" s="34">
        <v>41944</v>
      </c>
      <c r="F102" s="1">
        <v>6</v>
      </c>
      <c r="G102" s="34">
        <v>41944</v>
      </c>
      <c r="H102" s="1">
        <v>3.88</v>
      </c>
      <c r="I102" s="34">
        <v>41944</v>
      </c>
      <c r="J102" s="1">
        <v>137.59</v>
      </c>
      <c r="K102" s="34">
        <v>41944</v>
      </c>
      <c r="L102" s="1">
        <v>1955.6</v>
      </c>
      <c r="M102" s="34">
        <v>41944</v>
      </c>
      <c r="N102" s="1">
        <v>380.9</v>
      </c>
    </row>
    <row r="103" spans="1:14" x14ac:dyDescent="0.25">
      <c r="A103" s="34">
        <v>41974</v>
      </c>
      <c r="B103" s="1">
        <v>1948.2</v>
      </c>
      <c r="E103" s="34">
        <v>41974</v>
      </c>
      <c r="F103" s="1">
        <v>5.7</v>
      </c>
      <c r="K103" s="34">
        <v>41974</v>
      </c>
      <c r="L103" s="1">
        <v>1951.7</v>
      </c>
      <c r="M103" s="34">
        <v>41974</v>
      </c>
      <c r="N103" s="1">
        <v>380.5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103"/>
  <sheetViews>
    <sheetView topLeftCell="A77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37</v>
      </c>
      <c r="C1" s="34" t="s">
        <v>38</v>
      </c>
      <c r="E1" s="34" t="s">
        <v>39</v>
      </c>
      <c r="G1" s="34" t="s">
        <v>40</v>
      </c>
      <c r="I1" s="34" t="s">
        <v>41</v>
      </c>
      <c r="K1" s="34" t="str">
        <f>CONCATENATE(LEFT(A1,2), "NAN")</f>
        <v>ARNAN</v>
      </c>
      <c r="M1" s="34" t="str">
        <f>CONCATENATE(LEFT(A1,2), "GOVTN")</f>
        <v>ARGOVTN</v>
      </c>
      <c r="O1" s="34" t="str">
        <f>CONCATENATE(LEFT($A$1,2), "RGSP")</f>
        <v>ARRGSP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848</v>
      </c>
      <c r="C5" s="35" t="s">
        <v>42</v>
      </c>
      <c r="E5" s="35" t="s">
        <v>43</v>
      </c>
      <c r="G5" s="35" t="s">
        <v>44</v>
      </c>
      <c r="I5" s="35" t="s">
        <v>45</v>
      </c>
      <c r="K5" s="35" t="s">
        <v>848</v>
      </c>
      <c r="M5" s="35" t="s">
        <v>849</v>
      </c>
      <c r="O5" s="35" t="s">
        <v>818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1201.2</v>
      </c>
      <c r="C8" s="34">
        <v>39083</v>
      </c>
      <c r="D8" s="1">
        <v>750</v>
      </c>
      <c r="E8" s="34">
        <v>39083</v>
      </c>
      <c r="F8" s="1">
        <v>5.2</v>
      </c>
      <c r="G8" s="34">
        <v>39083</v>
      </c>
      <c r="H8" s="1">
        <v>0.12</v>
      </c>
      <c r="I8" s="34">
        <v>39083</v>
      </c>
      <c r="J8" s="1">
        <v>146.31</v>
      </c>
      <c r="K8" s="34">
        <v>39083</v>
      </c>
      <c r="L8" s="1">
        <v>1184.9000000000001</v>
      </c>
      <c r="M8" s="34">
        <v>39083</v>
      </c>
      <c r="N8" s="1">
        <v>208.1</v>
      </c>
      <c r="O8" s="34">
        <v>39083</v>
      </c>
      <c r="P8" s="1">
        <v>106793</v>
      </c>
    </row>
    <row r="9" spans="1:16" x14ac:dyDescent="0.25">
      <c r="A9" s="34">
        <v>39114</v>
      </c>
      <c r="B9" s="1">
        <v>1202.4000000000001</v>
      </c>
      <c r="C9" s="34">
        <v>39114</v>
      </c>
      <c r="D9" s="1">
        <v>988</v>
      </c>
      <c r="E9" s="34">
        <v>39114</v>
      </c>
      <c r="F9" s="1">
        <v>5.2</v>
      </c>
      <c r="G9" s="34">
        <v>39114</v>
      </c>
      <c r="H9" s="1">
        <v>0.08</v>
      </c>
      <c r="I9" s="34">
        <v>39114</v>
      </c>
      <c r="J9" s="1">
        <v>146.38999999999999</v>
      </c>
      <c r="K9" s="34">
        <v>39114</v>
      </c>
      <c r="L9" s="1">
        <v>1193.3</v>
      </c>
      <c r="M9" s="34">
        <v>39114</v>
      </c>
      <c r="N9" s="1">
        <v>213.6</v>
      </c>
      <c r="O9" s="34">
        <v>39448</v>
      </c>
      <c r="P9" s="1">
        <v>108753</v>
      </c>
    </row>
    <row r="10" spans="1:16" x14ac:dyDescent="0.25">
      <c r="A10" s="34">
        <v>39142</v>
      </c>
      <c r="B10" s="1">
        <v>1207.2</v>
      </c>
      <c r="C10" s="34">
        <v>39142</v>
      </c>
      <c r="D10" s="1">
        <v>1323</v>
      </c>
      <c r="E10" s="34">
        <v>39142</v>
      </c>
      <c r="F10" s="1">
        <v>5.2</v>
      </c>
      <c r="G10" s="34">
        <v>39142</v>
      </c>
      <c r="H10" s="1">
        <v>0.41</v>
      </c>
      <c r="I10" s="34">
        <v>39142</v>
      </c>
      <c r="J10" s="1">
        <v>146.44999999999999</v>
      </c>
      <c r="K10" s="34">
        <v>39142</v>
      </c>
      <c r="L10" s="1">
        <v>1207.8</v>
      </c>
      <c r="M10" s="34">
        <v>39142</v>
      </c>
      <c r="N10" s="1">
        <v>214.6</v>
      </c>
      <c r="O10" s="34">
        <v>39814</v>
      </c>
      <c r="P10" s="1">
        <v>105841</v>
      </c>
    </row>
    <row r="11" spans="1:16" x14ac:dyDescent="0.25">
      <c r="A11" s="34">
        <v>39173</v>
      </c>
      <c r="B11" s="1">
        <v>1205</v>
      </c>
      <c r="C11" s="34">
        <v>39173</v>
      </c>
      <c r="D11" s="1">
        <v>920</v>
      </c>
      <c r="E11" s="34">
        <v>39173</v>
      </c>
      <c r="F11" s="1">
        <v>5.3</v>
      </c>
      <c r="G11" s="34">
        <v>39173</v>
      </c>
      <c r="H11" s="1">
        <v>0.47</v>
      </c>
      <c r="I11" s="34">
        <v>39173</v>
      </c>
      <c r="J11" s="1">
        <v>146.51</v>
      </c>
      <c r="K11" s="34">
        <v>39173</v>
      </c>
      <c r="L11" s="1">
        <v>1207.4000000000001</v>
      </c>
      <c r="M11" s="34">
        <v>39173</v>
      </c>
      <c r="N11" s="1">
        <v>214.5</v>
      </c>
      <c r="O11" s="34">
        <v>40179</v>
      </c>
      <c r="P11" s="1">
        <v>110065</v>
      </c>
    </row>
    <row r="12" spans="1:16" x14ac:dyDescent="0.25">
      <c r="A12" s="34">
        <v>39203</v>
      </c>
      <c r="B12" s="1">
        <v>1204.8</v>
      </c>
      <c r="C12" s="34">
        <v>39203</v>
      </c>
      <c r="D12" s="1">
        <v>926</v>
      </c>
      <c r="E12" s="34">
        <v>39203</v>
      </c>
      <c r="F12" s="1">
        <v>5.4</v>
      </c>
      <c r="G12" s="34">
        <v>39203</v>
      </c>
      <c r="H12" s="1">
        <v>0.71</v>
      </c>
      <c r="I12" s="34">
        <v>39203</v>
      </c>
      <c r="J12" s="1">
        <v>146.58000000000001</v>
      </c>
      <c r="K12" s="34">
        <v>39203</v>
      </c>
      <c r="L12" s="1">
        <v>1211.2</v>
      </c>
      <c r="M12" s="34">
        <v>39203</v>
      </c>
      <c r="N12" s="1">
        <v>213.2</v>
      </c>
      <c r="O12" s="34">
        <v>40544</v>
      </c>
      <c r="P12" s="1">
        <v>111829</v>
      </c>
    </row>
    <row r="13" spans="1:16" x14ac:dyDescent="0.25">
      <c r="A13" s="34">
        <v>39234</v>
      </c>
      <c r="B13" s="1">
        <v>1205</v>
      </c>
      <c r="C13" s="34">
        <v>39234</v>
      </c>
      <c r="D13" s="1">
        <v>813</v>
      </c>
      <c r="E13" s="34">
        <v>39234</v>
      </c>
      <c r="F13" s="1">
        <v>5.4</v>
      </c>
      <c r="G13" s="34">
        <v>39234</v>
      </c>
      <c r="H13" s="1">
        <v>1.18</v>
      </c>
      <c r="I13" s="34">
        <v>39234</v>
      </c>
      <c r="J13" s="1">
        <v>146.68</v>
      </c>
      <c r="K13" s="34">
        <v>39234</v>
      </c>
      <c r="L13" s="1">
        <v>1209.7</v>
      </c>
      <c r="M13" s="34">
        <v>39234</v>
      </c>
      <c r="N13" s="1">
        <v>208.6</v>
      </c>
      <c r="O13" s="34">
        <v>40909</v>
      </c>
      <c r="P13" s="1">
        <v>113056</v>
      </c>
    </row>
    <row r="14" spans="1:16" x14ac:dyDescent="0.25">
      <c r="A14" s="34">
        <v>39264</v>
      </c>
      <c r="B14" s="1">
        <v>1202</v>
      </c>
      <c r="C14" s="34">
        <v>39264</v>
      </c>
      <c r="D14" s="1">
        <v>750</v>
      </c>
      <c r="E14" s="34">
        <v>39264</v>
      </c>
      <c r="F14" s="1">
        <v>5.5</v>
      </c>
      <c r="G14" s="34">
        <v>39264</v>
      </c>
      <c r="H14" s="1">
        <v>1.1499999999999999</v>
      </c>
      <c r="I14" s="34">
        <v>39264</v>
      </c>
      <c r="J14" s="1">
        <v>146.83000000000001</v>
      </c>
      <c r="K14" s="34">
        <v>39264</v>
      </c>
      <c r="L14" s="1">
        <v>1188.0999999999999</v>
      </c>
      <c r="M14" s="34">
        <v>39264</v>
      </c>
      <c r="N14" s="1">
        <v>193.7</v>
      </c>
      <c r="O14" s="34">
        <v>41275</v>
      </c>
      <c r="P14" s="1">
        <v>115745</v>
      </c>
    </row>
    <row r="15" spans="1:16" x14ac:dyDescent="0.25">
      <c r="A15" s="34">
        <v>39295</v>
      </c>
      <c r="B15" s="1">
        <v>1204.5</v>
      </c>
      <c r="C15" s="34">
        <v>39295</v>
      </c>
      <c r="D15" s="1">
        <v>1012</v>
      </c>
      <c r="E15" s="34">
        <v>39295</v>
      </c>
      <c r="F15" s="1">
        <v>5.5</v>
      </c>
      <c r="G15" s="34">
        <v>39295</v>
      </c>
      <c r="H15" s="1">
        <v>1.0900000000000001</v>
      </c>
      <c r="I15" s="34">
        <v>39295</v>
      </c>
      <c r="J15" s="1">
        <v>147.03</v>
      </c>
      <c r="K15" s="34">
        <v>39295</v>
      </c>
      <c r="L15" s="1">
        <v>1200.0999999999999</v>
      </c>
      <c r="M15" s="34">
        <v>39295</v>
      </c>
      <c r="N15" s="1">
        <v>200.1</v>
      </c>
    </row>
    <row r="16" spans="1:16" x14ac:dyDescent="0.25">
      <c r="A16" s="34">
        <v>39326</v>
      </c>
      <c r="B16" s="1">
        <v>1203.3</v>
      </c>
      <c r="C16" s="34">
        <v>39326</v>
      </c>
      <c r="D16" s="1">
        <v>946</v>
      </c>
      <c r="E16" s="34">
        <v>39326</v>
      </c>
      <c r="F16" s="1">
        <v>5.4</v>
      </c>
      <c r="G16" s="34">
        <v>39326</v>
      </c>
      <c r="H16" s="1">
        <v>0.97</v>
      </c>
      <c r="I16" s="34">
        <v>39326</v>
      </c>
      <c r="J16" s="1">
        <v>147.27000000000001</v>
      </c>
      <c r="K16" s="34">
        <v>39326</v>
      </c>
      <c r="L16" s="1">
        <v>1213.2</v>
      </c>
      <c r="M16" s="34">
        <v>39326</v>
      </c>
      <c r="N16" s="1">
        <v>213.9</v>
      </c>
    </row>
    <row r="17" spans="1:14" x14ac:dyDescent="0.25">
      <c r="A17" s="34">
        <v>39356</v>
      </c>
      <c r="B17" s="1">
        <v>1205.4000000000001</v>
      </c>
      <c r="C17" s="34">
        <v>39356</v>
      </c>
      <c r="D17" s="1">
        <v>555</v>
      </c>
      <c r="E17" s="34">
        <v>39356</v>
      </c>
      <c r="F17" s="1">
        <v>5.4</v>
      </c>
      <c r="G17" s="34">
        <v>39356</v>
      </c>
      <c r="H17" s="1">
        <v>0.31</v>
      </c>
      <c r="I17" s="34">
        <v>39356</v>
      </c>
      <c r="J17" s="1">
        <v>147.52000000000001</v>
      </c>
      <c r="K17" s="34">
        <v>39356</v>
      </c>
      <c r="L17" s="1">
        <v>1211.2</v>
      </c>
      <c r="M17" s="34">
        <v>39356</v>
      </c>
      <c r="N17" s="1">
        <v>215.9</v>
      </c>
    </row>
    <row r="18" spans="1:14" x14ac:dyDescent="0.25">
      <c r="A18" s="34">
        <v>39387</v>
      </c>
      <c r="B18" s="1">
        <v>1207.0999999999999</v>
      </c>
      <c r="C18" s="34">
        <v>39387</v>
      </c>
      <c r="D18" s="1">
        <v>726</v>
      </c>
      <c r="E18" s="34">
        <v>39387</v>
      </c>
      <c r="F18" s="1">
        <v>5.2</v>
      </c>
      <c r="G18" s="34">
        <v>39387</v>
      </c>
      <c r="H18" s="1">
        <v>-0.1</v>
      </c>
      <c r="I18" s="34">
        <v>39387</v>
      </c>
      <c r="J18" s="1">
        <v>147.72999999999999</v>
      </c>
      <c r="K18" s="34">
        <v>39387</v>
      </c>
      <c r="L18" s="1">
        <v>1213</v>
      </c>
      <c r="M18" s="34">
        <v>39387</v>
      </c>
      <c r="N18" s="1">
        <v>217</v>
      </c>
    </row>
    <row r="19" spans="1:14" x14ac:dyDescent="0.25">
      <c r="A19" s="34">
        <v>39417</v>
      </c>
      <c r="B19" s="1">
        <v>1207.5999999999999</v>
      </c>
      <c r="C19" s="34">
        <v>39417</v>
      </c>
      <c r="D19" s="1">
        <v>618</v>
      </c>
      <c r="E19" s="34">
        <v>39417</v>
      </c>
      <c r="F19" s="1">
        <v>5.0999999999999996</v>
      </c>
      <c r="G19" s="34">
        <v>39417</v>
      </c>
      <c r="H19" s="1">
        <v>-0.6</v>
      </c>
      <c r="I19" s="34">
        <v>39417</v>
      </c>
      <c r="J19" s="1">
        <v>147.87</v>
      </c>
      <c r="K19" s="34">
        <v>39417</v>
      </c>
      <c r="L19" s="1">
        <v>1214.2</v>
      </c>
      <c r="M19" s="34">
        <v>39417</v>
      </c>
      <c r="N19" s="1">
        <v>216.1</v>
      </c>
    </row>
    <row r="20" spans="1:14" x14ac:dyDescent="0.25">
      <c r="A20" s="34">
        <v>39448</v>
      </c>
      <c r="B20" s="1">
        <v>1207.5</v>
      </c>
      <c r="C20" s="34">
        <v>39448</v>
      </c>
      <c r="D20" s="1">
        <v>655</v>
      </c>
      <c r="E20" s="34">
        <v>39448</v>
      </c>
      <c r="F20" s="1">
        <v>5</v>
      </c>
      <c r="G20" s="34">
        <v>39448</v>
      </c>
      <c r="H20" s="1">
        <v>-1</v>
      </c>
      <c r="I20" s="34">
        <v>39448</v>
      </c>
      <c r="J20" s="1">
        <v>147.91</v>
      </c>
      <c r="K20" s="34">
        <v>39448</v>
      </c>
      <c r="L20" s="1">
        <v>1190.8</v>
      </c>
      <c r="M20" s="34">
        <v>39448</v>
      </c>
      <c r="N20" s="1">
        <v>211</v>
      </c>
    </row>
    <row r="21" spans="1:14" x14ac:dyDescent="0.25">
      <c r="A21" s="34">
        <v>39479</v>
      </c>
      <c r="B21" s="1">
        <v>1209.8</v>
      </c>
      <c r="C21" s="34">
        <v>39479</v>
      </c>
      <c r="D21" s="1">
        <v>1085</v>
      </c>
      <c r="E21" s="34">
        <v>39479</v>
      </c>
      <c r="F21" s="1">
        <v>4.9000000000000004</v>
      </c>
      <c r="G21" s="34">
        <v>39479</v>
      </c>
      <c r="H21" s="1">
        <v>-0.93</v>
      </c>
      <c r="I21" s="34">
        <v>39479</v>
      </c>
      <c r="J21" s="1">
        <v>147.86000000000001</v>
      </c>
      <c r="K21" s="34">
        <v>39479</v>
      </c>
      <c r="L21" s="1">
        <v>1200</v>
      </c>
      <c r="M21" s="34">
        <v>39479</v>
      </c>
      <c r="N21" s="1">
        <v>216.4</v>
      </c>
    </row>
    <row r="22" spans="1:14" x14ac:dyDescent="0.25">
      <c r="A22" s="34">
        <v>39508</v>
      </c>
      <c r="B22" s="1">
        <v>1207.8</v>
      </c>
      <c r="C22" s="34">
        <v>39508</v>
      </c>
      <c r="D22" s="1">
        <v>540</v>
      </c>
      <c r="E22" s="34">
        <v>39508</v>
      </c>
      <c r="F22" s="1">
        <v>4.9000000000000004</v>
      </c>
      <c r="G22" s="34">
        <v>39508</v>
      </c>
      <c r="H22" s="1">
        <v>-0.94</v>
      </c>
      <c r="I22" s="34">
        <v>39508</v>
      </c>
      <c r="J22" s="1">
        <v>147.71</v>
      </c>
      <c r="K22" s="34">
        <v>39508</v>
      </c>
      <c r="L22" s="1">
        <v>1207.9000000000001</v>
      </c>
      <c r="M22" s="34">
        <v>39508</v>
      </c>
      <c r="N22" s="1">
        <v>217.3</v>
      </c>
    </row>
    <row r="23" spans="1:14" x14ac:dyDescent="0.25">
      <c r="A23" s="34">
        <v>39539</v>
      </c>
      <c r="B23" s="1">
        <v>1205.3</v>
      </c>
      <c r="C23" s="34">
        <v>39539</v>
      </c>
      <c r="D23" s="1">
        <v>853</v>
      </c>
      <c r="E23" s="34">
        <v>39539</v>
      </c>
      <c r="F23" s="1">
        <v>5</v>
      </c>
      <c r="G23" s="34">
        <v>39539</v>
      </c>
      <c r="H23" s="1">
        <v>-1.28</v>
      </c>
      <c r="I23" s="34">
        <v>39539</v>
      </c>
      <c r="J23" s="1">
        <v>147.47999999999999</v>
      </c>
      <c r="K23" s="34">
        <v>39539</v>
      </c>
      <c r="L23" s="1">
        <v>1207.9000000000001</v>
      </c>
      <c r="M23" s="34">
        <v>39539</v>
      </c>
      <c r="N23" s="1">
        <v>217.4</v>
      </c>
    </row>
    <row r="24" spans="1:14" x14ac:dyDescent="0.25">
      <c r="A24" s="34">
        <v>39569</v>
      </c>
      <c r="B24" s="1">
        <v>1204.0999999999999</v>
      </c>
      <c r="C24" s="34">
        <v>39569</v>
      </c>
      <c r="D24" s="1">
        <v>918</v>
      </c>
      <c r="E24" s="34">
        <v>39569</v>
      </c>
      <c r="F24" s="1">
        <v>5</v>
      </c>
      <c r="G24" s="34">
        <v>39569</v>
      </c>
      <c r="H24" s="1">
        <v>-1.24</v>
      </c>
      <c r="I24" s="34">
        <v>39569</v>
      </c>
      <c r="J24" s="1">
        <v>147.19</v>
      </c>
      <c r="K24" s="34">
        <v>39569</v>
      </c>
      <c r="L24" s="1">
        <v>1212.5999999999999</v>
      </c>
      <c r="M24" s="34">
        <v>39569</v>
      </c>
      <c r="N24" s="1">
        <v>217.6</v>
      </c>
    </row>
    <row r="25" spans="1:14" x14ac:dyDescent="0.25">
      <c r="A25" s="34">
        <v>39600</v>
      </c>
      <c r="B25" s="1">
        <v>1204.3</v>
      </c>
      <c r="C25" s="34">
        <v>39600</v>
      </c>
      <c r="D25" s="1">
        <v>862</v>
      </c>
      <c r="E25" s="34">
        <v>39600</v>
      </c>
      <c r="F25" s="1">
        <v>5.0999999999999996</v>
      </c>
      <c r="G25" s="34">
        <v>39600</v>
      </c>
      <c r="H25" s="1">
        <v>-1.68</v>
      </c>
      <c r="I25" s="34">
        <v>39600</v>
      </c>
      <c r="J25" s="1">
        <v>146.84</v>
      </c>
      <c r="K25" s="34">
        <v>39600</v>
      </c>
      <c r="L25" s="1">
        <v>1208.4000000000001</v>
      </c>
      <c r="M25" s="34">
        <v>39600</v>
      </c>
      <c r="N25" s="1">
        <v>211.8</v>
      </c>
    </row>
    <row r="26" spans="1:14" x14ac:dyDescent="0.25">
      <c r="A26" s="34">
        <v>39630</v>
      </c>
      <c r="B26" s="1">
        <v>1203.8</v>
      </c>
      <c r="C26" s="34">
        <v>39630</v>
      </c>
      <c r="D26" s="1">
        <v>789</v>
      </c>
      <c r="E26" s="34">
        <v>39630</v>
      </c>
      <c r="F26" s="1">
        <v>5.2</v>
      </c>
      <c r="G26" s="34">
        <v>39630</v>
      </c>
      <c r="H26" s="1">
        <v>-1.88</v>
      </c>
      <c r="I26" s="34">
        <v>39630</v>
      </c>
      <c r="J26" s="1">
        <v>146.41999999999999</v>
      </c>
      <c r="K26" s="34">
        <v>39630</v>
      </c>
      <c r="L26" s="1">
        <v>1189.8</v>
      </c>
      <c r="M26" s="34">
        <v>39630</v>
      </c>
      <c r="N26" s="1">
        <v>197.5</v>
      </c>
    </row>
    <row r="27" spans="1:14" x14ac:dyDescent="0.25">
      <c r="A27" s="34">
        <v>39661</v>
      </c>
      <c r="B27" s="1">
        <v>1202.8</v>
      </c>
      <c r="C27" s="34">
        <v>39661</v>
      </c>
      <c r="D27" s="1">
        <v>682</v>
      </c>
      <c r="E27" s="34">
        <v>39661</v>
      </c>
      <c r="F27" s="1">
        <v>5.4</v>
      </c>
      <c r="G27" s="34">
        <v>39661</v>
      </c>
      <c r="H27" s="1">
        <v>-2.44</v>
      </c>
      <c r="I27" s="34">
        <v>39661</v>
      </c>
      <c r="J27" s="1">
        <v>145.94</v>
      </c>
      <c r="K27" s="34">
        <v>39661</v>
      </c>
      <c r="L27" s="1">
        <v>1198.4000000000001</v>
      </c>
      <c r="M27" s="34">
        <v>39661</v>
      </c>
      <c r="N27" s="1">
        <v>202.4</v>
      </c>
    </row>
    <row r="28" spans="1:14" x14ac:dyDescent="0.25">
      <c r="A28" s="34">
        <v>39692</v>
      </c>
      <c r="B28" s="1">
        <v>1202</v>
      </c>
      <c r="C28" s="34">
        <v>39692</v>
      </c>
      <c r="D28" s="1">
        <v>559</v>
      </c>
      <c r="E28" s="34">
        <v>39692</v>
      </c>
      <c r="F28" s="1">
        <v>5.5</v>
      </c>
      <c r="G28" s="34">
        <v>39692</v>
      </c>
      <c r="H28" s="1">
        <v>-2.54</v>
      </c>
      <c r="I28" s="34">
        <v>39692</v>
      </c>
      <c r="J28" s="1">
        <v>145.38999999999999</v>
      </c>
      <c r="K28" s="34">
        <v>39692</v>
      </c>
      <c r="L28" s="1">
        <v>1211.8</v>
      </c>
      <c r="M28" s="34">
        <v>39692</v>
      </c>
      <c r="N28" s="1">
        <v>216.5</v>
      </c>
    </row>
    <row r="29" spans="1:14" x14ac:dyDescent="0.25">
      <c r="A29" s="34">
        <v>39722</v>
      </c>
      <c r="B29" s="1">
        <v>1197.3</v>
      </c>
      <c r="C29" s="34">
        <v>39722</v>
      </c>
      <c r="D29" s="1">
        <v>765</v>
      </c>
      <c r="E29" s="34">
        <v>39722</v>
      </c>
      <c r="F29" s="1">
        <v>5.8</v>
      </c>
      <c r="G29" s="34">
        <v>39722</v>
      </c>
      <c r="H29" s="1">
        <v>-2.78</v>
      </c>
      <c r="I29" s="34">
        <v>39722</v>
      </c>
      <c r="J29" s="1">
        <v>144.78</v>
      </c>
      <c r="K29" s="34">
        <v>39722</v>
      </c>
      <c r="L29" s="1">
        <v>1205.4000000000001</v>
      </c>
      <c r="M29" s="34">
        <v>39722</v>
      </c>
      <c r="N29" s="1">
        <v>218.6</v>
      </c>
    </row>
    <row r="30" spans="1:14" x14ac:dyDescent="0.25">
      <c r="A30" s="34">
        <v>39753</v>
      </c>
      <c r="B30" s="1">
        <v>1193.0999999999999</v>
      </c>
      <c r="C30" s="34">
        <v>39753</v>
      </c>
      <c r="D30" s="1">
        <v>268</v>
      </c>
      <c r="E30" s="34">
        <v>39753</v>
      </c>
      <c r="F30" s="1">
        <v>6.1</v>
      </c>
      <c r="G30" s="34">
        <v>39753</v>
      </c>
      <c r="H30" s="1">
        <v>-2.8</v>
      </c>
      <c r="I30" s="34">
        <v>39753</v>
      </c>
      <c r="J30" s="1">
        <v>144.12</v>
      </c>
      <c r="K30" s="34">
        <v>39753</v>
      </c>
      <c r="L30" s="1">
        <v>1200.8</v>
      </c>
      <c r="M30" s="34">
        <v>39753</v>
      </c>
      <c r="N30" s="1">
        <v>219.4</v>
      </c>
    </row>
    <row r="31" spans="1:14" x14ac:dyDescent="0.25">
      <c r="A31" s="34">
        <v>39783</v>
      </c>
      <c r="B31" s="1">
        <v>1188.2</v>
      </c>
      <c r="C31" s="34">
        <v>39783</v>
      </c>
      <c r="D31" s="1">
        <v>412</v>
      </c>
      <c r="E31" s="34">
        <v>39783</v>
      </c>
      <c r="F31" s="1">
        <v>6.4</v>
      </c>
      <c r="G31" s="34">
        <v>39783</v>
      </c>
      <c r="H31" s="1">
        <v>-2.48</v>
      </c>
      <c r="I31" s="34">
        <v>39783</v>
      </c>
      <c r="J31" s="1">
        <v>143.41999999999999</v>
      </c>
      <c r="K31" s="34">
        <v>39783</v>
      </c>
      <c r="L31" s="1">
        <v>1195.9000000000001</v>
      </c>
      <c r="M31" s="34">
        <v>39783</v>
      </c>
      <c r="N31" s="1">
        <v>218.6</v>
      </c>
    </row>
    <row r="32" spans="1:14" x14ac:dyDescent="0.25">
      <c r="A32" s="34">
        <v>39814</v>
      </c>
      <c r="B32" s="1">
        <v>1183.4000000000001</v>
      </c>
      <c r="C32" s="34">
        <v>39814</v>
      </c>
      <c r="D32" s="1">
        <v>634</v>
      </c>
      <c r="E32" s="34">
        <v>39814</v>
      </c>
      <c r="F32" s="1">
        <v>6.8</v>
      </c>
      <c r="G32" s="34">
        <v>39814</v>
      </c>
      <c r="H32" s="1">
        <v>-2.5299999999999998</v>
      </c>
      <c r="I32" s="34">
        <v>39814</v>
      </c>
      <c r="J32" s="1">
        <v>142.72</v>
      </c>
      <c r="K32" s="34">
        <v>39814</v>
      </c>
      <c r="L32" s="1">
        <v>1166.4000000000001</v>
      </c>
      <c r="M32" s="34">
        <v>39814</v>
      </c>
      <c r="N32" s="1">
        <v>214.2</v>
      </c>
    </row>
    <row r="33" spans="1:14" x14ac:dyDescent="0.25">
      <c r="A33" s="34">
        <v>39845</v>
      </c>
      <c r="B33" s="1">
        <v>1180.8</v>
      </c>
      <c r="C33" s="34">
        <v>39845</v>
      </c>
      <c r="D33" s="1">
        <v>418</v>
      </c>
      <c r="E33" s="34">
        <v>39845</v>
      </c>
      <c r="F33" s="1">
        <v>7.1</v>
      </c>
      <c r="G33" s="34">
        <v>39845</v>
      </c>
      <c r="H33" s="1">
        <v>-2.57</v>
      </c>
      <c r="I33" s="34">
        <v>39845</v>
      </c>
      <c r="J33" s="1">
        <v>142.03</v>
      </c>
      <c r="K33" s="34">
        <v>39845</v>
      </c>
      <c r="L33" s="1">
        <v>1169.2</v>
      </c>
      <c r="M33" s="34">
        <v>39845</v>
      </c>
      <c r="N33" s="1">
        <v>219.4</v>
      </c>
    </row>
    <row r="34" spans="1:14" x14ac:dyDescent="0.25">
      <c r="A34" s="34">
        <v>39873</v>
      </c>
      <c r="B34" s="1">
        <v>1174.4000000000001</v>
      </c>
      <c r="C34" s="34">
        <v>39873</v>
      </c>
      <c r="D34" s="1">
        <v>549</v>
      </c>
      <c r="E34" s="34">
        <v>39873</v>
      </c>
      <c r="F34" s="1">
        <v>7.3</v>
      </c>
      <c r="G34" s="34">
        <v>39873</v>
      </c>
      <c r="H34" s="1">
        <v>-2.09</v>
      </c>
      <c r="I34" s="34">
        <v>39873</v>
      </c>
      <c r="J34" s="1">
        <v>141.36000000000001</v>
      </c>
      <c r="K34" s="34">
        <v>39873</v>
      </c>
      <c r="L34" s="1">
        <v>1174.2</v>
      </c>
      <c r="M34" s="34">
        <v>39873</v>
      </c>
      <c r="N34" s="1">
        <v>220.5</v>
      </c>
    </row>
    <row r="35" spans="1:14" x14ac:dyDescent="0.25">
      <c r="A35" s="34">
        <v>39904</v>
      </c>
      <c r="B35" s="1">
        <v>1168.9000000000001</v>
      </c>
      <c r="C35" s="34">
        <v>39904</v>
      </c>
      <c r="D35" s="1">
        <v>396</v>
      </c>
      <c r="E35" s="34">
        <v>39904</v>
      </c>
      <c r="F35" s="1">
        <v>7.5</v>
      </c>
      <c r="G35" s="34">
        <v>39904</v>
      </c>
      <c r="H35" s="1">
        <v>-2.0099999999999998</v>
      </c>
      <c r="I35" s="34">
        <v>39904</v>
      </c>
      <c r="J35" s="1">
        <v>140.72</v>
      </c>
      <c r="K35" s="34">
        <v>39904</v>
      </c>
      <c r="L35" s="1">
        <v>1175</v>
      </c>
      <c r="M35" s="34">
        <v>39904</v>
      </c>
      <c r="N35" s="1">
        <v>221.5</v>
      </c>
    </row>
    <row r="36" spans="1:14" x14ac:dyDescent="0.25">
      <c r="A36" s="34">
        <v>39934</v>
      </c>
      <c r="B36" s="1">
        <v>1164.5</v>
      </c>
      <c r="C36" s="34">
        <v>39934</v>
      </c>
      <c r="D36" s="1">
        <v>884</v>
      </c>
      <c r="E36" s="34">
        <v>39934</v>
      </c>
      <c r="F36" s="1">
        <v>7.6</v>
      </c>
      <c r="G36" s="34">
        <v>39934</v>
      </c>
      <c r="H36" s="1">
        <v>-1.85</v>
      </c>
      <c r="I36" s="34">
        <v>39934</v>
      </c>
      <c r="J36" s="1">
        <v>140.13</v>
      </c>
      <c r="K36" s="34">
        <v>39934</v>
      </c>
      <c r="L36" s="1">
        <v>1171</v>
      </c>
      <c r="M36" s="34">
        <v>39934</v>
      </c>
      <c r="N36" s="1">
        <v>220.4</v>
      </c>
    </row>
    <row r="37" spans="1:14" x14ac:dyDescent="0.25">
      <c r="A37" s="34">
        <v>39965</v>
      </c>
      <c r="B37" s="1">
        <v>1161.3</v>
      </c>
      <c r="C37" s="34">
        <v>39965</v>
      </c>
      <c r="D37" s="1">
        <v>628</v>
      </c>
      <c r="E37" s="34">
        <v>39965</v>
      </c>
      <c r="F37" s="1">
        <v>7.6</v>
      </c>
      <c r="G37" s="34">
        <v>39965</v>
      </c>
      <c r="H37" s="1">
        <v>-1.19</v>
      </c>
      <c r="I37" s="34">
        <v>39965</v>
      </c>
      <c r="J37" s="1">
        <v>139.58000000000001</v>
      </c>
      <c r="K37" s="34">
        <v>39965</v>
      </c>
      <c r="L37" s="1">
        <v>1164</v>
      </c>
      <c r="M37" s="34">
        <v>39965</v>
      </c>
      <c r="N37" s="1">
        <v>214.8</v>
      </c>
    </row>
    <row r="38" spans="1:14" x14ac:dyDescent="0.25">
      <c r="A38" s="34">
        <v>39995</v>
      </c>
      <c r="B38" s="1">
        <v>1161.5999999999999</v>
      </c>
      <c r="C38" s="34">
        <v>39995</v>
      </c>
      <c r="D38" s="1">
        <v>494</v>
      </c>
      <c r="E38" s="34">
        <v>39995</v>
      </c>
      <c r="F38" s="1">
        <v>7.6</v>
      </c>
      <c r="G38" s="34">
        <v>39995</v>
      </c>
      <c r="H38" s="1">
        <v>-1.05</v>
      </c>
      <c r="I38" s="34">
        <v>39995</v>
      </c>
      <c r="J38" s="1">
        <v>139.1</v>
      </c>
      <c r="K38" s="34">
        <v>39995</v>
      </c>
      <c r="L38" s="1">
        <v>1150.7</v>
      </c>
      <c r="M38" s="34">
        <v>39995</v>
      </c>
      <c r="N38" s="1">
        <v>202.6</v>
      </c>
    </row>
    <row r="39" spans="1:14" x14ac:dyDescent="0.25">
      <c r="A39" s="34">
        <v>40026</v>
      </c>
      <c r="B39" s="1">
        <v>1160</v>
      </c>
      <c r="C39" s="34">
        <v>40026</v>
      </c>
      <c r="D39" s="1">
        <v>533</v>
      </c>
      <c r="E39" s="34">
        <v>40026</v>
      </c>
      <c r="F39" s="1">
        <v>7.6</v>
      </c>
      <c r="G39" s="34">
        <v>40026</v>
      </c>
      <c r="H39" s="1">
        <v>-0.91</v>
      </c>
      <c r="I39" s="34">
        <v>40026</v>
      </c>
      <c r="J39" s="1">
        <v>138.66999999999999</v>
      </c>
      <c r="K39" s="34">
        <v>40026</v>
      </c>
      <c r="L39" s="1">
        <v>1153.3</v>
      </c>
      <c r="M39" s="34">
        <v>40026</v>
      </c>
      <c r="N39" s="1">
        <v>206.3</v>
      </c>
    </row>
    <row r="40" spans="1:14" x14ac:dyDescent="0.25">
      <c r="A40" s="34">
        <v>40057</v>
      </c>
      <c r="B40" s="1">
        <v>1156.5</v>
      </c>
      <c r="C40" s="34">
        <v>40057</v>
      </c>
      <c r="D40" s="1">
        <v>458</v>
      </c>
      <c r="E40" s="34">
        <v>40057</v>
      </c>
      <c r="F40" s="1">
        <v>7.6</v>
      </c>
      <c r="G40" s="34">
        <v>40057</v>
      </c>
      <c r="H40" s="1">
        <v>-0.1</v>
      </c>
      <c r="I40" s="34">
        <v>40057</v>
      </c>
      <c r="J40" s="1">
        <v>138.31</v>
      </c>
      <c r="K40" s="34">
        <v>40057</v>
      </c>
      <c r="L40" s="1">
        <v>1165.4000000000001</v>
      </c>
      <c r="M40" s="34">
        <v>40057</v>
      </c>
      <c r="N40" s="1">
        <v>217.1</v>
      </c>
    </row>
    <row r="41" spans="1:14" x14ac:dyDescent="0.25">
      <c r="A41" s="34">
        <v>40087</v>
      </c>
      <c r="B41" s="1">
        <v>1155</v>
      </c>
      <c r="C41" s="34">
        <v>40087</v>
      </c>
      <c r="D41" s="1">
        <v>588</v>
      </c>
      <c r="E41" s="34">
        <v>40087</v>
      </c>
      <c r="F41" s="1">
        <v>7.7</v>
      </c>
      <c r="G41" s="34">
        <v>40087</v>
      </c>
      <c r="H41" s="1">
        <v>0.45</v>
      </c>
      <c r="I41" s="34">
        <v>40087</v>
      </c>
      <c r="J41" s="1">
        <v>138.05000000000001</v>
      </c>
      <c r="K41" s="34">
        <v>40087</v>
      </c>
      <c r="L41" s="1">
        <v>1162.5</v>
      </c>
      <c r="M41" s="34">
        <v>40087</v>
      </c>
      <c r="N41" s="1">
        <v>221.8</v>
      </c>
    </row>
    <row r="42" spans="1:14" x14ac:dyDescent="0.25">
      <c r="A42" s="34">
        <v>40118</v>
      </c>
      <c r="B42" s="1">
        <v>1156.2</v>
      </c>
      <c r="C42" s="34">
        <v>40118</v>
      </c>
      <c r="D42" s="1">
        <v>406</v>
      </c>
      <c r="E42" s="34">
        <v>40118</v>
      </c>
      <c r="F42" s="1">
        <v>7.8</v>
      </c>
      <c r="G42" s="34">
        <v>40118</v>
      </c>
      <c r="H42" s="1">
        <v>0.94</v>
      </c>
      <c r="I42" s="34">
        <v>40118</v>
      </c>
      <c r="J42" s="1">
        <v>137.91</v>
      </c>
      <c r="K42" s="34">
        <v>40118</v>
      </c>
      <c r="L42" s="1">
        <v>1164.3</v>
      </c>
      <c r="M42" s="34">
        <v>40118</v>
      </c>
      <c r="N42" s="1">
        <v>222.6</v>
      </c>
    </row>
    <row r="43" spans="1:14" x14ac:dyDescent="0.25">
      <c r="A43" s="34">
        <v>40148</v>
      </c>
      <c r="B43" s="1">
        <v>1155.5999999999999</v>
      </c>
      <c r="C43" s="34">
        <v>40148</v>
      </c>
      <c r="D43" s="1">
        <v>345</v>
      </c>
      <c r="E43" s="34">
        <v>40148</v>
      </c>
      <c r="F43" s="1">
        <v>7.9</v>
      </c>
      <c r="G43" s="34">
        <v>40148</v>
      </c>
      <c r="H43" s="1">
        <v>1.1299999999999999</v>
      </c>
      <c r="I43" s="34">
        <v>40148</v>
      </c>
      <c r="J43" s="1">
        <v>137.88999999999999</v>
      </c>
      <c r="K43" s="34">
        <v>40148</v>
      </c>
      <c r="L43" s="1">
        <v>1163.2</v>
      </c>
      <c r="M43" s="34">
        <v>40148</v>
      </c>
      <c r="N43" s="1">
        <v>222.3</v>
      </c>
    </row>
    <row r="44" spans="1:14" x14ac:dyDescent="0.25">
      <c r="A44" s="34">
        <v>40179</v>
      </c>
      <c r="B44" s="1">
        <v>1152.4000000000001</v>
      </c>
      <c r="C44" s="34">
        <v>40179</v>
      </c>
      <c r="D44" s="1">
        <v>411</v>
      </c>
      <c r="E44" s="34">
        <v>40179</v>
      </c>
      <c r="F44" s="1">
        <v>7.9</v>
      </c>
      <c r="G44" s="34">
        <v>40179</v>
      </c>
      <c r="H44" s="1">
        <v>1.72</v>
      </c>
      <c r="I44" s="34">
        <v>40179</v>
      </c>
      <c r="J44" s="1">
        <v>137.99</v>
      </c>
      <c r="K44" s="34">
        <v>40179</v>
      </c>
      <c r="L44" s="1">
        <v>1134.9000000000001</v>
      </c>
      <c r="M44" s="34">
        <v>40179</v>
      </c>
      <c r="N44" s="1">
        <v>214.3</v>
      </c>
    </row>
    <row r="45" spans="1:14" x14ac:dyDescent="0.25">
      <c r="A45" s="34">
        <v>40210</v>
      </c>
      <c r="B45" s="1">
        <v>1150.5999999999999</v>
      </c>
      <c r="C45" s="34">
        <v>40210</v>
      </c>
      <c r="D45" s="1">
        <v>414</v>
      </c>
      <c r="E45" s="34">
        <v>40210</v>
      </c>
      <c r="F45" s="1">
        <v>7.9</v>
      </c>
      <c r="G45" s="34">
        <v>40210</v>
      </c>
      <c r="H45" s="1">
        <v>2</v>
      </c>
      <c r="I45" s="34">
        <v>40210</v>
      </c>
      <c r="J45" s="1">
        <v>138.19999999999999</v>
      </c>
      <c r="K45" s="34">
        <v>40210</v>
      </c>
      <c r="L45" s="1">
        <v>1138.5999999999999</v>
      </c>
      <c r="M45" s="34">
        <v>40210</v>
      </c>
      <c r="N45" s="1">
        <v>218.1</v>
      </c>
    </row>
    <row r="46" spans="1:14" x14ac:dyDescent="0.25">
      <c r="A46" s="34">
        <v>40238</v>
      </c>
      <c r="B46" s="1">
        <v>1155.7</v>
      </c>
      <c r="C46" s="34">
        <v>40238</v>
      </c>
      <c r="D46" s="1">
        <v>597</v>
      </c>
      <c r="E46" s="34">
        <v>40238</v>
      </c>
      <c r="F46" s="1">
        <v>7.9</v>
      </c>
      <c r="G46" s="34">
        <v>40238</v>
      </c>
      <c r="H46" s="1">
        <v>1.66</v>
      </c>
      <c r="I46" s="34">
        <v>40238</v>
      </c>
      <c r="J46" s="1">
        <v>138.51</v>
      </c>
      <c r="K46" s="34">
        <v>40238</v>
      </c>
      <c r="L46" s="1">
        <v>1155.0999999999999</v>
      </c>
      <c r="M46" s="34">
        <v>40238</v>
      </c>
      <c r="N46" s="1">
        <v>221</v>
      </c>
    </row>
    <row r="47" spans="1:14" x14ac:dyDescent="0.25">
      <c r="A47" s="34">
        <v>40269</v>
      </c>
      <c r="B47" s="1">
        <v>1157.3</v>
      </c>
      <c r="C47" s="34">
        <v>40269</v>
      </c>
      <c r="D47" s="1">
        <v>771</v>
      </c>
      <c r="E47" s="34">
        <v>40269</v>
      </c>
      <c r="F47" s="1">
        <v>7.8</v>
      </c>
      <c r="G47" s="34">
        <v>40269</v>
      </c>
      <c r="H47" s="1">
        <v>1.24</v>
      </c>
      <c r="I47" s="34">
        <v>40269</v>
      </c>
      <c r="J47" s="1">
        <v>138.87</v>
      </c>
      <c r="K47" s="34">
        <v>40269</v>
      </c>
      <c r="L47" s="1">
        <v>1164</v>
      </c>
      <c r="M47" s="34">
        <v>40269</v>
      </c>
      <c r="N47" s="1">
        <v>222.1</v>
      </c>
    </row>
    <row r="48" spans="1:14" x14ac:dyDescent="0.25">
      <c r="A48" s="34">
        <v>40299</v>
      </c>
      <c r="B48" s="1">
        <v>1168.0999999999999</v>
      </c>
      <c r="C48" s="34">
        <v>40299</v>
      </c>
      <c r="D48" s="1">
        <v>597</v>
      </c>
      <c r="E48" s="34">
        <v>40299</v>
      </c>
      <c r="F48" s="1">
        <v>7.8</v>
      </c>
      <c r="G48" s="34">
        <v>40299</v>
      </c>
      <c r="H48" s="1">
        <v>0.65</v>
      </c>
      <c r="I48" s="34">
        <v>40299</v>
      </c>
      <c r="J48" s="1">
        <v>139.22999999999999</v>
      </c>
      <c r="K48" s="34">
        <v>40299</v>
      </c>
      <c r="L48" s="1">
        <v>1175</v>
      </c>
      <c r="M48" s="34">
        <v>40299</v>
      </c>
      <c r="N48" s="1">
        <v>227.5</v>
      </c>
    </row>
    <row r="49" spans="1:14" x14ac:dyDescent="0.25">
      <c r="A49" s="34">
        <v>40330</v>
      </c>
      <c r="B49" s="1">
        <v>1174.3</v>
      </c>
      <c r="C49" s="34">
        <v>40330</v>
      </c>
      <c r="D49" s="1">
        <v>1152</v>
      </c>
      <c r="E49" s="34">
        <v>40330</v>
      </c>
      <c r="F49" s="1">
        <v>7.8</v>
      </c>
      <c r="G49" s="34">
        <v>40330</v>
      </c>
      <c r="H49" s="1">
        <v>0.02</v>
      </c>
      <c r="I49" s="34">
        <v>40330</v>
      </c>
      <c r="J49" s="1">
        <v>139.53</v>
      </c>
      <c r="K49" s="34">
        <v>40330</v>
      </c>
      <c r="L49" s="1">
        <v>1177.3</v>
      </c>
      <c r="M49" s="34">
        <v>40330</v>
      </c>
      <c r="N49" s="1">
        <v>220.9</v>
      </c>
    </row>
    <row r="50" spans="1:14" x14ac:dyDescent="0.25">
      <c r="A50" s="34">
        <v>40360</v>
      </c>
      <c r="B50" s="1">
        <v>1168.5</v>
      </c>
      <c r="C50" s="34">
        <v>40360</v>
      </c>
      <c r="D50" s="1">
        <v>508</v>
      </c>
      <c r="E50" s="34">
        <v>40360</v>
      </c>
      <c r="F50" s="1">
        <v>7.8</v>
      </c>
      <c r="G50" s="34">
        <v>40360</v>
      </c>
      <c r="H50" s="1">
        <v>-0.02</v>
      </c>
      <c r="I50" s="34">
        <v>40360</v>
      </c>
      <c r="J50" s="1">
        <v>139.75</v>
      </c>
      <c r="K50" s="34">
        <v>40360</v>
      </c>
      <c r="L50" s="1">
        <v>1158.2</v>
      </c>
      <c r="M50" s="34">
        <v>40360</v>
      </c>
      <c r="N50" s="1">
        <v>206.3</v>
      </c>
    </row>
    <row r="51" spans="1:14" x14ac:dyDescent="0.25">
      <c r="A51" s="34">
        <v>40391</v>
      </c>
      <c r="B51" s="1">
        <v>1169.5999999999999</v>
      </c>
      <c r="C51" s="34">
        <v>40391</v>
      </c>
      <c r="D51" s="1">
        <v>845</v>
      </c>
      <c r="E51" s="34">
        <v>40391</v>
      </c>
      <c r="F51" s="1">
        <v>7.9</v>
      </c>
      <c r="G51" s="34">
        <v>40391</v>
      </c>
      <c r="H51" s="1">
        <v>0.16</v>
      </c>
      <c r="I51" s="34">
        <v>40391</v>
      </c>
      <c r="J51" s="1">
        <v>139.88999999999999</v>
      </c>
      <c r="K51" s="34">
        <v>40391</v>
      </c>
      <c r="L51" s="1">
        <v>1162.8</v>
      </c>
      <c r="M51" s="34">
        <v>40391</v>
      </c>
      <c r="N51" s="1">
        <v>207.9</v>
      </c>
    </row>
    <row r="52" spans="1:14" x14ac:dyDescent="0.25">
      <c r="A52" s="34">
        <v>40422</v>
      </c>
      <c r="B52" s="1">
        <v>1165.2</v>
      </c>
      <c r="C52" s="34">
        <v>40422</v>
      </c>
      <c r="D52" s="1">
        <v>522</v>
      </c>
      <c r="E52" s="34">
        <v>40422</v>
      </c>
      <c r="F52" s="1">
        <v>8</v>
      </c>
      <c r="G52" s="34">
        <v>40422</v>
      </c>
      <c r="H52" s="1">
        <v>0</v>
      </c>
      <c r="I52" s="34">
        <v>40422</v>
      </c>
      <c r="J52" s="1">
        <v>139.97</v>
      </c>
      <c r="K52" s="34">
        <v>40422</v>
      </c>
      <c r="L52" s="1">
        <v>1172.5999999999999</v>
      </c>
      <c r="M52" s="34">
        <v>40422</v>
      </c>
      <c r="N52" s="1">
        <v>218.2</v>
      </c>
    </row>
    <row r="53" spans="1:14" x14ac:dyDescent="0.25">
      <c r="A53" s="34">
        <v>40452</v>
      </c>
      <c r="B53" s="1">
        <v>1164.5999999999999</v>
      </c>
      <c r="C53" s="34">
        <v>40452</v>
      </c>
      <c r="D53" s="1">
        <v>360</v>
      </c>
      <c r="E53" s="34">
        <v>40452</v>
      </c>
      <c r="F53" s="1">
        <v>8</v>
      </c>
      <c r="G53" s="34">
        <v>40452</v>
      </c>
      <c r="H53" s="1">
        <v>0.14000000000000001</v>
      </c>
      <c r="I53" s="34">
        <v>40452</v>
      </c>
      <c r="J53" s="1">
        <v>140</v>
      </c>
      <c r="K53" s="34">
        <v>40452</v>
      </c>
      <c r="L53" s="1">
        <v>1171.7</v>
      </c>
      <c r="M53" s="34">
        <v>40452</v>
      </c>
      <c r="N53" s="1">
        <v>220.6</v>
      </c>
    </row>
    <row r="54" spans="1:14" x14ac:dyDescent="0.25">
      <c r="A54" s="34">
        <v>40483</v>
      </c>
      <c r="B54" s="1">
        <v>1164</v>
      </c>
      <c r="C54" s="34">
        <v>40483</v>
      </c>
      <c r="D54" s="1">
        <v>300</v>
      </c>
      <c r="E54" s="34">
        <v>40483</v>
      </c>
      <c r="F54" s="1">
        <v>8</v>
      </c>
      <c r="G54" s="34">
        <v>40483</v>
      </c>
      <c r="H54" s="1">
        <v>0.36</v>
      </c>
      <c r="I54" s="34">
        <v>40483</v>
      </c>
      <c r="J54" s="1">
        <v>140.02000000000001</v>
      </c>
      <c r="K54" s="34">
        <v>40483</v>
      </c>
      <c r="L54" s="1">
        <v>1172.4000000000001</v>
      </c>
      <c r="M54" s="34">
        <v>40483</v>
      </c>
      <c r="N54" s="1">
        <v>221.3</v>
      </c>
    </row>
    <row r="55" spans="1:14" x14ac:dyDescent="0.25">
      <c r="A55" s="34">
        <v>40513</v>
      </c>
      <c r="B55" s="1">
        <v>1166.2</v>
      </c>
      <c r="C55" s="34">
        <v>40513</v>
      </c>
      <c r="D55" s="1">
        <v>563</v>
      </c>
      <c r="E55" s="34">
        <v>40513</v>
      </c>
      <c r="F55" s="1">
        <v>8.1</v>
      </c>
      <c r="G55" s="34">
        <v>40513</v>
      </c>
      <c r="H55" s="1">
        <v>0.14000000000000001</v>
      </c>
      <c r="I55" s="34">
        <v>40513</v>
      </c>
      <c r="J55" s="1">
        <v>140.03</v>
      </c>
      <c r="K55" s="34">
        <v>40513</v>
      </c>
      <c r="L55" s="1">
        <v>1173.5</v>
      </c>
      <c r="M55" s="34">
        <v>40513</v>
      </c>
      <c r="N55" s="1">
        <v>220.7</v>
      </c>
    </row>
    <row r="56" spans="1:14" x14ac:dyDescent="0.25">
      <c r="A56" s="34">
        <v>40544</v>
      </c>
      <c r="B56" s="1">
        <v>1164.5</v>
      </c>
      <c r="C56" s="34">
        <v>40544</v>
      </c>
      <c r="D56" s="1">
        <v>470</v>
      </c>
      <c r="E56" s="34">
        <v>40544</v>
      </c>
      <c r="F56" s="1">
        <v>8</v>
      </c>
      <c r="G56" s="34">
        <v>40544</v>
      </c>
      <c r="H56" s="1">
        <v>0.35</v>
      </c>
      <c r="I56" s="34">
        <v>40544</v>
      </c>
      <c r="J56" s="1">
        <v>140.03</v>
      </c>
      <c r="K56" s="34">
        <v>40544</v>
      </c>
      <c r="L56" s="1">
        <v>1146.7</v>
      </c>
      <c r="M56" s="34">
        <v>40544</v>
      </c>
      <c r="N56" s="1">
        <v>215.1</v>
      </c>
    </row>
    <row r="57" spans="1:14" x14ac:dyDescent="0.25">
      <c r="A57" s="34">
        <v>40575</v>
      </c>
      <c r="B57" s="1">
        <v>1161.4000000000001</v>
      </c>
      <c r="C57" s="34">
        <v>40575</v>
      </c>
      <c r="D57" s="1">
        <v>340</v>
      </c>
      <c r="E57" s="34">
        <v>40575</v>
      </c>
      <c r="F57" s="1">
        <v>8</v>
      </c>
      <c r="G57" s="34">
        <v>40575</v>
      </c>
      <c r="H57" s="1">
        <v>0.48</v>
      </c>
      <c r="I57" s="34">
        <v>40575</v>
      </c>
      <c r="J57" s="1">
        <v>140.05000000000001</v>
      </c>
      <c r="K57" s="34">
        <v>40575</v>
      </c>
      <c r="L57" s="1">
        <v>1149</v>
      </c>
      <c r="M57" s="34">
        <v>40575</v>
      </c>
      <c r="N57" s="1">
        <v>219.5</v>
      </c>
    </row>
    <row r="58" spans="1:14" x14ac:dyDescent="0.25">
      <c r="A58" s="34">
        <v>40603</v>
      </c>
      <c r="B58" s="1">
        <v>1164.0999999999999</v>
      </c>
      <c r="C58" s="34">
        <v>40603</v>
      </c>
      <c r="D58" s="1">
        <v>889</v>
      </c>
      <c r="E58" s="34">
        <v>40603</v>
      </c>
      <c r="F58" s="1">
        <v>8</v>
      </c>
      <c r="G58" s="34">
        <v>40603</v>
      </c>
      <c r="H58" s="1">
        <v>0.82</v>
      </c>
      <c r="I58" s="34">
        <v>40603</v>
      </c>
      <c r="J58" s="1">
        <v>140.1</v>
      </c>
      <c r="K58" s="34">
        <v>40603</v>
      </c>
      <c r="L58" s="1">
        <v>1163.2</v>
      </c>
      <c r="M58" s="34">
        <v>40603</v>
      </c>
      <c r="N58" s="1">
        <v>221.2</v>
      </c>
    </row>
    <row r="59" spans="1:14" x14ac:dyDescent="0.25">
      <c r="A59" s="34">
        <v>40634</v>
      </c>
      <c r="B59" s="1">
        <v>1172.3</v>
      </c>
      <c r="C59" s="34">
        <v>40634</v>
      </c>
      <c r="D59" s="1">
        <v>329</v>
      </c>
      <c r="E59" s="34">
        <v>40634</v>
      </c>
      <c r="F59" s="1">
        <v>8</v>
      </c>
      <c r="G59" s="34">
        <v>40634</v>
      </c>
      <c r="H59" s="1">
        <v>0.91</v>
      </c>
      <c r="I59" s="34">
        <v>40634</v>
      </c>
      <c r="J59" s="1">
        <v>140.19</v>
      </c>
      <c r="K59" s="34">
        <v>40634</v>
      </c>
      <c r="L59" s="1">
        <v>1179.5</v>
      </c>
      <c r="M59" s="34">
        <v>40634</v>
      </c>
      <c r="N59" s="1">
        <v>222.7</v>
      </c>
    </row>
    <row r="60" spans="1:14" x14ac:dyDescent="0.25">
      <c r="A60" s="34">
        <v>40664</v>
      </c>
      <c r="B60" s="1">
        <v>1167.5</v>
      </c>
      <c r="C60" s="34">
        <v>40664</v>
      </c>
      <c r="D60" s="1">
        <v>1010</v>
      </c>
      <c r="E60" s="34">
        <v>40664</v>
      </c>
      <c r="F60" s="1">
        <v>8.1</v>
      </c>
      <c r="G60" s="34">
        <v>40664</v>
      </c>
      <c r="H60" s="1">
        <v>0.88</v>
      </c>
      <c r="I60" s="34">
        <v>40664</v>
      </c>
      <c r="J60" s="1">
        <v>140.32</v>
      </c>
      <c r="K60" s="34">
        <v>40664</v>
      </c>
      <c r="L60" s="1">
        <v>1174.5999999999999</v>
      </c>
      <c r="M60" s="34">
        <v>40664</v>
      </c>
      <c r="N60" s="1">
        <v>221.6</v>
      </c>
    </row>
    <row r="61" spans="1:14" x14ac:dyDescent="0.25">
      <c r="A61" s="34">
        <v>40695</v>
      </c>
      <c r="B61" s="1">
        <v>1164.2</v>
      </c>
      <c r="C61" s="34">
        <v>40695</v>
      </c>
      <c r="D61" s="1">
        <v>531</v>
      </c>
      <c r="E61" s="34">
        <v>40695</v>
      </c>
      <c r="F61" s="1">
        <v>8.1</v>
      </c>
      <c r="G61" s="34">
        <v>40695</v>
      </c>
      <c r="H61" s="1">
        <v>1.47</v>
      </c>
      <c r="I61" s="34">
        <v>40695</v>
      </c>
      <c r="J61" s="1">
        <v>140.5</v>
      </c>
      <c r="K61" s="34">
        <v>40695</v>
      </c>
      <c r="L61" s="1">
        <v>1167.9000000000001</v>
      </c>
      <c r="M61" s="34">
        <v>40695</v>
      </c>
      <c r="N61" s="1">
        <v>215.4</v>
      </c>
    </row>
    <row r="62" spans="1:14" x14ac:dyDescent="0.25">
      <c r="A62" s="34">
        <v>40725</v>
      </c>
      <c r="B62" s="1">
        <v>1171.9000000000001</v>
      </c>
      <c r="C62" s="34">
        <v>40725</v>
      </c>
      <c r="D62" s="1">
        <v>662</v>
      </c>
      <c r="E62" s="34">
        <v>40725</v>
      </c>
      <c r="F62" s="1">
        <v>8.1</v>
      </c>
      <c r="G62" s="34">
        <v>40725</v>
      </c>
      <c r="H62" s="1">
        <v>1.65</v>
      </c>
      <c r="I62" s="34">
        <v>40725</v>
      </c>
      <c r="J62" s="1">
        <v>140.74</v>
      </c>
      <c r="K62" s="34">
        <v>40725</v>
      </c>
      <c r="L62" s="1">
        <v>1160.3</v>
      </c>
      <c r="M62" s="34">
        <v>40725</v>
      </c>
      <c r="N62" s="1">
        <v>199.6</v>
      </c>
    </row>
    <row r="63" spans="1:14" x14ac:dyDescent="0.25">
      <c r="A63" s="34">
        <v>40756</v>
      </c>
      <c r="B63" s="1">
        <v>1173.2</v>
      </c>
      <c r="C63" s="34">
        <v>40756</v>
      </c>
      <c r="D63" s="1">
        <v>406</v>
      </c>
      <c r="E63" s="34">
        <v>40756</v>
      </c>
      <c r="F63" s="1">
        <v>8.1</v>
      </c>
      <c r="G63" s="34">
        <v>40756</v>
      </c>
      <c r="H63" s="1">
        <v>1.1599999999999999</v>
      </c>
      <c r="I63" s="34">
        <v>40756</v>
      </c>
      <c r="J63" s="1">
        <v>141.02000000000001</v>
      </c>
      <c r="K63" s="34">
        <v>40756</v>
      </c>
      <c r="L63" s="1">
        <v>1166.2</v>
      </c>
      <c r="M63" s="34">
        <v>40756</v>
      </c>
      <c r="N63" s="1">
        <v>205.7</v>
      </c>
    </row>
    <row r="64" spans="1:14" x14ac:dyDescent="0.25">
      <c r="A64" s="34">
        <v>40787</v>
      </c>
      <c r="B64" s="1">
        <v>1172.3</v>
      </c>
      <c r="C64" s="34">
        <v>40787</v>
      </c>
      <c r="D64" s="1">
        <v>363</v>
      </c>
      <c r="E64" s="34">
        <v>40787</v>
      </c>
      <c r="F64" s="1">
        <v>8</v>
      </c>
      <c r="G64" s="34">
        <v>40787</v>
      </c>
      <c r="H64" s="1">
        <v>1.17</v>
      </c>
      <c r="I64" s="34">
        <v>40787</v>
      </c>
      <c r="J64" s="1">
        <v>141.32</v>
      </c>
      <c r="K64" s="34">
        <v>40787</v>
      </c>
      <c r="L64" s="1">
        <v>1179.2</v>
      </c>
      <c r="M64" s="34">
        <v>40787</v>
      </c>
      <c r="N64" s="1">
        <v>217.6</v>
      </c>
    </row>
    <row r="65" spans="1:14" x14ac:dyDescent="0.25">
      <c r="A65" s="34">
        <v>40817</v>
      </c>
      <c r="B65" s="1">
        <v>1177.5999999999999</v>
      </c>
      <c r="C65" s="34">
        <v>40817</v>
      </c>
      <c r="D65" s="1">
        <v>511</v>
      </c>
      <c r="E65" s="34">
        <v>40817</v>
      </c>
      <c r="F65" s="1">
        <v>7.9</v>
      </c>
      <c r="G65" s="34">
        <v>40817</v>
      </c>
      <c r="H65" s="1">
        <v>1.06</v>
      </c>
      <c r="I65" s="34">
        <v>40817</v>
      </c>
      <c r="J65" s="1">
        <v>141.63</v>
      </c>
      <c r="K65" s="34">
        <v>40817</v>
      </c>
      <c r="L65" s="1">
        <v>1184.7</v>
      </c>
      <c r="M65" s="34">
        <v>40817</v>
      </c>
      <c r="N65" s="1">
        <v>221.6</v>
      </c>
    </row>
    <row r="66" spans="1:14" x14ac:dyDescent="0.25">
      <c r="A66" s="34">
        <v>40848</v>
      </c>
      <c r="B66" s="1">
        <v>1177.3</v>
      </c>
      <c r="C66" s="34">
        <v>40848</v>
      </c>
      <c r="D66" s="1">
        <v>571</v>
      </c>
      <c r="E66" s="34">
        <v>40848</v>
      </c>
      <c r="F66" s="1">
        <v>7.8</v>
      </c>
      <c r="G66" s="34">
        <v>40848</v>
      </c>
      <c r="H66" s="1">
        <v>0.55000000000000004</v>
      </c>
      <c r="I66" s="34">
        <v>40848</v>
      </c>
      <c r="J66" s="1">
        <v>141.91999999999999</v>
      </c>
      <c r="K66" s="34">
        <v>40848</v>
      </c>
      <c r="L66" s="1">
        <v>1185.5999999999999</v>
      </c>
      <c r="M66" s="34">
        <v>40848</v>
      </c>
      <c r="N66" s="1">
        <v>222.5</v>
      </c>
    </row>
    <row r="67" spans="1:14" x14ac:dyDescent="0.25">
      <c r="A67" s="34">
        <v>40878</v>
      </c>
      <c r="B67" s="1">
        <v>1176.9000000000001</v>
      </c>
      <c r="C67" s="34">
        <v>40878</v>
      </c>
      <c r="D67" s="1">
        <v>243</v>
      </c>
      <c r="E67" s="34">
        <v>40878</v>
      </c>
      <c r="F67" s="1">
        <v>7.6</v>
      </c>
      <c r="G67" s="34">
        <v>40878</v>
      </c>
      <c r="H67" s="1">
        <v>0.61</v>
      </c>
      <c r="I67" s="34">
        <v>40878</v>
      </c>
      <c r="J67" s="1">
        <v>142.16</v>
      </c>
      <c r="K67" s="34">
        <v>40878</v>
      </c>
      <c r="L67" s="1">
        <v>1184.2</v>
      </c>
      <c r="M67" s="34">
        <v>40878</v>
      </c>
      <c r="N67" s="1">
        <v>220.6</v>
      </c>
    </row>
    <row r="68" spans="1:14" x14ac:dyDescent="0.25">
      <c r="A68" s="34">
        <v>40909</v>
      </c>
      <c r="B68" s="1">
        <v>1176.5999999999999</v>
      </c>
      <c r="C68" s="34">
        <v>40909</v>
      </c>
      <c r="D68" s="1">
        <v>362</v>
      </c>
      <c r="E68" s="34">
        <v>40909</v>
      </c>
      <c r="F68" s="1">
        <v>7.5</v>
      </c>
      <c r="G68" s="34">
        <v>40909</v>
      </c>
      <c r="H68" s="1">
        <v>0.53</v>
      </c>
      <c r="I68" s="34">
        <v>40909</v>
      </c>
      <c r="J68" s="1">
        <v>142.36000000000001</v>
      </c>
      <c r="K68" s="34">
        <v>40909</v>
      </c>
      <c r="L68" s="1">
        <v>1158.5</v>
      </c>
      <c r="M68" s="34">
        <v>40909</v>
      </c>
      <c r="N68" s="1">
        <v>214</v>
      </c>
    </row>
    <row r="69" spans="1:14" x14ac:dyDescent="0.25">
      <c r="A69" s="34">
        <v>40940</v>
      </c>
      <c r="B69" s="1">
        <v>1176.8</v>
      </c>
      <c r="C69" s="34">
        <v>40940</v>
      </c>
      <c r="D69" s="1">
        <v>678</v>
      </c>
      <c r="E69" s="34">
        <v>40940</v>
      </c>
      <c r="F69" s="1">
        <v>7.4</v>
      </c>
      <c r="G69" s="34">
        <v>40940</v>
      </c>
      <c r="H69" s="1">
        <v>0.57999999999999996</v>
      </c>
      <c r="I69" s="34">
        <v>40940</v>
      </c>
      <c r="J69" s="1">
        <v>142.51</v>
      </c>
      <c r="K69" s="34">
        <v>40940</v>
      </c>
      <c r="L69" s="1">
        <v>1166.8</v>
      </c>
      <c r="M69" s="34">
        <v>40940</v>
      </c>
      <c r="N69" s="1">
        <v>219.9</v>
      </c>
    </row>
    <row r="70" spans="1:14" x14ac:dyDescent="0.25">
      <c r="A70" s="34">
        <v>40969</v>
      </c>
      <c r="B70" s="1">
        <v>1179.4000000000001</v>
      </c>
      <c r="C70" s="34">
        <v>40969</v>
      </c>
      <c r="D70" s="1">
        <v>627</v>
      </c>
      <c r="E70" s="34">
        <v>40969</v>
      </c>
      <c r="F70" s="1">
        <v>7.4</v>
      </c>
      <c r="G70" s="34">
        <v>40969</v>
      </c>
      <c r="H70" s="1">
        <v>0.38</v>
      </c>
      <c r="I70" s="34">
        <v>40969</v>
      </c>
      <c r="J70" s="1">
        <v>142.62</v>
      </c>
      <c r="K70" s="34">
        <v>40969</v>
      </c>
      <c r="L70" s="1">
        <v>1178.7</v>
      </c>
      <c r="M70" s="34">
        <v>40969</v>
      </c>
      <c r="N70" s="1">
        <v>221.1</v>
      </c>
    </row>
    <row r="71" spans="1:14" x14ac:dyDescent="0.25">
      <c r="A71" s="34">
        <v>41000</v>
      </c>
      <c r="B71" s="1">
        <v>1178</v>
      </c>
      <c r="C71" s="34">
        <v>41000</v>
      </c>
      <c r="D71" s="1">
        <v>438</v>
      </c>
      <c r="E71" s="34">
        <v>41000</v>
      </c>
      <c r="F71" s="1">
        <v>7.4</v>
      </c>
      <c r="G71" s="34">
        <v>41000</v>
      </c>
      <c r="H71" s="1">
        <v>0.22</v>
      </c>
      <c r="I71" s="34">
        <v>41000</v>
      </c>
      <c r="J71" s="1">
        <v>142.69</v>
      </c>
      <c r="K71" s="34">
        <v>41000</v>
      </c>
      <c r="L71" s="1">
        <v>1183.2</v>
      </c>
      <c r="M71" s="34">
        <v>41000</v>
      </c>
      <c r="N71" s="1">
        <v>220.7</v>
      </c>
    </row>
    <row r="72" spans="1:14" x14ac:dyDescent="0.25">
      <c r="A72" s="34">
        <v>41030</v>
      </c>
      <c r="B72" s="1">
        <v>1179.2</v>
      </c>
      <c r="C72" s="34">
        <v>41030</v>
      </c>
      <c r="D72" s="1">
        <v>594</v>
      </c>
      <c r="E72" s="34">
        <v>41030</v>
      </c>
      <c r="F72" s="1">
        <v>7.4</v>
      </c>
      <c r="G72" s="34">
        <v>41030</v>
      </c>
      <c r="H72" s="1">
        <v>0.52</v>
      </c>
      <c r="I72" s="34">
        <v>41030</v>
      </c>
      <c r="J72" s="1">
        <v>142.74</v>
      </c>
      <c r="K72" s="34">
        <v>41030</v>
      </c>
      <c r="L72" s="1">
        <v>1186.5</v>
      </c>
      <c r="M72" s="34">
        <v>41030</v>
      </c>
      <c r="N72" s="1">
        <v>220.1</v>
      </c>
    </row>
    <row r="73" spans="1:14" x14ac:dyDescent="0.25">
      <c r="A73" s="34">
        <v>41061</v>
      </c>
      <c r="B73" s="1">
        <v>1178.0999999999999</v>
      </c>
      <c r="C73" s="34">
        <v>41061</v>
      </c>
      <c r="D73" s="1">
        <v>575</v>
      </c>
      <c r="E73" s="34">
        <v>41061</v>
      </c>
      <c r="F73" s="1">
        <v>7.5</v>
      </c>
      <c r="G73" s="34">
        <v>41061</v>
      </c>
      <c r="H73" s="1">
        <v>0.22</v>
      </c>
      <c r="I73" s="34">
        <v>41061</v>
      </c>
      <c r="J73" s="1">
        <v>142.78</v>
      </c>
      <c r="K73" s="34">
        <v>41061</v>
      </c>
      <c r="L73" s="1">
        <v>1181.8</v>
      </c>
      <c r="M73" s="34">
        <v>41061</v>
      </c>
      <c r="N73" s="1">
        <v>214.7</v>
      </c>
    </row>
    <row r="74" spans="1:14" x14ac:dyDescent="0.25">
      <c r="A74" s="34">
        <v>41091</v>
      </c>
      <c r="B74" s="1">
        <v>1172.3</v>
      </c>
      <c r="C74" s="34">
        <v>41091</v>
      </c>
      <c r="D74" s="1">
        <v>574</v>
      </c>
      <c r="E74" s="34">
        <v>41091</v>
      </c>
      <c r="F74" s="1">
        <v>7.5</v>
      </c>
      <c r="G74" s="34">
        <v>41091</v>
      </c>
      <c r="H74" s="1">
        <v>0.25</v>
      </c>
      <c r="I74" s="34">
        <v>41091</v>
      </c>
      <c r="J74" s="1">
        <v>142.80000000000001</v>
      </c>
      <c r="K74" s="34">
        <v>41091</v>
      </c>
      <c r="L74" s="1">
        <v>1160.9000000000001</v>
      </c>
      <c r="M74" s="34">
        <v>41091</v>
      </c>
      <c r="N74" s="1">
        <v>200.9</v>
      </c>
    </row>
    <row r="75" spans="1:14" x14ac:dyDescent="0.25">
      <c r="A75" s="34">
        <v>41122</v>
      </c>
      <c r="B75" s="1">
        <v>1173.8</v>
      </c>
      <c r="C75" s="34">
        <v>41122</v>
      </c>
      <c r="D75" s="1">
        <v>912</v>
      </c>
      <c r="E75" s="34">
        <v>41122</v>
      </c>
      <c r="F75" s="1">
        <v>7.5</v>
      </c>
      <c r="G75" s="34">
        <v>41122</v>
      </c>
      <c r="H75" s="1">
        <v>0.56000000000000005</v>
      </c>
      <c r="I75" s="34">
        <v>41122</v>
      </c>
      <c r="J75" s="1">
        <v>142.83000000000001</v>
      </c>
      <c r="K75" s="34">
        <v>41122</v>
      </c>
      <c r="L75" s="1">
        <v>1168.5999999999999</v>
      </c>
      <c r="M75" s="34">
        <v>41122</v>
      </c>
      <c r="N75" s="1">
        <v>203.7</v>
      </c>
    </row>
    <row r="76" spans="1:14" x14ac:dyDescent="0.25">
      <c r="A76" s="34">
        <v>41153</v>
      </c>
      <c r="B76" s="1">
        <v>1173.9000000000001</v>
      </c>
      <c r="C76" s="34">
        <v>41153</v>
      </c>
      <c r="D76" s="1">
        <v>964</v>
      </c>
      <c r="E76" s="34">
        <v>41153</v>
      </c>
      <c r="F76" s="1">
        <v>7.5</v>
      </c>
      <c r="G76" s="34">
        <v>41153</v>
      </c>
      <c r="H76" s="1">
        <v>0.45</v>
      </c>
      <c r="I76" s="34">
        <v>41153</v>
      </c>
      <c r="J76" s="1">
        <v>142.88</v>
      </c>
      <c r="K76" s="34">
        <v>41153</v>
      </c>
      <c r="L76" s="1">
        <v>1181.0999999999999</v>
      </c>
      <c r="M76" s="34">
        <v>41153</v>
      </c>
      <c r="N76" s="1">
        <v>216.9</v>
      </c>
    </row>
    <row r="77" spans="1:14" x14ac:dyDescent="0.25">
      <c r="A77" s="34">
        <v>41183</v>
      </c>
      <c r="B77" s="1">
        <v>1174.9000000000001</v>
      </c>
      <c r="C77" s="34">
        <v>41183</v>
      </c>
      <c r="D77" s="1">
        <v>532</v>
      </c>
      <c r="E77" s="34">
        <v>41183</v>
      </c>
      <c r="F77" s="1">
        <v>7.5</v>
      </c>
      <c r="G77" s="34">
        <v>41183</v>
      </c>
      <c r="H77" s="1">
        <v>0.53</v>
      </c>
      <c r="I77" s="34">
        <v>41183</v>
      </c>
      <c r="J77" s="1">
        <v>142.93</v>
      </c>
      <c r="K77" s="34">
        <v>41183</v>
      </c>
      <c r="L77" s="1">
        <v>1182</v>
      </c>
      <c r="M77" s="34">
        <v>41183</v>
      </c>
      <c r="N77" s="1">
        <v>220.2</v>
      </c>
    </row>
    <row r="78" spans="1:14" x14ac:dyDescent="0.25">
      <c r="A78" s="34">
        <v>41214</v>
      </c>
      <c r="B78" s="1">
        <v>1176.3</v>
      </c>
      <c r="C78" s="34">
        <v>41214</v>
      </c>
      <c r="D78" s="1">
        <v>417</v>
      </c>
      <c r="E78" s="34">
        <v>41214</v>
      </c>
      <c r="F78" s="1">
        <v>7.5</v>
      </c>
      <c r="G78" s="34">
        <v>41214</v>
      </c>
      <c r="H78" s="1">
        <v>0.42</v>
      </c>
      <c r="I78" s="34">
        <v>41214</v>
      </c>
      <c r="J78" s="1">
        <v>143</v>
      </c>
      <c r="K78" s="34">
        <v>41214</v>
      </c>
      <c r="L78" s="1">
        <v>1183.9000000000001</v>
      </c>
      <c r="M78" s="34">
        <v>41214</v>
      </c>
      <c r="N78" s="1">
        <v>221.6</v>
      </c>
    </row>
    <row r="79" spans="1:14" x14ac:dyDescent="0.25">
      <c r="A79" s="34">
        <v>41244</v>
      </c>
      <c r="B79" s="1">
        <v>1177.8</v>
      </c>
      <c r="C79" s="34">
        <v>41244</v>
      </c>
      <c r="D79" s="1">
        <v>474</v>
      </c>
      <c r="E79" s="34">
        <v>41244</v>
      </c>
      <c r="F79" s="1">
        <v>7.5</v>
      </c>
      <c r="G79" s="34">
        <v>41244</v>
      </c>
      <c r="H79" s="1">
        <v>0.17</v>
      </c>
      <c r="I79" s="34">
        <v>41244</v>
      </c>
      <c r="J79" s="1">
        <v>143.06</v>
      </c>
      <c r="K79" s="34">
        <v>41244</v>
      </c>
      <c r="L79" s="1">
        <v>1185.5999999999999</v>
      </c>
      <c r="M79" s="34">
        <v>41244</v>
      </c>
      <c r="N79" s="1">
        <v>220.6</v>
      </c>
    </row>
    <row r="80" spans="1:14" x14ac:dyDescent="0.25">
      <c r="A80" s="34">
        <v>41275</v>
      </c>
      <c r="B80" s="1">
        <v>1177.2</v>
      </c>
      <c r="C80" s="34">
        <v>41275</v>
      </c>
      <c r="D80" s="1">
        <v>365</v>
      </c>
      <c r="E80" s="34">
        <v>41275</v>
      </c>
      <c r="F80" s="1">
        <v>7.5</v>
      </c>
      <c r="G80" s="34">
        <v>41275</v>
      </c>
      <c r="H80" s="1">
        <v>-0.21</v>
      </c>
      <c r="I80" s="34">
        <v>41275</v>
      </c>
      <c r="J80" s="1">
        <v>143.1</v>
      </c>
      <c r="K80" s="34">
        <v>41275</v>
      </c>
      <c r="L80" s="1">
        <v>1159.0999999999999</v>
      </c>
      <c r="M80" s="34">
        <v>41275</v>
      </c>
      <c r="N80" s="1">
        <v>214.1</v>
      </c>
    </row>
    <row r="81" spans="1:14" x14ac:dyDescent="0.25">
      <c r="A81" s="34">
        <v>41306</v>
      </c>
      <c r="B81" s="1">
        <v>1179.2</v>
      </c>
      <c r="C81" s="34">
        <v>41306</v>
      </c>
      <c r="D81" s="1">
        <v>419</v>
      </c>
      <c r="E81" s="34">
        <v>41306</v>
      </c>
      <c r="F81" s="1">
        <v>7.5</v>
      </c>
      <c r="G81" s="34">
        <v>41306</v>
      </c>
      <c r="H81" s="1">
        <v>-0.47</v>
      </c>
      <c r="I81" s="34">
        <v>41306</v>
      </c>
      <c r="J81" s="1">
        <v>143.09</v>
      </c>
      <c r="K81" s="34">
        <v>41306</v>
      </c>
      <c r="L81" s="1">
        <v>1169.3</v>
      </c>
      <c r="M81" s="34">
        <v>41306</v>
      </c>
      <c r="N81" s="1">
        <v>219.3</v>
      </c>
    </row>
    <row r="82" spans="1:14" x14ac:dyDescent="0.25">
      <c r="A82" s="34">
        <v>41334</v>
      </c>
      <c r="B82" s="1">
        <v>1176.9000000000001</v>
      </c>
      <c r="C82" s="34">
        <v>41334</v>
      </c>
      <c r="D82" s="1">
        <v>569</v>
      </c>
      <c r="E82" s="34">
        <v>41334</v>
      </c>
      <c r="F82" s="1">
        <v>7.4</v>
      </c>
      <c r="G82" s="34">
        <v>41334</v>
      </c>
      <c r="H82" s="1">
        <v>-0.04</v>
      </c>
      <c r="I82" s="34">
        <v>41334</v>
      </c>
      <c r="J82" s="1">
        <v>143.05000000000001</v>
      </c>
      <c r="K82" s="34">
        <v>41334</v>
      </c>
      <c r="L82" s="1">
        <v>1176.5999999999999</v>
      </c>
      <c r="M82" s="34">
        <v>41334</v>
      </c>
      <c r="N82" s="1">
        <v>220.1</v>
      </c>
    </row>
    <row r="83" spans="1:14" x14ac:dyDescent="0.25">
      <c r="A83" s="34">
        <v>41365</v>
      </c>
      <c r="B83" s="1">
        <v>1177.2</v>
      </c>
      <c r="C83" s="34">
        <v>41365</v>
      </c>
      <c r="D83" s="1">
        <v>722</v>
      </c>
      <c r="E83" s="34">
        <v>41365</v>
      </c>
      <c r="F83" s="1">
        <v>7.5</v>
      </c>
      <c r="G83" s="34">
        <v>41365</v>
      </c>
      <c r="H83" s="1">
        <v>0.06</v>
      </c>
      <c r="I83" s="34">
        <v>41365</v>
      </c>
      <c r="J83" s="1">
        <v>143</v>
      </c>
      <c r="K83" s="34">
        <v>41365</v>
      </c>
      <c r="L83" s="1">
        <v>1182.7</v>
      </c>
      <c r="M83" s="34">
        <v>41365</v>
      </c>
      <c r="N83" s="1">
        <v>220.6</v>
      </c>
    </row>
    <row r="84" spans="1:14" x14ac:dyDescent="0.25">
      <c r="A84" s="34">
        <v>41395</v>
      </c>
      <c r="B84" s="1">
        <v>1175.0999999999999</v>
      </c>
      <c r="C84" s="34">
        <v>41395</v>
      </c>
      <c r="D84" s="1">
        <v>652</v>
      </c>
      <c r="E84" s="34">
        <v>41395</v>
      </c>
      <c r="F84" s="1">
        <v>7.5</v>
      </c>
      <c r="G84" s="34">
        <v>41395</v>
      </c>
      <c r="H84" s="1">
        <v>0.6</v>
      </c>
      <c r="I84" s="34">
        <v>41395</v>
      </c>
      <c r="J84" s="1">
        <v>142.96</v>
      </c>
      <c r="K84" s="34">
        <v>41395</v>
      </c>
      <c r="L84" s="1">
        <v>1184.5</v>
      </c>
      <c r="M84" s="34">
        <v>41395</v>
      </c>
      <c r="N84" s="1">
        <v>219.1</v>
      </c>
    </row>
    <row r="85" spans="1:14" x14ac:dyDescent="0.25">
      <c r="A85" s="34">
        <v>41426</v>
      </c>
      <c r="B85" s="1">
        <v>1172.7</v>
      </c>
      <c r="C85" s="34">
        <v>41426</v>
      </c>
      <c r="D85" s="1">
        <v>749</v>
      </c>
      <c r="E85" s="34">
        <v>41426</v>
      </c>
      <c r="F85" s="1">
        <v>7.6</v>
      </c>
      <c r="G85" s="34">
        <v>41426</v>
      </c>
      <c r="H85" s="1">
        <v>1.1399999999999999</v>
      </c>
      <c r="I85" s="34">
        <v>41426</v>
      </c>
      <c r="J85" s="1">
        <v>142.96</v>
      </c>
      <c r="K85" s="34">
        <v>41426</v>
      </c>
      <c r="L85" s="1">
        <v>1175.4000000000001</v>
      </c>
      <c r="M85" s="34">
        <v>41426</v>
      </c>
      <c r="N85" s="1">
        <v>213.2</v>
      </c>
    </row>
    <row r="86" spans="1:14" x14ac:dyDescent="0.25">
      <c r="A86" s="34">
        <v>41456</v>
      </c>
      <c r="B86" s="1">
        <v>1173.7</v>
      </c>
      <c r="C86" s="34">
        <v>41456</v>
      </c>
      <c r="D86" s="1">
        <v>624</v>
      </c>
      <c r="E86" s="34">
        <v>41456</v>
      </c>
      <c r="F86" s="1">
        <v>7.7</v>
      </c>
      <c r="G86" s="34">
        <v>41456</v>
      </c>
      <c r="H86" s="1">
        <v>1.41</v>
      </c>
      <c r="I86" s="34">
        <v>41456</v>
      </c>
      <c r="J86" s="1">
        <v>143.04</v>
      </c>
      <c r="K86" s="34">
        <v>41456</v>
      </c>
      <c r="L86" s="1">
        <v>1161.7</v>
      </c>
      <c r="M86" s="34">
        <v>41456</v>
      </c>
      <c r="N86" s="1">
        <v>200.4</v>
      </c>
    </row>
    <row r="87" spans="1:14" x14ac:dyDescent="0.25">
      <c r="A87" s="34">
        <v>41487</v>
      </c>
      <c r="B87" s="1">
        <v>1172.8</v>
      </c>
      <c r="C87" s="34">
        <v>41487</v>
      </c>
      <c r="D87" s="1">
        <v>499</v>
      </c>
      <c r="E87" s="34">
        <v>41487</v>
      </c>
      <c r="F87" s="1">
        <v>7.7</v>
      </c>
      <c r="G87" s="34">
        <v>41487</v>
      </c>
      <c r="H87" s="1">
        <v>1.68</v>
      </c>
      <c r="I87" s="34">
        <v>41487</v>
      </c>
      <c r="J87" s="1">
        <v>143.21</v>
      </c>
      <c r="K87" s="34">
        <v>41487</v>
      </c>
      <c r="L87" s="1">
        <v>1167.3</v>
      </c>
      <c r="M87" s="34">
        <v>41487</v>
      </c>
      <c r="N87" s="1">
        <v>203.3</v>
      </c>
    </row>
    <row r="88" spans="1:14" x14ac:dyDescent="0.25">
      <c r="A88" s="34">
        <v>41518</v>
      </c>
      <c r="B88" s="1">
        <v>1176.3</v>
      </c>
      <c r="C88" s="34">
        <v>41518</v>
      </c>
      <c r="D88" s="1">
        <v>538</v>
      </c>
      <c r="E88" s="34">
        <v>41518</v>
      </c>
      <c r="F88" s="1">
        <v>7.7</v>
      </c>
      <c r="G88" s="34">
        <v>41518</v>
      </c>
      <c r="H88" s="1">
        <v>1.62</v>
      </c>
      <c r="I88" s="34">
        <v>41518</v>
      </c>
      <c r="J88" s="1">
        <v>143.44999999999999</v>
      </c>
      <c r="K88" s="34">
        <v>41518</v>
      </c>
      <c r="L88" s="1">
        <v>1183.3</v>
      </c>
      <c r="M88" s="34">
        <v>41518</v>
      </c>
      <c r="N88" s="1">
        <v>216.5</v>
      </c>
    </row>
    <row r="89" spans="1:14" x14ac:dyDescent="0.25">
      <c r="A89" s="34">
        <v>41548</v>
      </c>
      <c r="B89" s="1">
        <v>1181.0999999999999</v>
      </c>
      <c r="C89" s="34">
        <v>41548</v>
      </c>
      <c r="D89" s="1">
        <v>498</v>
      </c>
      <c r="E89" s="34">
        <v>41548</v>
      </c>
      <c r="F89" s="1">
        <v>7.6</v>
      </c>
      <c r="G89" s="34">
        <v>41548</v>
      </c>
      <c r="H89" s="1">
        <v>1.6</v>
      </c>
      <c r="I89" s="34">
        <v>41548</v>
      </c>
      <c r="J89" s="1">
        <v>143.75</v>
      </c>
      <c r="K89" s="34">
        <v>41548</v>
      </c>
      <c r="L89" s="1">
        <v>1189.4000000000001</v>
      </c>
      <c r="M89" s="34">
        <v>41548</v>
      </c>
      <c r="N89" s="1">
        <v>219.6</v>
      </c>
    </row>
    <row r="90" spans="1:14" x14ac:dyDescent="0.25">
      <c r="A90" s="34">
        <v>41579</v>
      </c>
      <c r="B90" s="1">
        <v>1184.3</v>
      </c>
      <c r="C90" s="34">
        <v>41579</v>
      </c>
      <c r="D90" s="1">
        <v>568</v>
      </c>
      <c r="E90" s="34">
        <v>41579</v>
      </c>
      <c r="F90" s="1">
        <v>7.5</v>
      </c>
      <c r="G90" s="34">
        <v>41579</v>
      </c>
      <c r="H90" s="1">
        <v>1.86</v>
      </c>
      <c r="I90" s="34">
        <v>41579</v>
      </c>
      <c r="J90" s="1">
        <v>144.11000000000001</v>
      </c>
      <c r="K90" s="34">
        <v>41579</v>
      </c>
      <c r="L90" s="1">
        <v>1191.7</v>
      </c>
      <c r="M90" s="34">
        <v>41579</v>
      </c>
      <c r="N90" s="1">
        <v>220.8</v>
      </c>
    </row>
    <row r="91" spans="1:14" x14ac:dyDescent="0.25">
      <c r="A91" s="34">
        <v>41609</v>
      </c>
      <c r="B91" s="1">
        <v>1185.0999999999999</v>
      </c>
      <c r="C91" s="34">
        <v>41609</v>
      </c>
      <c r="D91" s="1">
        <v>367</v>
      </c>
      <c r="E91" s="34">
        <v>41609</v>
      </c>
      <c r="F91" s="1">
        <v>7.4</v>
      </c>
      <c r="G91" s="34">
        <v>41609</v>
      </c>
      <c r="H91" s="1">
        <v>2.0099999999999998</v>
      </c>
      <c r="I91" s="34">
        <v>41609</v>
      </c>
      <c r="J91" s="1">
        <v>144.52000000000001</v>
      </c>
      <c r="K91" s="34">
        <v>41609</v>
      </c>
      <c r="L91" s="1">
        <v>1187.5</v>
      </c>
      <c r="M91" s="34">
        <v>41609</v>
      </c>
      <c r="N91" s="1">
        <v>219.6</v>
      </c>
    </row>
    <row r="92" spans="1:14" x14ac:dyDescent="0.25">
      <c r="A92" s="34">
        <v>41640</v>
      </c>
      <c r="B92" s="1">
        <v>1190</v>
      </c>
      <c r="C92" s="34">
        <v>41640</v>
      </c>
      <c r="D92" s="1">
        <v>347</v>
      </c>
      <c r="E92" s="34">
        <v>41640</v>
      </c>
      <c r="F92" s="1">
        <v>7.3</v>
      </c>
      <c r="G92" s="34">
        <v>41640</v>
      </c>
      <c r="H92" s="1">
        <v>1.68</v>
      </c>
      <c r="I92" s="34">
        <v>41640</v>
      </c>
      <c r="J92" s="1">
        <v>144.94999999999999</v>
      </c>
      <c r="K92" s="34">
        <v>41640</v>
      </c>
      <c r="L92" s="1">
        <v>1172.7</v>
      </c>
      <c r="M92" s="34">
        <v>41640</v>
      </c>
      <c r="N92" s="1">
        <v>213.5</v>
      </c>
    </row>
    <row r="93" spans="1:14" x14ac:dyDescent="0.25">
      <c r="A93" s="34">
        <v>41671</v>
      </c>
      <c r="B93" s="1">
        <v>1188.5999999999999</v>
      </c>
      <c r="C93" s="34">
        <v>41671</v>
      </c>
      <c r="D93" s="1">
        <v>366</v>
      </c>
      <c r="E93" s="34">
        <v>41671</v>
      </c>
      <c r="F93" s="1">
        <v>7.1</v>
      </c>
      <c r="G93" s="34">
        <v>41671</v>
      </c>
      <c r="H93" s="1">
        <v>1.1100000000000001</v>
      </c>
      <c r="I93" s="34">
        <v>41671</v>
      </c>
      <c r="J93" s="1">
        <v>145.38999999999999</v>
      </c>
      <c r="K93" s="34">
        <v>41671</v>
      </c>
      <c r="L93" s="1">
        <v>1176.7</v>
      </c>
      <c r="M93" s="34">
        <v>41671</v>
      </c>
      <c r="N93" s="1">
        <v>218.5</v>
      </c>
    </row>
    <row r="94" spans="1:14" x14ac:dyDescent="0.25">
      <c r="A94" s="34">
        <v>41699</v>
      </c>
      <c r="B94" s="1">
        <v>1188.4000000000001</v>
      </c>
      <c r="C94" s="34">
        <v>41699</v>
      </c>
      <c r="D94" s="1">
        <v>722</v>
      </c>
      <c r="E94" s="34">
        <v>41699</v>
      </c>
      <c r="F94" s="1">
        <v>6.9</v>
      </c>
      <c r="G94" s="34">
        <v>41699</v>
      </c>
      <c r="H94" s="1">
        <v>1.1100000000000001</v>
      </c>
      <c r="I94" s="34">
        <v>41699</v>
      </c>
      <c r="J94" s="1">
        <v>145.80000000000001</v>
      </c>
      <c r="K94" s="34">
        <v>41699</v>
      </c>
      <c r="L94" s="1">
        <v>1188.2</v>
      </c>
      <c r="M94" s="34">
        <v>41699</v>
      </c>
      <c r="N94" s="1">
        <v>219.7</v>
      </c>
    </row>
    <row r="95" spans="1:14" x14ac:dyDescent="0.25">
      <c r="A95" s="34">
        <v>41730</v>
      </c>
      <c r="B95" s="1">
        <v>1189.8</v>
      </c>
      <c r="C95" s="34">
        <v>41730</v>
      </c>
      <c r="D95" s="1">
        <v>567</v>
      </c>
      <c r="E95" s="34">
        <v>41730</v>
      </c>
      <c r="F95" s="1">
        <v>6.6</v>
      </c>
      <c r="G95" s="34">
        <v>41730</v>
      </c>
      <c r="H95" s="1">
        <v>1.1399999999999999</v>
      </c>
      <c r="I95" s="34">
        <v>41730</v>
      </c>
      <c r="J95" s="1">
        <v>146.16999999999999</v>
      </c>
      <c r="K95" s="34">
        <v>41730</v>
      </c>
      <c r="L95" s="1">
        <v>1196.2</v>
      </c>
      <c r="M95" s="34">
        <v>41730</v>
      </c>
      <c r="N95" s="1">
        <v>219.8</v>
      </c>
    </row>
    <row r="96" spans="1:14" x14ac:dyDescent="0.25">
      <c r="A96" s="34">
        <v>41760</v>
      </c>
      <c r="B96" s="1">
        <v>1190.0999999999999</v>
      </c>
      <c r="C96" s="34">
        <v>41760</v>
      </c>
      <c r="D96" s="1">
        <v>1003</v>
      </c>
      <c r="E96" s="34">
        <v>41760</v>
      </c>
      <c r="F96" s="1">
        <v>6.4</v>
      </c>
      <c r="G96" s="34">
        <v>41760</v>
      </c>
      <c r="H96" s="1">
        <v>1.4</v>
      </c>
      <c r="I96" s="34">
        <v>41760</v>
      </c>
      <c r="J96" s="1">
        <v>146.51</v>
      </c>
      <c r="K96" s="34">
        <v>41760</v>
      </c>
      <c r="L96" s="1">
        <v>1198.8</v>
      </c>
      <c r="M96" s="34">
        <v>41760</v>
      </c>
      <c r="N96" s="1">
        <v>218.8</v>
      </c>
    </row>
    <row r="97" spans="1:14" x14ac:dyDescent="0.25">
      <c r="A97" s="34">
        <v>41791</v>
      </c>
      <c r="B97" s="1">
        <v>1186.7</v>
      </c>
      <c r="C97" s="34">
        <v>41791</v>
      </c>
      <c r="D97" s="1">
        <v>543</v>
      </c>
      <c r="E97" s="34">
        <v>41791</v>
      </c>
      <c r="F97" s="1">
        <v>6.3</v>
      </c>
      <c r="G97" s="34">
        <v>41791</v>
      </c>
      <c r="H97" s="1">
        <v>1.83</v>
      </c>
      <c r="I97" s="34">
        <v>41791</v>
      </c>
      <c r="J97" s="1">
        <v>146.85</v>
      </c>
      <c r="K97" s="34">
        <v>41791</v>
      </c>
      <c r="L97" s="1">
        <v>1193</v>
      </c>
      <c r="M97" s="34">
        <v>41791</v>
      </c>
      <c r="N97" s="1">
        <v>212.9</v>
      </c>
    </row>
    <row r="98" spans="1:14" x14ac:dyDescent="0.25">
      <c r="A98" s="34">
        <v>41821</v>
      </c>
      <c r="B98" s="1">
        <v>1190.3</v>
      </c>
      <c r="C98" s="34">
        <v>41821</v>
      </c>
      <c r="D98" s="1">
        <v>408</v>
      </c>
      <c r="E98" s="34">
        <v>41821</v>
      </c>
      <c r="F98" s="1">
        <v>6.2</v>
      </c>
      <c r="G98" s="34">
        <v>41821</v>
      </c>
      <c r="H98" s="1">
        <v>2.54</v>
      </c>
      <c r="I98" s="34">
        <v>41821</v>
      </c>
      <c r="J98" s="1">
        <v>147.22</v>
      </c>
      <c r="K98" s="34">
        <v>41821</v>
      </c>
      <c r="L98" s="1">
        <v>1180.0999999999999</v>
      </c>
      <c r="M98" s="34">
        <v>41821</v>
      </c>
      <c r="N98" s="1">
        <v>200.2</v>
      </c>
    </row>
    <row r="99" spans="1:14" x14ac:dyDescent="0.25">
      <c r="A99" s="34">
        <v>41852</v>
      </c>
      <c r="B99" s="1">
        <v>1191.0999999999999</v>
      </c>
      <c r="C99" s="34">
        <v>41852</v>
      </c>
      <c r="D99" s="1">
        <v>435</v>
      </c>
      <c r="E99" s="34">
        <v>41852</v>
      </c>
      <c r="F99" s="1">
        <v>6.3</v>
      </c>
      <c r="G99" s="34">
        <v>41852</v>
      </c>
      <c r="H99" s="1">
        <v>2.59</v>
      </c>
      <c r="I99" s="34">
        <v>41852</v>
      </c>
      <c r="J99" s="1">
        <v>147.66</v>
      </c>
      <c r="K99" s="34">
        <v>41852</v>
      </c>
      <c r="L99" s="1">
        <v>1183.4000000000001</v>
      </c>
      <c r="M99" s="34">
        <v>41852</v>
      </c>
      <c r="N99" s="1">
        <v>203</v>
      </c>
    </row>
    <row r="100" spans="1:14" x14ac:dyDescent="0.25">
      <c r="A100" s="34">
        <v>41883</v>
      </c>
      <c r="B100" s="1">
        <v>1194.5</v>
      </c>
      <c r="C100" s="34">
        <v>41883</v>
      </c>
      <c r="D100" s="1">
        <v>688</v>
      </c>
      <c r="E100" s="34">
        <v>41883</v>
      </c>
      <c r="F100" s="1">
        <v>6.2</v>
      </c>
      <c r="G100" s="34">
        <v>41883</v>
      </c>
      <c r="H100" s="1">
        <v>2.74</v>
      </c>
      <c r="I100" s="34">
        <v>41883</v>
      </c>
      <c r="J100" s="1">
        <v>148.16</v>
      </c>
      <c r="K100" s="34">
        <v>41883</v>
      </c>
      <c r="L100" s="1">
        <v>1199.0999999999999</v>
      </c>
      <c r="M100" s="34">
        <v>41883</v>
      </c>
      <c r="N100" s="1">
        <v>216.1</v>
      </c>
    </row>
    <row r="101" spans="1:14" x14ac:dyDescent="0.25">
      <c r="A101" s="34">
        <v>41913</v>
      </c>
      <c r="B101" s="1">
        <v>1194.3</v>
      </c>
      <c r="C101" s="34">
        <v>41913</v>
      </c>
      <c r="D101" s="1">
        <v>728</v>
      </c>
      <c r="E101" s="34">
        <v>41913</v>
      </c>
      <c r="F101" s="1">
        <v>6.1</v>
      </c>
      <c r="G101" s="34">
        <v>41913</v>
      </c>
      <c r="H101" s="1">
        <v>2.17</v>
      </c>
      <c r="I101" s="34">
        <v>41913</v>
      </c>
      <c r="J101" s="1">
        <v>148.72</v>
      </c>
      <c r="K101" s="34">
        <v>41913</v>
      </c>
      <c r="L101" s="1">
        <v>1204.7</v>
      </c>
      <c r="M101" s="34">
        <v>41913</v>
      </c>
      <c r="N101" s="1">
        <v>219.2</v>
      </c>
    </row>
    <row r="102" spans="1:14" x14ac:dyDescent="0.25">
      <c r="A102" s="34">
        <v>41944</v>
      </c>
      <c r="B102" s="1">
        <v>1203.4000000000001</v>
      </c>
      <c r="C102" s="34">
        <v>41944</v>
      </c>
      <c r="D102" s="1">
        <v>583</v>
      </c>
      <c r="E102" s="34">
        <v>41944</v>
      </c>
      <c r="F102" s="1">
        <v>5.9</v>
      </c>
      <c r="G102" s="34">
        <v>41944</v>
      </c>
      <c r="H102" s="1">
        <v>2.2000000000000002</v>
      </c>
      <c r="I102" s="34">
        <v>41944</v>
      </c>
      <c r="J102" s="1">
        <v>149.30000000000001</v>
      </c>
      <c r="K102" s="34">
        <v>41944</v>
      </c>
      <c r="L102" s="1">
        <v>1211.5999999999999</v>
      </c>
      <c r="M102" s="34">
        <v>41944</v>
      </c>
      <c r="N102" s="1">
        <v>220.5</v>
      </c>
    </row>
    <row r="103" spans="1:14" x14ac:dyDescent="0.25">
      <c r="A103" s="34">
        <v>41974</v>
      </c>
      <c r="B103" s="1">
        <v>1207.7</v>
      </c>
      <c r="E103" s="34">
        <v>41974</v>
      </c>
      <c r="F103" s="1">
        <v>5.7</v>
      </c>
      <c r="K103" s="34">
        <v>41974</v>
      </c>
      <c r="L103" s="1">
        <v>1210.0999999999999</v>
      </c>
      <c r="M103" s="34">
        <v>41974</v>
      </c>
      <c r="N103" s="1">
        <v>219.6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103"/>
  <sheetViews>
    <sheetView topLeftCell="A82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46</v>
      </c>
      <c r="C1" s="34" t="s">
        <v>47</v>
      </c>
      <c r="E1" s="34" t="s">
        <v>48</v>
      </c>
      <c r="G1" s="34" t="s">
        <v>49</v>
      </c>
      <c r="I1" s="34" t="s">
        <v>50</v>
      </c>
      <c r="K1" s="34" t="str">
        <f>CONCATENATE(LEFT(A1,2), "NAN")</f>
        <v>AZNAN</v>
      </c>
      <c r="M1" s="34" t="str">
        <f>CONCATENATE(LEFT(A1,2), "GOVTN")</f>
        <v>AZGOVTN</v>
      </c>
      <c r="O1" s="34" t="str">
        <f>CONCATENATE(LEFT($A$1,2), "RGSP")</f>
        <v>AZRGSP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850</v>
      </c>
      <c r="C5" s="35" t="s">
        <v>51</v>
      </c>
      <c r="E5" s="35" t="s">
        <v>52</v>
      </c>
      <c r="G5" s="35" t="s">
        <v>53</v>
      </c>
      <c r="I5" s="35" t="s">
        <v>54</v>
      </c>
      <c r="K5" s="35" t="s">
        <v>850</v>
      </c>
      <c r="M5" s="35" t="s">
        <v>851</v>
      </c>
      <c r="O5" s="35" t="s">
        <v>817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2665.3</v>
      </c>
      <c r="C8" s="34">
        <v>39083</v>
      </c>
      <c r="D8" s="1">
        <v>3619</v>
      </c>
      <c r="E8" s="34">
        <v>39083</v>
      </c>
      <c r="F8" s="1">
        <v>3.8</v>
      </c>
      <c r="G8" s="34">
        <v>39083</v>
      </c>
      <c r="H8" s="1">
        <v>0.88</v>
      </c>
      <c r="I8" s="34">
        <v>39083</v>
      </c>
      <c r="J8" s="1">
        <v>201.93</v>
      </c>
      <c r="K8" s="34">
        <v>39083</v>
      </c>
      <c r="L8" s="1">
        <v>2636.3</v>
      </c>
      <c r="M8" s="34">
        <v>39083</v>
      </c>
      <c r="N8" s="1">
        <v>409.8</v>
      </c>
      <c r="O8" s="34">
        <v>39083</v>
      </c>
      <c r="P8" s="1">
        <v>272794</v>
      </c>
    </row>
    <row r="9" spans="1:16" x14ac:dyDescent="0.25">
      <c r="A9" s="34">
        <v>39114</v>
      </c>
      <c r="B9" s="1">
        <v>2673.7</v>
      </c>
      <c r="C9" s="34">
        <v>39114</v>
      </c>
      <c r="D9" s="1">
        <v>6158</v>
      </c>
      <c r="E9" s="34">
        <v>39114</v>
      </c>
      <c r="F9" s="1">
        <v>3.7</v>
      </c>
      <c r="G9" s="34">
        <v>39114</v>
      </c>
      <c r="H9" s="1">
        <v>0.66</v>
      </c>
      <c r="I9" s="34">
        <v>39114</v>
      </c>
      <c r="J9" s="1">
        <v>202.31</v>
      </c>
      <c r="K9" s="34">
        <v>39114</v>
      </c>
      <c r="L9" s="1">
        <v>2674.2</v>
      </c>
      <c r="M9" s="34">
        <v>39114</v>
      </c>
      <c r="N9" s="1">
        <v>425.6</v>
      </c>
      <c r="O9" s="34">
        <v>39448</v>
      </c>
      <c r="P9" s="1">
        <v>264823</v>
      </c>
    </row>
    <row r="10" spans="1:16" x14ac:dyDescent="0.25">
      <c r="A10" s="34">
        <v>39142</v>
      </c>
      <c r="B10" s="1">
        <v>2681</v>
      </c>
      <c r="C10" s="34">
        <v>39142</v>
      </c>
      <c r="D10" s="1">
        <v>6154</v>
      </c>
      <c r="E10" s="34">
        <v>39142</v>
      </c>
      <c r="F10" s="1">
        <v>3.7</v>
      </c>
      <c r="G10" s="34">
        <v>39142</v>
      </c>
      <c r="H10" s="1">
        <v>0.52</v>
      </c>
      <c r="I10" s="34">
        <v>39142</v>
      </c>
      <c r="J10" s="1">
        <v>202.55</v>
      </c>
      <c r="K10" s="34">
        <v>39142</v>
      </c>
      <c r="L10" s="1">
        <v>2692.1</v>
      </c>
      <c r="M10" s="34">
        <v>39142</v>
      </c>
      <c r="N10" s="1">
        <v>426.9</v>
      </c>
      <c r="O10" s="34">
        <v>39814</v>
      </c>
      <c r="P10" s="1">
        <v>243331</v>
      </c>
    </row>
    <row r="11" spans="1:16" x14ac:dyDescent="0.25">
      <c r="A11" s="34">
        <v>39173</v>
      </c>
      <c r="B11" s="1">
        <v>2674.1</v>
      </c>
      <c r="C11" s="34">
        <v>39173</v>
      </c>
      <c r="D11" s="1">
        <v>4251</v>
      </c>
      <c r="E11" s="34">
        <v>39173</v>
      </c>
      <c r="F11" s="1">
        <v>3.5</v>
      </c>
      <c r="G11" s="34">
        <v>39173</v>
      </c>
      <c r="H11" s="1">
        <v>-0.13</v>
      </c>
      <c r="I11" s="34">
        <v>39173</v>
      </c>
      <c r="J11" s="1">
        <v>202.61</v>
      </c>
      <c r="K11" s="34">
        <v>39173</v>
      </c>
      <c r="L11" s="1">
        <v>2682.1</v>
      </c>
      <c r="M11" s="34">
        <v>39173</v>
      </c>
      <c r="N11" s="1">
        <v>426.5</v>
      </c>
      <c r="O11" s="34">
        <v>40179</v>
      </c>
      <c r="P11" s="1">
        <v>245032</v>
      </c>
    </row>
    <row r="12" spans="1:16" x14ac:dyDescent="0.25">
      <c r="A12" s="34">
        <v>39203</v>
      </c>
      <c r="B12" s="1">
        <v>2674.8</v>
      </c>
      <c r="C12" s="34">
        <v>39203</v>
      </c>
      <c r="D12" s="1">
        <v>4502</v>
      </c>
      <c r="E12" s="34">
        <v>39203</v>
      </c>
      <c r="F12" s="1">
        <v>3.5</v>
      </c>
      <c r="G12" s="34">
        <v>39203</v>
      </c>
      <c r="H12" s="1">
        <v>-0.12</v>
      </c>
      <c r="I12" s="34">
        <v>39203</v>
      </c>
      <c r="J12" s="1">
        <v>202.78</v>
      </c>
      <c r="K12" s="34">
        <v>39203</v>
      </c>
      <c r="L12" s="1">
        <v>2687.1</v>
      </c>
      <c r="M12" s="34">
        <v>39203</v>
      </c>
      <c r="N12" s="1">
        <v>425.9</v>
      </c>
      <c r="O12" s="34">
        <v>40544</v>
      </c>
      <c r="P12" s="1">
        <v>251462</v>
      </c>
    </row>
    <row r="13" spans="1:16" x14ac:dyDescent="0.25">
      <c r="A13" s="34">
        <v>39234</v>
      </c>
      <c r="B13" s="1">
        <v>2684.2</v>
      </c>
      <c r="C13" s="34">
        <v>39234</v>
      </c>
      <c r="D13" s="1">
        <v>5371</v>
      </c>
      <c r="E13" s="34">
        <v>39234</v>
      </c>
      <c r="F13" s="1">
        <v>3.5</v>
      </c>
      <c r="G13" s="34">
        <v>39234</v>
      </c>
      <c r="H13" s="1">
        <v>-0.01</v>
      </c>
      <c r="I13" s="34">
        <v>39234</v>
      </c>
      <c r="J13" s="1">
        <v>202.95</v>
      </c>
      <c r="K13" s="34">
        <v>39234</v>
      </c>
      <c r="L13" s="1">
        <v>2655.7</v>
      </c>
      <c r="M13" s="34">
        <v>39234</v>
      </c>
      <c r="N13" s="1">
        <v>391.6</v>
      </c>
      <c r="O13" s="34">
        <v>40909</v>
      </c>
      <c r="P13" s="1">
        <v>259043</v>
      </c>
    </row>
    <row r="14" spans="1:16" x14ac:dyDescent="0.25">
      <c r="A14" s="34">
        <v>39264</v>
      </c>
      <c r="B14" s="1">
        <v>2684.1</v>
      </c>
      <c r="C14" s="34">
        <v>39264</v>
      </c>
      <c r="D14" s="1">
        <v>3726</v>
      </c>
      <c r="E14" s="34">
        <v>39264</v>
      </c>
      <c r="F14" s="1">
        <v>3.5</v>
      </c>
      <c r="G14" s="34">
        <v>39264</v>
      </c>
      <c r="H14" s="1">
        <v>-0.2</v>
      </c>
      <c r="I14" s="34">
        <v>39264</v>
      </c>
      <c r="J14" s="1">
        <v>203.01</v>
      </c>
      <c r="K14" s="34">
        <v>39264</v>
      </c>
      <c r="L14" s="1">
        <v>2629.4</v>
      </c>
      <c r="M14" s="34">
        <v>39264</v>
      </c>
      <c r="N14" s="1">
        <v>385.1</v>
      </c>
      <c r="O14" s="34">
        <v>41275</v>
      </c>
      <c r="P14" s="1">
        <v>261924</v>
      </c>
    </row>
    <row r="15" spans="1:16" x14ac:dyDescent="0.25">
      <c r="A15" s="34">
        <v>39295</v>
      </c>
      <c r="B15" s="1">
        <v>2683.1</v>
      </c>
      <c r="C15" s="34">
        <v>39295</v>
      </c>
      <c r="D15" s="1">
        <v>3591</v>
      </c>
      <c r="E15" s="34">
        <v>39295</v>
      </c>
      <c r="F15" s="1">
        <v>3.6</v>
      </c>
      <c r="G15" s="34">
        <v>39295</v>
      </c>
      <c r="H15" s="1">
        <v>-0.55000000000000004</v>
      </c>
      <c r="I15" s="34">
        <v>39295</v>
      </c>
      <c r="J15" s="1">
        <v>203.01</v>
      </c>
      <c r="K15" s="34">
        <v>39295</v>
      </c>
      <c r="L15" s="1">
        <v>2668.1</v>
      </c>
      <c r="M15" s="34">
        <v>39295</v>
      </c>
      <c r="N15" s="1">
        <v>412</v>
      </c>
    </row>
    <row r="16" spans="1:16" x14ac:dyDescent="0.25">
      <c r="A16" s="34">
        <v>39326</v>
      </c>
      <c r="B16" s="1">
        <v>2683.6</v>
      </c>
      <c r="C16" s="34">
        <v>39326</v>
      </c>
      <c r="D16" s="1">
        <v>3349</v>
      </c>
      <c r="E16" s="34">
        <v>39326</v>
      </c>
      <c r="F16" s="1">
        <v>3.7</v>
      </c>
      <c r="G16" s="34">
        <v>39326</v>
      </c>
      <c r="H16" s="1">
        <v>-1.1499999999999999</v>
      </c>
      <c r="I16" s="34">
        <v>39326</v>
      </c>
      <c r="J16" s="1">
        <v>202.75</v>
      </c>
      <c r="K16" s="34">
        <v>39326</v>
      </c>
      <c r="L16" s="1">
        <v>2688.7</v>
      </c>
      <c r="M16" s="34">
        <v>39326</v>
      </c>
      <c r="N16" s="1">
        <v>433.1</v>
      </c>
    </row>
    <row r="17" spans="1:14" x14ac:dyDescent="0.25">
      <c r="A17" s="34">
        <v>39356</v>
      </c>
      <c r="B17" s="1">
        <v>2687.1</v>
      </c>
      <c r="C17" s="34">
        <v>39356</v>
      </c>
      <c r="D17" s="1">
        <v>2286</v>
      </c>
      <c r="E17" s="34">
        <v>39356</v>
      </c>
      <c r="F17" s="1">
        <v>3.8</v>
      </c>
      <c r="G17" s="34">
        <v>39356</v>
      </c>
      <c r="H17" s="1">
        <v>-1.19</v>
      </c>
      <c r="I17" s="34">
        <v>39356</v>
      </c>
      <c r="J17" s="1">
        <v>202.48</v>
      </c>
      <c r="K17" s="34">
        <v>39356</v>
      </c>
      <c r="L17" s="1">
        <v>2701.3</v>
      </c>
      <c r="M17" s="34">
        <v>39356</v>
      </c>
      <c r="N17" s="1">
        <v>436.8</v>
      </c>
    </row>
    <row r="18" spans="1:14" x14ac:dyDescent="0.25">
      <c r="A18" s="34">
        <v>39387</v>
      </c>
      <c r="B18" s="1">
        <v>2685.2</v>
      </c>
      <c r="C18" s="34">
        <v>39387</v>
      </c>
      <c r="D18" s="1">
        <v>3230</v>
      </c>
      <c r="E18" s="34">
        <v>39387</v>
      </c>
      <c r="F18" s="1">
        <v>4</v>
      </c>
      <c r="G18" s="34">
        <v>39387</v>
      </c>
      <c r="H18" s="1">
        <v>-1.43</v>
      </c>
      <c r="I18" s="34">
        <v>39387</v>
      </c>
      <c r="J18" s="1">
        <v>202.08</v>
      </c>
      <c r="K18" s="34">
        <v>39387</v>
      </c>
      <c r="L18" s="1">
        <v>2718.4</v>
      </c>
      <c r="M18" s="34">
        <v>39387</v>
      </c>
      <c r="N18" s="1">
        <v>439.9</v>
      </c>
    </row>
    <row r="19" spans="1:14" x14ac:dyDescent="0.25">
      <c r="A19" s="34">
        <v>39417</v>
      </c>
      <c r="B19" s="1">
        <v>2680</v>
      </c>
      <c r="C19" s="34">
        <v>39417</v>
      </c>
      <c r="D19" s="1">
        <v>1728</v>
      </c>
      <c r="E19" s="34">
        <v>39417</v>
      </c>
      <c r="F19" s="1">
        <v>4.0999999999999996</v>
      </c>
      <c r="G19" s="34">
        <v>39417</v>
      </c>
      <c r="H19" s="1">
        <v>-1.48</v>
      </c>
      <c r="I19" s="34">
        <v>39417</v>
      </c>
      <c r="J19" s="1">
        <v>201.61</v>
      </c>
      <c r="K19" s="34">
        <v>39417</v>
      </c>
      <c r="L19" s="1">
        <v>2719.7</v>
      </c>
      <c r="M19" s="34">
        <v>39417</v>
      </c>
      <c r="N19" s="1">
        <v>439.2</v>
      </c>
    </row>
    <row r="20" spans="1:14" x14ac:dyDescent="0.25">
      <c r="A20" s="34">
        <v>39448</v>
      </c>
      <c r="B20" s="1">
        <v>2678.5</v>
      </c>
      <c r="C20" s="34">
        <v>39448</v>
      </c>
      <c r="D20" s="1">
        <v>2670</v>
      </c>
      <c r="E20" s="34">
        <v>39448</v>
      </c>
      <c r="F20" s="1">
        <v>4.2</v>
      </c>
      <c r="G20" s="34">
        <v>39448</v>
      </c>
      <c r="H20" s="1">
        <v>-1.79</v>
      </c>
      <c r="I20" s="34">
        <v>39448</v>
      </c>
      <c r="J20" s="1">
        <v>201.06</v>
      </c>
      <c r="K20" s="34">
        <v>39448</v>
      </c>
      <c r="L20" s="1">
        <v>2650.5</v>
      </c>
      <c r="M20" s="34">
        <v>39448</v>
      </c>
      <c r="N20" s="1">
        <v>429.9</v>
      </c>
    </row>
    <row r="21" spans="1:14" x14ac:dyDescent="0.25">
      <c r="A21" s="34">
        <v>39479</v>
      </c>
      <c r="B21" s="1">
        <v>2672.2</v>
      </c>
      <c r="C21" s="34">
        <v>39479</v>
      </c>
      <c r="D21" s="1">
        <v>2151</v>
      </c>
      <c r="E21" s="34">
        <v>39479</v>
      </c>
      <c r="F21" s="1">
        <v>4.4000000000000004</v>
      </c>
      <c r="G21" s="34">
        <v>39479</v>
      </c>
      <c r="H21" s="1">
        <v>-2.14</v>
      </c>
      <c r="I21" s="34">
        <v>39479</v>
      </c>
      <c r="J21" s="1">
        <v>200.33</v>
      </c>
      <c r="K21" s="34">
        <v>39479</v>
      </c>
      <c r="L21" s="1">
        <v>2673.2</v>
      </c>
      <c r="M21" s="34">
        <v>39479</v>
      </c>
      <c r="N21" s="1">
        <v>442.6</v>
      </c>
    </row>
    <row r="22" spans="1:14" x14ac:dyDescent="0.25">
      <c r="A22" s="34">
        <v>39508</v>
      </c>
      <c r="B22" s="1">
        <v>2661.2</v>
      </c>
      <c r="C22" s="34">
        <v>39508</v>
      </c>
      <c r="D22" s="1">
        <v>2417</v>
      </c>
      <c r="E22" s="34">
        <v>39508</v>
      </c>
      <c r="F22" s="1">
        <v>4.5</v>
      </c>
      <c r="G22" s="34">
        <v>39508</v>
      </c>
      <c r="H22" s="1">
        <v>-2.4</v>
      </c>
      <c r="I22" s="34">
        <v>39508</v>
      </c>
      <c r="J22" s="1">
        <v>199.51</v>
      </c>
      <c r="K22" s="34">
        <v>39508</v>
      </c>
      <c r="L22" s="1">
        <v>2672.3</v>
      </c>
      <c r="M22" s="34">
        <v>39508</v>
      </c>
      <c r="N22" s="1">
        <v>441.6</v>
      </c>
    </row>
    <row r="23" spans="1:14" x14ac:dyDescent="0.25">
      <c r="A23" s="34">
        <v>39539</v>
      </c>
      <c r="B23" s="1">
        <v>2653.2</v>
      </c>
      <c r="C23" s="34">
        <v>39539</v>
      </c>
      <c r="D23" s="1">
        <v>2913</v>
      </c>
      <c r="E23" s="34">
        <v>39539</v>
      </c>
      <c r="F23" s="1">
        <v>4.8</v>
      </c>
      <c r="G23" s="34">
        <v>39539</v>
      </c>
      <c r="H23" s="1">
        <v>-2.72</v>
      </c>
      <c r="I23" s="34">
        <v>39539</v>
      </c>
      <c r="J23" s="1">
        <v>198.51</v>
      </c>
      <c r="K23" s="34">
        <v>39539</v>
      </c>
      <c r="L23" s="1">
        <v>2661.9</v>
      </c>
      <c r="M23" s="34">
        <v>39539</v>
      </c>
      <c r="N23" s="1">
        <v>442.8</v>
      </c>
    </row>
    <row r="24" spans="1:14" x14ac:dyDescent="0.25">
      <c r="A24" s="34">
        <v>39569</v>
      </c>
      <c r="B24" s="1">
        <v>2645.2</v>
      </c>
      <c r="C24" s="34">
        <v>39569</v>
      </c>
      <c r="D24" s="1">
        <v>2683</v>
      </c>
      <c r="E24" s="34">
        <v>39569</v>
      </c>
      <c r="F24" s="1">
        <v>5.0999999999999996</v>
      </c>
      <c r="G24" s="34">
        <v>39569</v>
      </c>
      <c r="H24" s="1">
        <v>-2.48</v>
      </c>
      <c r="I24" s="34">
        <v>39569</v>
      </c>
      <c r="J24" s="1">
        <v>197.61</v>
      </c>
      <c r="K24" s="34">
        <v>39569</v>
      </c>
      <c r="L24" s="1">
        <v>2655</v>
      </c>
      <c r="M24" s="34">
        <v>39569</v>
      </c>
      <c r="N24" s="1">
        <v>441.9</v>
      </c>
    </row>
    <row r="25" spans="1:14" x14ac:dyDescent="0.25">
      <c r="A25" s="34">
        <v>39600</v>
      </c>
      <c r="B25" s="1">
        <v>2635.8</v>
      </c>
      <c r="C25" s="34">
        <v>39600</v>
      </c>
      <c r="D25" s="1">
        <v>2969</v>
      </c>
      <c r="E25" s="34">
        <v>39600</v>
      </c>
      <c r="F25" s="1">
        <v>5.7</v>
      </c>
      <c r="G25" s="34">
        <v>39600</v>
      </c>
      <c r="H25" s="1">
        <v>-2.7</v>
      </c>
      <c r="I25" s="34">
        <v>39600</v>
      </c>
      <c r="J25" s="1">
        <v>196.52</v>
      </c>
      <c r="K25" s="34">
        <v>39600</v>
      </c>
      <c r="L25" s="1">
        <v>2605.5</v>
      </c>
      <c r="M25" s="34">
        <v>39600</v>
      </c>
      <c r="N25" s="1">
        <v>406.4</v>
      </c>
    </row>
    <row r="26" spans="1:14" x14ac:dyDescent="0.25">
      <c r="A26" s="34">
        <v>39630</v>
      </c>
      <c r="B26" s="1">
        <v>2619.6999999999998</v>
      </c>
      <c r="C26" s="34">
        <v>39630</v>
      </c>
      <c r="D26" s="1">
        <v>2350</v>
      </c>
      <c r="E26" s="34">
        <v>39630</v>
      </c>
      <c r="F26" s="1">
        <v>6.1</v>
      </c>
      <c r="G26" s="34">
        <v>39630</v>
      </c>
      <c r="H26" s="1">
        <v>-3.09</v>
      </c>
      <c r="I26" s="34">
        <v>39630</v>
      </c>
      <c r="J26" s="1">
        <v>195.35</v>
      </c>
      <c r="K26" s="34">
        <v>39630</v>
      </c>
      <c r="L26" s="1">
        <v>2563.4</v>
      </c>
      <c r="M26" s="34">
        <v>39630</v>
      </c>
      <c r="N26" s="1">
        <v>391.1</v>
      </c>
    </row>
    <row r="27" spans="1:14" x14ac:dyDescent="0.25">
      <c r="A27" s="34">
        <v>39661</v>
      </c>
      <c r="B27" s="1">
        <v>2617</v>
      </c>
      <c r="C27" s="34">
        <v>39661</v>
      </c>
      <c r="D27" s="1">
        <v>1806</v>
      </c>
      <c r="E27" s="34">
        <v>39661</v>
      </c>
      <c r="F27" s="1">
        <v>6.6</v>
      </c>
      <c r="G27" s="34">
        <v>39661</v>
      </c>
      <c r="H27" s="1">
        <v>-3.24</v>
      </c>
      <c r="I27" s="34">
        <v>39661</v>
      </c>
      <c r="J27" s="1">
        <v>194.25</v>
      </c>
      <c r="K27" s="34">
        <v>39661</v>
      </c>
      <c r="L27" s="1">
        <v>2601.6</v>
      </c>
      <c r="M27" s="34">
        <v>39661</v>
      </c>
      <c r="N27" s="1">
        <v>422.2</v>
      </c>
    </row>
    <row r="28" spans="1:14" x14ac:dyDescent="0.25">
      <c r="A28" s="34">
        <v>39692</v>
      </c>
      <c r="B28" s="1">
        <v>2602.5</v>
      </c>
      <c r="C28" s="34">
        <v>39692</v>
      </c>
      <c r="D28" s="1">
        <v>1784</v>
      </c>
      <c r="E28" s="34">
        <v>39692</v>
      </c>
      <c r="F28" s="1">
        <v>7</v>
      </c>
      <c r="G28" s="34">
        <v>39692</v>
      </c>
      <c r="H28" s="1">
        <v>-3.71</v>
      </c>
      <c r="I28" s="34">
        <v>39692</v>
      </c>
      <c r="J28" s="1">
        <v>192.83</v>
      </c>
      <c r="K28" s="34">
        <v>39692</v>
      </c>
      <c r="L28" s="1">
        <v>2607.4</v>
      </c>
      <c r="M28" s="34">
        <v>39692</v>
      </c>
      <c r="N28" s="1">
        <v>438.8</v>
      </c>
    </row>
    <row r="29" spans="1:14" x14ac:dyDescent="0.25">
      <c r="A29" s="34">
        <v>39722</v>
      </c>
      <c r="B29" s="1">
        <v>2583.3000000000002</v>
      </c>
      <c r="C29" s="34">
        <v>39722</v>
      </c>
      <c r="D29" s="1">
        <v>1271</v>
      </c>
      <c r="E29" s="34">
        <v>39722</v>
      </c>
      <c r="F29" s="1">
        <v>7.4</v>
      </c>
      <c r="G29" s="34">
        <v>39722</v>
      </c>
      <c r="H29" s="1">
        <v>-4.5599999999999996</v>
      </c>
      <c r="I29" s="34">
        <v>39722</v>
      </c>
      <c r="J29" s="1">
        <v>191.3</v>
      </c>
      <c r="K29" s="34">
        <v>39722</v>
      </c>
      <c r="L29" s="1">
        <v>2600.4</v>
      </c>
      <c r="M29" s="34">
        <v>39722</v>
      </c>
      <c r="N29" s="1">
        <v>442.7</v>
      </c>
    </row>
    <row r="30" spans="1:14" x14ac:dyDescent="0.25">
      <c r="A30" s="34">
        <v>39753</v>
      </c>
      <c r="B30" s="1">
        <v>2563.8000000000002</v>
      </c>
      <c r="C30" s="34">
        <v>39753</v>
      </c>
      <c r="D30" s="1">
        <v>999</v>
      </c>
      <c r="E30" s="34">
        <v>39753</v>
      </c>
      <c r="F30" s="1">
        <v>7.7</v>
      </c>
      <c r="G30" s="34">
        <v>39753</v>
      </c>
      <c r="H30" s="1">
        <v>-5.04</v>
      </c>
      <c r="I30" s="34">
        <v>39753</v>
      </c>
      <c r="J30" s="1">
        <v>189.59</v>
      </c>
      <c r="K30" s="34">
        <v>39753</v>
      </c>
      <c r="L30" s="1">
        <v>2597</v>
      </c>
      <c r="M30" s="34">
        <v>39753</v>
      </c>
      <c r="N30" s="1">
        <v>445.2</v>
      </c>
    </row>
    <row r="31" spans="1:14" x14ac:dyDescent="0.25">
      <c r="A31" s="34">
        <v>39783</v>
      </c>
      <c r="B31" s="1">
        <v>2540.6999999999998</v>
      </c>
      <c r="C31" s="34">
        <v>39783</v>
      </c>
      <c r="D31" s="1">
        <v>777</v>
      </c>
      <c r="E31" s="34">
        <v>39783</v>
      </c>
      <c r="F31" s="1">
        <v>8</v>
      </c>
      <c r="G31" s="34">
        <v>39783</v>
      </c>
      <c r="H31" s="1">
        <v>-5.47</v>
      </c>
      <c r="I31" s="34">
        <v>39783</v>
      </c>
      <c r="J31" s="1">
        <v>187.77</v>
      </c>
      <c r="K31" s="34">
        <v>39783</v>
      </c>
      <c r="L31" s="1">
        <v>2581.8000000000002</v>
      </c>
      <c r="M31" s="34">
        <v>39783</v>
      </c>
      <c r="N31" s="1">
        <v>442.6</v>
      </c>
    </row>
    <row r="32" spans="1:14" x14ac:dyDescent="0.25">
      <c r="A32" s="34">
        <v>39814</v>
      </c>
      <c r="B32" s="1">
        <v>2517.1999999999998</v>
      </c>
      <c r="C32" s="34">
        <v>39814</v>
      </c>
      <c r="D32" s="1">
        <v>743</v>
      </c>
      <c r="E32" s="34">
        <v>39814</v>
      </c>
      <c r="F32" s="1">
        <v>8.3000000000000007</v>
      </c>
      <c r="G32" s="34">
        <v>39814</v>
      </c>
      <c r="H32" s="1">
        <v>-5.69</v>
      </c>
      <c r="I32" s="34">
        <v>39814</v>
      </c>
      <c r="J32" s="1">
        <v>185.86</v>
      </c>
      <c r="K32" s="34">
        <v>39814</v>
      </c>
      <c r="L32" s="1">
        <v>2498.6999999999998</v>
      </c>
      <c r="M32" s="34">
        <v>39814</v>
      </c>
      <c r="N32" s="1">
        <v>430.1</v>
      </c>
    </row>
    <row r="33" spans="1:14" x14ac:dyDescent="0.25">
      <c r="A33" s="34">
        <v>39845</v>
      </c>
      <c r="B33" s="1">
        <v>2491.3000000000002</v>
      </c>
      <c r="C33" s="34">
        <v>39845</v>
      </c>
      <c r="D33" s="1">
        <v>878</v>
      </c>
      <c r="E33" s="34">
        <v>39845</v>
      </c>
      <c r="F33" s="1">
        <v>8.6</v>
      </c>
      <c r="G33" s="34">
        <v>39845</v>
      </c>
      <c r="H33" s="1">
        <v>-5.99</v>
      </c>
      <c r="I33" s="34">
        <v>39845</v>
      </c>
      <c r="J33" s="1">
        <v>183.87</v>
      </c>
      <c r="K33" s="34">
        <v>39845</v>
      </c>
      <c r="L33" s="1">
        <v>2493.6999999999998</v>
      </c>
      <c r="M33" s="34">
        <v>39845</v>
      </c>
      <c r="N33" s="1">
        <v>439.6</v>
      </c>
    </row>
    <row r="34" spans="1:14" x14ac:dyDescent="0.25">
      <c r="A34" s="34">
        <v>39873</v>
      </c>
      <c r="B34" s="1">
        <v>2472.1999999999998</v>
      </c>
      <c r="C34" s="34">
        <v>39873</v>
      </c>
      <c r="D34" s="1">
        <v>864</v>
      </c>
      <c r="E34" s="34">
        <v>39873</v>
      </c>
      <c r="F34" s="1">
        <v>8.9</v>
      </c>
      <c r="G34" s="34">
        <v>39873</v>
      </c>
      <c r="H34" s="1">
        <v>-5.29</v>
      </c>
      <c r="I34" s="34">
        <v>39873</v>
      </c>
      <c r="J34" s="1">
        <v>182.15</v>
      </c>
      <c r="K34" s="34">
        <v>39873</v>
      </c>
      <c r="L34" s="1">
        <v>2485.1</v>
      </c>
      <c r="M34" s="34">
        <v>39873</v>
      </c>
      <c r="N34" s="1">
        <v>437.9</v>
      </c>
    </row>
    <row r="35" spans="1:14" x14ac:dyDescent="0.25">
      <c r="A35" s="34">
        <v>39904</v>
      </c>
      <c r="B35" s="1">
        <v>2448</v>
      </c>
      <c r="C35" s="34">
        <v>39904</v>
      </c>
      <c r="D35" s="1">
        <v>1062</v>
      </c>
      <c r="E35" s="34">
        <v>39904</v>
      </c>
      <c r="F35" s="1">
        <v>9.3000000000000007</v>
      </c>
      <c r="G35" s="34">
        <v>39904</v>
      </c>
      <c r="H35" s="1">
        <v>-4.24</v>
      </c>
      <c r="I35" s="34">
        <v>39904</v>
      </c>
      <c r="J35" s="1">
        <v>180.41</v>
      </c>
      <c r="K35" s="34">
        <v>39904</v>
      </c>
      <c r="L35" s="1">
        <v>2467.5</v>
      </c>
      <c r="M35" s="34">
        <v>39904</v>
      </c>
      <c r="N35" s="1">
        <v>440.2</v>
      </c>
    </row>
    <row r="36" spans="1:14" x14ac:dyDescent="0.25">
      <c r="A36" s="34">
        <v>39934</v>
      </c>
      <c r="B36" s="1">
        <v>2439.1</v>
      </c>
      <c r="C36" s="34">
        <v>39934</v>
      </c>
      <c r="D36" s="1">
        <v>1178</v>
      </c>
      <c r="E36" s="34">
        <v>39934</v>
      </c>
      <c r="F36" s="1">
        <v>9.6</v>
      </c>
      <c r="G36" s="34">
        <v>39934</v>
      </c>
      <c r="H36" s="1">
        <v>-3.29</v>
      </c>
      <c r="I36" s="34">
        <v>39934</v>
      </c>
      <c r="J36" s="1">
        <v>179.12</v>
      </c>
      <c r="K36" s="34">
        <v>39934</v>
      </c>
      <c r="L36" s="1">
        <v>2451.8000000000002</v>
      </c>
      <c r="M36" s="34">
        <v>39934</v>
      </c>
      <c r="N36" s="1">
        <v>433.7</v>
      </c>
    </row>
    <row r="37" spans="1:14" x14ac:dyDescent="0.25">
      <c r="A37" s="34">
        <v>39965</v>
      </c>
      <c r="B37" s="1">
        <v>2427</v>
      </c>
      <c r="C37" s="34">
        <v>39965</v>
      </c>
      <c r="D37" s="1">
        <v>1606</v>
      </c>
      <c r="E37" s="34">
        <v>39965</v>
      </c>
      <c r="F37" s="1">
        <v>9.9</v>
      </c>
      <c r="G37" s="34">
        <v>39965</v>
      </c>
      <c r="H37" s="1">
        <v>-2.2200000000000002</v>
      </c>
      <c r="I37" s="34">
        <v>39965</v>
      </c>
      <c r="J37" s="1">
        <v>177.75</v>
      </c>
      <c r="K37" s="34">
        <v>39965</v>
      </c>
      <c r="L37" s="1">
        <v>2391.6</v>
      </c>
      <c r="M37" s="34">
        <v>39965</v>
      </c>
      <c r="N37" s="1">
        <v>391.8</v>
      </c>
    </row>
    <row r="38" spans="1:14" x14ac:dyDescent="0.25">
      <c r="A38" s="34">
        <v>39995</v>
      </c>
      <c r="B38" s="1">
        <v>2419.9</v>
      </c>
      <c r="C38" s="34">
        <v>39995</v>
      </c>
      <c r="D38" s="1">
        <v>2029</v>
      </c>
      <c r="E38" s="34">
        <v>39995</v>
      </c>
      <c r="F38" s="1">
        <v>10.199999999999999</v>
      </c>
      <c r="G38" s="34">
        <v>39995</v>
      </c>
      <c r="H38" s="1">
        <v>-1.61</v>
      </c>
      <c r="I38" s="34">
        <v>39995</v>
      </c>
      <c r="J38" s="1">
        <v>176.81</v>
      </c>
      <c r="K38" s="34">
        <v>39995</v>
      </c>
      <c r="L38" s="1">
        <v>2363.5</v>
      </c>
      <c r="M38" s="34">
        <v>39995</v>
      </c>
      <c r="N38" s="1">
        <v>381.9</v>
      </c>
    </row>
    <row r="39" spans="1:14" x14ac:dyDescent="0.25">
      <c r="A39" s="34">
        <v>40026</v>
      </c>
      <c r="B39" s="1">
        <v>2409.5</v>
      </c>
      <c r="C39" s="34">
        <v>40026</v>
      </c>
      <c r="D39" s="1">
        <v>1206</v>
      </c>
      <c r="E39" s="34">
        <v>40026</v>
      </c>
      <c r="F39" s="1">
        <v>10.4</v>
      </c>
      <c r="G39" s="34">
        <v>40026</v>
      </c>
      <c r="H39" s="1">
        <v>-1.67</v>
      </c>
      <c r="I39" s="34">
        <v>40026</v>
      </c>
      <c r="J39" s="1">
        <v>175.83</v>
      </c>
      <c r="K39" s="34">
        <v>40026</v>
      </c>
      <c r="L39" s="1">
        <v>2387.6</v>
      </c>
      <c r="M39" s="34">
        <v>40026</v>
      </c>
      <c r="N39" s="1">
        <v>405</v>
      </c>
    </row>
    <row r="40" spans="1:14" x14ac:dyDescent="0.25">
      <c r="A40" s="34">
        <v>40057</v>
      </c>
      <c r="B40" s="1">
        <v>2397.4</v>
      </c>
      <c r="C40" s="34">
        <v>40057</v>
      </c>
      <c r="D40" s="1">
        <v>1180</v>
      </c>
      <c r="E40" s="34">
        <v>40057</v>
      </c>
      <c r="F40" s="1">
        <v>10.5</v>
      </c>
      <c r="G40" s="34">
        <v>40057</v>
      </c>
      <c r="H40" s="1">
        <v>-1.48</v>
      </c>
      <c r="I40" s="34">
        <v>40057</v>
      </c>
      <c r="J40" s="1">
        <v>175.09</v>
      </c>
      <c r="K40" s="34">
        <v>40057</v>
      </c>
      <c r="L40" s="1">
        <v>2400.6</v>
      </c>
      <c r="M40" s="34">
        <v>40057</v>
      </c>
      <c r="N40" s="1">
        <v>427</v>
      </c>
    </row>
    <row r="41" spans="1:14" x14ac:dyDescent="0.25">
      <c r="A41" s="34">
        <v>40087</v>
      </c>
      <c r="B41" s="1">
        <v>2392.5</v>
      </c>
      <c r="C41" s="34">
        <v>40087</v>
      </c>
      <c r="D41" s="1">
        <v>1111</v>
      </c>
      <c r="E41" s="34">
        <v>40087</v>
      </c>
      <c r="F41" s="1">
        <v>10.6</v>
      </c>
      <c r="G41" s="34">
        <v>40087</v>
      </c>
      <c r="H41" s="1">
        <v>-1.08</v>
      </c>
      <c r="I41" s="34">
        <v>40087</v>
      </c>
      <c r="J41" s="1">
        <v>174.47</v>
      </c>
      <c r="K41" s="34">
        <v>40087</v>
      </c>
      <c r="L41" s="1">
        <v>2407.4</v>
      </c>
      <c r="M41" s="34">
        <v>40087</v>
      </c>
      <c r="N41" s="1">
        <v>430.6</v>
      </c>
    </row>
    <row r="42" spans="1:14" x14ac:dyDescent="0.25">
      <c r="A42" s="34">
        <v>40118</v>
      </c>
      <c r="B42" s="1">
        <v>2388.6</v>
      </c>
      <c r="C42" s="34">
        <v>40118</v>
      </c>
      <c r="D42" s="1">
        <v>987</v>
      </c>
      <c r="E42" s="34">
        <v>40118</v>
      </c>
      <c r="F42" s="1">
        <v>10.7</v>
      </c>
      <c r="G42" s="34">
        <v>40118</v>
      </c>
      <c r="H42" s="1">
        <v>-0.79</v>
      </c>
      <c r="I42" s="34">
        <v>40118</v>
      </c>
      <c r="J42" s="1">
        <v>173.98</v>
      </c>
      <c r="K42" s="34">
        <v>40118</v>
      </c>
      <c r="L42" s="1">
        <v>2421.8000000000002</v>
      </c>
      <c r="M42" s="34">
        <v>40118</v>
      </c>
      <c r="N42" s="1">
        <v>431.3</v>
      </c>
    </row>
    <row r="43" spans="1:14" x14ac:dyDescent="0.25">
      <c r="A43" s="34">
        <v>40148</v>
      </c>
      <c r="B43" s="1">
        <v>2382.4</v>
      </c>
      <c r="C43" s="34">
        <v>40148</v>
      </c>
      <c r="D43" s="1">
        <v>1427</v>
      </c>
      <c r="E43" s="34">
        <v>40148</v>
      </c>
      <c r="F43" s="1">
        <v>10.7</v>
      </c>
      <c r="G43" s="34">
        <v>40148</v>
      </c>
      <c r="H43" s="1">
        <v>-0.57999999999999996</v>
      </c>
      <c r="I43" s="34">
        <v>40148</v>
      </c>
      <c r="J43" s="1">
        <v>173.59</v>
      </c>
      <c r="K43" s="34">
        <v>40148</v>
      </c>
      <c r="L43" s="1">
        <v>2422.1</v>
      </c>
      <c r="M43" s="34">
        <v>40148</v>
      </c>
      <c r="N43" s="1">
        <v>427.2</v>
      </c>
    </row>
    <row r="44" spans="1:14" x14ac:dyDescent="0.25">
      <c r="A44" s="34">
        <v>40179</v>
      </c>
      <c r="B44" s="1">
        <v>2382</v>
      </c>
      <c r="C44" s="34">
        <v>40179</v>
      </c>
      <c r="D44" s="1">
        <v>1258</v>
      </c>
      <c r="E44" s="34">
        <v>40179</v>
      </c>
      <c r="F44" s="1">
        <v>10.8</v>
      </c>
      <c r="G44" s="34">
        <v>40179</v>
      </c>
      <c r="H44" s="1">
        <v>-0.56999999999999995</v>
      </c>
      <c r="I44" s="34">
        <v>40179</v>
      </c>
      <c r="J44" s="1">
        <v>173.31</v>
      </c>
      <c r="K44" s="34">
        <v>40179</v>
      </c>
      <c r="L44" s="1">
        <v>2366.3000000000002</v>
      </c>
      <c r="M44" s="34">
        <v>40179</v>
      </c>
      <c r="N44" s="1">
        <v>418.4</v>
      </c>
    </row>
    <row r="45" spans="1:14" x14ac:dyDescent="0.25">
      <c r="A45" s="34">
        <v>40210</v>
      </c>
      <c r="B45" s="1">
        <v>2381.9</v>
      </c>
      <c r="C45" s="34">
        <v>40210</v>
      </c>
      <c r="D45" s="1">
        <v>1121</v>
      </c>
      <c r="E45" s="34">
        <v>40210</v>
      </c>
      <c r="F45" s="1">
        <v>10.7</v>
      </c>
      <c r="G45" s="34">
        <v>40210</v>
      </c>
      <c r="H45" s="1">
        <v>0.21</v>
      </c>
      <c r="I45" s="34">
        <v>40210</v>
      </c>
      <c r="J45" s="1">
        <v>173.2</v>
      </c>
      <c r="K45" s="34">
        <v>40210</v>
      </c>
      <c r="L45" s="1">
        <v>2385.1999999999998</v>
      </c>
      <c r="M45" s="34">
        <v>40210</v>
      </c>
      <c r="N45" s="1">
        <v>429.6</v>
      </c>
    </row>
    <row r="46" spans="1:14" x14ac:dyDescent="0.25">
      <c r="A46" s="34">
        <v>40238</v>
      </c>
      <c r="B46" s="1">
        <v>2384.1</v>
      </c>
      <c r="C46" s="34">
        <v>40238</v>
      </c>
      <c r="D46" s="1">
        <v>1678</v>
      </c>
      <c r="E46" s="34">
        <v>40238</v>
      </c>
      <c r="F46" s="1">
        <v>10.7</v>
      </c>
      <c r="G46" s="34">
        <v>40238</v>
      </c>
      <c r="H46" s="1">
        <v>0.64</v>
      </c>
      <c r="I46" s="34">
        <v>40238</v>
      </c>
      <c r="J46" s="1">
        <v>173.2</v>
      </c>
      <c r="K46" s="34">
        <v>40238</v>
      </c>
      <c r="L46" s="1">
        <v>2396.9</v>
      </c>
      <c r="M46" s="34">
        <v>40238</v>
      </c>
      <c r="N46" s="1">
        <v>428.1</v>
      </c>
    </row>
    <row r="47" spans="1:14" x14ac:dyDescent="0.25">
      <c r="A47" s="34">
        <v>40269</v>
      </c>
      <c r="B47" s="1">
        <v>2385.8000000000002</v>
      </c>
      <c r="C47" s="34">
        <v>40269</v>
      </c>
      <c r="D47" s="1">
        <v>1142</v>
      </c>
      <c r="E47" s="34">
        <v>40269</v>
      </c>
      <c r="F47" s="1">
        <v>10.6</v>
      </c>
      <c r="G47" s="34">
        <v>40269</v>
      </c>
      <c r="H47" s="1">
        <v>0.73</v>
      </c>
      <c r="I47" s="34">
        <v>40269</v>
      </c>
      <c r="J47" s="1">
        <v>173.34</v>
      </c>
      <c r="K47" s="34">
        <v>40269</v>
      </c>
      <c r="L47" s="1">
        <v>2407</v>
      </c>
      <c r="M47" s="34">
        <v>40269</v>
      </c>
      <c r="N47" s="1">
        <v>431.5</v>
      </c>
    </row>
    <row r="48" spans="1:14" x14ac:dyDescent="0.25">
      <c r="A48" s="34">
        <v>40299</v>
      </c>
      <c r="B48" s="1">
        <v>2400.3000000000002</v>
      </c>
      <c r="C48" s="34">
        <v>40299</v>
      </c>
      <c r="D48" s="1">
        <v>975</v>
      </c>
      <c r="E48" s="34">
        <v>40299</v>
      </c>
      <c r="F48" s="1">
        <v>10.6</v>
      </c>
      <c r="G48" s="34">
        <v>40299</v>
      </c>
      <c r="H48" s="1">
        <v>0.67</v>
      </c>
      <c r="I48" s="34">
        <v>40299</v>
      </c>
      <c r="J48" s="1">
        <v>173.53</v>
      </c>
      <c r="K48" s="34">
        <v>40299</v>
      </c>
      <c r="L48" s="1">
        <v>2414.1</v>
      </c>
      <c r="M48" s="34">
        <v>40299</v>
      </c>
      <c r="N48" s="1">
        <v>440.5</v>
      </c>
    </row>
    <row r="49" spans="1:14" x14ac:dyDescent="0.25">
      <c r="A49" s="34">
        <v>40330</v>
      </c>
      <c r="B49" s="1">
        <v>2389.4</v>
      </c>
      <c r="C49" s="34">
        <v>40330</v>
      </c>
      <c r="D49" s="1">
        <v>1095</v>
      </c>
      <c r="E49" s="34">
        <v>40330</v>
      </c>
      <c r="F49" s="1">
        <v>10.5</v>
      </c>
      <c r="G49" s="34">
        <v>40330</v>
      </c>
      <c r="H49" s="1">
        <v>-0.13</v>
      </c>
      <c r="I49" s="34">
        <v>40330</v>
      </c>
      <c r="J49" s="1">
        <v>173.32</v>
      </c>
      <c r="K49" s="34">
        <v>40330</v>
      </c>
      <c r="L49" s="1">
        <v>2351.8000000000002</v>
      </c>
      <c r="M49" s="34">
        <v>40330</v>
      </c>
      <c r="N49" s="1">
        <v>387.4</v>
      </c>
    </row>
    <row r="50" spans="1:14" x14ac:dyDescent="0.25">
      <c r="A50" s="34">
        <v>40360</v>
      </c>
      <c r="B50" s="1">
        <v>2384.6</v>
      </c>
      <c r="C50" s="34">
        <v>40360</v>
      </c>
      <c r="D50" s="1">
        <v>942</v>
      </c>
      <c r="E50" s="34">
        <v>40360</v>
      </c>
      <c r="F50" s="1">
        <v>10.4</v>
      </c>
      <c r="G50" s="34">
        <v>40360</v>
      </c>
      <c r="H50" s="1">
        <v>-0.48</v>
      </c>
      <c r="I50" s="34">
        <v>40360</v>
      </c>
      <c r="J50" s="1">
        <v>173.31</v>
      </c>
      <c r="K50" s="34">
        <v>40360</v>
      </c>
      <c r="L50" s="1">
        <v>2326.5</v>
      </c>
      <c r="M50" s="34">
        <v>40360</v>
      </c>
      <c r="N50" s="1">
        <v>376</v>
      </c>
    </row>
    <row r="51" spans="1:14" x14ac:dyDescent="0.25">
      <c r="A51" s="34">
        <v>40391</v>
      </c>
      <c r="B51" s="1">
        <v>2380.3000000000002</v>
      </c>
      <c r="C51" s="34">
        <v>40391</v>
      </c>
      <c r="D51" s="1">
        <v>956</v>
      </c>
      <c r="E51" s="34">
        <v>40391</v>
      </c>
      <c r="F51" s="1">
        <v>10.3</v>
      </c>
      <c r="G51" s="34">
        <v>40391</v>
      </c>
      <c r="H51" s="1">
        <v>-0.18</v>
      </c>
      <c r="I51" s="34">
        <v>40391</v>
      </c>
      <c r="J51" s="1">
        <v>173.28</v>
      </c>
      <c r="K51" s="34">
        <v>40391</v>
      </c>
      <c r="L51" s="1">
        <v>2357.3000000000002</v>
      </c>
      <c r="M51" s="34">
        <v>40391</v>
      </c>
      <c r="N51" s="1">
        <v>398.8</v>
      </c>
    </row>
    <row r="52" spans="1:14" x14ac:dyDescent="0.25">
      <c r="A52" s="34">
        <v>40422</v>
      </c>
      <c r="B52" s="1">
        <v>2374.5</v>
      </c>
      <c r="C52" s="34">
        <v>40422</v>
      </c>
      <c r="D52" s="1">
        <v>1055</v>
      </c>
      <c r="E52" s="34">
        <v>40422</v>
      </c>
      <c r="F52" s="1">
        <v>10.3</v>
      </c>
      <c r="G52" s="34">
        <v>40422</v>
      </c>
      <c r="H52" s="1">
        <v>-0.22</v>
      </c>
      <c r="I52" s="34">
        <v>40422</v>
      </c>
      <c r="J52" s="1">
        <v>173.24</v>
      </c>
      <c r="K52" s="34">
        <v>40422</v>
      </c>
      <c r="L52" s="1">
        <v>2373.8000000000002</v>
      </c>
      <c r="M52" s="34">
        <v>40422</v>
      </c>
      <c r="N52" s="1">
        <v>419.2</v>
      </c>
    </row>
    <row r="53" spans="1:14" x14ac:dyDescent="0.25">
      <c r="A53" s="34">
        <v>40452</v>
      </c>
      <c r="B53" s="1">
        <v>2386.6</v>
      </c>
      <c r="C53" s="34">
        <v>40452</v>
      </c>
      <c r="D53" s="1">
        <v>855</v>
      </c>
      <c r="E53" s="34">
        <v>40452</v>
      </c>
      <c r="F53" s="1">
        <v>10.199999999999999</v>
      </c>
      <c r="G53" s="34">
        <v>40452</v>
      </c>
      <c r="H53" s="1">
        <v>0.87</v>
      </c>
      <c r="I53" s="34">
        <v>40452</v>
      </c>
      <c r="J53" s="1">
        <v>173.59</v>
      </c>
      <c r="K53" s="34">
        <v>40452</v>
      </c>
      <c r="L53" s="1">
        <v>2402.1</v>
      </c>
      <c r="M53" s="34">
        <v>40452</v>
      </c>
      <c r="N53" s="1">
        <v>421.7</v>
      </c>
    </row>
    <row r="54" spans="1:14" x14ac:dyDescent="0.25">
      <c r="A54" s="34">
        <v>40483</v>
      </c>
      <c r="B54" s="1">
        <v>2389.8000000000002</v>
      </c>
      <c r="C54" s="34">
        <v>40483</v>
      </c>
      <c r="D54" s="1">
        <v>755</v>
      </c>
      <c r="E54" s="34">
        <v>40483</v>
      </c>
      <c r="F54" s="1">
        <v>10.1</v>
      </c>
      <c r="G54" s="34">
        <v>40483</v>
      </c>
      <c r="H54" s="1">
        <v>1.1599999999999999</v>
      </c>
      <c r="I54" s="34">
        <v>40483</v>
      </c>
      <c r="J54" s="1">
        <v>173.76</v>
      </c>
      <c r="K54" s="34">
        <v>40483</v>
      </c>
      <c r="L54" s="1">
        <v>2423</v>
      </c>
      <c r="M54" s="34">
        <v>40483</v>
      </c>
      <c r="N54" s="1">
        <v>424.5</v>
      </c>
    </row>
    <row r="55" spans="1:14" x14ac:dyDescent="0.25">
      <c r="A55" s="34">
        <v>40513</v>
      </c>
      <c r="B55" s="1">
        <v>2393.5</v>
      </c>
      <c r="C55" s="34">
        <v>40513</v>
      </c>
      <c r="D55" s="1">
        <v>809</v>
      </c>
      <c r="E55" s="34">
        <v>40513</v>
      </c>
      <c r="F55" s="1">
        <v>10</v>
      </c>
      <c r="G55" s="34">
        <v>40513</v>
      </c>
      <c r="H55" s="1">
        <v>1.17</v>
      </c>
      <c r="I55" s="34">
        <v>40513</v>
      </c>
      <c r="J55" s="1">
        <v>174.03</v>
      </c>
      <c r="K55" s="34">
        <v>40513</v>
      </c>
      <c r="L55" s="1">
        <v>2429.6999999999998</v>
      </c>
      <c r="M55" s="34">
        <v>40513</v>
      </c>
      <c r="N55" s="1">
        <v>419.8</v>
      </c>
    </row>
    <row r="56" spans="1:14" x14ac:dyDescent="0.25">
      <c r="A56" s="34">
        <v>40544</v>
      </c>
      <c r="B56" s="1">
        <v>2398.9</v>
      </c>
      <c r="C56" s="34">
        <v>40544</v>
      </c>
      <c r="D56" s="1">
        <v>697</v>
      </c>
      <c r="E56" s="34">
        <v>40544</v>
      </c>
      <c r="F56" s="1">
        <v>9.8000000000000007</v>
      </c>
      <c r="G56" s="34">
        <v>40544</v>
      </c>
      <c r="H56" s="1">
        <v>1.1599999999999999</v>
      </c>
      <c r="I56" s="34">
        <v>40544</v>
      </c>
      <c r="J56" s="1">
        <v>174.27</v>
      </c>
      <c r="K56" s="34">
        <v>40544</v>
      </c>
      <c r="L56" s="1">
        <v>2380.6</v>
      </c>
      <c r="M56" s="34">
        <v>40544</v>
      </c>
      <c r="N56" s="1">
        <v>411.8</v>
      </c>
    </row>
    <row r="57" spans="1:14" x14ac:dyDescent="0.25">
      <c r="A57" s="34">
        <v>40575</v>
      </c>
      <c r="B57" s="1">
        <v>2399</v>
      </c>
      <c r="C57" s="34">
        <v>40575</v>
      </c>
      <c r="D57" s="1">
        <v>1056</v>
      </c>
      <c r="E57" s="34">
        <v>40575</v>
      </c>
      <c r="F57" s="1">
        <v>9.6999999999999993</v>
      </c>
      <c r="G57" s="34">
        <v>40575</v>
      </c>
      <c r="H57" s="1">
        <v>1.05</v>
      </c>
      <c r="I57" s="34">
        <v>40575</v>
      </c>
      <c r="J57" s="1">
        <v>174.48</v>
      </c>
      <c r="K57" s="34">
        <v>40575</v>
      </c>
      <c r="L57" s="1">
        <v>2403</v>
      </c>
      <c r="M57" s="34">
        <v>40575</v>
      </c>
      <c r="N57" s="1">
        <v>422.7</v>
      </c>
    </row>
    <row r="58" spans="1:14" x14ac:dyDescent="0.25">
      <c r="A58" s="34">
        <v>40603</v>
      </c>
      <c r="B58" s="1">
        <v>2402</v>
      </c>
      <c r="C58" s="34">
        <v>40603</v>
      </c>
      <c r="D58" s="1">
        <v>1241</v>
      </c>
      <c r="E58" s="34">
        <v>40603</v>
      </c>
      <c r="F58" s="1">
        <v>9.6</v>
      </c>
      <c r="G58" s="34">
        <v>40603</v>
      </c>
      <c r="H58" s="1">
        <v>1.24</v>
      </c>
      <c r="I58" s="34">
        <v>40603</v>
      </c>
      <c r="J58" s="1">
        <v>174.69</v>
      </c>
      <c r="K58" s="34">
        <v>40603</v>
      </c>
      <c r="L58" s="1">
        <v>2415.9</v>
      </c>
      <c r="M58" s="34">
        <v>40603</v>
      </c>
      <c r="N58" s="1">
        <v>422</v>
      </c>
    </row>
    <row r="59" spans="1:14" x14ac:dyDescent="0.25">
      <c r="A59" s="34">
        <v>40634</v>
      </c>
      <c r="B59" s="1">
        <v>2404.5</v>
      </c>
      <c r="C59" s="34">
        <v>40634</v>
      </c>
      <c r="D59" s="1">
        <v>1007</v>
      </c>
      <c r="E59" s="34">
        <v>40634</v>
      </c>
      <c r="F59" s="1">
        <v>9.5</v>
      </c>
      <c r="G59" s="34">
        <v>40634</v>
      </c>
      <c r="H59" s="1">
        <v>1.1200000000000001</v>
      </c>
      <c r="I59" s="34">
        <v>40634</v>
      </c>
      <c r="J59" s="1">
        <v>174.91</v>
      </c>
      <c r="K59" s="34">
        <v>40634</v>
      </c>
      <c r="L59" s="1">
        <v>2427.1999999999998</v>
      </c>
      <c r="M59" s="34">
        <v>40634</v>
      </c>
      <c r="N59" s="1">
        <v>423.5</v>
      </c>
    </row>
    <row r="60" spans="1:14" x14ac:dyDescent="0.25">
      <c r="A60" s="34">
        <v>40664</v>
      </c>
      <c r="B60" s="1">
        <v>2412.1</v>
      </c>
      <c r="C60" s="34">
        <v>40664</v>
      </c>
      <c r="D60" s="1">
        <v>943</v>
      </c>
      <c r="E60" s="34">
        <v>40664</v>
      </c>
      <c r="F60" s="1">
        <v>9.5</v>
      </c>
      <c r="G60" s="34">
        <v>40664</v>
      </c>
      <c r="H60" s="1">
        <v>0.93</v>
      </c>
      <c r="I60" s="34">
        <v>40664</v>
      </c>
      <c r="J60" s="1">
        <v>175.04</v>
      </c>
      <c r="K60" s="34">
        <v>40664</v>
      </c>
      <c r="L60" s="1">
        <v>2426.6999999999998</v>
      </c>
      <c r="M60" s="34">
        <v>40664</v>
      </c>
      <c r="N60" s="1">
        <v>421.8</v>
      </c>
    </row>
    <row r="61" spans="1:14" x14ac:dyDescent="0.25">
      <c r="A61" s="34">
        <v>40695</v>
      </c>
      <c r="B61" s="1">
        <v>2401</v>
      </c>
      <c r="C61" s="34">
        <v>40695</v>
      </c>
      <c r="D61" s="1">
        <v>1187</v>
      </c>
      <c r="E61" s="34">
        <v>40695</v>
      </c>
      <c r="F61" s="1">
        <v>9.5</v>
      </c>
      <c r="G61" s="34">
        <v>40695</v>
      </c>
      <c r="H61" s="1">
        <v>0.45</v>
      </c>
      <c r="I61" s="34">
        <v>40695</v>
      </c>
      <c r="J61" s="1">
        <v>174.96</v>
      </c>
      <c r="K61" s="34">
        <v>40695</v>
      </c>
      <c r="L61" s="1">
        <v>2362.4</v>
      </c>
      <c r="M61" s="34">
        <v>40695</v>
      </c>
      <c r="N61" s="1">
        <v>369.3</v>
      </c>
    </row>
    <row r="62" spans="1:14" x14ac:dyDescent="0.25">
      <c r="A62" s="34">
        <v>40725</v>
      </c>
      <c r="B62" s="1">
        <v>2399.3000000000002</v>
      </c>
      <c r="C62" s="34">
        <v>40725</v>
      </c>
      <c r="D62" s="1">
        <v>1490</v>
      </c>
      <c r="E62" s="34">
        <v>40725</v>
      </c>
      <c r="F62" s="1">
        <v>9.5</v>
      </c>
      <c r="G62" s="34">
        <v>40725</v>
      </c>
      <c r="H62" s="1">
        <v>0.56999999999999995</v>
      </c>
      <c r="I62" s="34">
        <v>40725</v>
      </c>
      <c r="J62" s="1">
        <v>175.14</v>
      </c>
      <c r="K62" s="34">
        <v>40725</v>
      </c>
      <c r="L62" s="1">
        <v>2338.4</v>
      </c>
      <c r="M62" s="34">
        <v>40725</v>
      </c>
      <c r="N62" s="1">
        <v>354.3</v>
      </c>
    </row>
    <row r="63" spans="1:14" x14ac:dyDescent="0.25">
      <c r="A63" s="34">
        <v>40756</v>
      </c>
      <c r="B63" s="1">
        <v>2417.6</v>
      </c>
      <c r="C63" s="34">
        <v>40756</v>
      </c>
      <c r="D63" s="1">
        <v>1439</v>
      </c>
      <c r="E63" s="34">
        <v>40756</v>
      </c>
      <c r="F63" s="1">
        <v>9.5</v>
      </c>
      <c r="G63" s="34">
        <v>40756</v>
      </c>
      <c r="H63" s="1">
        <v>1.67</v>
      </c>
      <c r="I63" s="34">
        <v>40756</v>
      </c>
      <c r="J63" s="1">
        <v>175.61</v>
      </c>
      <c r="K63" s="34">
        <v>40756</v>
      </c>
      <c r="L63" s="1">
        <v>2393.4</v>
      </c>
      <c r="M63" s="34">
        <v>40756</v>
      </c>
      <c r="N63" s="1">
        <v>395.3</v>
      </c>
    </row>
    <row r="64" spans="1:14" x14ac:dyDescent="0.25">
      <c r="A64" s="34">
        <v>40787</v>
      </c>
      <c r="B64" s="1">
        <v>2424.1999999999998</v>
      </c>
      <c r="C64" s="34">
        <v>40787</v>
      </c>
      <c r="D64" s="1">
        <v>1199</v>
      </c>
      <c r="E64" s="34">
        <v>40787</v>
      </c>
      <c r="F64" s="1">
        <v>9.3000000000000007</v>
      </c>
      <c r="G64" s="34">
        <v>40787</v>
      </c>
      <c r="H64" s="1">
        <v>2.0299999999999998</v>
      </c>
      <c r="I64" s="34">
        <v>40787</v>
      </c>
      <c r="J64" s="1">
        <v>176.08</v>
      </c>
      <c r="K64" s="34">
        <v>40787</v>
      </c>
      <c r="L64" s="1">
        <v>2423</v>
      </c>
      <c r="M64" s="34">
        <v>40787</v>
      </c>
      <c r="N64" s="1">
        <v>417.4</v>
      </c>
    </row>
    <row r="65" spans="1:14" x14ac:dyDescent="0.25">
      <c r="A65" s="34">
        <v>40817</v>
      </c>
      <c r="B65" s="1">
        <v>2426.5</v>
      </c>
      <c r="C65" s="34">
        <v>40817</v>
      </c>
      <c r="D65" s="1">
        <v>943</v>
      </c>
      <c r="E65" s="34">
        <v>40817</v>
      </c>
      <c r="F65" s="1">
        <v>9.1999999999999993</v>
      </c>
      <c r="G65" s="34">
        <v>40817</v>
      </c>
      <c r="H65" s="1">
        <v>1.84</v>
      </c>
      <c r="I65" s="34">
        <v>40817</v>
      </c>
      <c r="J65" s="1">
        <v>176.51</v>
      </c>
      <c r="K65" s="34">
        <v>40817</v>
      </c>
      <c r="L65" s="1">
        <v>2441.1</v>
      </c>
      <c r="M65" s="34">
        <v>40817</v>
      </c>
      <c r="N65" s="1">
        <v>420.9</v>
      </c>
    </row>
    <row r="66" spans="1:14" x14ac:dyDescent="0.25">
      <c r="A66" s="34">
        <v>40848</v>
      </c>
      <c r="B66" s="1">
        <v>2431.5</v>
      </c>
      <c r="C66" s="34">
        <v>40848</v>
      </c>
      <c r="D66" s="1">
        <v>1159</v>
      </c>
      <c r="E66" s="34">
        <v>40848</v>
      </c>
      <c r="F66" s="1">
        <v>9</v>
      </c>
      <c r="G66" s="34">
        <v>40848</v>
      </c>
      <c r="H66" s="1">
        <v>2.0499999999999998</v>
      </c>
      <c r="I66" s="34">
        <v>40848</v>
      </c>
      <c r="J66" s="1">
        <v>177</v>
      </c>
      <c r="K66" s="34">
        <v>40848</v>
      </c>
      <c r="L66" s="1">
        <v>2465</v>
      </c>
      <c r="M66" s="34">
        <v>40848</v>
      </c>
      <c r="N66" s="1">
        <v>422.4</v>
      </c>
    </row>
    <row r="67" spans="1:14" x14ac:dyDescent="0.25">
      <c r="A67" s="34">
        <v>40878</v>
      </c>
      <c r="B67" s="1">
        <v>2431.4</v>
      </c>
      <c r="C67" s="34">
        <v>40878</v>
      </c>
      <c r="D67" s="1">
        <v>1025</v>
      </c>
      <c r="E67" s="34">
        <v>40878</v>
      </c>
      <c r="F67" s="1">
        <v>8.6999999999999993</v>
      </c>
      <c r="G67" s="34">
        <v>40878</v>
      </c>
      <c r="H67" s="1">
        <v>1.99</v>
      </c>
      <c r="I67" s="34">
        <v>40878</v>
      </c>
      <c r="J67" s="1">
        <v>177.42</v>
      </c>
      <c r="K67" s="34">
        <v>40878</v>
      </c>
      <c r="L67" s="1">
        <v>2468.3000000000002</v>
      </c>
      <c r="M67" s="34">
        <v>40878</v>
      </c>
      <c r="N67" s="1">
        <v>415.7</v>
      </c>
    </row>
    <row r="68" spans="1:14" x14ac:dyDescent="0.25">
      <c r="A68" s="34">
        <v>40909</v>
      </c>
      <c r="B68" s="1">
        <v>2443</v>
      </c>
      <c r="C68" s="34">
        <v>40909</v>
      </c>
      <c r="D68" s="1">
        <v>1204</v>
      </c>
      <c r="E68" s="34">
        <v>40909</v>
      </c>
      <c r="F68" s="1">
        <v>8.6</v>
      </c>
      <c r="G68" s="34">
        <v>40909</v>
      </c>
      <c r="H68" s="1">
        <v>2.06</v>
      </c>
      <c r="I68" s="34">
        <v>40909</v>
      </c>
      <c r="J68" s="1">
        <v>177.94</v>
      </c>
      <c r="K68" s="34">
        <v>40909</v>
      </c>
      <c r="L68" s="1">
        <v>2426.1</v>
      </c>
      <c r="M68" s="34">
        <v>40909</v>
      </c>
      <c r="N68" s="1">
        <v>409</v>
      </c>
    </row>
    <row r="69" spans="1:14" x14ac:dyDescent="0.25">
      <c r="A69" s="34">
        <v>40940</v>
      </c>
      <c r="B69" s="1">
        <v>2444.3000000000002</v>
      </c>
      <c r="C69" s="34">
        <v>40940</v>
      </c>
      <c r="D69" s="1">
        <v>2184</v>
      </c>
      <c r="E69" s="34">
        <v>40940</v>
      </c>
      <c r="F69" s="1">
        <v>8.4</v>
      </c>
      <c r="G69" s="34">
        <v>40940</v>
      </c>
      <c r="H69" s="1">
        <v>2.09</v>
      </c>
      <c r="I69" s="34">
        <v>40940</v>
      </c>
      <c r="J69" s="1">
        <v>178.37</v>
      </c>
      <c r="K69" s="34">
        <v>40940</v>
      </c>
      <c r="L69" s="1">
        <v>2448.9</v>
      </c>
      <c r="M69" s="34">
        <v>40940</v>
      </c>
      <c r="N69" s="1">
        <v>421.3</v>
      </c>
    </row>
    <row r="70" spans="1:14" x14ac:dyDescent="0.25">
      <c r="A70" s="34">
        <v>40969</v>
      </c>
      <c r="B70" s="1">
        <v>2452.3000000000002</v>
      </c>
      <c r="C70" s="34">
        <v>40969</v>
      </c>
      <c r="D70" s="1">
        <v>1374</v>
      </c>
      <c r="E70" s="34">
        <v>40969</v>
      </c>
      <c r="F70" s="1">
        <v>8.4</v>
      </c>
      <c r="G70" s="34">
        <v>40969</v>
      </c>
      <c r="H70" s="1">
        <v>1.64</v>
      </c>
      <c r="I70" s="34">
        <v>40969</v>
      </c>
      <c r="J70" s="1">
        <v>178.73</v>
      </c>
      <c r="K70" s="34">
        <v>40969</v>
      </c>
      <c r="L70" s="1">
        <v>2466.9</v>
      </c>
      <c r="M70" s="34">
        <v>40969</v>
      </c>
      <c r="N70" s="1">
        <v>421.8</v>
      </c>
    </row>
    <row r="71" spans="1:14" x14ac:dyDescent="0.25">
      <c r="A71" s="34">
        <v>41000</v>
      </c>
      <c r="B71" s="1">
        <v>2454.1</v>
      </c>
      <c r="C71" s="34">
        <v>41000</v>
      </c>
      <c r="D71" s="1">
        <v>1705</v>
      </c>
      <c r="E71" s="34">
        <v>41000</v>
      </c>
      <c r="F71" s="1">
        <v>8.4</v>
      </c>
      <c r="G71" s="34">
        <v>41000</v>
      </c>
      <c r="H71" s="1">
        <v>1.7</v>
      </c>
      <c r="I71" s="34">
        <v>41000</v>
      </c>
      <c r="J71" s="1">
        <v>179.02</v>
      </c>
      <c r="K71" s="34">
        <v>41000</v>
      </c>
      <c r="L71" s="1">
        <v>2468.6</v>
      </c>
      <c r="M71" s="34">
        <v>41000</v>
      </c>
      <c r="N71" s="1">
        <v>422.6</v>
      </c>
    </row>
    <row r="72" spans="1:14" x14ac:dyDescent="0.25">
      <c r="A72" s="34">
        <v>41030</v>
      </c>
      <c r="B72" s="1">
        <v>2449.1999999999998</v>
      </c>
      <c r="C72" s="34">
        <v>41030</v>
      </c>
      <c r="D72" s="1">
        <v>1945</v>
      </c>
      <c r="E72" s="34">
        <v>41030</v>
      </c>
      <c r="F72" s="1">
        <v>8.4</v>
      </c>
      <c r="G72" s="34">
        <v>41030</v>
      </c>
      <c r="H72" s="1">
        <v>1.47</v>
      </c>
      <c r="I72" s="34">
        <v>41030</v>
      </c>
      <c r="J72" s="1">
        <v>179.27</v>
      </c>
      <c r="K72" s="34">
        <v>41030</v>
      </c>
      <c r="L72" s="1">
        <v>2464.4</v>
      </c>
      <c r="M72" s="34">
        <v>41030</v>
      </c>
      <c r="N72" s="1">
        <v>415.8</v>
      </c>
    </row>
    <row r="73" spans="1:14" x14ac:dyDescent="0.25">
      <c r="A73" s="34">
        <v>41061</v>
      </c>
      <c r="B73" s="1">
        <v>2462.6999999999998</v>
      </c>
      <c r="C73" s="34">
        <v>41061</v>
      </c>
      <c r="D73" s="1">
        <v>1684</v>
      </c>
      <c r="E73" s="34">
        <v>41061</v>
      </c>
      <c r="F73" s="1">
        <v>8.4</v>
      </c>
      <c r="G73" s="34">
        <v>41061</v>
      </c>
      <c r="H73" s="1">
        <v>1.49</v>
      </c>
      <c r="I73" s="34">
        <v>41061</v>
      </c>
      <c r="J73" s="1">
        <v>179.7</v>
      </c>
      <c r="K73" s="34">
        <v>41061</v>
      </c>
      <c r="L73" s="1">
        <v>2423</v>
      </c>
      <c r="M73" s="34">
        <v>41061</v>
      </c>
      <c r="N73" s="1">
        <v>379</v>
      </c>
    </row>
    <row r="74" spans="1:14" x14ac:dyDescent="0.25">
      <c r="A74" s="34">
        <v>41091</v>
      </c>
      <c r="B74" s="1">
        <v>2452.9</v>
      </c>
      <c r="C74" s="34">
        <v>41091</v>
      </c>
      <c r="D74" s="1">
        <v>1996</v>
      </c>
      <c r="E74" s="34">
        <v>41091</v>
      </c>
      <c r="F74" s="1">
        <v>8.4</v>
      </c>
      <c r="G74" s="34">
        <v>41091</v>
      </c>
      <c r="H74" s="1">
        <v>1.31</v>
      </c>
      <c r="I74" s="34">
        <v>41091</v>
      </c>
      <c r="J74" s="1">
        <v>179.77</v>
      </c>
      <c r="K74" s="34">
        <v>41091</v>
      </c>
      <c r="L74" s="1">
        <v>2390.1999999999998</v>
      </c>
      <c r="M74" s="34">
        <v>41091</v>
      </c>
      <c r="N74" s="1">
        <v>360.6</v>
      </c>
    </row>
    <row r="75" spans="1:14" x14ac:dyDescent="0.25">
      <c r="A75" s="34">
        <v>41122</v>
      </c>
      <c r="B75" s="1">
        <v>2467.6</v>
      </c>
      <c r="C75" s="34">
        <v>41122</v>
      </c>
      <c r="D75" s="1">
        <v>2199</v>
      </c>
      <c r="E75" s="34">
        <v>41122</v>
      </c>
      <c r="F75" s="1">
        <v>8.3000000000000007</v>
      </c>
      <c r="G75" s="34">
        <v>41122</v>
      </c>
      <c r="H75" s="1">
        <v>1.62</v>
      </c>
      <c r="I75" s="34">
        <v>41122</v>
      </c>
      <c r="J75" s="1">
        <v>180.46</v>
      </c>
      <c r="K75" s="34">
        <v>41122</v>
      </c>
      <c r="L75" s="1">
        <v>2448.4</v>
      </c>
      <c r="M75" s="34">
        <v>41122</v>
      </c>
      <c r="N75" s="1">
        <v>399.9</v>
      </c>
    </row>
    <row r="76" spans="1:14" x14ac:dyDescent="0.25">
      <c r="A76" s="34">
        <v>41153</v>
      </c>
      <c r="B76" s="1">
        <v>2474.1999999999998</v>
      </c>
      <c r="C76" s="34">
        <v>41153</v>
      </c>
      <c r="D76" s="1">
        <v>1626</v>
      </c>
      <c r="E76" s="34">
        <v>41153</v>
      </c>
      <c r="F76" s="1">
        <v>8.3000000000000007</v>
      </c>
      <c r="G76" s="34">
        <v>41153</v>
      </c>
      <c r="H76" s="1">
        <v>1.97</v>
      </c>
      <c r="I76" s="34">
        <v>41153</v>
      </c>
      <c r="J76" s="1">
        <v>180.76</v>
      </c>
      <c r="K76" s="34">
        <v>41153</v>
      </c>
      <c r="L76" s="1">
        <v>2475.6</v>
      </c>
      <c r="M76" s="34">
        <v>41153</v>
      </c>
      <c r="N76" s="1">
        <v>420.8</v>
      </c>
    </row>
    <row r="77" spans="1:14" x14ac:dyDescent="0.25">
      <c r="A77" s="34">
        <v>41183</v>
      </c>
      <c r="B77" s="1">
        <v>2480.4</v>
      </c>
      <c r="C77" s="34">
        <v>41183</v>
      </c>
      <c r="D77" s="1">
        <v>1758</v>
      </c>
      <c r="E77" s="34">
        <v>41183</v>
      </c>
      <c r="F77" s="1">
        <v>8.1999999999999993</v>
      </c>
      <c r="G77" s="34">
        <v>41183</v>
      </c>
      <c r="H77" s="1">
        <v>1.84</v>
      </c>
      <c r="I77" s="34">
        <v>41183</v>
      </c>
      <c r="J77" s="1">
        <v>181.32</v>
      </c>
      <c r="K77" s="34">
        <v>41183</v>
      </c>
      <c r="L77" s="1">
        <v>2494.6</v>
      </c>
      <c r="M77" s="34">
        <v>41183</v>
      </c>
      <c r="N77" s="1">
        <v>422.3</v>
      </c>
    </row>
    <row r="78" spans="1:14" x14ac:dyDescent="0.25">
      <c r="A78" s="34">
        <v>41214</v>
      </c>
      <c r="B78" s="1">
        <v>2487.1999999999998</v>
      </c>
      <c r="C78" s="34">
        <v>41214</v>
      </c>
      <c r="D78" s="1">
        <v>1479</v>
      </c>
      <c r="E78" s="34">
        <v>41214</v>
      </c>
      <c r="F78" s="1">
        <v>8.1999999999999993</v>
      </c>
      <c r="G78" s="34">
        <v>41214</v>
      </c>
      <c r="H78" s="1">
        <v>1.77</v>
      </c>
      <c r="I78" s="34">
        <v>41214</v>
      </c>
      <c r="J78" s="1">
        <v>181.7</v>
      </c>
      <c r="K78" s="34">
        <v>41214</v>
      </c>
      <c r="L78" s="1">
        <v>2523.4</v>
      </c>
      <c r="M78" s="34">
        <v>41214</v>
      </c>
      <c r="N78" s="1">
        <v>424.2</v>
      </c>
    </row>
    <row r="79" spans="1:14" x14ac:dyDescent="0.25">
      <c r="A79" s="34">
        <v>41244</v>
      </c>
      <c r="B79" s="1">
        <v>2491</v>
      </c>
      <c r="C79" s="34">
        <v>41244</v>
      </c>
      <c r="D79" s="1">
        <v>2365</v>
      </c>
      <c r="E79" s="34">
        <v>41244</v>
      </c>
      <c r="F79" s="1">
        <v>8.1</v>
      </c>
      <c r="G79" s="34">
        <v>41244</v>
      </c>
      <c r="H79" s="1">
        <v>1.47</v>
      </c>
      <c r="I79" s="34">
        <v>41244</v>
      </c>
      <c r="J79" s="1">
        <v>182.2</v>
      </c>
      <c r="K79" s="34">
        <v>41244</v>
      </c>
      <c r="L79" s="1">
        <v>2531.6</v>
      </c>
      <c r="M79" s="34">
        <v>41244</v>
      </c>
      <c r="N79" s="1">
        <v>421.9</v>
      </c>
    </row>
    <row r="80" spans="1:14" x14ac:dyDescent="0.25">
      <c r="A80" s="34">
        <v>41275</v>
      </c>
      <c r="B80" s="1">
        <v>2495.1</v>
      </c>
      <c r="C80" s="34">
        <v>41275</v>
      </c>
      <c r="D80" s="1">
        <v>1780</v>
      </c>
      <c r="E80" s="34">
        <v>41275</v>
      </c>
      <c r="F80" s="1">
        <v>8</v>
      </c>
      <c r="G80" s="34">
        <v>41275</v>
      </c>
      <c r="H80" s="1">
        <v>1.49</v>
      </c>
      <c r="I80" s="34">
        <v>41275</v>
      </c>
      <c r="J80" s="1">
        <v>182.5</v>
      </c>
      <c r="K80" s="34">
        <v>41275</v>
      </c>
      <c r="L80" s="1">
        <v>2479</v>
      </c>
      <c r="M80" s="34">
        <v>41275</v>
      </c>
      <c r="N80" s="1">
        <v>412.6</v>
      </c>
    </row>
    <row r="81" spans="1:14" x14ac:dyDescent="0.25">
      <c r="A81" s="34">
        <v>41306</v>
      </c>
      <c r="B81" s="1">
        <v>2500.1</v>
      </c>
      <c r="C81" s="34">
        <v>41306</v>
      </c>
      <c r="D81" s="1">
        <v>1635</v>
      </c>
      <c r="E81" s="34">
        <v>41306</v>
      </c>
      <c r="F81" s="1">
        <v>8</v>
      </c>
      <c r="G81" s="34">
        <v>41306</v>
      </c>
      <c r="H81" s="1">
        <v>1.25</v>
      </c>
      <c r="I81" s="34">
        <v>41306</v>
      </c>
      <c r="J81" s="1">
        <v>182.91</v>
      </c>
      <c r="K81" s="34">
        <v>41306</v>
      </c>
      <c r="L81" s="1">
        <v>2505.5</v>
      </c>
      <c r="M81" s="34">
        <v>41306</v>
      </c>
      <c r="N81" s="1">
        <v>423.1</v>
      </c>
    </row>
    <row r="82" spans="1:14" x14ac:dyDescent="0.25">
      <c r="A82" s="34">
        <v>41334</v>
      </c>
      <c r="B82" s="1">
        <v>2503.1</v>
      </c>
      <c r="C82" s="34">
        <v>41334</v>
      </c>
      <c r="D82" s="1">
        <v>1832</v>
      </c>
      <c r="E82" s="34">
        <v>41334</v>
      </c>
      <c r="F82" s="1">
        <v>8</v>
      </c>
      <c r="G82" s="34">
        <v>41334</v>
      </c>
      <c r="H82" s="1">
        <v>1.34</v>
      </c>
      <c r="I82" s="34">
        <v>41334</v>
      </c>
      <c r="J82" s="1">
        <v>183.17</v>
      </c>
      <c r="K82" s="34">
        <v>41334</v>
      </c>
      <c r="L82" s="1">
        <v>2518.3000000000002</v>
      </c>
      <c r="M82" s="34">
        <v>41334</v>
      </c>
      <c r="N82" s="1">
        <v>422.1</v>
      </c>
    </row>
    <row r="83" spans="1:14" x14ac:dyDescent="0.25">
      <c r="A83" s="34">
        <v>41365</v>
      </c>
      <c r="B83" s="1">
        <v>2509.6999999999998</v>
      </c>
      <c r="C83" s="34">
        <v>41365</v>
      </c>
      <c r="D83" s="1">
        <v>2428</v>
      </c>
      <c r="E83" s="34">
        <v>41365</v>
      </c>
      <c r="F83" s="1">
        <v>8</v>
      </c>
      <c r="G83" s="34">
        <v>41365</v>
      </c>
      <c r="H83" s="1">
        <v>1.1200000000000001</v>
      </c>
      <c r="I83" s="34">
        <v>41365</v>
      </c>
      <c r="J83" s="1">
        <v>183.51</v>
      </c>
      <c r="K83" s="34">
        <v>41365</v>
      </c>
      <c r="L83" s="1">
        <v>2525.5</v>
      </c>
      <c r="M83" s="34">
        <v>41365</v>
      </c>
      <c r="N83" s="1">
        <v>423.4</v>
      </c>
    </row>
    <row r="84" spans="1:14" x14ac:dyDescent="0.25">
      <c r="A84" s="34">
        <v>41395</v>
      </c>
      <c r="B84" s="1">
        <v>2511.1999999999998</v>
      </c>
      <c r="C84" s="34">
        <v>41395</v>
      </c>
      <c r="D84" s="1">
        <v>2721</v>
      </c>
      <c r="E84" s="34">
        <v>41395</v>
      </c>
      <c r="F84" s="1">
        <v>8</v>
      </c>
      <c r="G84" s="34">
        <v>41395</v>
      </c>
      <c r="H84" s="1">
        <v>1.1200000000000001</v>
      </c>
      <c r="I84" s="34">
        <v>41395</v>
      </c>
      <c r="J84" s="1">
        <v>183.79</v>
      </c>
      <c r="K84" s="34">
        <v>41395</v>
      </c>
      <c r="L84" s="1">
        <v>2523.1</v>
      </c>
      <c r="M84" s="34">
        <v>41395</v>
      </c>
      <c r="N84" s="1">
        <v>418.7</v>
      </c>
    </row>
    <row r="85" spans="1:14" x14ac:dyDescent="0.25">
      <c r="A85" s="34">
        <v>41426</v>
      </c>
      <c r="B85" s="1">
        <v>2512.3000000000002</v>
      </c>
      <c r="C85" s="34">
        <v>41426</v>
      </c>
      <c r="D85" s="1">
        <v>2083</v>
      </c>
      <c r="E85" s="34">
        <v>41426</v>
      </c>
      <c r="F85" s="1">
        <v>8.1</v>
      </c>
      <c r="G85" s="34">
        <v>41426</v>
      </c>
      <c r="H85" s="1">
        <v>1.31</v>
      </c>
      <c r="I85" s="34">
        <v>41426</v>
      </c>
      <c r="J85" s="1">
        <v>184</v>
      </c>
      <c r="K85" s="34">
        <v>41426</v>
      </c>
      <c r="L85" s="1">
        <v>2470.9</v>
      </c>
      <c r="M85" s="34">
        <v>41426</v>
      </c>
      <c r="N85" s="1">
        <v>373.8</v>
      </c>
    </row>
    <row r="86" spans="1:14" x14ac:dyDescent="0.25">
      <c r="A86" s="34">
        <v>41456</v>
      </c>
      <c r="B86" s="1">
        <v>2512.6</v>
      </c>
      <c r="C86" s="34">
        <v>41456</v>
      </c>
      <c r="D86" s="1">
        <v>2290</v>
      </c>
      <c r="E86" s="34">
        <v>41456</v>
      </c>
      <c r="F86" s="1">
        <v>8.1</v>
      </c>
      <c r="G86" s="34">
        <v>41456</v>
      </c>
      <c r="H86" s="1">
        <v>0.9</v>
      </c>
      <c r="I86" s="34">
        <v>41456</v>
      </c>
      <c r="J86" s="1">
        <v>184.21</v>
      </c>
      <c r="K86" s="34">
        <v>41456</v>
      </c>
      <c r="L86" s="1">
        <v>2448.4</v>
      </c>
      <c r="M86" s="34">
        <v>41456</v>
      </c>
      <c r="N86" s="1">
        <v>360.7</v>
      </c>
    </row>
    <row r="87" spans="1:14" x14ac:dyDescent="0.25">
      <c r="A87" s="34">
        <v>41487</v>
      </c>
      <c r="B87" s="1">
        <v>2518.3000000000002</v>
      </c>
      <c r="C87" s="34">
        <v>41487</v>
      </c>
      <c r="D87" s="1">
        <v>1783</v>
      </c>
      <c r="E87" s="34">
        <v>41487</v>
      </c>
      <c r="F87" s="1">
        <v>8.1</v>
      </c>
      <c r="G87" s="34">
        <v>41487</v>
      </c>
      <c r="H87" s="1">
        <v>1.4</v>
      </c>
      <c r="I87" s="34">
        <v>41487</v>
      </c>
      <c r="J87" s="1">
        <v>184.59</v>
      </c>
      <c r="K87" s="34">
        <v>41487</v>
      </c>
      <c r="L87" s="1">
        <v>2498.4</v>
      </c>
      <c r="M87" s="34">
        <v>41487</v>
      </c>
      <c r="N87" s="1">
        <v>393.5</v>
      </c>
    </row>
    <row r="88" spans="1:14" x14ac:dyDescent="0.25">
      <c r="A88" s="34">
        <v>41518</v>
      </c>
      <c r="B88" s="1">
        <v>2525.6</v>
      </c>
      <c r="C88" s="34">
        <v>41518</v>
      </c>
      <c r="D88" s="1">
        <v>1421</v>
      </c>
      <c r="E88" s="34">
        <v>41518</v>
      </c>
      <c r="F88" s="1">
        <v>8</v>
      </c>
      <c r="G88" s="34">
        <v>41518</v>
      </c>
      <c r="H88" s="1">
        <v>1.33</v>
      </c>
      <c r="I88" s="34">
        <v>41518</v>
      </c>
      <c r="J88" s="1">
        <v>184.89</v>
      </c>
      <c r="K88" s="34">
        <v>41518</v>
      </c>
      <c r="L88" s="1">
        <v>2526.6999999999998</v>
      </c>
      <c r="M88" s="34">
        <v>41518</v>
      </c>
      <c r="N88" s="1">
        <v>419.2</v>
      </c>
    </row>
    <row r="89" spans="1:14" x14ac:dyDescent="0.25">
      <c r="A89" s="34">
        <v>41548</v>
      </c>
      <c r="B89" s="1">
        <v>2526.3000000000002</v>
      </c>
      <c r="C89" s="34">
        <v>41548</v>
      </c>
      <c r="D89" s="1">
        <v>1671</v>
      </c>
      <c r="E89" s="34">
        <v>41548</v>
      </c>
      <c r="F89" s="1">
        <v>7.8</v>
      </c>
      <c r="G89" s="34">
        <v>41548</v>
      </c>
      <c r="H89" s="1">
        <v>1.36</v>
      </c>
      <c r="I89" s="34">
        <v>41548</v>
      </c>
      <c r="J89" s="1">
        <v>185.26</v>
      </c>
      <c r="K89" s="34">
        <v>41548</v>
      </c>
      <c r="L89" s="1">
        <v>2542.6</v>
      </c>
      <c r="M89" s="34">
        <v>41548</v>
      </c>
      <c r="N89" s="1">
        <v>422.7</v>
      </c>
    </row>
    <row r="90" spans="1:14" x14ac:dyDescent="0.25">
      <c r="A90" s="34">
        <v>41579</v>
      </c>
      <c r="B90" s="1">
        <v>2534.1999999999998</v>
      </c>
      <c r="C90" s="34">
        <v>41579</v>
      </c>
      <c r="D90" s="1">
        <v>1174</v>
      </c>
      <c r="E90" s="34">
        <v>41579</v>
      </c>
      <c r="F90" s="1">
        <v>7.8</v>
      </c>
      <c r="G90" s="34">
        <v>41579</v>
      </c>
      <c r="H90" s="1">
        <v>1.34</v>
      </c>
      <c r="I90" s="34">
        <v>41579</v>
      </c>
      <c r="J90" s="1">
        <v>185.59</v>
      </c>
      <c r="K90" s="34">
        <v>41579</v>
      </c>
      <c r="L90" s="1">
        <v>2567.5</v>
      </c>
      <c r="M90" s="34">
        <v>41579</v>
      </c>
      <c r="N90" s="1">
        <v>423.2</v>
      </c>
    </row>
    <row r="91" spans="1:14" x14ac:dyDescent="0.25">
      <c r="A91" s="34">
        <v>41609</v>
      </c>
      <c r="B91" s="1">
        <v>2542.3000000000002</v>
      </c>
      <c r="C91" s="34">
        <v>41609</v>
      </c>
      <c r="D91" s="1">
        <v>2804</v>
      </c>
      <c r="E91" s="34">
        <v>41609</v>
      </c>
      <c r="F91" s="1">
        <v>7.6</v>
      </c>
      <c r="G91" s="34">
        <v>41609</v>
      </c>
      <c r="H91" s="1">
        <v>1.67</v>
      </c>
      <c r="I91" s="34">
        <v>41609</v>
      </c>
      <c r="J91" s="1">
        <v>186.07</v>
      </c>
      <c r="K91" s="34">
        <v>41609</v>
      </c>
      <c r="L91" s="1">
        <v>2576.6</v>
      </c>
      <c r="M91" s="34">
        <v>41609</v>
      </c>
      <c r="N91" s="1">
        <v>419.4</v>
      </c>
    </row>
    <row r="92" spans="1:14" x14ac:dyDescent="0.25">
      <c r="A92" s="34">
        <v>41640</v>
      </c>
      <c r="B92" s="1">
        <v>2553.1999999999998</v>
      </c>
      <c r="C92" s="34">
        <v>41640</v>
      </c>
      <c r="D92" s="1">
        <v>1735</v>
      </c>
      <c r="E92" s="34">
        <v>41640</v>
      </c>
      <c r="F92" s="1">
        <v>7.5</v>
      </c>
      <c r="G92" s="34">
        <v>41640</v>
      </c>
      <c r="H92" s="1">
        <v>1.86</v>
      </c>
      <c r="I92" s="34">
        <v>41640</v>
      </c>
      <c r="J92" s="1">
        <v>186.52</v>
      </c>
      <c r="K92" s="34">
        <v>41640</v>
      </c>
      <c r="L92" s="1">
        <v>2536.4</v>
      </c>
      <c r="M92" s="34">
        <v>41640</v>
      </c>
      <c r="N92" s="1">
        <v>410.5</v>
      </c>
    </row>
    <row r="93" spans="1:14" x14ac:dyDescent="0.25">
      <c r="A93" s="34">
        <v>41671</v>
      </c>
      <c r="B93" s="1">
        <v>2544.6999999999998</v>
      </c>
      <c r="C93" s="34">
        <v>41671</v>
      </c>
      <c r="D93" s="1">
        <v>2497</v>
      </c>
      <c r="E93" s="34">
        <v>41671</v>
      </c>
      <c r="F93" s="1">
        <v>7.3</v>
      </c>
      <c r="G93" s="34">
        <v>41671</v>
      </c>
      <c r="H93" s="1">
        <v>1.24</v>
      </c>
      <c r="I93" s="34">
        <v>41671</v>
      </c>
      <c r="J93" s="1">
        <v>186.78</v>
      </c>
      <c r="K93" s="34">
        <v>41671</v>
      </c>
      <c r="L93" s="1">
        <v>2550.1</v>
      </c>
      <c r="M93" s="34">
        <v>41671</v>
      </c>
      <c r="N93" s="1">
        <v>421.6</v>
      </c>
    </row>
    <row r="94" spans="1:14" x14ac:dyDescent="0.25">
      <c r="A94" s="34">
        <v>41699</v>
      </c>
      <c r="B94" s="1">
        <v>2550.5</v>
      </c>
      <c r="C94" s="34">
        <v>41699</v>
      </c>
      <c r="D94" s="1">
        <v>3129</v>
      </c>
      <c r="E94" s="34">
        <v>41699</v>
      </c>
      <c r="F94" s="1">
        <v>7.3</v>
      </c>
      <c r="G94" s="34">
        <v>41699</v>
      </c>
      <c r="H94" s="1">
        <v>0.95</v>
      </c>
      <c r="I94" s="34">
        <v>41699</v>
      </c>
      <c r="J94" s="1">
        <v>186.98</v>
      </c>
      <c r="K94" s="34">
        <v>41699</v>
      </c>
      <c r="L94" s="1">
        <v>2565.3000000000002</v>
      </c>
      <c r="M94" s="34">
        <v>41699</v>
      </c>
      <c r="N94" s="1">
        <v>420.1</v>
      </c>
    </row>
    <row r="95" spans="1:14" x14ac:dyDescent="0.25">
      <c r="A95" s="34">
        <v>41730</v>
      </c>
      <c r="B95" s="1">
        <v>2549.6999999999998</v>
      </c>
      <c r="C95" s="34">
        <v>41730</v>
      </c>
      <c r="D95" s="1">
        <v>2687</v>
      </c>
      <c r="E95" s="34">
        <v>41730</v>
      </c>
      <c r="F95" s="1">
        <v>6.9</v>
      </c>
      <c r="G95" s="34">
        <v>41730</v>
      </c>
      <c r="H95" s="1">
        <v>1</v>
      </c>
      <c r="I95" s="34">
        <v>41730</v>
      </c>
      <c r="J95" s="1">
        <v>187.41</v>
      </c>
      <c r="K95" s="34">
        <v>41730</v>
      </c>
      <c r="L95" s="1">
        <v>2569.1</v>
      </c>
      <c r="M95" s="34">
        <v>41730</v>
      </c>
      <c r="N95" s="1">
        <v>421.2</v>
      </c>
    </row>
    <row r="96" spans="1:14" x14ac:dyDescent="0.25">
      <c r="A96" s="34">
        <v>41760</v>
      </c>
      <c r="B96" s="1">
        <v>2540.4</v>
      </c>
      <c r="C96" s="34">
        <v>41760</v>
      </c>
      <c r="D96" s="1">
        <v>2474</v>
      </c>
      <c r="E96" s="34">
        <v>41760</v>
      </c>
      <c r="F96" s="1">
        <v>6.8</v>
      </c>
      <c r="G96" s="34">
        <v>41760</v>
      </c>
      <c r="H96" s="1">
        <v>1.0900000000000001</v>
      </c>
      <c r="I96" s="34">
        <v>41760</v>
      </c>
      <c r="J96" s="1">
        <v>187.58</v>
      </c>
      <c r="K96" s="34">
        <v>41760</v>
      </c>
      <c r="L96" s="1">
        <v>2553.1999999999998</v>
      </c>
      <c r="M96" s="34">
        <v>41760</v>
      </c>
      <c r="N96" s="1">
        <v>406.7</v>
      </c>
    </row>
    <row r="97" spans="1:14" x14ac:dyDescent="0.25">
      <c r="A97" s="34">
        <v>41791</v>
      </c>
      <c r="B97" s="1">
        <v>2558.6</v>
      </c>
      <c r="C97" s="34">
        <v>41791</v>
      </c>
      <c r="D97" s="1">
        <v>2484</v>
      </c>
      <c r="E97" s="34">
        <v>41791</v>
      </c>
      <c r="F97" s="1">
        <v>6.9</v>
      </c>
      <c r="G97" s="34">
        <v>41791</v>
      </c>
      <c r="H97" s="1">
        <v>1.53</v>
      </c>
      <c r="I97" s="34">
        <v>41791</v>
      </c>
      <c r="J97" s="1">
        <v>188.16</v>
      </c>
      <c r="K97" s="34">
        <v>41791</v>
      </c>
      <c r="L97" s="1">
        <v>2518.1999999999998</v>
      </c>
      <c r="M97" s="34">
        <v>41791</v>
      </c>
      <c r="N97" s="1">
        <v>374.3</v>
      </c>
    </row>
    <row r="98" spans="1:14" x14ac:dyDescent="0.25">
      <c r="A98" s="34">
        <v>41821</v>
      </c>
      <c r="B98" s="1">
        <v>2575</v>
      </c>
      <c r="C98" s="34">
        <v>41821</v>
      </c>
      <c r="D98" s="1">
        <v>2324</v>
      </c>
      <c r="E98" s="34">
        <v>41821</v>
      </c>
      <c r="F98" s="1">
        <v>7</v>
      </c>
      <c r="G98" s="34">
        <v>41821</v>
      </c>
      <c r="H98" s="1">
        <v>1.91</v>
      </c>
      <c r="I98" s="34">
        <v>41821</v>
      </c>
      <c r="J98" s="1">
        <v>188.71</v>
      </c>
      <c r="K98" s="34">
        <v>41821</v>
      </c>
      <c r="L98" s="1">
        <v>2510.3000000000002</v>
      </c>
      <c r="M98" s="34">
        <v>41821</v>
      </c>
      <c r="N98" s="1">
        <v>365</v>
      </c>
    </row>
    <row r="99" spans="1:14" x14ac:dyDescent="0.25">
      <c r="A99" s="34">
        <v>41852</v>
      </c>
      <c r="B99" s="1">
        <v>2570.9</v>
      </c>
      <c r="C99" s="34">
        <v>41852</v>
      </c>
      <c r="D99" s="1">
        <v>2104</v>
      </c>
      <c r="E99" s="34">
        <v>41852</v>
      </c>
      <c r="F99" s="1">
        <v>7.1</v>
      </c>
      <c r="G99" s="34">
        <v>41852</v>
      </c>
      <c r="H99" s="1">
        <v>1.87</v>
      </c>
      <c r="I99" s="34">
        <v>41852</v>
      </c>
      <c r="J99" s="1">
        <v>189.17</v>
      </c>
      <c r="K99" s="34">
        <v>41852</v>
      </c>
      <c r="L99" s="1">
        <v>2551.1</v>
      </c>
      <c r="M99" s="34">
        <v>41852</v>
      </c>
      <c r="N99" s="1">
        <v>395.8</v>
      </c>
    </row>
    <row r="100" spans="1:14" x14ac:dyDescent="0.25">
      <c r="A100" s="34">
        <v>41883</v>
      </c>
      <c r="B100" s="1">
        <v>2577.8000000000002</v>
      </c>
      <c r="C100" s="34">
        <v>41883</v>
      </c>
      <c r="D100" s="1">
        <v>1860</v>
      </c>
      <c r="E100" s="34">
        <v>41883</v>
      </c>
      <c r="F100" s="1">
        <v>6.9</v>
      </c>
      <c r="G100" s="34">
        <v>41883</v>
      </c>
      <c r="H100" s="1">
        <v>2.2000000000000002</v>
      </c>
      <c r="I100" s="34">
        <v>41883</v>
      </c>
      <c r="J100" s="1">
        <v>189.78</v>
      </c>
      <c r="K100" s="34">
        <v>41883</v>
      </c>
      <c r="L100" s="1">
        <v>2580.5</v>
      </c>
      <c r="M100" s="34">
        <v>41883</v>
      </c>
      <c r="N100" s="1">
        <v>422.3</v>
      </c>
    </row>
    <row r="101" spans="1:14" x14ac:dyDescent="0.25">
      <c r="A101" s="34">
        <v>41913</v>
      </c>
      <c r="B101" s="1">
        <v>2591.6999999999998</v>
      </c>
      <c r="C101" s="34">
        <v>41913</v>
      </c>
      <c r="D101" s="1">
        <v>2019</v>
      </c>
      <c r="E101" s="34">
        <v>41913</v>
      </c>
      <c r="F101" s="1">
        <v>6.8</v>
      </c>
      <c r="G101" s="34">
        <v>41913</v>
      </c>
      <c r="H101" s="1">
        <v>2.29</v>
      </c>
      <c r="I101" s="34">
        <v>41913</v>
      </c>
      <c r="J101" s="1">
        <v>190.44</v>
      </c>
      <c r="K101" s="34">
        <v>41913</v>
      </c>
      <c r="L101" s="1">
        <v>2610</v>
      </c>
      <c r="M101" s="34">
        <v>41913</v>
      </c>
      <c r="N101" s="1">
        <v>425.9</v>
      </c>
    </row>
    <row r="102" spans="1:14" x14ac:dyDescent="0.25">
      <c r="A102" s="34">
        <v>41944</v>
      </c>
      <c r="B102" s="1">
        <v>2599.4</v>
      </c>
      <c r="C102" s="34">
        <v>41944</v>
      </c>
      <c r="D102" s="1">
        <v>1563</v>
      </c>
      <c r="E102" s="34">
        <v>41944</v>
      </c>
      <c r="F102" s="1">
        <v>6.8</v>
      </c>
      <c r="G102" s="34">
        <v>41944</v>
      </c>
      <c r="H102" s="1">
        <v>2.13</v>
      </c>
      <c r="I102" s="34">
        <v>41944</v>
      </c>
      <c r="J102" s="1">
        <v>190.99</v>
      </c>
      <c r="K102" s="34">
        <v>41944</v>
      </c>
      <c r="L102" s="1">
        <v>2632.9</v>
      </c>
      <c r="M102" s="34">
        <v>41944</v>
      </c>
      <c r="N102" s="1">
        <v>426.5</v>
      </c>
    </row>
    <row r="103" spans="1:14" x14ac:dyDescent="0.25">
      <c r="A103" s="34">
        <v>41974</v>
      </c>
      <c r="B103" s="1">
        <v>2605.4</v>
      </c>
      <c r="E103" s="34">
        <v>41974</v>
      </c>
      <c r="F103" s="1">
        <v>6.7</v>
      </c>
      <c r="K103" s="34">
        <v>41974</v>
      </c>
      <c r="L103" s="1">
        <v>2639.9</v>
      </c>
      <c r="M103" s="34">
        <v>41974</v>
      </c>
      <c r="N103" s="1">
        <v>422.6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103"/>
  <sheetViews>
    <sheetView topLeftCell="A82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64</v>
      </c>
      <c r="C1" s="34" t="s">
        <v>65</v>
      </c>
      <c r="E1" s="34" t="s">
        <v>66</v>
      </c>
      <c r="G1" s="34" t="s">
        <v>67</v>
      </c>
      <c r="I1" s="34" t="s">
        <v>68</v>
      </c>
      <c r="K1" s="34" t="str">
        <f>CONCATENATE(LEFT(A1,2), "NAN")</f>
        <v>CANAN</v>
      </c>
      <c r="M1" s="34" t="str">
        <f>CONCATENATE(LEFT(A1,2), "GOVTN")</f>
        <v>CAGOVTN</v>
      </c>
      <c r="O1" s="34" t="str">
        <f>CONCATENATE(LEFT($A$1,2), "RGSP")</f>
        <v>CARGSP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852</v>
      </c>
      <c r="C5" s="35" t="s">
        <v>69</v>
      </c>
      <c r="E5" s="35" t="s">
        <v>70</v>
      </c>
      <c r="G5" s="35" t="s">
        <v>71</v>
      </c>
      <c r="I5" s="35" t="s">
        <v>72</v>
      </c>
      <c r="K5" s="35" t="s">
        <v>852</v>
      </c>
      <c r="M5" s="35" t="s">
        <v>853</v>
      </c>
      <c r="O5" s="35" t="s">
        <v>816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15365.4</v>
      </c>
      <c r="C8" s="34">
        <v>39083</v>
      </c>
      <c r="D8" s="1">
        <v>9621</v>
      </c>
      <c r="E8" s="34">
        <v>39083</v>
      </c>
      <c r="F8" s="1">
        <v>4.9000000000000004</v>
      </c>
      <c r="G8" s="34">
        <v>39083</v>
      </c>
      <c r="H8" s="1">
        <v>0.71</v>
      </c>
      <c r="I8" s="34">
        <v>39083</v>
      </c>
      <c r="J8" s="1">
        <v>150.43</v>
      </c>
      <c r="K8" s="34">
        <v>39083</v>
      </c>
      <c r="L8" s="1">
        <v>15168.7</v>
      </c>
      <c r="M8" s="34">
        <v>39083</v>
      </c>
      <c r="N8" s="1">
        <v>2475.1</v>
      </c>
      <c r="O8" s="34">
        <v>39083</v>
      </c>
      <c r="P8" s="1">
        <v>1993361</v>
      </c>
    </row>
    <row r="9" spans="1:16" x14ac:dyDescent="0.25">
      <c r="A9" s="34">
        <v>39114</v>
      </c>
      <c r="B9" s="1">
        <v>15393.1</v>
      </c>
      <c r="C9" s="34">
        <v>39114</v>
      </c>
      <c r="D9" s="1">
        <v>8631</v>
      </c>
      <c r="E9" s="34">
        <v>39114</v>
      </c>
      <c r="F9" s="1">
        <v>5</v>
      </c>
      <c r="G9" s="34">
        <v>39114</v>
      </c>
      <c r="H9" s="1">
        <v>0.94</v>
      </c>
      <c r="I9" s="34">
        <v>39114</v>
      </c>
      <c r="J9" s="1">
        <v>150.80000000000001</v>
      </c>
      <c r="K9" s="34">
        <v>39114</v>
      </c>
      <c r="L9" s="1">
        <v>15279.7</v>
      </c>
      <c r="M9" s="34">
        <v>39114</v>
      </c>
      <c r="N9" s="1">
        <v>2498.8000000000002</v>
      </c>
      <c r="O9" s="34">
        <v>39448</v>
      </c>
      <c r="P9" s="1">
        <v>1987642</v>
      </c>
    </row>
    <row r="10" spans="1:16" x14ac:dyDescent="0.25">
      <c r="A10" s="34">
        <v>39142</v>
      </c>
      <c r="B10" s="1">
        <v>15429.4</v>
      </c>
      <c r="C10" s="34">
        <v>39142</v>
      </c>
      <c r="D10" s="1">
        <v>13245</v>
      </c>
      <c r="E10" s="34">
        <v>39142</v>
      </c>
      <c r="F10" s="1">
        <v>5</v>
      </c>
      <c r="G10" s="34">
        <v>39142</v>
      </c>
      <c r="H10" s="1">
        <v>0.78</v>
      </c>
      <c r="I10" s="34">
        <v>39142</v>
      </c>
      <c r="J10" s="1">
        <v>150.94999999999999</v>
      </c>
      <c r="K10" s="34">
        <v>39142</v>
      </c>
      <c r="L10" s="1">
        <v>15385.7</v>
      </c>
      <c r="M10" s="34">
        <v>39142</v>
      </c>
      <c r="N10" s="1">
        <v>2521.1999999999998</v>
      </c>
      <c r="O10" s="34">
        <v>39814</v>
      </c>
      <c r="P10" s="1">
        <v>1906376</v>
      </c>
    </row>
    <row r="11" spans="1:16" x14ac:dyDescent="0.25">
      <c r="A11" s="34">
        <v>39173</v>
      </c>
      <c r="B11" s="1">
        <v>15377.6</v>
      </c>
      <c r="C11" s="34">
        <v>39173</v>
      </c>
      <c r="D11" s="1">
        <v>10087</v>
      </c>
      <c r="E11" s="34">
        <v>39173</v>
      </c>
      <c r="F11" s="1">
        <v>5.0999999999999996</v>
      </c>
      <c r="G11" s="34">
        <v>39173</v>
      </c>
      <c r="H11" s="1">
        <v>0.51</v>
      </c>
      <c r="I11" s="34">
        <v>39173</v>
      </c>
      <c r="J11" s="1">
        <v>151.11000000000001</v>
      </c>
      <c r="K11" s="34">
        <v>39173</v>
      </c>
      <c r="L11" s="1">
        <v>15337.4</v>
      </c>
      <c r="M11" s="34">
        <v>39173</v>
      </c>
      <c r="N11" s="1">
        <v>2524.9</v>
      </c>
      <c r="O11" s="34">
        <v>40179</v>
      </c>
      <c r="P11" s="1">
        <v>1924438</v>
      </c>
    </row>
    <row r="12" spans="1:16" x14ac:dyDescent="0.25">
      <c r="A12" s="34">
        <v>39203</v>
      </c>
      <c r="B12" s="1">
        <v>15394.1</v>
      </c>
      <c r="C12" s="34">
        <v>39203</v>
      </c>
      <c r="D12" s="1">
        <v>11123</v>
      </c>
      <c r="E12" s="34">
        <v>39203</v>
      </c>
      <c r="F12" s="1">
        <v>5.2</v>
      </c>
      <c r="G12" s="34">
        <v>39203</v>
      </c>
      <c r="H12" s="1">
        <v>0.38</v>
      </c>
      <c r="I12" s="34">
        <v>39203</v>
      </c>
      <c r="J12" s="1">
        <v>151.31</v>
      </c>
      <c r="K12" s="34">
        <v>39203</v>
      </c>
      <c r="L12" s="1">
        <v>15428.4</v>
      </c>
      <c r="M12" s="34">
        <v>39203</v>
      </c>
      <c r="N12" s="1">
        <v>2535.4</v>
      </c>
      <c r="O12" s="34">
        <v>40544</v>
      </c>
      <c r="P12" s="1">
        <v>1957114</v>
      </c>
    </row>
    <row r="13" spans="1:16" x14ac:dyDescent="0.25">
      <c r="A13" s="34">
        <v>39234</v>
      </c>
      <c r="B13" s="1">
        <v>15417.4</v>
      </c>
      <c r="C13" s="34">
        <v>39234</v>
      </c>
      <c r="D13" s="1">
        <v>9218</v>
      </c>
      <c r="E13" s="34">
        <v>39234</v>
      </c>
      <c r="F13" s="1">
        <v>5.3</v>
      </c>
      <c r="G13" s="34">
        <v>39234</v>
      </c>
      <c r="H13" s="1">
        <v>0.56000000000000005</v>
      </c>
      <c r="I13" s="34">
        <v>39234</v>
      </c>
      <c r="J13" s="1">
        <v>151.51</v>
      </c>
      <c r="K13" s="34">
        <v>39234</v>
      </c>
      <c r="L13" s="1">
        <v>15501.4</v>
      </c>
      <c r="M13" s="34">
        <v>39234</v>
      </c>
      <c r="N13" s="1">
        <v>2534.5</v>
      </c>
      <c r="O13" s="34">
        <v>40909</v>
      </c>
      <c r="P13" s="1">
        <v>2009936</v>
      </c>
    </row>
    <row r="14" spans="1:16" x14ac:dyDescent="0.25">
      <c r="A14" s="34">
        <v>39264</v>
      </c>
      <c r="B14" s="1">
        <v>15449.8</v>
      </c>
      <c r="C14" s="34">
        <v>39264</v>
      </c>
      <c r="D14" s="1">
        <v>8601</v>
      </c>
      <c r="E14" s="34">
        <v>39264</v>
      </c>
      <c r="F14" s="1">
        <v>5.4</v>
      </c>
      <c r="G14" s="34">
        <v>39264</v>
      </c>
      <c r="H14" s="1">
        <v>0.51</v>
      </c>
      <c r="I14" s="34">
        <v>39264</v>
      </c>
      <c r="J14" s="1">
        <v>151.72</v>
      </c>
      <c r="K14" s="34">
        <v>39264</v>
      </c>
      <c r="L14" s="1">
        <v>15372.6</v>
      </c>
      <c r="M14" s="34">
        <v>39264</v>
      </c>
      <c r="N14" s="1">
        <v>2407.3000000000002</v>
      </c>
      <c r="O14" s="34">
        <v>41275</v>
      </c>
      <c r="P14" s="1">
        <v>2050693</v>
      </c>
    </row>
    <row r="15" spans="1:16" x14ac:dyDescent="0.25">
      <c r="A15" s="34">
        <v>39295</v>
      </c>
      <c r="B15" s="1">
        <v>15431.4</v>
      </c>
      <c r="C15" s="34">
        <v>39295</v>
      </c>
      <c r="D15" s="1">
        <v>10420</v>
      </c>
      <c r="E15" s="34">
        <v>39295</v>
      </c>
      <c r="F15" s="1">
        <v>5.5</v>
      </c>
      <c r="G15" s="34">
        <v>39295</v>
      </c>
      <c r="H15" s="1">
        <v>0.28000000000000003</v>
      </c>
      <c r="I15" s="34">
        <v>39295</v>
      </c>
      <c r="J15" s="1">
        <v>151.86000000000001</v>
      </c>
      <c r="K15" s="34">
        <v>39295</v>
      </c>
      <c r="L15" s="1">
        <v>15383</v>
      </c>
      <c r="M15" s="34">
        <v>39295</v>
      </c>
      <c r="N15" s="1">
        <v>2393.1</v>
      </c>
    </row>
    <row r="16" spans="1:16" x14ac:dyDescent="0.25">
      <c r="A16" s="34">
        <v>39326</v>
      </c>
      <c r="B16" s="1">
        <v>15427.7</v>
      </c>
      <c r="C16" s="34">
        <v>39326</v>
      </c>
      <c r="D16" s="1">
        <v>6691</v>
      </c>
      <c r="E16" s="34">
        <v>39326</v>
      </c>
      <c r="F16" s="1">
        <v>5.6</v>
      </c>
      <c r="G16" s="34">
        <v>39326</v>
      </c>
      <c r="H16" s="1">
        <v>7.0000000000000007E-2</v>
      </c>
      <c r="I16" s="34">
        <v>39326</v>
      </c>
      <c r="J16" s="1">
        <v>151.93</v>
      </c>
      <c r="K16" s="34">
        <v>39326</v>
      </c>
      <c r="L16" s="1">
        <v>15443.9</v>
      </c>
      <c r="M16" s="34">
        <v>39326</v>
      </c>
      <c r="N16" s="1">
        <v>2461.9</v>
      </c>
    </row>
    <row r="17" spans="1:14" x14ac:dyDescent="0.25">
      <c r="A17" s="34">
        <v>39356</v>
      </c>
      <c r="B17" s="1">
        <v>15405.5</v>
      </c>
      <c r="C17" s="34">
        <v>39356</v>
      </c>
      <c r="D17" s="1">
        <v>7477</v>
      </c>
      <c r="E17" s="34">
        <v>39356</v>
      </c>
      <c r="F17" s="1">
        <v>5.7</v>
      </c>
      <c r="G17" s="34">
        <v>39356</v>
      </c>
      <c r="H17" s="1">
        <v>0.2</v>
      </c>
      <c r="I17" s="34">
        <v>39356</v>
      </c>
      <c r="J17" s="1">
        <v>152.15</v>
      </c>
      <c r="K17" s="34">
        <v>39356</v>
      </c>
      <c r="L17" s="1">
        <v>15483.4</v>
      </c>
      <c r="M17" s="34">
        <v>39356</v>
      </c>
      <c r="N17" s="1">
        <v>2514.4</v>
      </c>
    </row>
    <row r="18" spans="1:14" x14ac:dyDescent="0.25">
      <c r="A18" s="34">
        <v>39387</v>
      </c>
      <c r="B18" s="1">
        <v>15414.6</v>
      </c>
      <c r="C18" s="34">
        <v>39387</v>
      </c>
      <c r="D18" s="1">
        <v>5239</v>
      </c>
      <c r="E18" s="34">
        <v>39387</v>
      </c>
      <c r="F18" s="1">
        <v>5.7</v>
      </c>
      <c r="G18" s="34">
        <v>39387</v>
      </c>
      <c r="H18" s="1">
        <v>0.09</v>
      </c>
      <c r="I18" s="34">
        <v>39387</v>
      </c>
      <c r="J18" s="1">
        <v>152.18</v>
      </c>
      <c r="K18" s="34">
        <v>39387</v>
      </c>
      <c r="L18" s="1">
        <v>15551.3</v>
      </c>
      <c r="M18" s="34">
        <v>39387</v>
      </c>
      <c r="N18" s="1">
        <v>2536.6999999999998</v>
      </c>
    </row>
    <row r="19" spans="1:14" x14ac:dyDescent="0.25">
      <c r="A19" s="34">
        <v>39417</v>
      </c>
      <c r="B19" s="1">
        <v>15423.1</v>
      </c>
      <c r="C19" s="34">
        <v>39417</v>
      </c>
      <c r="D19" s="1">
        <v>6063</v>
      </c>
      <c r="E19" s="34">
        <v>39417</v>
      </c>
      <c r="F19" s="1">
        <v>5.8</v>
      </c>
      <c r="G19" s="34">
        <v>39417</v>
      </c>
      <c r="H19" s="1">
        <v>-7.0000000000000007E-2</v>
      </c>
      <c r="I19" s="34">
        <v>39417</v>
      </c>
      <c r="J19" s="1">
        <v>152.22999999999999</v>
      </c>
      <c r="K19" s="34">
        <v>39417</v>
      </c>
      <c r="L19" s="1">
        <v>15594</v>
      </c>
      <c r="M19" s="34">
        <v>39417</v>
      </c>
      <c r="N19" s="1">
        <v>2531.5</v>
      </c>
    </row>
    <row r="20" spans="1:14" x14ac:dyDescent="0.25">
      <c r="A20" s="34">
        <v>39448</v>
      </c>
      <c r="B20" s="1">
        <v>15381.2</v>
      </c>
      <c r="C20" s="34">
        <v>39448</v>
      </c>
      <c r="D20" s="1">
        <v>5043</v>
      </c>
      <c r="E20" s="34">
        <v>39448</v>
      </c>
      <c r="F20" s="1">
        <v>5.9</v>
      </c>
      <c r="G20" s="34">
        <v>39448</v>
      </c>
      <c r="H20" s="1">
        <v>-0.18</v>
      </c>
      <c r="I20" s="34">
        <v>39448</v>
      </c>
      <c r="J20" s="1">
        <v>152.30000000000001</v>
      </c>
      <c r="K20" s="34">
        <v>39448</v>
      </c>
      <c r="L20" s="1">
        <v>15188</v>
      </c>
      <c r="M20" s="34">
        <v>39448</v>
      </c>
      <c r="N20" s="1">
        <v>2511.1999999999998</v>
      </c>
    </row>
    <row r="21" spans="1:14" x14ac:dyDescent="0.25">
      <c r="A21" s="34">
        <v>39479</v>
      </c>
      <c r="B21" s="1">
        <v>15389.8</v>
      </c>
      <c r="C21" s="34">
        <v>39479</v>
      </c>
      <c r="D21" s="1">
        <v>6227</v>
      </c>
      <c r="E21" s="34">
        <v>39479</v>
      </c>
      <c r="F21" s="1">
        <v>6</v>
      </c>
      <c r="G21" s="34">
        <v>39479</v>
      </c>
      <c r="H21" s="1">
        <v>-0.36</v>
      </c>
      <c r="I21" s="34">
        <v>39479</v>
      </c>
      <c r="J21" s="1">
        <v>152.21</v>
      </c>
      <c r="K21" s="34">
        <v>39479</v>
      </c>
      <c r="L21" s="1">
        <v>15279.9</v>
      </c>
      <c r="M21" s="34">
        <v>39479</v>
      </c>
      <c r="N21" s="1">
        <v>2537.1999999999998</v>
      </c>
    </row>
    <row r="22" spans="1:14" x14ac:dyDescent="0.25">
      <c r="A22" s="34">
        <v>39508</v>
      </c>
      <c r="B22" s="1">
        <v>15376.3</v>
      </c>
      <c r="C22" s="34">
        <v>39508</v>
      </c>
      <c r="D22" s="1">
        <v>4656</v>
      </c>
      <c r="E22" s="34">
        <v>39508</v>
      </c>
      <c r="F22" s="1">
        <v>6.2</v>
      </c>
      <c r="G22" s="34">
        <v>39508</v>
      </c>
      <c r="H22" s="1">
        <v>-0.37</v>
      </c>
      <c r="I22" s="34">
        <v>39508</v>
      </c>
      <c r="J22" s="1">
        <v>152.15</v>
      </c>
      <c r="K22" s="34">
        <v>39508</v>
      </c>
      <c r="L22" s="1">
        <v>15332.1</v>
      </c>
      <c r="M22" s="34">
        <v>39508</v>
      </c>
      <c r="N22" s="1">
        <v>2554.3000000000002</v>
      </c>
    </row>
    <row r="23" spans="1:14" x14ac:dyDescent="0.25">
      <c r="A23" s="34">
        <v>39539</v>
      </c>
      <c r="B23" s="1">
        <v>15377.1</v>
      </c>
      <c r="C23" s="34">
        <v>39539</v>
      </c>
      <c r="D23" s="1">
        <v>6189</v>
      </c>
      <c r="E23" s="34">
        <v>39539</v>
      </c>
      <c r="F23" s="1">
        <v>6.4</v>
      </c>
      <c r="G23" s="34">
        <v>39539</v>
      </c>
      <c r="H23" s="1">
        <v>-0.27</v>
      </c>
      <c r="I23" s="34">
        <v>39539</v>
      </c>
      <c r="J23" s="1">
        <v>152.13</v>
      </c>
      <c r="K23" s="34">
        <v>39539</v>
      </c>
      <c r="L23" s="1">
        <v>15342.8</v>
      </c>
      <c r="M23" s="34">
        <v>39539</v>
      </c>
      <c r="N23" s="1">
        <v>2562.1999999999998</v>
      </c>
    </row>
    <row r="24" spans="1:14" x14ac:dyDescent="0.25">
      <c r="A24" s="34">
        <v>39569</v>
      </c>
      <c r="B24" s="1">
        <v>15350</v>
      </c>
      <c r="C24" s="34">
        <v>39569</v>
      </c>
      <c r="D24" s="1">
        <v>7331</v>
      </c>
      <c r="E24" s="34">
        <v>39569</v>
      </c>
      <c r="F24" s="1">
        <v>6.6</v>
      </c>
      <c r="G24" s="34">
        <v>39569</v>
      </c>
      <c r="H24" s="1">
        <v>-0.86</v>
      </c>
      <c r="I24" s="34">
        <v>39569</v>
      </c>
      <c r="J24" s="1">
        <v>151.74</v>
      </c>
      <c r="K24" s="34">
        <v>39569</v>
      </c>
      <c r="L24" s="1">
        <v>15378.3</v>
      </c>
      <c r="M24" s="34">
        <v>39569</v>
      </c>
      <c r="N24" s="1">
        <v>2571.8000000000002</v>
      </c>
    </row>
    <row r="25" spans="1:14" x14ac:dyDescent="0.25">
      <c r="A25" s="34">
        <v>39600</v>
      </c>
      <c r="B25" s="1">
        <v>15317.3</v>
      </c>
      <c r="C25" s="34">
        <v>39600</v>
      </c>
      <c r="D25" s="1">
        <v>6712</v>
      </c>
      <c r="E25" s="34">
        <v>39600</v>
      </c>
      <c r="F25" s="1">
        <v>7</v>
      </c>
      <c r="G25" s="34">
        <v>39600</v>
      </c>
      <c r="H25" s="1">
        <v>-1</v>
      </c>
      <c r="I25" s="34">
        <v>39600</v>
      </c>
      <c r="J25" s="1">
        <v>151.55000000000001</v>
      </c>
      <c r="K25" s="34">
        <v>39600</v>
      </c>
      <c r="L25" s="1">
        <v>15404.2</v>
      </c>
      <c r="M25" s="34">
        <v>39600</v>
      </c>
      <c r="N25" s="1">
        <v>2573.4</v>
      </c>
    </row>
    <row r="26" spans="1:14" x14ac:dyDescent="0.25">
      <c r="A26" s="34">
        <v>39630</v>
      </c>
      <c r="B26" s="1">
        <v>15283.9</v>
      </c>
      <c r="C26" s="34">
        <v>39630</v>
      </c>
      <c r="D26" s="1">
        <v>4961</v>
      </c>
      <c r="E26" s="34">
        <v>39630</v>
      </c>
      <c r="F26" s="1">
        <v>7.3</v>
      </c>
      <c r="G26" s="34">
        <v>39630</v>
      </c>
      <c r="H26" s="1">
        <v>-0.87</v>
      </c>
      <c r="I26" s="34">
        <v>39630</v>
      </c>
      <c r="J26" s="1">
        <v>151.25</v>
      </c>
      <c r="K26" s="34">
        <v>39630</v>
      </c>
      <c r="L26" s="1">
        <v>15193.7</v>
      </c>
      <c r="M26" s="34">
        <v>39630</v>
      </c>
      <c r="N26" s="1">
        <v>2424.6</v>
      </c>
    </row>
    <row r="27" spans="1:14" x14ac:dyDescent="0.25">
      <c r="A27" s="34">
        <v>39661</v>
      </c>
      <c r="B27" s="1">
        <v>15230.9</v>
      </c>
      <c r="C27" s="34">
        <v>39661</v>
      </c>
      <c r="D27" s="1">
        <v>3632</v>
      </c>
      <c r="E27" s="34">
        <v>39661</v>
      </c>
      <c r="F27" s="1">
        <v>7.6</v>
      </c>
      <c r="G27" s="34">
        <v>39661</v>
      </c>
      <c r="H27" s="1">
        <v>-1.17</v>
      </c>
      <c r="I27" s="34">
        <v>39661</v>
      </c>
      <c r="J27" s="1">
        <v>150.87</v>
      </c>
      <c r="K27" s="34">
        <v>39661</v>
      </c>
      <c r="L27" s="1">
        <v>15180.4</v>
      </c>
      <c r="M27" s="34">
        <v>39661</v>
      </c>
      <c r="N27" s="1">
        <v>2413.8000000000002</v>
      </c>
    </row>
    <row r="28" spans="1:14" x14ac:dyDescent="0.25">
      <c r="A28" s="34">
        <v>39692</v>
      </c>
      <c r="B28" s="1">
        <v>15195.7</v>
      </c>
      <c r="C28" s="34">
        <v>39692</v>
      </c>
      <c r="D28" s="1">
        <v>4332</v>
      </c>
      <c r="E28" s="34">
        <v>39692</v>
      </c>
      <c r="F28" s="1">
        <v>7.9</v>
      </c>
      <c r="G28" s="34">
        <v>39692</v>
      </c>
      <c r="H28" s="1">
        <v>-1.47</v>
      </c>
      <c r="I28" s="34">
        <v>39692</v>
      </c>
      <c r="J28" s="1">
        <v>150.44</v>
      </c>
      <c r="K28" s="34">
        <v>39692</v>
      </c>
      <c r="L28" s="1">
        <v>15207.8</v>
      </c>
      <c r="M28" s="34">
        <v>39692</v>
      </c>
      <c r="N28" s="1">
        <v>2474.9</v>
      </c>
    </row>
    <row r="29" spans="1:14" x14ac:dyDescent="0.25">
      <c r="A29" s="34">
        <v>39722</v>
      </c>
      <c r="B29" s="1">
        <v>15086.2</v>
      </c>
      <c r="C29" s="34">
        <v>39722</v>
      </c>
      <c r="D29" s="1">
        <v>3776</v>
      </c>
      <c r="E29" s="34">
        <v>39722</v>
      </c>
      <c r="F29" s="1">
        <v>8.1999999999999993</v>
      </c>
      <c r="G29" s="34">
        <v>39722</v>
      </c>
      <c r="H29" s="1">
        <v>-2.39</v>
      </c>
      <c r="I29" s="34">
        <v>39722</v>
      </c>
      <c r="J29" s="1">
        <v>149.56</v>
      </c>
      <c r="K29" s="34">
        <v>39722</v>
      </c>
      <c r="L29" s="1">
        <v>15179.6</v>
      </c>
      <c r="M29" s="34">
        <v>39722</v>
      </c>
      <c r="N29" s="1">
        <v>2529.4</v>
      </c>
    </row>
    <row r="30" spans="1:14" x14ac:dyDescent="0.25">
      <c r="A30" s="34">
        <v>39753</v>
      </c>
      <c r="B30" s="1">
        <v>14994</v>
      </c>
      <c r="C30" s="34">
        <v>39753</v>
      </c>
      <c r="D30" s="1">
        <v>4054</v>
      </c>
      <c r="E30" s="34">
        <v>39753</v>
      </c>
      <c r="F30" s="1">
        <v>8.6999999999999993</v>
      </c>
      <c r="G30" s="34">
        <v>39753</v>
      </c>
      <c r="H30" s="1">
        <v>-3.23</v>
      </c>
      <c r="I30" s="34">
        <v>39753</v>
      </c>
      <c r="J30" s="1">
        <v>148.68</v>
      </c>
      <c r="K30" s="34">
        <v>39753</v>
      </c>
      <c r="L30" s="1">
        <v>15119.9</v>
      </c>
      <c r="M30" s="34">
        <v>39753</v>
      </c>
      <c r="N30" s="1">
        <v>2543</v>
      </c>
    </row>
    <row r="31" spans="1:14" x14ac:dyDescent="0.25">
      <c r="A31" s="34">
        <v>39783</v>
      </c>
      <c r="B31" s="1">
        <v>14912.6</v>
      </c>
      <c r="C31" s="34">
        <v>39783</v>
      </c>
      <c r="D31" s="1">
        <v>3740</v>
      </c>
      <c r="E31" s="34">
        <v>39783</v>
      </c>
      <c r="F31" s="1">
        <v>9.1999999999999993</v>
      </c>
      <c r="G31" s="34">
        <v>39783</v>
      </c>
      <c r="H31" s="1">
        <v>-3.58</v>
      </c>
      <c r="I31" s="34">
        <v>39783</v>
      </c>
      <c r="J31" s="1">
        <v>147.69</v>
      </c>
      <c r="K31" s="34">
        <v>39783</v>
      </c>
      <c r="L31" s="1">
        <v>15080.4</v>
      </c>
      <c r="M31" s="34">
        <v>39783</v>
      </c>
      <c r="N31" s="1">
        <v>2531.1</v>
      </c>
    </row>
    <row r="32" spans="1:14" x14ac:dyDescent="0.25">
      <c r="A32" s="34">
        <v>39814</v>
      </c>
      <c r="B32" s="1">
        <v>14787</v>
      </c>
      <c r="C32" s="34">
        <v>39814</v>
      </c>
      <c r="D32" s="1">
        <v>2012</v>
      </c>
      <c r="E32" s="34">
        <v>39814</v>
      </c>
      <c r="F32" s="1">
        <v>9.6999999999999993</v>
      </c>
      <c r="G32" s="34">
        <v>39814</v>
      </c>
      <c r="H32" s="1">
        <v>-3.3</v>
      </c>
      <c r="I32" s="34">
        <v>39814</v>
      </c>
      <c r="J32" s="1">
        <v>146.81</v>
      </c>
      <c r="K32" s="34">
        <v>39814</v>
      </c>
      <c r="L32" s="1">
        <v>14624.4</v>
      </c>
      <c r="M32" s="34">
        <v>39814</v>
      </c>
      <c r="N32" s="1">
        <v>2514</v>
      </c>
    </row>
    <row r="33" spans="1:14" x14ac:dyDescent="0.25">
      <c r="A33" s="34">
        <v>39845</v>
      </c>
      <c r="B33" s="1">
        <v>14667.8</v>
      </c>
      <c r="C33" s="34">
        <v>39845</v>
      </c>
      <c r="D33" s="1">
        <v>2370</v>
      </c>
      <c r="E33" s="34">
        <v>39845</v>
      </c>
      <c r="F33" s="1">
        <v>10.1</v>
      </c>
      <c r="G33" s="34">
        <v>39845</v>
      </c>
      <c r="H33" s="1">
        <v>-3.47</v>
      </c>
      <c r="I33" s="34">
        <v>39845</v>
      </c>
      <c r="J33" s="1">
        <v>145.63999999999999</v>
      </c>
      <c r="K33" s="34">
        <v>39845</v>
      </c>
      <c r="L33" s="1">
        <v>14559.2</v>
      </c>
      <c r="M33" s="34">
        <v>39845</v>
      </c>
      <c r="N33" s="1">
        <v>2533</v>
      </c>
    </row>
    <row r="34" spans="1:14" x14ac:dyDescent="0.25">
      <c r="A34" s="34">
        <v>39873</v>
      </c>
      <c r="B34" s="1">
        <v>14577.2</v>
      </c>
      <c r="C34" s="34">
        <v>39873</v>
      </c>
      <c r="D34" s="1">
        <v>3031</v>
      </c>
      <c r="E34" s="34">
        <v>39873</v>
      </c>
      <c r="F34" s="1">
        <v>10.6</v>
      </c>
      <c r="G34" s="34">
        <v>39873</v>
      </c>
      <c r="H34" s="1">
        <v>-3.18</v>
      </c>
      <c r="I34" s="34">
        <v>39873</v>
      </c>
      <c r="J34" s="1">
        <v>144.86000000000001</v>
      </c>
      <c r="K34" s="34">
        <v>39873</v>
      </c>
      <c r="L34" s="1">
        <v>14536.9</v>
      </c>
      <c r="M34" s="34">
        <v>39873</v>
      </c>
      <c r="N34" s="1">
        <v>2551.1999999999998</v>
      </c>
    </row>
    <row r="35" spans="1:14" x14ac:dyDescent="0.25">
      <c r="A35" s="34">
        <v>39904</v>
      </c>
      <c r="B35" s="1">
        <v>14470.1</v>
      </c>
      <c r="C35" s="34">
        <v>39904</v>
      </c>
      <c r="D35" s="1">
        <v>2916</v>
      </c>
      <c r="E35" s="34">
        <v>39904</v>
      </c>
      <c r="F35" s="1">
        <v>10.9</v>
      </c>
      <c r="G35" s="34">
        <v>39904</v>
      </c>
      <c r="H35" s="1">
        <v>-2.52</v>
      </c>
      <c r="I35" s="34">
        <v>39904</v>
      </c>
      <c r="J35" s="1">
        <v>144.03</v>
      </c>
      <c r="K35" s="34">
        <v>39904</v>
      </c>
      <c r="L35" s="1">
        <v>14470.5</v>
      </c>
      <c r="M35" s="34">
        <v>39904</v>
      </c>
      <c r="N35" s="1">
        <v>2563.3000000000002</v>
      </c>
    </row>
    <row r="36" spans="1:14" x14ac:dyDescent="0.25">
      <c r="A36" s="34">
        <v>39934</v>
      </c>
      <c r="B36" s="1">
        <v>14425.9</v>
      </c>
      <c r="C36" s="34">
        <v>39934</v>
      </c>
      <c r="D36" s="1">
        <v>2818</v>
      </c>
      <c r="E36" s="34">
        <v>39934</v>
      </c>
      <c r="F36" s="1">
        <v>11.2</v>
      </c>
      <c r="G36" s="34">
        <v>39934</v>
      </c>
      <c r="H36" s="1">
        <v>-2.1800000000000002</v>
      </c>
      <c r="I36" s="34">
        <v>39934</v>
      </c>
      <c r="J36" s="1">
        <v>143.26</v>
      </c>
      <c r="K36" s="34">
        <v>39934</v>
      </c>
      <c r="L36" s="1">
        <v>14478.6</v>
      </c>
      <c r="M36" s="34">
        <v>39934</v>
      </c>
      <c r="N36" s="1">
        <v>2557.8000000000002</v>
      </c>
    </row>
    <row r="37" spans="1:14" x14ac:dyDescent="0.25">
      <c r="A37" s="34">
        <v>39965</v>
      </c>
      <c r="B37" s="1">
        <v>14361.5</v>
      </c>
      <c r="C37" s="34">
        <v>39965</v>
      </c>
      <c r="D37" s="1">
        <v>3428</v>
      </c>
      <c r="E37" s="34">
        <v>39965</v>
      </c>
      <c r="F37" s="1">
        <v>11.5</v>
      </c>
      <c r="G37" s="34">
        <v>39965</v>
      </c>
      <c r="H37" s="1">
        <v>-1.75</v>
      </c>
      <c r="I37" s="34">
        <v>39965</v>
      </c>
      <c r="J37" s="1">
        <v>142.68</v>
      </c>
      <c r="K37" s="34">
        <v>39965</v>
      </c>
      <c r="L37" s="1">
        <v>14446.9</v>
      </c>
      <c r="M37" s="34">
        <v>39965</v>
      </c>
      <c r="N37" s="1">
        <v>2543</v>
      </c>
    </row>
    <row r="38" spans="1:14" x14ac:dyDescent="0.25">
      <c r="A38" s="34">
        <v>39995</v>
      </c>
      <c r="B38" s="1">
        <v>14256.4</v>
      </c>
      <c r="C38" s="34">
        <v>39995</v>
      </c>
      <c r="D38" s="1">
        <v>3008</v>
      </c>
      <c r="E38" s="34">
        <v>39995</v>
      </c>
      <c r="F38" s="1">
        <v>11.7</v>
      </c>
      <c r="G38" s="34">
        <v>39995</v>
      </c>
      <c r="H38" s="1">
        <v>-1.44</v>
      </c>
      <c r="I38" s="34">
        <v>39995</v>
      </c>
      <c r="J38" s="1">
        <v>142.09</v>
      </c>
      <c r="K38" s="34">
        <v>39995</v>
      </c>
      <c r="L38" s="1">
        <v>14155.7</v>
      </c>
      <c r="M38" s="34">
        <v>39995</v>
      </c>
      <c r="N38" s="1">
        <v>2357.4</v>
      </c>
    </row>
    <row r="39" spans="1:14" x14ac:dyDescent="0.25">
      <c r="A39" s="34">
        <v>40026</v>
      </c>
      <c r="B39" s="1">
        <v>14207.9</v>
      </c>
      <c r="C39" s="34">
        <v>40026</v>
      </c>
      <c r="D39" s="1">
        <v>2730</v>
      </c>
      <c r="E39" s="34">
        <v>40026</v>
      </c>
      <c r="F39" s="1">
        <v>11.9</v>
      </c>
      <c r="G39" s="34">
        <v>40026</v>
      </c>
      <c r="H39" s="1">
        <v>-0.94</v>
      </c>
      <c r="I39" s="34">
        <v>40026</v>
      </c>
      <c r="J39" s="1">
        <v>141.77000000000001</v>
      </c>
      <c r="K39" s="34">
        <v>40026</v>
      </c>
      <c r="L39" s="1">
        <v>14134.5</v>
      </c>
      <c r="M39" s="34">
        <v>40026</v>
      </c>
      <c r="N39" s="1">
        <v>2338.9</v>
      </c>
    </row>
    <row r="40" spans="1:14" x14ac:dyDescent="0.25">
      <c r="A40" s="34">
        <v>40057</v>
      </c>
      <c r="B40" s="1">
        <v>14159.3</v>
      </c>
      <c r="C40" s="34">
        <v>40057</v>
      </c>
      <c r="D40" s="1">
        <v>2689</v>
      </c>
      <c r="E40" s="34">
        <v>40057</v>
      </c>
      <c r="F40" s="1">
        <v>12</v>
      </c>
      <c r="G40" s="34">
        <v>40057</v>
      </c>
      <c r="H40" s="1">
        <v>-0.39</v>
      </c>
      <c r="I40" s="34">
        <v>40057</v>
      </c>
      <c r="J40" s="1">
        <v>141.52000000000001</v>
      </c>
      <c r="K40" s="34">
        <v>40057</v>
      </c>
      <c r="L40" s="1">
        <v>14151.8</v>
      </c>
      <c r="M40" s="34">
        <v>40057</v>
      </c>
      <c r="N40" s="1">
        <v>2380.6</v>
      </c>
    </row>
    <row r="41" spans="1:14" x14ac:dyDescent="0.25">
      <c r="A41" s="34">
        <v>40087</v>
      </c>
      <c r="B41" s="1">
        <v>14187.4</v>
      </c>
      <c r="C41" s="34">
        <v>40087</v>
      </c>
      <c r="D41" s="1">
        <v>2793</v>
      </c>
      <c r="E41" s="34">
        <v>40087</v>
      </c>
      <c r="F41" s="1">
        <v>12.1</v>
      </c>
      <c r="G41" s="34">
        <v>40087</v>
      </c>
      <c r="H41" s="1">
        <v>-0.06</v>
      </c>
      <c r="I41" s="34">
        <v>40087</v>
      </c>
      <c r="J41" s="1">
        <v>141.4</v>
      </c>
      <c r="K41" s="34">
        <v>40087</v>
      </c>
      <c r="L41" s="1">
        <v>14283.1</v>
      </c>
      <c r="M41" s="34">
        <v>40087</v>
      </c>
      <c r="N41" s="1">
        <v>2473</v>
      </c>
    </row>
    <row r="42" spans="1:14" x14ac:dyDescent="0.25">
      <c r="A42" s="34">
        <v>40118</v>
      </c>
      <c r="B42" s="1">
        <v>14178.8</v>
      </c>
      <c r="C42" s="34">
        <v>40118</v>
      </c>
      <c r="D42" s="1">
        <v>2366</v>
      </c>
      <c r="E42" s="34">
        <v>40118</v>
      </c>
      <c r="F42" s="1">
        <v>12.2</v>
      </c>
      <c r="G42" s="34">
        <v>40118</v>
      </c>
      <c r="H42" s="1">
        <v>0.19</v>
      </c>
      <c r="I42" s="34">
        <v>40118</v>
      </c>
      <c r="J42" s="1">
        <v>141.28</v>
      </c>
      <c r="K42" s="34">
        <v>40118</v>
      </c>
      <c r="L42" s="1">
        <v>14303.9</v>
      </c>
      <c r="M42" s="34">
        <v>40118</v>
      </c>
      <c r="N42" s="1">
        <v>2480.4</v>
      </c>
    </row>
    <row r="43" spans="1:14" x14ac:dyDescent="0.25">
      <c r="A43" s="34">
        <v>40148</v>
      </c>
      <c r="B43" s="1">
        <v>14155.9</v>
      </c>
      <c r="C43" s="34">
        <v>40148</v>
      </c>
      <c r="D43" s="1">
        <v>3098</v>
      </c>
      <c r="E43" s="34">
        <v>40148</v>
      </c>
      <c r="F43" s="1">
        <v>12.3</v>
      </c>
      <c r="G43" s="34">
        <v>40148</v>
      </c>
      <c r="H43" s="1">
        <v>0.76</v>
      </c>
      <c r="I43" s="34">
        <v>40148</v>
      </c>
      <c r="J43" s="1">
        <v>141.38999999999999</v>
      </c>
      <c r="K43" s="34">
        <v>40148</v>
      </c>
      <c r="L43" s="1">
        <v>14312.3</v>
      </c>
      <c r="M43" s="34">
        <v>40148</v>
      </c>
      <c r="N43" s="1">
        <v>2462.6</v>
      </c>
    </row>
    <row r="44" spans="1:14" x14ac:dyDescent="0.25">
      <c r="A44" s="34">
        <v>40179</v>
      </c>
      <c r="B44" s="1">
        <v>14131.3</v>
      </c>
      <c r="C44" s="34">
        <v>40179</v>
      </c>
      <c r="D44" s="1">
        <v>3022</v>
      </c>
      <c r="E44" s="34">
        <v>40179</v>
      </c>
      <c r="F44" s="1">
        <v>12.3</v>
      </c>
      <c r="G44" s="34">
        <v>40179</v>
      </c>
      <c r="H44" s="1">
        <v>0.64</v>
      </c>
      <c r="I44" s="34">
        <v>40179</v>
      </c>
      <c r="J44" s="1">
        <v>141.33000000000001</v>
      </c>
      <c r="K44" s="34">
        <v>40179</v>
      </c>
      <c r="L44" s="1">
        <v>13976.9</v>
      </c>
      <c r="M44" s="34">
        <v>40179</v>
      </c>
      <c r="N44" s="1">
        <v>2444.1999999999998</v>
      </c>
    </row>
    <row r="45" spans="1:14" x14ac:dyDescent="0.25">
      <c r="A45" s="34">
        <v>40210</v>
      </c>
      <c r="B45" s="1">
        <v>14121</v>
      </c>
      <c r="C45" s="34">
        <v>40210</v>
      </c>
      <c r="D45" s="1">
        <v>3469</v>
      </c>
      <c r="E45" s="34">
        <v>40210</v>
      </c>
      <c r="F45" s="1">
        <v>12.4</v>
      </c>
      <c r="G45" s="34">
        <v>40210</v>
      </c>
      <c r="H45" s="1">
        <v>0.79</v>
      </c>
      <c r="I45" s="34">
        <v>40210</v>
      </c>
      <c r="J45" s="1">
        <v>141.53</v>
      </c>
      <c r="K45" s="34">
        <v>40210</v>
      </c>
      <c r="L45" s="1">
        <v>14017.1</v>
      </c>
      <c r="M45" s="34">
        <v>40210</v>
      </c>
      <c r="N45" s="1">
        <v>2460</v>
      </c>
    </row>
    <row r="46" spans="1:14" x14ac:dyDescent="0.25">
      <c r="A46" s="34">
        <v>40238</v>
      </c>
      <c r="B46" s="1">
        <v>14125.8</v>
      </c>
      <c r="C46" s="34">
        <v>40238</v>
      </c>
      <c r="D46" s="1">
        <v>3661</v>
      </c>
      <c r="E46" s="34">
        <v>40238</v>
      </c>
      <c r="F46" s="1">
        <v>12.4</v>
      </c>
      <c r="G46" s="34">
        <v>40238</v>
      </c>
      <c r="H46" s="1">
        <v>1.1100000000000001</v>
      </c>
      <c r="I46" s="34">
        <v>40238</v>
      </c>
      <c r="J46" s="1">
        <v>141.75</v>
      </c>
      <c r="K46" s="34">
        <v>40238</v>
      </c>
      <c r="L46" s="1">
        <v>14085.5</v>
      </c>
      <c r="M46" s="34">
        <v>40238</v>
      </c>
      <c r="N46" s="1">
        <v>2480.1999999999998</v>
      </c>
    </row>
    <row r="47" spans="1:14" x14ac:dyDescent="0.25">
      <c r="A47" s="34">
        <v>40269</v>
      </c>
      <c r="B47" s="1">
        <v>14209.5</v>
      </c>
      <c r="C47" s="34">
        <v>40269</v>
      </c>
      <c r="D47" s="1">
        <v>3210</v>
      </c>
      <c r="E47" s="34">
        <v>40269</v>
      </c>
      <c r="F47" s="1">
        <v>12.4</v>
      </c>
      <c r="G47" s="34">
        <v>40269</v>
      </c>
      <c r="H47" s="1">
        <v>1.74</v>
      </c>
      <c r="I47" s="34">
        <v>40269</v>
      </c>
      <c r="J47" s="1">
        <v>142.22</v>
      </c>
      <c r="K47" s="34">
        <v>40269</v>
      </c>
      <c r="L47" s="1">
        <v>14216.8</v>
      </c>
      <c r="M47" s="34">
        <v>40269</v>
      </c>
      <c r="N47" s="1">
        <v>2526.3000000000002</v>
      </c>
    </row>
    <row r="48" spans="1:14" x14ac:dyDescent="0.25">
      <c r="A48" s="34">
        <v>40299</v>
      </c>
      <c r="B48" s="1">
        <v>14250.8</v>
      </c>
      <c r="C48" s="34">
        <v>40299</v>
      </c>
      <c r="D48" s="1">
        <v>3147</v>
      </c>
      <c r="E48" s="34">
        <v>40299</v>
      </c>
      <c r="F48" s="1">
        <v>12.3</v>
      </c>
      <c r="G48" s="34">
        <v>40299</v>
      </c>
      <c r="H48" s="1">
        <v>1.59</v>
      </c>
      <c r="I48" s="34">
        <v>40299</v>
      </c>
      <c r="J48" s="1">
        <v>142.51</v>
      </c>
      <c r="K48" s="34">
        <v>40299</v>
      </c>
      <c r="L48" s="1">
        <v>14308.3</v>
      </c>
      <c r="M48" s="34">
        <v>40299</v>
      </c>
      <c r="N48" s="1">
        <v>2572.1</v>
      </c>
    </row>
    <row r="49" spans="1:14" x14ac:dyDescent="0.25">
      <c r="A49" s="34">
        <v>40330</v>
      </c>
      <c r="B49" s="1">
        <v>14235.9</v>
      </c>
      <c r="C49" s="34">
        <v>40330</v>
      </c>
      <c r="D49" s="1">
        <v>4467</v>
      </c>
      <c r="E49" s="34">
        <v>40330</v>
      </c>
      <c r="F49" s="1">
        <v>12.3</v>
      </c>
      <c r="G49" s="34">
        <v>40330</v>
      </c>
      <c r="H49" s="1">
        <v>0.78</v>
      </c>
      <c r="I49" s="34">
        <v>40330</v>
      </c>
      <c r="J49" s="1">
        <v>142.6</v>
      </c>
      <c r="K49" s="34">
        <v>40330</v>
      </c>
      <c r="L49" s="1">
        <v>14320.8</v>
      </c>
      <c r="M49" s="34">
        <v>40330</v>
      </c>
      <c r="N49" s="1">
        <v>2531.4</v>
      </c>
    </row>
    <row r="50" spans="1:14" x14ac:dyDescent="0.25">
      <c r="A50" s="34">
        <v>40360</v>
      </c>
      <c r="B50" s="1">
        <v>14217.8</v>
      </c>
      <c r="C50" s="34">
        <v>40360</v>
      </c>
      <c r="D50" s="1">
        <v>3756</v>
      </c>
      <c r="E50" s="34">
        <v>40360</v>
      </c>
      <c r="F50" s="1">
        <v>12.4</v>
      </c>
      <c r="G50" s="34">
        <v>40360</v>
      </c>
      <c r="H50" s="1">
        <v>0.79</v>
      </c>
      <c r="I50" s="34">
        <v>40360</v>
      </c>
      <c r="J50" s="1">
        <v>142.84</v>
      </c>
      <c r="K50" s="34">
        <v>40360</v>
      </c>
      <c r="L50" s="1">
        <v>14111.6</v>
      </c>
      <c r="M50" s="34">
        <v>40360</v>
      </c>
      <c r="N50" s="1">
        <v>2330.1999999999998</v>
      </c>
    </row>
    <row r="51" spans="1:14" x14ac:dyDescent="0.25">
      <c r="A51" s="34">
        <v>40391</v>
      </c>
      <c r="B51" s="1">
        <v>14214</v>
      </c>
      <c r="C51" s="34">
        <v>40391</v>
      </c>
      <c r="D51" s="1">
        <v>3633</v>
      </c>
      <c r="E51" s="34">
        <v>40391</v>
      </c>
      <c r="F51" s="1">
        <v>12.4</v>
      </c>
      <c r="G51" s="34">
        <v>40391</v>
      </c>
      <c r="H51" s="1">
        <v>0.86</v>
      </c>
      <c r="I51" s="34">
        <v>40391</v>
      </c>
      <c r="J51" s="1">
        <v>143.02000000000001</v>
      </c>
      <c r="K51" s="34">
        <v>40391</v>
      </c>
      <c r="L51" s="1">
        <v>14135.9</v>
      </c>
      <c r="M51" s="34">
        <v>40391</v>
      </c>
      <c r="N51" s="1">
        <v>2310.6</v>
      </c>
    </row>
    <row r="52" spans="1:14" x14ac:dyDescent="0.25">
      <c r="A52" s="34">
        <v>40422</v>
      </c>
      <c r="B52" s="1">
        <v>14204</v>
      </c>
      <c r="C52" s="34">
        <v>40422</v>
      </c>
      <c r="D52" s="1">
        <v>2826</v>
      </c>
      <c r="E52" s="34">
        <v>40422</v>
      </c>
      <c r="F52" s="1">
        <v>12.4</v>
      </c>
      <c r="G52" s="34">
        <v>40422</v>
      </c>
      <c r="H52" s="1">
        <v>0.88</v>
      </c>
      <c r="I52" s="34">
        <v>40422</v>
      </c>
      <c r="J52" s="1">
        <v>143.19</v>
      </c>
      <c r="K52" s="34">
        <v>40422</v>
      </c>
      <c r="L52" s="1">
        <v>14194.1</v>
      </c>
      <c r="M52" s="34">
        <v>40422</v>
      </c>
      <c r="N52" s="1">
        <v>2370.5</v>
      </c>
    </row>
    <row r="53" spans="1:14" x14ac:dyDescent="0.25">
      <c r="A53" s="34">
        <v>40452</v>
      </c>
      <c r="B53" s="1">
        <v>14258.7</v>
      </c>
      <c r="C53" s="34">
        <v>40452</v>
      </c>
      <c r="D53" s="1">
        <v>3030</v>
      </c>
      <c r="E53" s="34">
        <v>40452</v>
      </c>
      <c r="F53" s="1">
        <v>12.4</v>
      </c>
      <c r="G53" s="34">
        <v>40452</v>
      </c>
      <c r="H53" s="1">
        <v>1.34</v>
      </c>
      <c r="I53" s="34">
        <v>40452</v>
      </c>
      <c r="J53" s="1">
        <v>143.54</v>
      </c>
      <c r="K53" s="34">
        <v>40452</v>
      </c>
      <c r="L53" s="1">
        <v>14342.3</v>
      </c>
      <c r="M53" s="34">
        <v>40452</v>
      </c>
      <c r="N53" s="1">
        <v>2447.6</v>
      </c>
    </row>
    <row r="54" spans="1:14" x14ac:dyDescent="0.25">
      <c r="A54" s="34">
        <v>40483</v>
      </c>
      <c r="B54" s="1">
        <v>14264.1</v>
      </c>
      <c r="C54" s="34">
        <v>40483</v>
      </c>
      <c r="D54" s="1">
        <v>2877</v>
      </c>
      <c r="E54" s="34">
        <v>40483</v>
      </c>
      <c r="F54" s="1">
        <v>12.3</v>
      </c>
      <c r="G54" s="34">
        <v>40483</v>
      </c>
      <c r="H54" s="1">
        <v>1.65</v>
      </c>
      <c r="I54" s="34">
        <v>40483</v>
      </c>
      <c r="J54" s="1">
        <v>143.84</v>
      </c>
      <c r="K54" s="34">
        <v>40483</v>
      </c>
      <c r="L54" s="1">
        <v>14392.9</v>
      </c>
      <c r="M54" s="34">
        <v>40483</v>
      </c>
      <c r="N54" s="1">
        <v>2465.1999999999998</v>
      </c>
    </row>
    <row r="55" spans="1:14" x14ac:dyDescent="0.25">
      <c r="A55" s="34">
        <v>40513</v>
      </c>
      <c r="B55" s="1">
        <v>14286.7</v>
      </c>
      <c r="C55" s="34">
        <v>40513</v>
      </c>
      <c r="D55" s="1">
        <v>6144</v>
      </c>
      <c r="E55" s="34">
        <v>40513</v>
      </c>
      <c r="F55" s="1">
        <v>12.2</v>
      </c>
      <c r="G55" s="34">
        <v>40513</v>
      </c>
      <c r="H55" s="1">
        <v>1.59</v>
      </c>
      <c r="I55" s="34">
        <v>40513</v>
      </c>
      <c r="J55" s="1">
        <v>144.13999999999999</v>
      </c>
      <c r="K55" s="34">
        <v>40513</v>
      </c>
      <c r="L55" s="1">
        <v>14422.5</v>
      </c>
      <c r="M55" s="34">
        <v>40513</v>
      </c>
      <c r="N55" s="1">
        <v>2442.6999999999998</v>
      </c>
    </row>
    <row r="56" spans="1:14" x14ac:dyDescent="0.25">
      <c r="A56" s="34">
        <v>40544</v>
      </c>
      <c r="B56" s="1">
        <v>14296.9</v>
      </c>
      <c r="C56" s="34">
        <v>40544</v>
      </c>
      <c r="D56" s="1">
        <v>2486</v>
      </c>
      <c r="E56" s="34">
        <v>40544</v>
      </c>
      <c r="F56" s="1">
        <v>12.1</v>
      </c>
      <c r="G56" s="34">
        <v>40544</v>
      </c>
      <c r="H56" s="1">
        <v>1.41</v>
      </c>
      <c r="I56" s="34">
        <v>40544</v>
      </c>
      <c r="J56" s="1">
        <v>144.44999999999999</v>
      </c>
      <c r="K56" s="34">
        <v>40544</v>
      </c>
      <c r="L56" s="1">
        <v>14124.8</v>
      </c>
      <c r="M56" s="34">
        <v>40544</v>
      </c>
      <c r="N56" s="1">
        <v>2424.3000000000002</v>
      </c>
    </row>
    <row r="57" spans="1:14" x14ac:dyDescent="0.25">
      <c r="A57" s="34">
        <v>40575</v>
      </c>
      <c r="B57" s="1">
        <v>14303.9</v>
      </c>
      <c r="C57" s="34">
        <v>40575</v>
      </c>
      <c r="D57" s="1">
        <v>2279</v>
      </c>
      <c r="E57" s="34">
        <v>40575</v>
      </c>
      <c r="F57" s="1">
        <v>12</v>
      </c>
      <c r="G57" s="34">
        <v>40575</v>
      </c>
      <c r="H57" s="1">
        <v>1.39</v>
      </c>
      <c r="I57" s="34">
        <v>40575</v>
      </c>
      <c r="J57" s="1">
        <v>144.75</v>
      </c>
      <c r="K57" s="34">
        <v>40575</v>
      </c>
      <c r="L57" s="1">
        <v>14207</v>
      </c>
      <c r="M57" s="34">
        <v>40575</v>
      </c>
      <c r="N57" s="1">
        <v>2445.6</v>
      </c>
    </row>
    <row r="58" spans="1:14" x14ac:dyDescent="0.25">
      <c r="A58" s="34">
        <v>40603</v>
      </c>
      <c r="B58" s="1">
        <v>14302.3</v>
      </c>
      <c r="C58" s="34">
        <v>40603</v>
      </c>
      <c r="D58" s="1">
        <v>4428</v>
      </c>
      <c r="E58" s="34">
        <v>40603</v>
      </c>
      <c r="F58" s="1">
        <v>11.9</v>
      </c>
      <c r="G58" s="34">
        <v>40603</v>
      </c>
      <c r="H58" s="1">
        <v>1.59</v>
      </c>
      <c r="I58" s="34">
        <v>40603</v>
      </c>
      <c r="J58" s="1">
        <v>145.1</v>
      </c>
      <c r="K58" s="34">
        <v>40603</v>
      </c>
      <c r="L58" s="1">
        <v>14265.7</v>
      </c>
      <c r="M58" s="34">
        <v>40603</v>
      </c>
      <c r="N58" s="1">
        <v>2469.1999999999998</v>
      </c>
    </row>
    <row r="59" spans="1:14" x14ac:dyDescent="0.25">
      <c r="A59" s="34">
        <v>40634</v>
      </c>
      <c r="B59" s="1">
        <v>14318.1</v>
      </c>
      <c r="C59" s="34">
        <v>40634</v>
      </c>
      <c r="D59" s="1">
        <v>3691</v>
      </c>
      <c r="E59" s="34">
        <v>40634</v>
      </c>
      <c r="F59" s="1">
        <v>11.8</v>
      </c>
      <c r="G59" s="34">
        <v>40634</v>
      </c>
      <c r="H59" s="1">
        <v>0.93</v>
      </c>
      <c r="I59" s="34">
        <v>40634</v>
      </c>
      <c r="J59" s="1">
        <v>145.13</v>
      </c>
      <c r="K59" s="34">
        <v>40634</v>
      </c>
      <c r="L59" s="1">
        <v>14330.2</v>
      </c>
      <c r="M59" s="34">
        <v>40634</v>
      </c>
      <c r="N59" s="1">
        <v>2469.6</v>
      </c>
    </row>
    <row r="60" spans="1:14" x14ac:dyDescent="0.25">
      <c r="A60" s="34">
        <v>40664</v>
      </c>
      <c r="B60" s="1">
        <v>14317.6</v>
      </c>
      <c r="C60" s="34">
        <v>40664</v>
      </c>
      <c r="D60" s="1">
        <v>4732</v>
      </c>
      <c r="E60" s="34">
        <v>40664</v>
      </c>
      <c r="F60" s="1">
        <v>11.9</v>
      </c>
      <c r="G60" s="34">
        <v>40664</v>
      </c>
      <c r="H60" s="1">
        <v>0.96</v>
      </c>
      <c r="I60" s="34">
        <v>40664</v>
      </c>
      <c r="J60" s="1">
        <v>145.41999999999999</v>
      </c>
      <c r="K60" s="34">
        <v>40664</v>
      </c>
      <c r="L60" s="1">
        <v>14376.4</v>
      </c>
      <c r="M60" s="34">
        <v>40664</v>
      </c>
      <c r="N60" s="1">
        <v>2469.8000000000002</v>
      </c>
    </row>
    <row r="61" spans="1:14" x14ac:dyDescent="0.25">
      <c r="A61" s="34">
        <v>40695</v>
      </c>
      <c r="B61" s="1">
        <v>14304.4</v>
      </c>
      <c r="C61" s="34">
        <v>40695</v>
      </c>
      <c r="D61" s="1">
        <v>5101</v>
      </c>
      <c r="E61" s="34">
        <v>40695</v>
      </c>
      <c r="F61" s="1">
        <v>11.9</v>
      </c>
      <c r="G61" s="34">
        <v>40695</v>
      </c>
      <c r="H61" s="1">
        <v>0.54</v>
      </c>
      <c r="I61" s="34">
        <v>40695</v>
      </c>
      <c r="J61" s="1">
        <v>145.46</v>
      </c>
      <c r="K61" s="34">
        <v>40695</v>
      </c>
      <c r="L61" s="1">
        <v>14394.9</v>
      </c>
      <c r="M61" s="34">
        <v>40695</v>
      </c>
      <c r="N61" s="1">
        <v>2457.5</v>
      </c>
    </row>
    <row r="62" spans="1:14" x14ac:dyDescent="0.25">
      <c r="A62" s="34">
        <v>40725</v>
      </c>
      <c r="B62" s="1">
        <v>14362.2</v>
      </c>
      <c r="C62" s="34">
        <v>40725</v>
      </c>
      <c r="D62" s="1">
        <v>2548</v>
      </c>
      <c r="E62" s="34">
        <v>40725</v>
      </c>
      <c r="F62" s="1">
        <v>12</v>
      </c>
      <c r="G62" s="34">
        <v>40725</v>
      </c>
      <c r="H62" s="1">
        <v>1.23</v>
      </c>
      <c r="I62" s="34">
        <v>40725</v>
      </c>
      <c r="J62" s="1">
        <v>145.88999999999999</v>
      </c>
      <c r="K62" s="34">
        <v>40725</v>
      </c>
      <c r="L62" s="1">
        <v>14246.8</v>
      </c>
      <c r="M62" s="34">
        <v>40725</v>
      </c>
      <c r="N62" s="1">
        <v>2278.3000000000002</v>
      </c>
    </row>
    <row r="63" spans="1:14" x14ac:dyDescent="0.25">
      <c r="A63" s="34">
        <v>40756</v>
      </c>
      <c r="B63" s="1">
        <v>14373.2</v>
      </c>
      <c r="C63" s="34">
        <v>40756</v>
      </c>
      <c r="D63" s="1">
        <v>4185</v>
      </c>
      <c r="E63" s="34">
        <v>40756</v>
      </c>
      <c r="F63" s="1">
        <v>11.9</v>
      </c>
      <c r="G63" s="34">
        <v>40756</v>
      </c>
      <c r="H63" s="1">
        <v>1.77</v>
      </c>
      <c r="I63" s="34">
        <v>40756</v>
      </c>
      <c r="J63" s="1">
        <v>146.19</v>
      </c>
      <c r="K63" s="34">
        <v>40756</v>
      </c>
      <c r="L63" s="1">
        <v>14293</v>
      </c>
      <c r="M63" s="34">
        <v>40756</v>
      </c>
      <c r="N63" s="1">
        <v>2272.6</v>
      </c>
    </row>
    <row r="64" spans="1:14" x14ac:dyDescent="0.25">
      <c r="A64" s="34">
        <v>40787</v>
      </c>
      <c r="B64" s="1">
        <v>14404.5</v>
      </c>
      <c r="C64" s="34">
        <v>40787</v>
      </c>
      <c r="D64" s="1">
        <v>3401</v>
      </c>
      <c r="E64" s="34">
        <v>40787</v>
      </c>
      <c r="F64" s="1">
        <v>11.8</v>
      </c>
      <c r="G64" s="34">
        <v>40787</v>
      </c>
      <c r="H64" s="1">
        <v>1.92</v>
      </c>
      <c r="I64" s="34">
        <v>40787</v>
      </c>
      <c r="J64" s="1">
        <v>146.66</v>
      </c>
      <c r="K64" s="34">
        <v>40787</v>
      </c>
      <c r="L64" s="1">
        <v>14388.9</v>
      </c>
      <c r="M64" s="34">
        <v>40787</v>
      </c>
      <c r="N64" s="1">
        <v>2336.4</v>
      </c>
    </row>
    <row r="65" spans="1:14" x14ac:dyDescent="0.25">
      <c r="A65" s="34">
        <v>40817</v>
      </c>
      <c r="B65" s="1">
        <v>14415.1</v>
      </c>
      <c r="C65" s="34">
        <v>40817</v>
      </c>
      <c r="D65" s="1">
        <v>3135</v>
      </c>
      <c r="E65" s="34">
        <v>40817</v>
      </c>
      <c r="F65" s="1">
        <v>11.6</v>
      </c>
      <c r="G65" s="34">
        <v>40817</v>
      </c>
      <c r="H65" s="1">
        <v>1.96</v>
      </c>
      <c r="I65" s="34">
        <v>40817</v>
      </c>
      <c r="J65" s="1">
        <v>147.07</v>
      </c>
      <c r="K65" s="34">
        <v>40817</v>
      </c>
      <c r="L65" s="1">
        <v>14496.3</v>
      </c>
      <c r="M65" s="34">
        <v>40817</v>
      </c>
      <c r="N65" s="1">
        <v>2407.9</v>
      </c>
    </row>
    <row r="66" spans="1:14" x14ac:dyDescent="0.25">
      <c r="A66" s="34">
        <v>40848</v>
      </c>
      <c r="B66" s="1">
        <v>14445.8</v>
      </c>
      <c r="C66" s="34">
        <v>40848</v>
      </c>
      <c r="D66" s="1">
        <v>4251</v>
      </c>
      <c r="E66" s="34">
        <v>40848</v>
      </c>
      <c r="F66" s="1">
        <v>11.4</v>
      </c>
      <c r="G66" s="34">
        <v>40848</v>
      </c>
      <c r="H66" s="1">
        <v>1.92</v>
      </c>
      <c r="I66" s="34">
        <v>40848</v>
      </c>
      <c r="J66" s="1">
        <v>147.52000000000001</v>
      </c>
      <c r="K66" s="34">
        <v>40848</v>
      </c>
      <c r="L66" s="1">
        <v>14575.9</v>
      </c>
      <c r="M66" s="34">
        <v>40848</v>
      </c>
      <c r="N66" s="1">
        <v>2426</v>
      </c>
    </row>
    <row r="67" spans="1:14" x14ac:dyDescent="0.25">
      <c r="A67" s="34">
        <v>40878</v>
      </c>
      <c r="B67" s="1">
        <v>14466.1</v>
      </c>
      <c r="C67" s="34">
        <v>40878</v>
      </c>
      <c r="D67" s="1">
        <v>4970</v>
      </c>
      <c r="E67" s="34">
        <v>40878</v>
      </c>
      <c r="F67" s="1">
        <v>11.2</v>
      </c>
      <c r="G67" s="34">
        <v>40878</v>
      </c>
      <c r="H67" s="1">
        <v>2.0499999999999998</v>
      </c>
      <c r="I67" s="34">
        <v>40878</v>
      </c>
      <c r="J67" s="1">
        <v>148.01</v>
      </c>
      <c r="K67" s="34">
        <v>40878</v>
      </c>
      <c r="L67" s="1">
        <v>14598.1</v>
      </c>
      <c r="M67" s="34">
        <v>40878</v>
      </c>
      <c r="N67" s="1">
        <v>2401.6</v>
      </c>
    </row>
    <row r="68" spans="1:14" x14ac:dyDescent="0.25">
      <c r="A68" s="34">
        <v>40909</v>
      </c>
      <c r="B68" s="1">
        <v>14539.5</v>
      </c>
      <c r="C68" s="34">
        <v>40909</v>
      </c>
      <c r="D68" s="1">
        <v>2116</v>
      </c>
      <c r="E68" s="34">
        <v>40909</v>
      </c>
      <c r="F68" s="1">
        <v>11</v>
      </c>
      <c r="G68" s="34">
        <v>40909</v>
      </c>
      <c r="H68" s="1">
        <v>2.41</v>
      </c>
      <c r="I68" s="34">
        <v>40909</v>
      </c>
      <c r="J68" s="1">
        <v>148.61000000000001</v>
      </c>
      <c r="K68" s="34">
        <v>40909</v>
      </c>
      <c r="L68" s="1">
        <v>14369.8</v>
      </c>
      <c r="M68" s="34">
        <v>40909</v>
      </c>
      <c r="N68" s="1">
        <v>2382.4</v>
      </c>
    </row>
    <row r="69" spans="1:14" x14ac:dyDescent="0.25">
      <c r="A69" s="34">
        <v>40940</v>
      </c>
      <c r="B69" s="1">
        <v>14553.9</v>
      </c>
      <c r="C69" s="34">
        <v>40940</v>
      </c>
      <c r="D69" s="1">
        <v>3367</v>
      </c>
      <c r="E69" s="34">
        <v>40940</v>
      </c>
      <c r="F69" s="1">
        <v>10.8</v>
      </c>
      <c r="G69" s="34">
        <v>40940</v>
      </c>
      <c r="H69" s="1">
        <v>2.2200000000000002</v>
      </c>
      <c r="I69" s="34">
        <v>40940</v>
      </c>
      <c r="J69" s="1">
        <v>149.09</v>
      </c>
      <c r="K69" s="34">
        <v>40940</v>
      </c>
      <c r="L69" s="1">
        <v>14466.7</v>
      </c>
      <c r="M69" s="34">
        <v>40940</v>
      </c>
      <c r="N69" s="1">
        <v>2408.3000000000002</v>
      </c>
    </row>
    <row r="70" spans="1:14" x14ac:dyDescent="0.25">
      <c r="A70" s="34">
        <v>40969</v>
      </c>
      <c r="B70" s="1">
        <v>14585.9</v>
      </c>
      <c r="C70" s="34">
        <v>40969</v>
      </c>
      <c r="D70" s="1">
        <v>6181</v>
      </c>
      <c r="E70" s="34">
        <v>40969</v>
      </c>
      <c r="F70" s="1">
        <v>10.7</v>
      </c>
      <c r="G70" s="34">
        <v>40969</v>
      </c>
      <c r="H70" s="1">
        <v>1.84</v>
      </c>
      <c r="I70" s="34">
        <v>40969</v>
      </c>
      <c r="J70" s="1">
        <v>149.47</v>
      </c>
      <c r="K70" s="34">
        <v>40969</v>
      </c>
      <c r="L70" s="1">
        <v>14551</v>
      </c>
      <c r="M70" s="34">
        <v>40969</v>
      </c>
      <c r="N70" s="1">
        <v>2428.1</v>
      </c>
    </row>
    <row r="71" spans="1:14" x14ac:dyDescent="0.25">
      <c r="A71" s="34">
        <v>41000</v>
      </c>
      <c r="B71" s="1">
        <v>14601.9</v>
      </c>
      <c r="C71" s="34">
        <v>41000</v>
      </c>
      <c r="D71" s="1">
        <v>3314</v>
      </c>
      <c r="E71" s="34">
        <v>41000</v>
      </c>
      <c r="F71" s="1">
        <v>10.7</v>
      </c>
      <c r="G71" s="34">
        <v>41000</v>
      </c>
      <c r="H71" s="1">
        <v>1.56</v>
      </c>
      <c r="I71" s="34">
        <v>41000</v>
      </c>
      <c r="J71" s="1">
        <v>149.85</v>
      </c>
      <c r="K71" s="34">
        <v>41000</v>
      </c>
      <c r="L71" s="1">
        <v>14593.5</v>
      </c>
      <c r="M71" s="34">
        <v>41000</v>
      </c>
      <c r="N71" s="1">
        <v>2425.6999999999998</v>
      </c>
    </row>
    <row r="72" spans="1:14" x14ac:dyDescent="0.25">
      <c r="A72" s="34">
        <v>41030</v>
      </c>
      <c r="B72" s="1">
        <v>14632.9</v>
      </c>
      <c r="C72" s="34">
        <v>41030</v>
      </c>
      <c r="D72" s="1">
        <v>5705</v>
      </c>
      <c r="E72" s="34">
        <v>41030</v>
      </c>
      <c r="F72" s="1">
        <v>10.7</v>
      </c>
      <c r="G72" s="34">
        <v>41030</v>
      </c>
      <c r="H72" s="1">
        <v>1.95</v>
      </c>
      <c r="I72" s="34">
        <v>41030</v>
      </c>
      <c r="J72" s="1">
        <v>150.41</v>
      </c>
      <c r="K72" s="34">
        <v>41030</v>
      </c>
      <c r="L72" s="1">
        <v>14692.2</v>
      </c>
      <c r="M72" s="34">
        <v>41030</v>
      </c>
      <c r="N72" s="1">
        <v>2433.6</v>
      </c>
    </row>
    <row r="73" spans="1:14" x14ac:dyDescent="0.25">
      <c r="A73" s="34">
        <v>41061</v>
      </c>
      <c r="B73" s="1">
        <v>14672.2</v>
      </c>
      <c r="C73" s="34">
        <v>41061</v>
      </c>
      <c r="D73" s="1">
        <v>6035</v>
      </c>
      <c r="E73" s="34">
        <v>41061</v>
      </c>
      <c r="F73" s="1">
        <v>10.6</v>
      </c>
      <c r="G73" s="34">
        <v>41061</v>
      </c>
      <c r="H73" s="1">
        <v>2.23</v>
      </c>
      <c r="I73" s="34">
        <v>41061</v>
      </c>
      <c r="J73" s="1">
        <v>150.94</v>
      </c>
      <c r="K73" s="34">
        <v>41061</v>
      </c>
      <c r="L73" s="1">
        <v>14758.9</v>
      </c>
      <c r="M73" s="34">
        <v>41061</v>
      </c>
      <c r="N73" s="1">
        <v>2425.8000000000002</v>
      </c>
    </row>
    <row r="74" spans="1:14" x14ac:dyDescent="0.25">
      <c r="A74" s="34">
        <v>41091</v>
      </c>
      <c r="B74" s="1">
        <v>14700.5</v>
      </c>
      <c r="C74" s="34">
        <v>41091</v>
      </c>
      <c r="D74" s="1">
        <v>5547</v>
      </c>
      <c r="E74" s="34">
        <v>41091</v>
      </c>
      <c r="F74" s="1">
        <v>10.5</v>
      </c>
      <c r="G74" s="34">
        <v>41091</v>
      </c>
      <c r="H74" s="1">
        <v>2.19</v>
      </c>
      <c r="I74" s="34">
        <v>41091</v>
      </c>
      <c r="J74" s="1">
        <v>151.43</v>
      </c>
      <c r="K74" s="34">
        <v>41091</v>
      </c>
      <c r="L74" s="1">
        <v>14581.4</v>
      </c>
      <c r="M74" s="34">
        <v>41091</v>
      </c>
      <c r="N74" s="1">
        <v>2251.6999999999998</v>
      </c>
    </row>
    <row r="75" spans="1:14" x14ac:dyDescent="0.25">
      <c r="A75" s="34">
        <v>41122</v>
      </c>
      <c r="B75" s="1">
        <v>14731.4</v>
      </c>
      <c r="C75" s="34">
        <v>41122</v>
      </c>
      <c r="D75" s="1">
        <v>5067</v>
      </c>
      <c r="E75" s="34">
        <v>41122</v>
      </c>
      <c r="F75" s="1">
        <v>10.4</v>
      </c>
      <c r="G75" s="34">
        <v>41122</v>
      </c>
      <c r="H75" s="1">
        <v>2.4300000000000002</v>
      </c>
      <c r="I75" s="34">
        <v>41122</v>
      </c>
      <c r="J75" s="1">
        <v>152.11000000000001</v>
      </c>
      <c r="K75" s="34">
        <v>41122</v>
      </c>
      <c r="L75" s="1">
        <v>14659.5</v>
      </c>
      <c r="M75" s="34">
        <v>41122</v>
      </c>
      <c r="N75" s="1">
        <v>2257.4</v>
      </c>
    </row>
    <row r="76" spans="1:14" x14ac:dyDescent="0.25">
      <c r="A76" s="34">
        <v>41153</v>
      </c>
      <c r="B76" s="1">
        <v>14752.6</v>
      </c>
      <c r="C76" s="34">
        <v>41153</v>
      </c>
      <c r="D76" s="1">
        <v>5340</v>
      </c>
      <c r="E76" s="34">
        <v>41153</v>
      </c>
      <c r="F76" s="1">
        <v>10.199999999999999</v>
      </c>
      <c r="G76" s="34">
        <v>41153</v>
      </c>
      <c r="H76" s="1">
        <v>2.76</v>
      </c>
      <c r="I76" s="34">
        <v>41153</v>
      </c>
      <c r="J76" s="1">
        <v>152.76</v>
      </c>
      <c r="K76" s="34">
        <v>41153</v>
      </c>
      <c r="L76" s="1">
        <v>14725</v>
      </c>
      <c r="M76" s="34">
        <v>41153</v>
      </c>
      <c r="N76" s="1">
        <v>2317.5</v>
      </c>
    </row>
    <row r="77" spans="1:14" x14ac:dyDescent="0.25">
      <c r="A77" s="34">
        <v>41183</v>
      </c>
      <c r="B77" s="1">
        <v>14863.6</v>
      </c>
      <c r="C77" s="34">
        <v>41183</v>
      </c>
      <c r="D77" s="1">
        <v>4785</v>
      </c>
      <c r="E77" s="34">
        <v>41183</v>
      </c>
      <c r="F77" s="1">
        <v>10</v>
      </c>
      <c r="G77" s="34">
        <v>41183</v>
      </c>
      <c r="H77" s="1">
        <v>2.88</v>
      </c>
      <c r="I77" s="34">
        <v>41183</v>
      </c>
      <c r="J77" s="1">
        <v>153.51</v>
      </c>
      <c r="K77" s="34">
        <v>41183</v>
      </c>
      <c r="L77" s="1">
        <v>14942</v>
      </c>
      <c r="M77" s="34">
        <v>41183</v>
      </c>
      <c r="N77" s="1">
        <v>2385.8000000000002</v>
      </c>
    </row>
    <row r="78" spans="1:14" x14ac:dyDescent="0.25">
      <c r="A78" s="34">
        <v>41214</v>
      </c>
      <c r="B78" s="1">
        <v>14906.4</v>
      </c>
      <c r="C78" s="34">
        <v>41214</v>
      </c>
      <c r="D78" s="1">
        <v>4017</v>
      </c>
      <c r="E78" s="34">
        <v>41214</v>
      </c>
      <c r="F78" s="1">
        <v>9.8000000000000007</v>
      </c>
      <c r="G78" s="34">
        <v>41214</v>
      </c>
      <c r="H78" s="1">
        <v>2.57</v>
      </c>
      <c r="I78" s="34">
        <v>41214</v>
      </c>
      <c r="J78" s="1">
        <v>154.04</v>
      </c>
      <c r="K78" s="34">
        <v>41214</v>
      </c>
      <c r="L78" s="1">
        <v>15055.6</v>
      </c>
      <c r="M78" s="34">
        <v>41214</v>
      </c>
      <c r="N78" s="1">
        <v>2406.6999999999998</v>
      </c>
    </row>
    <row r="79" spans="1:14" x14ac:dyDescent="0.25">
      <c r="A79" s="34">
        <v>41244</v>
      </c>
      <c r="B79" s="1">
        <v>14931.9</v>
      </c>
      <c r="C79" s="34">
        <v>41244</v>
      </c>
      <c r="D79" s="1">
        <v>6017</v>
      </c>
      <c r="E79" s="34">
        <v>41244</v>
      </c>
      <c r="F79" s="1">
        <v>9.6999999999999993</v>
      </c>
      <c r="G79" s="34">
        <v>41244</v>
      </c>
      <c r="H79" s="1">
        <v>2.5099999999999998</v>
      </c>
      <c r="I79" s="34">
        <v>41244</v>
      </c>
      <c r="J79" s="1">
        <v>154.77000000000001</v>
      </c>
      <c r="K79" s="34">
        <v>41244</v>
      </c>
      <c r="L79" s="1">
        <v>15080.2</v>
      </c>
      <c r="M79" s="34">
        <v>41244</v>
      </c>
      <c r="N79" s="1">
        <v>2392.1</v>
      </c>
    </row>
    <row r="80" spans="1:14" x14ac:dyDescent="0.25">
      <c r="A80" s="34">
        <v>41275</v>
      </c>
      <c r="B80" s="1">
        <v>14972.5</v>
      </c>
      <c r="C80" s="34">
        <v>41275</v>
      </c>
      <c r="D80" s="1">
        <v>4972</v>
      </c>
      <c r="E80" s="34">
        <v>41275</v>
      </c>
      <c r="F80" s="1">
        <v>9.5</v>
      </c>
      <c r="G80" s="34">
        <v>41275</v>
      </c>
      <c r="H80" s="1">
        <v>2.15</v>
      </c>
      <c r="I80" s="34">
        <v>41275</v>
      </c>
      <c r="J80" s="1">
        <v>155.22</v>
      </c>
      <c r="K80" s="34">
        <v>41275</v>
      </c>
      <c r="L80" s="1">
        <v>14802.5</v>
      </c>
      <c r="M80" s="34">
        <v>41275</v>
      </c>
      <c r="N80" s="1">
        <v>2363.3000000000002</v>
      </c>
    </row>
    <row r="81" spans="1:14" x14ac:dyDescent="0.25">
      <c r="A81" s="34">
        <v>41306</v>
      </c>
      <c r="B81" s="1">
        <v>15013.8</v>
      </c>
      <c r="C81" s="34">
        <v>41306</v>
      </c>
      <c r="D81" s="1">
        <v>6516</v>
      </c>
      <c r="E81" s="34">
        <v>41306</v>
      </c>
      <c r="F81" s="1">
        <v>9.4</v>
      </c>
      <c r="G81" s="34">
        <v>41306</v>
      </c>
      <c r="H81" s="1">
        <v>2.2799999999999998</v>
      </c>
      <c r="I81" s="34">
        <v>41306</v>
      </c>
      <c r="J81" s="1">
        <v>155.91999999999999</v>
      </c>
      <c r="K81" s="34">
        <v>41306</v>
      </c>
      <c r="L81" s="1">
        <v>14928.4</v>
      </c>
      <c r="M81" s="34">
        <v>41306</v>
      </c>
      <c r="N81" s="1">
        <v>2391.4</v>
      </c>
    </row>
    <row r="82" spans="1:14" x14ac:dyDescent="0.25">
      <c r="A82" s="34">
        <v>41334</v>
      </c>
      <c r="B82" s="1">
        <v>15040.4</v>
      </c>
      <c r="C82" s="34">
        <v>41334</v>
      </c>
      <c r="D82" s="1">
        <v>4840</v>
      </c>
      <c r="E82" s="34">
        <v>41334</v>
      </c>
      <c r="F82" s="1">
        <v>9.1999999999999993</v>
      </c>
      <c r="G82" s="34">
        <v>41334</v>
      </c>
      <c r="H82" s="1">
        <v>2.0499999999999998</v>
      </c>
      <c r="I82" s="34">
        <v>41334</v>
      </c>
      <c r="J82" s="1">
        <v>156.38999999999999</v>
      </c>
      <c r="K82" s="34">
        <v>41334</v>
      </c>
      <c r="L82" s="1">
        <v>15005.8</v>
      </c>
      <c r="M82" s="34">
        <v>41334</v>
      </c>
      <c r="N82" s="1">
        <v>2412.6999999999998</v>
      </c>
    </row>
    <row r="83" spans="1:14" x14ac:dyDescent="0.25">
      <c r="A83" s="34">
        <v>41365</v>
      </c>
      <c r="B83" s="1">
        <v>15084.4</v>
      </c>
      <c r="C83" s="34">
        <v>41365</v>
      </c>
      <c r="D83" s="1">
        <v>7589</v>
      </c>
      <c r="E83" s="34">
        <v>41365</v>
      </c>
      <c r="F83" s="1">
        <v>9.1</v>
      </c>
      <c r="G83" s="34">
        <v>41365</v>
      </c>
      <c r="H83" s="1">
        <v>2.13</v>
      </c>
      <c r="I83" s="34">
        <v>41365</v>
      </c>
      <c r="J83" s="1">
        <v>156.94999999999999</v>
      </c>
      <c r="K83" s="34">
        <v>41365</v>
      </c>
      <c r="L83" s="1">
        <v>15078</v>
      </c>
      <c r="M83" s="34">
        <v>41365</v>
      </c>
      <c r="N83" s="1">
        <v>2407.5</v>
      </c>
    </row>
    <row r="84" spans="1:14" x14ac:dyDescent="0.25">
      <c r="A84" s="34">
        <v>41395</v>
      </c>
      <c r="B84" s="1">
        <v>15107.8</v>
      </c>
      <c r="C84" s="34">
        <v>41395</v>
      </c>
      <c r="D84" s="1">
        <v>7481</v>
      </c>
      <c r="E84" s="34">
        <v>41395</v>
      </c>
      <c r="F84" s="1">
        <v>9</v>
      </c>
      <c r="G84" s="34">
        <v>41395</v>
      </c>
      <c r="H84" s="1">
        <v>1.73</v>
      </c>
      <c r="I84" s="34">
        <v>41395</v>
      </c>
      <c r="J84" s="1">
        <v>157.34</v>
      </c>
      <c r="K84" s="34">
        <v>41395</v>
      </c>
      <c r="L84" s="1">
        <v>15155.3</v>
      </c>
      <c r="M84" s="34">
        <v>41395</v>
      </c>
      <c r="N84" s="1">
        <v>2417.6</v>
      </c>
    </row>
    <row r="85" spans="1:14" x14ac:dyDescent="0.25">
      <c r="A85" s="34">
        <v>41426</v>
      </c>
      <c r="B85" s="1">
        <v>15116.4</v>
      </c>
      <c r="C85" s="34">
        <v>41426</v>
      </c>
      <c r="D85" s="1">
        <v>6371</v>
      </c>
      <c r="E85" s="34">
        <v>41426</v>
      </c>
      <c r="F85" s="1">
        <v>9</v>
      </c>
      <c r="G85" s="34">
        <v>41426</v>
      </c>
      <c r="H85" s="1">
        <v>1.58</v>
      </c>
      <c r="I85" s="34">
        <v>41426</v>
      </c>
      <c r="J85" s="1">
        <v>157.74</v>
      </c>
      <c r="K85" s="34">
        <v>41426</v>
      </c>
      <c r="L85" s="1">
        <v>15191.1</v>
      </c>
      <c r="M85" s="34">
        <v>41426</v>
      </c>
      <c r="N85" s="1">
        <v>2408.1</v>
      </c>
    </row>
    <row r="86" spans="1:14" x14ac:dyDescent="0.25">
      <c r="A86" s="34">
        <v>41456</v>
      </c>
      <c r="B86" s="1">
        <v>15168.9</v>
      </c>
      <c r="C86" s="34">
        <v>41456</v>
      </c>
      <c r="D86" s="1">
        <v>7682</v>
      </c>
      <c r="E86" s="34">
        <v>41456</v>
      </c>
      <c r="F86" s="1">
        <v>9</v>
      </c>
      <c r="G86" s="34">
        <v>41456</v>
      </c>
      <c r="H86" s="1">
        <v>1.79</v>
      </c>
      <c r="I86" s="34">
        <v>41456</v>
      </c>
      <c r="J86" s="1">
        <v>158.29</v>
      </c>
      <c r="K86" s="34">
        <v>41456</v>
      </c>
      <c r="L86" s="1">
        <v>15045.9</v>
      </c>
      <c r="M86" s="34">
        <v>41456</v>
      </c>
      <c r="N86" s="1">
        <v>2236.4</v>
      </c>
    </row>
    <row r="87" spans="1:14" x14ac:dyDescent="0.25">
      <c r="A87" s="34">
        <v>41487</v>
      </c>
      <c r="B87" s="1">
        <v>15225.7</v>
      </c>
      <c r="C87" s="34">
        <v>41487</v>
      </c>
      <c r="D87" s="1">
        <v>6595</v>
      </c>
      <c r="E87" s="34">
        <v>41487</v>
      </c>
      <c r="F87" s="1">
        <v>8.9</v>
      </c>
      <c r="G87" s="34">
        <v>41487</v>
      </c>
      <c r="H87" s="1">
        <v>1.99</v>
      </c>
      <c r="I87" s="34">
        <v>41487</v>
      </c>
      <c r="J87" s="1">
        <v>158.76</v>
      </c>
      <c r="K87" s="34">
        <v>41487</v>
      </c>
      <c r="L87" s="1">
        <v>15155.8</v>
      </c>
      <c r="M87" s="34">
        <v>41487</v>
      </c>
      <c r="N87" s="1">
        <v>2268</v>
      </c>
    </row>
    <row r="88" spans="1:14" x14ac:dyDescent="0.25">
      <c r="A88" s="34">
        <v>41518</v>
      </c>
      <c r="B88" s="1">
        <v>15233.5</v>
      </c>
      <c r="C88" s="34">
        <v>41518</v>
      </c>
      <c r="D88" s="1">
        <v>3909</v>
      </c>
      <c r="E88" s="34">
        <v>41518</v>
      </c>
      <c r="F88" s="1">
        <v>8.8000000000000007</v>
      </c>
      <c r="G88" s="34">
        <v>41518</v>
      </c>
      <c r="H88" s="1">
        <v>2.31</v>
      </c>
      <c r="I88" s="34">
        <v>41518</v>
      </c>
      <c r="J88" s="1">
        <v>159.33000000000001</v>
      </c>
      <c r="K88" s="34">
        <v>41518</v>
      </c>
      <c r="L88" s="1">
        <v>15205.3</v>
      </c>
      <c r="M88" s="34">
        <v>41518</v>
      </c>
      <c r="N88" s="1">
        <v>2331.9</v>
      </c>
    </row>
    <row r="89" spans="1:14" x14ac:dyDescent="0.25">
      <c r="A89" s="34">
        <v>41548</v>
      </c>
      <c r="B89" s="1">
        <v>15248.1</v>
      </c>
      <c r="C89" s="34">
        <v>41548</v>
      </c>
      <c r="D89" s="1">
        <v>6405</v>
      </c>
      <c r="E89" s="34">
        <v>41548</v>
      </c>
      <c r="F89" s="1">
        <v>8.6</v>
      </c>
      <c r="G89" s="34">
        <v>41548</v>
      </c>
      <c r="H89" s="1">
        <v>1.95</v>
      </c>
      <c r="I89" s="34">
        <v>41548</v>
      </c>
      <c r="J89" s="1">
        <v>159.88</v>
      </c>
      <c r="K89" s="34">
        <v>41548</v>
      </c>
      <c r="L89" s="1">
        <v>15327.4</v>
      </c>
      <c r="M89" s="34">
        <v>41548</v>
      </c>
      <c r="N89" s="1">
        <v>2388.4</v>
      </c>
    </row>
    <row r="90" spans="1:14" x14ac:dyDescent="0.25">
      <c r="A90" s="34">
        <v>41579</v>
      </c>
      <c r="B90" s="1">
        <v>15306.4</v>
      </c>
      <c r="C90" s="34">
        <v>41579</v>
      </c>
      <c r="D90" s="1">
        <v>6474</v>
      </c>
      <c r="E90" s="34">
        <v>41579</v>
      </c>
      <c r="F90" s="1">
        <v>8.4</v>
      </c>
      <c r="G90" s="34">
        <v>41579</v>
      </c>
      <c r="H90" s="1">
        <v>1.33</v>
      </c>
      <c r="I90" s="34">
        <v>41579</v>
      </c>
      <c r="J90" s="1">
        <v>160.24</v>
      </c>
      <c r="K90" s="34">
        <v>41579</v>
      </c>
      <c r="L90" s="1">
        <v>15426.8</v>
      </c>
      <c r="M90" s="34">
        <v>41579</v>
      </c>
      <c r="N90" s="1">
        <v>2416.4</v>
      </c>
    </row>
    <row r="91" spans="1:14" x14ac:dyDescent="0.25">
      <c r="A91" s="34">
        <v>41609</v>
      </c>
      <c r="B91" s="1">
        <v>15323.6</v>
      </c>
      <c r="C91" s="34">
        <v>41609</v>
      </c>
      <c r="D91" s="1">
        <v>8796</v>
      </c>
      <c r="E91" s="34">
        <v>41609</v>
      </c>
      <c r="F91" s="1">
        <v>8.3000000000000007</v>
      </c>
      <c r="G91" s="34">
        <v>41609</v>
      </c>
      <c r="H91" s="1">
        <v>1.55</v>
      </c>
      <c r="I91" s="34">
        <v>41609</v>
      </c>
      <c r="J91" s="1">
        <v>160.88999999999999</v>
      </c>
      <c r="K91" s="34">
        <v>41609</v>
      </c>
      <c r="L91" s="1">
        <v>15446.4</v>
      </c>
      <c r="M91" s="34">
        <v>41609</v>
      </c>
      <c r="N91" s="1">
        <v>2399.6999999999998</v>
      </c>
    </row>
    <row r="92" spans="1:14" x14ac:dyDescent="0.25">
      <c r="A92" s="34">
        <v>41640</v>
      </c>
      <c r="B92" s="1">
        <v>15291.6</v>
      </c>
      <c r="C92" s="34">
        <v>41640</v>
      </c>
      <c r="D92" s="1">
        <v>4221</v>
      </c>
      <c r="E92" s="34">
        <v>41640</v>
      </c>
      <c r="F92" s="1">
        <v>8.1</v>
      </c>
      <c r="G92" s="34">
        <v>41640</v>
      </c>
      <c r="H92" s="1">
        <v>1.61</v>
      </c>
      <c r="I92" s="34">
        <v>41640</v>
      </c>
      <c r="J92" s="1">
        <v>161.16999999999999</v>
      </c>
      <c r="K92" s="34">
        <v>41640</v>
      </c>
      <c r="L92" s="1">
        <v>15173.2</v>
      </c>
      <c r="M92" s="34">
        <v>41640</v>
      </c>
      <c r="N92" s="1">
        <v>2372.5</v>
      </c>
    </row>
    <row r="93" spans="1:14" x14ac:dyDescent="0.25">
      <c r="A93" s="34">
        <v>41671</v>
      </c>
      <c r="B93" s="1">
        <v>15353.7</v>
      </c>
      <c r="C93" s="34">
        <v>41671</v>
      </c>
      <c r="D93" s="1">
        <v>6069</v>
      </c>
      <c r="E93" s="34">
        <v>41671</v>
      </c>
      <c r="F93" s="1">
        <v>8.1</v>
      </c>
      <c r="G93" s="34">
        <v>41671</v>
      </c>
      <c r="H93" s="1">
        <v>1.1200000000000001</v>
      </c>
      <c r="I93" s="34">
        <v>41671</v>
      </c>
      <c r="J93" s="1">
        <v>161.44</v>
      </c>
      <c r="K93" s="34">
        <v>41671</v>
      </c>
      <c r="L93" s="1">
        <v>15277.3</v>
      </c>
      <c r="M93" s="34">
        <v>41671</v>
      </c>
      <c r="N93" s="1">
        <v>2402.9</v>
      </c>
    </row>
    <row r="94" spans="1:14" x14ac:dyDescent="0.25">
      <c r="A94" s="34">
        <v>41699</v>
      </c>
      <c r="B94" s="1">
        <v>15368.5</v>
      </c>
      <c r="C94" s="34">
        <v>41699</v>
      </c>
      <c r="D94" s="1">
        <v>6894</v>
      </c>
      <c r="E94" s="34">
        <v>41699</v>
      </c>
      <c r="F94" s="1">
        <v>8.1</v>
      </c>
      <c r="G94" s="34">
        <v>41699</v>
      </c>
      <c r="H94" s="1">
        <v>2.06</v>
      </c>
      <c r="I94" s="34">
        <v>41699</v>
      </c>
      <c r="J94" s="1">
        <v>162.22999999999999</v>
      </c>
      <c r="K94" s="34">
        <v>41699</v>
      </c>
      <c r="L94" s="1">
        <v>15357</v>
      </c>
      <c r="M94" s="34">
        <v>41699</v>
      </c>
      <c r="N94" s="1">
        <v>2424</v>
      </c>
    </row>
    <row r="95" spans="1:14" x14ac:dyDescent="0.25">
      <c r="A95" s="34">
        <v>41730</v>
      </c>
      <c r="B95" s="1">
        <v>15429.7</v>
      </c>
      <c r="C95" s="34">
        <v>41730</v>
      </c>
      <c r="D95" s="1">
        <v>8623</v>
      </c>
      <c r="E95" s="34">
        <v>41730</v>
      </c>
      <c r="F95" s="1">
        <v>7.8</v>
      </c>
      <c r="G95" s="34">
        <v>41730</v>
      </c>
      <c r="H95" s="1">
        <v>2.44</v>
      </c>
      <c r="I95" s="34">
        <v>41730</v>
      </c>
      <c r="J95" s="1">
        <v>162.71</v>
      </c>
      <c r="K95" s="34">
        <v>41730</v>
      </c>
      <c r="L95" s="1">
        <v>15426.3</v>
      </c>
      <c r="M95" s="34">
        <v>41730</v>
      </c>
      <c r="N95" s="1">
        <v>2422.6</v>
      </c>
    </row>
    <row r="96" spans="1:14" x14ac:dyDescent="0.25">
      <c r="A96" s="34">
        <v>41760</v>
      </c>
      <c r="B96" s="1">
        <v>15448.6</v>
      </c>
      <c r="C96" s="34">
        <v>41760</v>
      </c>
      <c r="D96" s="1">
        <v>6369</v>
      </c>
      <c r="E96" s="34">
        <v>41760</v>
      </c>
      <c r="F96" s="1">
        <v>7.6</v>
      </c>
      <c r="G96" s="34">
        <v>41760</v>
      </c>
      <c r="H96" s="1">
        <v>2.19</v>
      </c>
      <c r="I96" s="34">
        <v>41760</v>
      </c>
      <c r="J96" s="1">
        <v>163.32</v>
      </c>
      <c r="K96" s="34">
        <v>41760</v>
      </c>
      <c r="L96" s="1">
        <v>15487.2</v>
      </c>
      <c r="M96" s="34">
        <v>41760</v>
      </c>
      <c r="N96" s="1">
        <v>2433.8000000000002</v>
      </c>
    </row>
    <row r="97" spans="1:14" x14ac:dyDescent="0.25">
      <c r="A97" s="34">
        <v>41791</v>
      </c>
      <c r="B97" s="1">
        <v>15463.9</v>
      </c>
      <c r="C97" s="34">
        <v>41791</v>
      </c>
      <c r="D97" s="1">
        <v>7308</v>
      </c>
      <c r="E97" s="34">
        <v>41791</v>
      </c>
      <c r="F97" s="1">
        <v>7.4</v>
      </c>
      <c r="G97" s="34">
        <v>41791</v>
      </c>
      <c r="H97" s="1">
        <v>1.68</v>
      </c>
      <c r="I97" s="34">
        <v>41791</v>
      </c>
      <c r="J97" s="1">
        <v>163.62</v>
      </c>
      <c r="K97" s="34">
        <v>41791</v>
      </c>
      <c r="L97" s="1">
        <v>15539.1</v>
      </c>
      <c r="M97" s="34">
        <v>41791</v>
      </c>
      <c r="N97" s="1">
        <v>2425.1</v>
      </c>
    </row>
    <row r="98" spans="1:14" x14ac:dyDescent="0.25">
      <c r="A98" s="34">
        <v>41821</v>
      </c>
      <c r="B98" s="1">
        <v>15495.4</v>
      </c>
      <c r="C98" s="34">
        <v>41821</v>
      </c>
      <c r="D98" s="1">
        <v>7347</v>
      </c>
      <c r="E98" s="34">
        <v>41821</v>
      </c>
      <c r="F98" s="1">
        <v>7.4</v>
      </c>
      <c r="G98" s="34">
        <v>41821</v>
      </c>
      <c r="H98" s="1">
        <v>1.42</v>
      </c>
      <c r="I98" s="34">
        <v>41821</v>
      </c>
      <c r="J98" s="1">
        <v>163.98</v>
      </c>
      <c r="K98" s="34">
        <v>41821</v>
      </c>
      <c r="L98" s="1">
        <v>15377.6</v>
      </c>
      <c r="M98" s="34">
        <v>41821</v>
      </c>
      <c r="N98" s="1">
        <v>2255.4</v>
      </c>
    </row>
    <row r="99" spans="1:14" x14ac:dyDescent="0.25">
      <c r="A99" s="34">
        <v>41852</v>
      </c>
      <c r="B99" s="1">
        <v>15540.3</v>
      </c>
      <c r="C99" s="34">
        <v>41852</v>
      </c>
      <c r="D99" s="1">
        <v>5667</v>
      </c>
      <c r="E99" s="34">
        <v>41852</v>
      </c>
      <c r="F99" s="1">
        <v>7.4</v>
      </c>
      <c r="G99" s="34">
        <v>41852</v>
      </c>
      <c r="H99" s="1">
        <v>1.82</v>
      </c>
      <c r="I99" s="34">
        <v>41852</v>
      </c>
      <c r="J99" s="1">
        <v>164.55</v>
      </c>
      <c r="K99" s="34">
        <v>41852</v>
      </c>
      <c r="L99" s="1">
        <v>15449.6</v>
      </c>
      <c r="M99" s="34">
        <v>41852</v>
      </c>
      <c r="N99" s="1">
        <v>2262</v>
      </c>
    </row>
    <row r="100" spans="1:14" x14ac:dyDescent="0.25">
      <c r="A100" s="34">
        <v>41883</v>
      </c>
      <c r="B100" s="1">
        <v>15526.1</v>
      </c>
      <c r="C100" s="34">
        <v>41883</v>
      </c>
      <c r="D100" s="1">
        <v>6247</v>
      </c>
      <c r="E100" s="34">
        <v>41883</v>
      </c>
      <c r="F100" s="1">
        <v>7.3</v>
      </c>
      <c r="G100" s="34">
        <v>41883</v>
      </c>
      <c r="H100" s="1">
        <v>1.86</v>
      </c>
      <c r="I100" s="34">
        <v>41883</v>
      </c>
      <c r="J100" s="1">
        <v>164.88</v>
      </c>
      <c r="K100" s="34">
        <v>41883</v>
      </c>
      <c r="L100" s="1">
        <v>15513.3</v>
      </c>
      <c r="M100" s="34">
        <v>41883</v>
      </c>
      <c r="N100" s="1">
        <v>2320.6999999999998</v>
      </c>
    </row>
    <row r="101" spans="1:14" x14ac:dyDescent="0.25">
      <c r="A101" s="34">
        <v>41913</v>
      </c>
      <c r="B101" s="1">
        <v>15560.4</v>
      </c>
      <c r="C101" s="34">
        <v>41913</v>
      </c>
      <c r="D101" s="1">
        <v>9017</v>
      </c>
      <c r="E101" s="34">
        <v>41913</v>
      </c>
      <c r="F101" s="1">
        <v>7.3</v>
      </c>
      <c r="G101" s="34">
        <v>41913</v>
      </c>
      <c r="H101" s="1">
        <v>2.0099999999999998</v>
      </c>
      <c r="I101" s="34">
        <v>41913</v>
      </c>
      <c r="J101" s="1">
        <v>165.48</v>
      </c>
      <c r="K101" s="34">
        <v>41913</v>
      </c>
      <c r="L101" s="1">
        <v>15662.8</v>
      </c>
      <c r="M101" s="34">
        <v>41913</v>
      </c>
      <c r="N101" s="1">
        <v>2389.9</v>
      </c>
    </row>
    <row r="102" spans="1:14" x14ac:dyDescent="0.25">
      <c r="A102" s="34">
        <v>41944</v>
      </c>
      <c r="B102" s="1">
        <v>15643.2</v>
      </c>
      <c r="C102" s="34">
        <v>41944</v>
      </c>
      <c r="D102" s="1">
        <v>7421</v>
      </c>
      <c r="E102" s="34">
        <v>41944</v>
      </c>
      <c r="F102" s="1">
        <v>7.2</v>
      </c>
      <c r="G102" s="34">
        <v>41944</v>
      </c>
      <c r="H102" s="1">
        <v>2.06</v>
      </c>
      <c r="I102" s="34">
        <v>41944</v>
      </c>
      <c r="J102" s="1">
        <v>165.95</v>
      </c>
      <c r="K102" s="34">
        <v>41944</v>
      </c>
      <c r="L102" s="1">
        <v>15770.9</v>
      </c>
      <c r="M102" s="34">
        <v>41944</v>
      </c>
      <c r="N102" s="1">
        <v>2410.1</v>
      </c>
    </row>
    <row r="103" spans="1:14" x14ac:dyDescent="0.25">
      <c r="A103" s="34">
        <v>41974</v>
      </c>
      <c r="B103" s="1">
        <v>15643.9</v>
      </c>
      <c r="E103" s="34">
        <v>41974</v>
      </c>
      <c r="F103" s="1">
        <v>7</v>
      </c>
      <c r="K103" s="34">
        <v>41974</v>
      </c>
      <c r="L103" s="1">
        <v>15768.2</v>
      </c>
      <c r="M103" s="34">
        <v>41974</v>
      </c>
      <c r="N103" s="1">
        <v>2396.1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03"/>
  <sheetViews>
    <sheetView topLeftCell="A82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73</v>
      </c>
      <c r="C1" s="34" t="s">
        <v>74</v>
      </c>
      <c r="E1" s="34" t="s">
        <v>75</v>
      </c>
      <c r="G1" s="34" t="s">
        <v>76</v>
      </c>
      <c r="I1" s="34" t="s">
        <v>77</v>
      </c>
      <c r="K1" s="34" t="str">
        <f>CONCATENATE(LEFT(A1,2), "NAN")</f>
        <v>CONAN</v>
      </c>
      <c r="M1" s="34" t="str">
        <f>CONCATENATE(LEFT(A1,2), "GOVTN")</f>
        <v>COGOVTN</v>
      </c>
      <c r="O1" s="34" t="str">
        <f>CONCATENATE(LEFT($A$1,2), "RGSP")</f>
        <v>CORGSP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854</v>
      </c>
      <c r="C5" s="35" t="s">
        <v>78</v>
      </c>
      <c r="E5" s="35" t="s">
        <v>79</v>
      </c>
      <c r="G5" s="35" t="s">
        <v>80</v>
      </c>
      <c r="I5" s="35" t="s">
        <v>81</v>
      </c>
      <c r="K5" s="35" t="s">
        <v>854</v>
      </c>
      <c r="M5" s="35" t="s">
        <v>855</v>
      </c>
      <c r="O5" s="35" t="s">
        <v>815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2302.6999999999998</v>
      </c>
      <c r="C8" s="34">
        <v>39083</v>
      </c>
      <c r="D8" s="1">
        <v>2114</v>
      </c>
      <c r="E8" s="34">
        <v>39083</v>
      </c>
      <c r="F8" s="1">
        <v>3.7</v>
      </c>
      <c r="G8" s="34">
        <v>39083</v>
      </c>
      <c r="H8" s="1">
        <v>1.38</v>
      </c>
      <c r="I8" s="34">
        <v>39083</v>
      </c>
      <c r="J8" s="1">
        <v>169.9</v>
      </c>
      <c r="K8" s="34">
        <v>39083</v>
      </c>
      <c r="L8" s="1">
        <v>2262.6</v>
      </c>
      <c r="M8" s="34">
        <v>39083</v>
      </c>
      <c r="N8" s="1">
        <v>360.3</v>
      </c>
      <c r="O8" s="34">
        <v>39083</v>
      </c>
      <c r="P8" s="1">
        <v>248913</v>
      </c>
    </row>
    <row r="9" spans="1:16" x14ac:dyDescent="0.25">
      <c r="A9" s="34">
        <v>39114</v>
      </c>
      <c r="B9" s="1">
        <v>2309</v>
      </c>
      <c r="C9" s="34">
        <v>39114</v>
      </c>
      <c r="D9" s="1">
        <v>2357</v>
      </c>
      <c r="E9" s="34">
        <v>39114</v>
      </c>
      <c r="F9" s="1">
        <v>3.6</v>
      </c>
      <c r="G9" s="34">
        <v>39114</v>
      </c>
      <c r="H9" s="1">
        <v>1.37</v>
      </c>
      <c r="I9" s="34">
        <v>39114</v>
      </c>
      <c r="J9" s="1">
        <v>170.5</v>
      </c>
      <c r="K9" s="34">
        <v>39114</v>
      </c>
      <c r="L9" s="1">
        <v>2280.5</v>
      </c>
      <c r="M9" s="34">
        <v>39114</v>
      </c>
      <c r="N9" s="1">
        <v>374.7</v>
      </c>
      <c r="O9" s="34">
        <v>39448</v>
      </c>
      <c r="P9" s="1">
        <v>252723</v>
      </c>
    </row>
    <row r="10" spans="1:16" x14ac:dyDescent="0.25">
      <c r="A10" s="34">
        <v>39142</v>
      </c>
      <c r="B10" s="1">
        <v>2320.3000000000002</v>
      </c>
      <c r="C10" s="34">
        <v>39142</v>
      </c>
      <c r="D10" s="1">
        <v>2544</v>
      </c>
      <c r="E10" s="34">
        <v>39142</v>
      </c>
      <c r="F10" s="1">
        <v>3.5</v>
      </c>
      <c r="G10" s="34">
        <v>39142</v>
      </c>
      <c r="H10" s="1">
        <v>1.6</v>
      </c>
      <c r="I10" s="34">
        <v>39142</v>
      </c>
      <c r="J10" s="1">
        <v>171.29</v>
      </c>
      <c r="K10" s="34">
        <v>39142</v>
      </c>
      <c r="L10" s="1">
        <v>2306.4</v>
      </c>
      <c r="M10" s="34">
        <v>39142</v>
      </c>
      <c r="N10" s="1">
        <v>378</v>
      </c>
      <c r="O10" s="34">
        <v>39814</v>
      </c>
      <c r="P10" s="1">
        <v>248177</v>
      </c>
    </row>
    <row r="11" spans="1:16" x14ac:dyDescent="0.25">
      <c r="A11" s="34">
        <v>39173</v>
      </c>
      <c r="B11" s="1">
        <v>2324.6</v>
      </c>
      <c r="C11" s="34">
        <v>39173</v>
      </c>
      <c r="D11" s="1">
        <v>3057</v>
      </c>
      <c r="E11" s="34">
        <v>39173</v>
      </c>
      <c r="F11" s="1">
        <v>3.5</v>
      </c>
      <c r="G11" s="34">
        <v>39173</v>
      </c>
      <c r="H11" s="1">
        <v>2.0099999999999998</v>
      </c>
      <c r="I11" s="34">
        <v>39173</v>
      </c>
      <c r="J11" s="1">
        <v>171.89</v>
      </c>
      <c r="K11" s="34">
        <v>39173</v>
      </c>
      <c r="L11" s="1">
        <v>2313.1</v>
      </c>
      <c r="M11" s="34">
        <v>39173</v>
      </c>
      <c r="N11" s="1">
        <v>378.5</v>
      </c>
      <c r="O11" s="34">
        <v>40179</v>
      </c>
      <c r="P11" s="1">
        <v>252035</v>
      </c>
    </row>
    <row r="12" spans="1:16" x14ac:dyDescent="0.25">
      <c r="A12" s="34">
        <v>39203</v>
      </c>
      <c r="B12" s="1">
        <v>2328.3000000000002</v>
      </c>
      <c r="C12" s="34">
        <v>39203</v>
      </c>
      <c r="D12" s="1">
        <v>2863</v>
      </c>
      <c r="E12" s="34">
        <v>39203</v>
      </c>
      <c r="F12" s="1">
        <v>3.6</v>
      </c>
      <c r="G12" s="34">
        <v>39203</v>
      </c>
      <c r="H12" s="1">
        <v>1.34</v>
      </c>
      <c r="I12" s="34">
        <v>39203</v>
      </c>
      <c r="J12" s="1">
        <v>172.25</v>
      </c>
      <c r="K12" s="34">
        <v>39203</v>
      </c>
      <c r="L12" s="1">
        <v>2327.6999999999998</v>
      </c>
      <c r="M12" s="34">
        <v>39203</v>
      </c>
      <c r="N12" s="1">
        <v>382</v>
      </c>
      <c r="O12" s="34">
        <v>40544</v>
      </c>
      <c r="P12" s="1">
        <v>255866</v>
      </c>
    </row>
    <row r="13" spans="1:16" x14ac:dyDescent="0.25">
      <c r="A13" s="34">
        <v>39234</v>
      </c>
      <c r="B13" s="1">
        <v>2333.3000000000002</v>
      </c>
      <c r="C13" s="34">
        <v>39234</v>
      </c>
      <c r="D13" s="1">
        <v>3928</v>
      </c>
      <c r="E13" s="34">
        <v>39234</v>
      </c>
      <c r="F13" s="1">
        <v>3.7</v>
      </c>
      <c r="G13" s="34">
        <v>39234</v>
      </c>
      <c r="H13" s="1">
        <v>1.03</v>
      </c>
      <c r="I13" s="34">
        <v>39234</v>
      </c>
      <c r="J13" s="1">
        <v>172.69</v>
      </c>
      <c r="K13" s="34">
        <v>39234</v>
      </c>
      <c r="L13" s="1">
        <v>2358.3000000000002</v>
      </c>
      <c r="M13" s="34">
        <v>39234</v>
      </c>
      <c r="N13" s="1">
        <v>374.6</v>
      </c>
      <c r="O13" s="34">
        <v>40909</v>
      </c>
      <c r="P13" s="1">
        <v>263593</v>
      </c>
    </row>
    <row r="14" spans="1:16" x14ac:dyDescent="0.25">
      <c r="A14" s="34">
        <v>39264</v>
      </c>
      <c r="B14" s="1">
        <v>2335</v>
      </c>
      <c r="C14" s="34">
        <v>39264</v>
      </c>
      <c r="D14" s="1">
        <v>2573</v>
      </c>
      <c r="E14" s="34">
        <v>39264</v>
      </c>
      <c r="F14" s="1">
        <v>3.8</v>
      </c>
      <c r="G14" s="34">
        <v>39264</v>
      </c>
      <c r="H14" s="1">
        <v>1.1299999999999999</v>
      </c>
      <c r="I14" s="34">
        <v>39264</v>
      </c>
      <c r="J14" s="1">
        <v>173.08</v>
      </c>
      <c r="K14" s="34">
        <v>39264</v>
      </c>
      <c r="L14" s="1">
        <v>2342.1</v>
      </c>
      <c r="M14" s="34">
        <v>39264</v>
      </c>
      <c r="N14" s="1">
        <v>355.5</v>
      </c>
      <c r="O14" s="34">
        <v>41275</v>
      </c>
      <c r="P14" s="1">
        <v>273721</v>
      </c>
    </row>
    <row r="15" spans="1:16" x14ac:dyDescent="0.25">
      <c r="A15" s="34">
        <v>39295</v>
      </c>
      <c r="B15" s="1">
        <v>2334.6999999999998</v>
      </c>
      <c r="C15" s="34">
        <v>39295</v>
      </c>
      <c r="D15" s="1">
        <v>2575</v>
      </c>
      <c r="E15" s="34">
        <v>39295</v>
      </c>
      <c r="F15" s="1">
        <v>3.9</v>
      </c>
      <c r="G15" s="34">
        <v>39295</v>
      </c>
      <c r="H15" s="1">
        <v>0.96</v>
      </c>
      <c r="I15" s="34">
        <v>39295</v>
      </c>
      <c r="J15" s="1">
        <v>173.39</v>
      </c>
      <c r="K15" s="34">
        <v>39295</v>
      </c>
      <c r="L15" s="1">
        <v>2350.4</v>
      </c>
      <c r="M15" s="34">
        <v>39295</v>
      </c>
      <c r="N15" s="1">
        <v>359.3</v>
      </c>
    </row>
    <row r="16" spans="1:16" x14ac:dyDescent="0.25">
      <c r="A16" s="34">
        <v>39326</v>
      </c>
      <c r="B16" s="1">
        <v>2341.5</v>
      </c>
      <c r="C16" s="34">
        <v>39326</v>
      </c>
      <c r="D16" s="1">
        <v>1983</v>
      </c>
      <c r="E16" s="34">
        <v>39326</v>
      </c>
      <c r="F16" s="1">
        <v>4</v>
      </c>
      <c r="G16" s="34">
        <v>39326</v>
      </c>
      <c r="H16" s="1">
        <v>0.76</v>
      </c>
      <c r="I16" s="34">
        <v>39326</v>
      </c>
      <c r="J16" s="1">
        <v>173.57</v>
      </c>
      <c r="K16" s="34">
        <v>39326</v>
      </c>
      <c r="L16" s="1">
        <v>2352.3000000000002</v>
      </c>
      <c r="M16" s="34">
        <v>39326</v>
      </c>
      <c r="N16" s="1">
        <v>379.5</v>
      </c>
    </row>
    <row r="17" spans="1:14" x14ac:dyDescent="0.25">
      <c r="A17" s="34">
        <v>39356</v>
      </c>
      <c r="B17" s="1">
        <v>2345.1999999999998</v>
      </c>
      <c r="C17" s="34">
        <v>39356</v>
      </c>
      <c r="D17" s="1">
        <v>2610</v>
      </c>
      <c r="E17" s="34">
        <v>39356</v>
      </c>
      <c r="F17" s="1">
        <v>4</v>
      </c>
      <c r="G17" s="34">
        <v>39356</v>
      </c>
      <c r="H17" s="1">
        <v>1.02</v>
      </c>
      <c r="I17" s="34">
        <v>39356</v>
      </c>
      <c r="J17" s="1">
        <v>174.13</v>
      </c>
      <c r="K17" s="34">
        <v>39356</v>
      </c>
      <c r="L17" s="1">
        <v>2350.5</v>
      </c>
      <c r="M17" s="34">
        <v>39356</v>
      </c>
      <c r="N17" s="1">
        <v>384.1</v>
      </c>
    </row>
    <row r="18" spans="1:14" x14ac:dyDescent="0.25">
      <c r="A18" s="34">
        <v>39387</v>
      </c>
      <c r="B18" s="1">
        <v>2348.1999999999998</v>
      </c>
      <c r="C18" s="34">
        <v>39387</v>
      </c>
      <c r="D18" s="1">
        <v>1571</v>
      </c>
      <c r="E18" s="34">
        <v>39387</v>
      </c>
      <c r="F18" s="1">
        <v>4.0999999999999996</v>
      </c>
      <c r="G18" s="34">
        <v>39387</v>
      </c>
      <c r="H18" s="1">
        <v>0.62</v>
      </c>
      <c r="I18" s="34">
        <v>39387</v>
      </c>
      <c r="J18" s="1">
        <v>174.1</v>
      </c>
      <c r="K18" s="34">
        <v>39387</v>
      </c>
      <c r="L18" s="1">
        <v>2359.1</v>
      </c>
      <c r="M18" s="34">
        <v>39387</v>
      </c>
      <c r="N18" s="1">
        <v>385.6</v>
      </c>
    </row>
    <row r="19" spans="1:14" x14ac:dyDescent="0.25">
      <c r="A19" s="34">
        <v>39417</v>
      </c>
      <c r="B19" s="1">
        <v>2350.5</v>
      </c>
      <c r="C19" s="34">
        <v>39417</v>
      </c>
      <c r="D19" s="1">
        <v>2171</v>
      </c>
      <c r="E19" s="34">
        <v>39417</v>
      </c>
      <c r="F19" s="1">
        <v>4.0999999999999996</v>
      </c>
      <c r="G19" s="34">
        <v>39417</v>
      </c>
      <c r="H19" s="1">
        <v>0.35</v>
      </c>
      <c r="I19" s="34">
        <v>39417</v>
      </c>
      <c r="J19" s="1">
        <v>174.45</v>
      </c>
      <c r="K19" s="34">
        <v>39417</v>
      </c>
      <c r="L19" s="1">
        <v>2372.9</v>
      </c>
      <c r="M19" s="34">
        <v>39417</v>
      </c>
      <c r="N19" s="1">
        <v>384</v>
      </c>
    </row>
    <row r="20" spans="1:14" x14ac:dyDescent="0.25">
      <c r="A20" s="34">
        <v>39448</v>
      </c>
      <c r="B20" s="1">
        <v>2353.1999999999998</v>
      </c>
      <c r="C20" s="34">
        <v>39448</v>
      </c>
      <c r="D20" s="1">
        <v>1650</v>
      </c>
      <c r="E20" s="34">
        <v>39448</v>
      </c>
      <c r="F20" s="1">
        <v>4.0999999999999996</v>
      </c>
      <c r="G20" s="34">
        <v>39448</v>
      </c>
      <c r="H20" s="1">
        <v>0.4</v>
      </c>
      <c r="I20" s="34">
        <v>39448</v>
      </c>
      <c r="J20" s="1">
        <v>174.78</v>
      </c>
      <c r="K20" s="34">
        <v>39448</v>
      </c>
      <c r="L20" s="1">
        <v>2314.5</v>
      </c>
      <c r="M20" s="34">
        <v>39448</v>
      </c>
      <c r="N20" s="1">
        <v>370.7</v>
      </c>
    </row>
    <row r="21" spans="1:14" x14ac:dyDescent="0.25">
      <c r="A21" s="34">
        <v>39479</v>
      </c>
      <c r="B21" s="1">
        <v>2358.1</v>
      </c>
      <c r="C21" s="34">
        <v>39479</v>
      </c>
      <c r="D21" s="1">
        <v>1996</v>
      </c>
      <c r="E21" s="34">
        <v>39479</v>
      </c>
      <c r="F21" s="1">
        <v>4.2</v>
      </c>
      <c r="G21" s="34">
        <v>39479</v>
      </c>
      <c r="H21" s="1">
        <v>0</v>
      </c>
      <c r="I21" s="34">
        <v>39479</v>
      </c>
      <c r="J21" s="1">
        <v>174.71</v>
      </c>
      <c r="K21" s="34">
        <v>39479</v>
      </c>
      <c r="L21" s="1">
        <v>2330.9</v>
      </c>
      <c r="M21" s="34">
        <v>39479</v>
      </c>
      <c r="N21" s="1">
        <v>383.3</v>
      </c>
    </row>
    <row r="22" spans="1:14" x14ac:dyDescent="0.25">
      <c r="A22" s="34">
        <v>39508</v>
      </c>
      <c r="B22" s="1">
        <v>2357.1999999999998</v>
      </c>
      <c r="C22" s="34">
        <v>39508</v>
      </c>
      <c r="D22" s="1">
        <v>1537</v>
      </c>
      <c r="E22" s="34">
        <v>39508</v>
      </c>
      <c r="F22" s="1">
        <v>4.3</v>
      </c>
      <c r="G22" s="34">
        <v>39508</v>
      </c>
      <c r="H22" s="1">
        <v>0.04</v>
      </c>
      <c r="I22" s="34">
        <v>39508</v>
      </c>
      <c r="J22" s="1">
        <v>174.69</v>
      </c>
      <c r="K22" s="34">
        <v>39508</v>
      </c>
      <c r="L22" s="1">
        <v>2343.6</v>
      </c>
      <c r="M22" s="34">
        <v>39508</v>
      </c>
      <c r="N22" s="1">
        <v>386.3</v>
      </c>
    </row>
    <row r="23" spans="1:14" x14ac:dyDescent="0.25">
      <c r="A23" s="34">
        <v>39539</v>
      </c>
      <c r="B23" s="1">
        <v>2360.6999999999998</v>
      </c>
      <c r="C23" s="34">
        <v>39539</v>
      </c>
      <c r="D23" s="1">
        <v>1958</v>
      </c>
      <c r="E23" s="34">
        <v>39539</v>
      </c>
      <c r="F23" s="1">
        <v>4.4000000000000004</v>
      </c>
      <c r="G23" s="34">
        <v>39539</v>
      </c>
      <c r="H23" s="1">
        <v>0</v>
      </c>
      <c r="I23" s="34">
        <v>39539</v>
      </c>
      <c r="J23" s="1">
        <v>174.63</v>
      </c>
      <c r="K23" s="34">
        <v>39539</v>
      </c>
      <c r="L23" s="1">
        <v>2349</v>
      </c>
      <c r="M23" s="34">
        <v>39539</v>
      </c>
      <c r="N23" s="1">
        <v>386.9</v>
      </c>
    </row>
    <row r="24" spans="1:14" x14ac:dyDescent="0.25">
      <c r="A24" s="34">
        <v>39569</v>
      </c>
      <c r="B24" s="1">
        <v>2362.6999999999998</v>
      </c>
      <c r="C24" s="34">
        <v>39569</v>
      </c>
      <c r="D24" s="1">
        <v>2425</v>
      </c>
      <c r="E24" s="34">
        <v>39569</v>
      </c>
      <c r="F24" s="1">
        <v>4.5</v>
      </c>
      <c r="G24" s="34">
        <v>39569</v>
      </c>
      <c r="H24" s="1">
        <v>-0.1</v>
      </c>
      <c r="I24" s="34">
        <v>39569</v>
      </c>
      <c r="J24" s="1">
        <v>174.59</v>
      </c>
      <c r="K24" s="34">
        <v>39569</v>
      </c>
      <c r="L24" s="1">
        <v>2359.8000000000002</v>
      </c>
      <c r="M24" s="34">
        <v>39569</v>
      </c>
      <c r="N24" s="1">
        <v>392.6</v>
      </c>
    </row>
    <row r="25" spans="1:14" x14ac:dyDescent="0.25">
      <c r="A25" s="34">
        <v>39600</v>
      </c>
      <c r="B25" s="1">
        <v>2359</v>
      </c>
      <c r="C25" s="34">
        <v>39600</v>
      </c>
      <c r="D25" s="1">
        <v>1916</v>
      </c>
      <c r="E25" s="34">
        <v>39600</v>
      </c>
      <c r="F25" s="1">
        <v>4.7</v>
      </c>
      <c r="G25" s="34">
        <v>39600</v>
      </c>
      <c r="H25" s="1">
        <v>-0.54</v>
      </c>
      <c r="I25" s="34">
        <v>39600</v>
      </c>
      <c r="J25" s="1">
        <v>174.05</v>
      </c>
      <c r="K25" s="34">
        <v>39600</v>
      </c>
      <c r="L25" s="1">
        <v>2379</v>
      </c>
      <c r="M25" s="34">
        <v>39600</v>
      </c>
      <c r="N25" s="1">
        <v>382</v>
      </c>
    </row>
    <row r="26" spans="1:14" x14ac:dyDescent="0.25">
      <c r="A26" s="34">
        <v>39630</v>
      </c>
      <c r="B26" s="1">
        <v>2357.6</v>
      </c>
      <c r="C26" s="34">
        <v>39630</v>
      </c>
      <c r="D26" s="1">
        <v>1630</v>
      </c>
      <c r="E26" s="34">
        <v>39630</v>
      </c>
      <c r="F26" s="1">
        <v>4.8</v>
      </c>
      <c r="G26" s="34">
        <v>39630</v>
      </c>
      <c r="H26" s="1">
        <v>-0.91</v>
      </c>
      <c r="I26" s="34">
        <v>39630</v>
      </c>
      <c r="J26" s="1">
        <v>173.86</v>
      </c>
      <c r="K26" s="34">
        <v>39630</v>
      </c>
      <c r="L26" s="1">
        <v>2363.3000000000002</v>
      </c>
      <c r="M26" s="34">
        <v>39630</v>
      </c>
      <c r="N26" s="1">
        <v>364.6</v>
      </c>
    </row>
    <row r="27" spans="1:14" x14ac:dyDescent="0.25">
      <c r="A27" s="34">
        <v>39661</v>
      </c>
      <c r="B27" s="1">
        <v>2356.4</v>
      </c>
      <c r="C27" s="34">
        <v>39661</v>
      </c>
      <c r="D27" s="1">
        <v>1739</v>
      </c>
      <c r="E27" s="34">
        <v>39661</v>
      </c>
      <c r="F27" s="1">
        <v>4.9000000000000004</v>
      </c>
      <c r="G27" s="34">
        <v>39661</v>
      </c>
      <c r="H27" s="1">
        <v>-1.07</v>
      </c>
      <c r="I27" s="34">
        <v>39661</v>
      </c>
      <c r="J27" s="1">
        <v>173.58</v>
      </c>
      <c r="K27" s="34">
        <v>39661</v>
      </c>
      <c r="L27" s="1">
        <v>2369.4</v>
      </c>
      <c r="M27" s="34">
        <v>39661</v>
      </c>
      <c r="N27" s="1">
        <v>369.9</v>
      </c>
    </row>
    <row r="28" spans="1:14" x14ac:dyDescent="0.25">
      <c r="A28" s="34">
        <v>39692</v>
      </c>
      <c r="B28" s="1">
        <v>2350.4</v>
      </c>
      <c r="C28" s="34">
        <v>39692</v>
      </c>
      <c r="D28" s="1">
        <v>1452</v>
      </c>
      <c r="E28" s="34">
        <v>39692</v>
      </c>
      <c r="F28" s="1">
        <v>5.0999999999999996</v>
      </c>
      <c r="G28" s="34">
        <v>39692</v>
      </c>
      <c r="H28" s="1">
        <v>-1.51</v>
      </c>
      <c r="I28" s="34">
        <v>39692</v>
      </c>
      <c r="J28" s="1">
        <v>172.83</v>
      </c>
      <c r="K28" s="34">
        <v>39692</v>
      </c>
      <c r="L28" s="1">
        <v>2361</v>
      </c>
      <c r="M28" s="34">
        <v>39692</v>
      </c>
      <c r="N28" s="1">
        <v>388.5</v>
      </c>
    </row>
    <row r="29" spans="1:14" x14ac:dyDescent="0.25">
      <c r="A29" s="34">
        <v>39722</v>
      </c>
      <c r="B29" s="1">
        <v>2340.9</v>
      </c>
      <c r="C29" s="34">
        <v>39722</v>
      </c>
      <c r="D29" s="1">
        <v>1900</v>
      </c>
      <c r="E29" s="34">
        <v>39722</v>
      </c>
      <c r="F29" s="1">
        <v>5.3</v>
      </c>
      <c r="G29" s="34">
        <v>39722</v>
      </c>
      <c r="H29" s="1">
        <v>-2.02</v>
      </c>
      <c r="I29" s="34">
        <v>39722</v>
      </c>
      <c r="J29" s="1">
        <v>172.26</v>
      </c>
      <c r="K29" s="34">
        <v>39722</v>
      </c>
      <c r="L29" s="1">
        <v>2351.9</v>
      </c>
      <c r="M29" s="34">
        <v>39722</v>
      </c>
      <c r="N29" s="1">
        <v>395.5</v>
      </c>
    </row>
    <row r="30" spans="1:14" x14ac:dyDescent="0.25">
      <c r="A30" s="34">
        <v>39753</v>
      </c>
      <c r="B30" s="1">
        <v>2332.5</v>
      </c>
      <c r="C30" s="34">
        <v>39753</v>
      </c>
      <c r="D30" s="1">
        <v>751</v>
      </c>
      <c r="E30" s="34">
        <v>39753</v>
      </c>
      <c r="F30" s="1">
        <v>5.7</v>
      </c>
      <c r="G30" s="34">
        <v>39753</v>
      </c>
      <c r="H30" s="1">
        <v>-3.02</v>
      </c>
      <c r="I30" s="34">
        <v>39753</v>
      </c>
      <c r="J30" s="1">
        <v>171</v>
      </c>
      <c r="K30" s="34">
        <v>39753</v>
      </c>
      <c r="L30" s="1">
        <v>2341</v>
      </c>
      <c r="M30" s="34">
        <v>39753</v>
      </c>
      <c r="N30" s="1">
        <v>396</v>
      </c>
    </row>
    <row r="31" spans="1:14" x14ac:dyDescent="0.25">
      <c r="A31" s="34">
        <v>39783</v>
      </c>
      <c r="B31" s="1">
        <v>2318.6999999999998</v>
      </c>
      <c r="C31" s="34">
        <v>39783</v>
      </c>
      <c r="D31" s="1">
        <v>563</v>
      </c>
      <c r="E31" s="34">
        <v>39783</v>
      </c>
      <c r="F31" s="1">
        <v>6.1</v>
      </c>
      <c r="G31" s="34">
        <v>39783</v>
      </c>
      <c r="H31" s="1">
        <v>-3.54</v>
      </c>
      <c r="I31" s="34">
        <v>39783</v>
      </c>
      <c r="J31" s="1">
        <v>170.08</v>
      </c>
      <c r="K31" s="34">
        <v>39783</v>
      </c>
      <c r="L31" s="1">
        <v>2340.5</v>
      </c>
      <c r="M31" s="34">
        <v>39783</v>
      </c>
      <c r="N31" s="1">
        <v>393.3</v>
      </c>
    </row>
    <row r="32" spans="1:14" x14ac:dyDescent="0.25">
      <c r="A32" s="34">
        <v>39814</v>
      </c>
      <c r="B32" s="1">
        <v>2308.3000000000002</v>
      </c>
      <c r="C32" s="34">
        <v>39814</v>
      </c>
      <c r="D32" s="1">
        <v>489</v>
      </c>
      <c r="E32" s="34">
        <v>39814</v>
      </c>
      <c r="F32" s="1">
        <v>6.7</v>
      </c>
      <c r="G32" s="34">
        <v>39814</v>
      </c>
      <c r="H32" s="1">
        <v>-4.25</v>
      </c>
      <c r="I32" s="34">
        <v>39814</v>
      </c>
      <c r="J32" s="1">
        <v>168.38</v>
      </c>
      <c r="K32" s="34">
        <v>39814</v>
      </c>
      <c r="L32" s="1">
        <v>2271.1999999999998</v>
      </c>
      <c r="M32" s="34">
        <v>39814</v>
      </c>
      <c r="N32" s="1">
        <v>382.5</v>
      </c>
    </row>
    <row r="33" spans="1:14" x14ac:dyDescent="0.25">
      <c r="A33" s="34">
        <v>39845</v>
      </c>
      <c r="B33" s="1">
        <v>2287.6</v>
      </c>
      <c r="C33" s="34">
        <v>39845</v>
      </c>
      <c r="D33" s="1">
        <v>743</v>
      </c>
      <c r="E33" s="34">
        <v>39845</v>
      </c>
      <c r="F33" s="1">
        <v>7.2</v>
      </c>
      <c r="G33" s="34">
        <v>39845</v>
      </c>
      <c r="H33" s="1">
        <v>-4.62</v>
      </c>
      <c r="I33" s="34">
        <v>39845</v>
      </c>
      <c r="J33" s="1">
        <v>167.1</v>
      </c>
      <c r="K33" s="34">
        <v>39845</v>
      </c>
      <c r="L33" s="1">
        <v>2261.9</v>
      </c>
      <c r="M33" s="34">
        <v>39845</v>
      </c>
      <c r="N33" s="1">
        <v>392.1</v>
      </c>
    </row>
    <row r="34" spans="1:14" x14ac:dyDescent="0.25">
      <c r="A34" s="34">
        <v>39873</v>
      </c>
      <c r="B34" s="1">
        <v>2271.6999999999998</v>
      </c>
      <c r="C34" s="34">
        <v>39873</v>
      </c>
      <c r="D34" s="1">
        <v>614</v>
      </c>
      <c r="E34" s="34">
        <v>39873</v>
      </c>
      <c r="F34" s="1">
        <v>7.7</v>
      </c>
      <c r="G34" s="34">
        <v>39873</v>
      </c>
      <c r="H34" s="1">
        <v>-4.99</v>
      </c>
      <c r="I34" s="34">
        <v>39873</v>
      </c>
      <c r="J34" s="1">
        <v>165.58</v>
      </c>
      <c r="K34" s="34">
        <v>39873</v>
      </c>
      <c r="L34" s="1">
        <v>2257.9</v>
      </c>
      <c r="M34" s="34">
        <v>39873</v>
      </c>
      <c r="N34" s="1">
        <v>394.7</v>
      </c>
    </row>
    <row r="35" spans="1:14" x14ac:dyDescent="0.25">
      <c r="A35" s="34">
        <v>39904</v>
      </c>
      <c r="B35" s="1">
        <v>2254.5</v>
      </c>
      <c r="C35" s="34">
        <v>39904</v>
      </c>
      <c r="D35" s="1">
        <v>1131</v>
      </c>
      <c r="E35" s="34">
        <v>39904</v>
      </c>
      <c r="F35" s="1">
        <v>8.1</v>
      </c>
      <c r="G35" s="34">
        <v>39904</v>
      </c>
      <c r="H35" s="1">
        <v>-4.3899999999999997</v>
      </c>
      <c r="I35" s="34">
        <v>39904</v>
      </c>
      <c r="J35" s="1">
        <v>164.24</v>
      </c>
      <c r="K35" s="34">
        <v>39904</v>
      </c>
      <c r="L35" s="1">
        <v>2248.1999999999998</v>
      </c>
      <c r="M35" s="34">
        <v>39904</v>
      </c>
      <c r="N35" s="1">
        <v>396.6</v>
      </c>
    </row>
    <row r="36" spans="1:14" x14ac:dyDescent="0.25">
      <c r="A36" s="34">
        <v>39934</v>
      </c>
      <c r="B36" s="1">
        <v>2251.6999999999998</v>
      </c>
      <c r="C36" s="34">
        <v>39934</v>
      </c>
      <c r="D36" s="1">
        <v>786</v>
      </c>
      <c r="E36" s="34">
        <v>39934</v>
      </c>
      <c r="F36" s="1">
        <v>8.4</v>
      </c>
      <c r="G36" s="34">
        <v>39934</v>
      </c>
      <c r="H36" s="1">
        <v>-3.25</v>
      </c>
      <c r="I36" s="34">
        <v>39934</v>
      </c>
      <c r="J36" s="1">
        <v>162.94</v>
      </c>
      <c r="K36" s="34">
        <v>39934</v>
      </c>
      <c r="L36" s="1">
        <v>2250.9</v>
      </c>
      <c r="M36" s="34">
        <v>39934</v>
      </c>
      <c r="N36" s="1">
        <v>401.5</v>
      </c>
    </row>
    <row r="37" spans="1:14" x14ac:dyDescent="0.25">
      <c r="A37" s="34">
        <v>39965</v>
      </c>
      <c r="B37" s="1">
        <v>2239.9</v>
      </c>
      <c r="C37" s="34">
        <v>39965</v>
      </c>
      <c r="D37" s="1">
        <v>896</v>
      </c>
      <c r="E37" s="34">
        <v>39965</v>
      </c>
      <c r="F37" s="1">
        <v>8.5</v>
      </c>
      <c r="G37" s="34">
        <v>39965</v>
      </c>
      <c r="H37" s="1">
        <v>-2.54</v>
      </c>
      <c r="I37" s="34">
        <v>39965</v>
      </c>
      <c r="J37" s="1">
        <v>162.06</v>
      </c>
      <c r="K37" s="34">
        <v>39965</v>
      </c>
      <c r="L37" s="1">
        <v>2258.8000000000002</v>
      </c>
      <c r="M37" s="34">
        <v>39965</v>
      </c>
      <c r="N37" s="1">
        <v>389.9</v>
      </c>
    </row>
    <row r="38" spans="1:14" x14ac:dyDescent="0.25">
      <c r="A38" s="34">
        <v>39995</v>
      </c>
      <c r="B38" s="1">
        <v>2232.1</v>
      </c>
      <c r="C38" s="34">
        <v>39995</v>
      </c>
      <c r="D38" s="1">
        <v>1217</v>
      </c>
      <c r="E38" s="34">
        <v>39995</v>
      </c>
      <c r="F38" s="1">
        <v>8.5</v>
      </c>
      <c r="G38" s="34">
        <v>39995</v>
      </c>
      <c r="H38" s="1">
        <v>-2.1</v>
      </c>
      <c r="I38" s="34">
        <v>39995</v>
      </c>
      <c r="J38" s="1">
        <v>161.22</v>
      </c>
      <c r="K38" s="34">
        <v>39995</v>
      </c>
      <c r="L38" s="1">
        <v>2238.1</v>
      </c>
      <c r="M38" s="34">
        <v>39995</v>
      </c>
      <c r="N38" s="1">
        <v>369.1</v>
      </c>
    </row>
    <row r="39" spans="1:14" x14ac:dyDescent="0.25">
      <c r="A39" s="34">
        <v>40026</v>
      </c>
      <c r="B39" s="1">
        <v>2225.9</v>
      </c>
      <c r="C39" s="34">
        <v>40026</v>
      </c>
      <c r="D39" s="1">
        <v>762</v>
      </c>
      <c r="E39" s="34">
        <v>40026</v>
      </c>
      <c r="F39" s="1">
        <v>8.4</v>
      </c>
      <c r="G39" s="34">
        <v>40026</v>
      </c>
      <c r="H39" s="1">
        <v>-1.51</v>
      </c>
      <c r="I39" s="34">
        <v>40026</v>
      </c>
      <c r="J39" s="1">
        <v>160.66999999999999</v>
      </c>
      <c r="K39" s="34">
        <v>40026</v>
      </c>
      <c r="L39" s="1">
        <v>2235.5</v>
      </c>
      <c r="M39" s="34">
        <v>40026</v>
      </c>
      <c r="N39" s="1">
        <v>371</v>
      </c>
    </row>
    <row r="40" spans="1:14" x14ac:dyDescent="0.25">
      <c r="A40" s="34">
        <v>40057</v>
      </c>
      <c r="B40" s="1">
        <v>2222.3000000000002</v>
      </c>
      <c r="C40" s="34">
        <v>40057</v>
      </c>
      <c r="D40" s="1">
        <v>910</v>
      </c>
      <c r="E40" s="34">
        <v>40057</v>
      </c>
      <c r="F40" s="1">
        <v>8.3000000000000007</v>
      </c>
      <c r="G40" s="34">
        <v>40057</v>
      </c>
      <c r="H40" s="1">
        <v>-0.63</v>
      </c>
      <c r="I40" s="34">
        <v>40057</v>
      </c>
      <c r="J40" s="1">
        <v>160.29</v>
      </c>
      <c r="K40" s="34">
        <v>40057</v>
      </c>
      <c r="L40" s="1">
        <v>2231.9</v>
      </c>
      <c r="M40" s="34">
        <v>40057</v>
      </c>
      <c r="N40" s="1">
        <v>392.5</v>
      </c>
    </row>
    <row r="41" spans="1:14" x14ac:dyDescent="0.25">
      <c r="A41" s="34">
        <v>40087</v>
      </c>
      <c r="B41" s="1">
        <v>2219.9</v>
      </c>
      <c r="C41" s="34">
        <v>40087</v>
      </c>
      <c r="D41" s="1">
        <v>617</v>
      </c>
      <c r="E41" s="34">
        <v>40087</v>
      </c>
      <c r="F41" s="1">
        <v>8.3000000000000007</v>
      </c>
      <c r="G41" s="34">
        <v>40087</v>
      </c>
      <c r="H41" s="1">
        <v>-0.51</v>
      </c>
      <c r="I41" s="34">
        <v>40087</v>
      </c>
      <c r="J41" s="1">
        <v>159.9</v>
      </c>
      <c r="K41" s="34">
        <v>40087</v>
      </c>
      <c r="L41" s="1">
        <v>2231.3000000000002</v>
      </c>
      <c r="M41" s="34">
        <v>40087</v>
      </c>
      <c r="N41" s="1">
        <v>400.1</v>
      </c>
    </row>
    <row r="42" spans="1:14" x14ac:dyDescent="0.25">
      <c r="A42" s="34">
        <v>40118</v>
      </c>
      <c r="B42" s="1">
        <v>2217.6999999999998</v>
      </c>
      <c r="C42" s="34">
        <v>40118</v>
      </c>
      <c r="D42" s="1">
        <v>494</v>
      </c>
      <c r="E42" s="34">
        <v>40118</v>
      </c>
      <c r="F42" s="1">
        <v>8.4</v>
      </c>
      <c r="G42" s="34">
        <v>40118</v>
      </c>
      <c r="H42" s="1">
        <v>-0.71</v>
      </c>
      <c r="I42" s="34">
        <v>40118</v>
      </c>
      <c r="J42" s="1">
        <v>159.56</v>
      </c>
      <c r="K42" s="34">
        <v>40118</v>
      </c>
      <c r="L42" s="1">
        <v>2227</v>
      </c>
      <c r="M42" s="34">
        <v>40118</v>
      </c>
      <c r="N42" s="1">
        <v>399.2</v>
      </c>
    </row>
    <row r="43" spans="1:14" x14ac:dyDescent="0.25">
      <c r="A43" s="34">
        <v>40148</v>
      </c>
      <c r="B43" s="1">
        <v>2213.8000000000002</v>
      </c>
      <c r="C43" s="34">
        <v>40148</v>
      </c>
      <c r="D43" s="1">
        <v>824</v>
      </c>
      <c r="E43" s="34">
        <v>40148</v>
      </c>
      <c r="F43" s="1">
        <v>8.6</v>
      </c>
      <c r="G43" s="34">
        <v>40148</v>
      </c>
      <c r="H43" s="1">
        <v>-0.36</v>
      </c>
      <c r="I43" s="34">
        <v>40148</v>
      </c>
      <c r="J43" s="1">
        <v>159.16999999999999</v>
      </c>
      <c r="K43" s="34">
        <v>40148</v>
      </c>
      <c r="L43" s="1">
        <v>2234.6999999999998</v>
      </c>
      <c r="M43" s="34">
        <v>40148</v>
      </c>
      <c r="N43" s="1">
        <v>396.9</v>
      </c>
    </row>
    <row r="44" spans="1:14" x14ac:dyDescent="0.25">
      <c r="A44" s="34">
        <v>40179</v>
      </c>
      <c r="B44" s="1">
        <v>2211.3000000000002</v>
      </c>
      <c r="C44" s="34">
        <v>40179</v>
      </c>
      <c r="D44" s="1">
        <v>673</v>
      </c>
      <c r="E44" s="34">
        <v>40179</v>
      </c>
      <c r="F44" s="1">
        <v>8.8000000000000007</v>
      </c>
      <c r="G44" s="34">
        <v>40179</v>
      </c>
      <c r="H44" s="1">
        <v>-0.15</v>
      </c>
      <c r="I44" s="34">
        <v>40179</v>
      </c>
      <c r="J44" s="1">
        <v>158.91999999999999</v>
      </c>
      <c r="K44" s="34">
        <v>40179</v>
      </c>
      <c r="L44" s="1">
        <v>2174.8000000000002</v>
      </c>
      <c r="M44" s="34">
        <v>40179</v>
      </c>
      <c r="N44" s="1">
        <v>382.4</v>
      </c>
    </row>
    <row r="45" spans="1:14" x14ac:dyDescent="0.25">
      <c r="A45" s="34">
        <v>40210</v>
      </c>
      <c r="B45" s="1">
        <v>2213.5</v>
      </c>
      <c r="C45" s="34">
        <v>40210</v>
      </c>
      <c r="D45" s="1">
        <v>1016</v>
      </c>
      <c r="E45" s="34">
        <v>40210</v>
      </c>
      <c r="F45" s="1">
        <v>8.9</v>
      </c>
      <c r="G45" s="34">
        <v>40210</v>
      </c>
      <c r="H45" s="1">
        <v>0.65</v>
      </c>
      <c r="I45" s="34">
        <v>40210</v>
      </c>
      <c r="J45" s="1">
        <v>159.08000000000001</v>
      </c>
      <c r="K45" s="34">
        <v>40210</v>
      </c>
      <c r="L45" s="1">
        <v>2188.5</v>
      </c>
      <c r="M45" s="34">
        <v>40210</v>
      </c>
      <c r="N45" s="1">
        <v>396</v>
      </c>
    </row>
    <row r="46" spans="1:14" x14ac:dyDescent="0.25">
      <c r="A46" s="34">
        <v>40238</v>
      </c>
      <c r="B46" s="1">
        <v>2215.1999999999998</v>
      </c>
      <c r="C46" s="34">
        <v>40238</v>
      </c>
      <c r="D46" s="1">
        <v>1463</v>
      </c>
      <c r="E46" s="34">
        <v>40238</v>
      </c>
      <c r="F46" s="1">
        <v>9</v>
      </c>
      <c r="G46" s="34">
        <v>40238</v>
      </c>
      <c r="H46" s="1">
        <v>0.79</v>
      </c>
      <c r="I46" s="34">
        <v>40238</v>
      </c>
      <c r="J46" s="1">
        <v>159.06</v>
      </c>
      <c r="K46" s="34">
        <v>40238</v>
      </c>
      <c r="L46" s="1">
        <v>2201.1999999999998</v>
      </c>
      <c r="M46" s="34">
        <v>40238</v>
      </c>
      <c r="N46" s="1">
        <v>399.8</v>
      </c>
    </row>
    <row r="47" spans="1:14" x14ac:dyDescent="0.25">
      <c r="A47" s="34">
        <v>40269</v>
      </c>
      <c r="B47" s="1">
        <v>2217.6</v>
      </c>
      <c r="C47" s="34">
        <v>40269</v>
      </c>
      <c r="D47" s="1">
        <v>895</v>
      </c>
      <c r="E47" s="34">
        <v>40269</v>
      </c>
      <c r="F47" s="1">
        <v>9</v>
      </c>
      <c r="G47" s="34">
        <v>40269</v>
      </c>
      <c r="H47" s="1">
        <v>0.56999999999999995</v>
      </c>
      <c r="I47" s="34">
        <v>40269</v>
      </c>
      <c r="J47" s="1">
        <v>159.25</v>
      </c>
      <c r="K47" s="34">
        <v>40269</v>
      </c>
      <c r="L47" s="1">
        <v>2211.8000000000002</v>
      </c>
      <c r="M47" s="34">
        <v>40269</v>
      </c>
      <c r="N47" s="1">
        <v>400.1</v>
      </c>
    </row>
    <row r="48" spans="1:14" x14ac:dyDescent="0.25">
      <c r="A48" s="34">
        <v>40299</v>
      </c>
      <c r="B48" s="1">
        <v>2226.8000000000002</v>
      </c>
      <c r="C48" s="34">
        <v>40299</v>
      </c>
      <c r="D48" s="1">
        <v>811</v>
      </c>
      <c r="E48" s="34">
        <v>40299</v>
      </c>
      <c r="F48" s="1">
        <v>8.9</v>
      </c>
      <c r="G48" s="34">
        <v>40299</v>
      </c>
      <c r="H48" s="1">
        <v>1.5</v>
      </c>
      <c r="I48" s="34">
        <v>40299</v>
      </c>
      <c r="J48" s="1">
        <v>159.72</v>
      </c>
      <c r="K48" s="34">
        <v>40299</v>
      </c>
      <c r="L48" s="1">
        <v>2225.6</v>
      </c>
      <c r="M48" s="34">
        <v>40299</v>
      </c>
      <c r="N48" s="1">
        <v>411.6</v>
      </c>
    </row>
    <row r="49" spans="1:14" x14ac:dyDescent="0.25">
      <c r="A49" s="34">
        <v>40330</v>
      </c>
      <c r="B49" s="1">
        <v>2223</v>
      </c>
      <c r="C49" s="34">
        <v>40330</v>
      </c>
      <c r="D49" s="1">
        <v>944</v>
      </c>
      <c r="E49" s="34">
        <v>40330</v>
      </c>
      <c r="F49" s="1">
        <v>8.9</v>
      </c>
      <c r="G49" s="34">
        <v>40330</v>
      </c>
      <c r="H49" s="1">
        <v>1.1200000000000001</v>
      </c>
      <c r="I49" s="34">
        <v>40330</v>
      </c>
      <c r="J49" s="1">
        <v>159.79</v>
      </c>
      <c r="K49" s="34">
        <v>40330</v>
      </c>
      <c r="L49" s="1">
        <v>2241</v>
      </c>
      <c r="M49" s="34">
        <v>40330</v>
      </c>
      <c r="N49" s="1">
        <v>394.5</v>
      </c>
    </row>
    <row r="50" spans="1:14" x14ac:dyDescent="0.25">
      <c r="A50" s="34">
        <v>40360</v>
      </c>
      <c r="B50" s="1">
        <v>2225.5</v>
      </c>
      <c r="C50" s="34">
        <v>40360</v>
      </c>
      <c r="D50" s="1">
        <v>862</v>
      </c>
      <c r="E50" s="34">
        <v>40360</v>
      </c>
      <c r="F50" s="1">
        <v>8.9</v>
      </c>
      <c r="G50" s="34">
        <v>40360</v>
      </c>
      <c r="H50" s="1">
        <v>0.94</v>
      </c>
      <c r="I50" s="34">
        <v>40360</v>
      </c>
      <c r="J50" s="1">
        <v>160.06</v>
      </c>
      <c r="K50" s="34">
        <v>40360</v>
      </c>
      <c r="L50" s="1">
        <v>2231.5</v>
      </c>
      <c r="M50" s="34">
        <v>40360</v>
      </c>
      <c r="N50" s="1">
        <v>374.5</v>
      </c>
    </row>
    <row r="51" spans="1:14" x14ac:dyDescent="0.25">
      <c r="A51" s="34">
        <v>40391</v>
      </c>
      <c r="B51" s="1">
        <v>2224.8000000000002</v>
      </c>
      <c r="C51" s="34">
        <v>40391</v>
      </c>
      <c r="D51" s="1">
        <v>889</v>
      </c>
      <c r="E51" s="34">
        <v>40391</v>
      </c>
      <c r="F51" s="1">
        <v>9</v>
      </c>
      <c r="G51" s="34">
        <v>40391</v>
      </c>
      <c r="H51" s="1">
        <v>0.2</v>
      </c>
      <c r="I51" s="34">
        <v>40391</v>
      </c>
      <c r="J51" s="1">
        <v>159.97999999999999</v>
      </c>
      <c r="K51" s="34">
        <v>40391</v>
      </c>
      <c r="L51" s="1">
        <v>2234.1999999999998</v>
      </c>
      <c r="M51" s="34">
        <v>40391</v>
      </c>
      <c r="N51" s="1">
        <v>374</v>
      </c>
    </row>
    <row r="52" spans="1:14" x14ac:dyDescent="0.25">
      <c r="A52" s="34">
        <v>40422</v>
      </c>
      <c r="B52" s="1">
        <v>2220.1999999999998</v>
      </c>
      <c r="C52" s="34">
        <v>40422</v>
      </c>
      <c r="D52" s="1">
        <v>1331</v>
      </c>
      <c r="E52" s="34">
        <v>40422</v>
      </c>
      <c r="F52" s="1">
        <v>9</v>
      </c>
      <c r="G52" s="34">
        <v>40422</v>
      </c>
      <c r="H52" s="1">
        <v>0.56000000000000005</v>
      </c>
      <c r="I52" s="34">
        <v>40422</v>
      </c>
      <c r="J52" s="1">
        <v>160.41999999999999</v>
      </c>
      <c r="K52" s="34">
        <v>40422</v>
      </c>
      <c r="L52" s="1">
        <v>2228.6999999999998</v>
      </c>
      <c r="M52" s="34">
        <v>40422</v>
      </c>
      <c r="N52" s="1">
        <v>392.9</v>
      </c>
    </row>
    <row r="53" spans="1:14" x14ac:dyDescent="0.25">
      <c r="A53" s="34">
        <v>40452</v>
      </c>
      <c r="B53" s="1">
        <v>2228.4</v>
      </c>
      <c r="C53" s="34">
        <v>40452</v>
      </c>
      <c r="D53" s="1">
        <v>763</v>
      </c>
      <c r="E53" s="34">
        <v>40452</v>
      </c>
      <c r="F53" s="1">
        <v>9.1</v>
      </c>
      <c r="G53" s="34">
        <v>40452</v>
      </c>
      <c r="H53" s="1">
        <v>0.75</v>
      </c>
      <c r="I53" s="34">
        <v>40452</v>
      </c>
      <c r="J53" s="1">
        <v>160.33000000000001</v>
      </c>
      <c r="K53" s="34">
        <v>40452</v>
      </c>
      <c r="L53" s="1">
        <v>2236.5</v>
      </c>
      <c r="M53" s="34">
        <v>40452</v>
      </c>
      <c r="N53" s="1">
        <v>400.3</v>
      </c>
    </row>
    <row r="54" spans="1:14" x14ac:dyDescent="0.25">
      <c r="A54" s="34">
        <v>40483</v>
      </c>
      <c r="B54" s="1">
        <v>2229</v>
      </c>
      <c r="C54" s="34">
        <v>40483</v>
      </c>
      <c r="D54" s="1">
        <v>759</v>
      </c>
      <c r="E54" s="34">
        <v>40483</v>
      </c>
      <c r="F54" s="1">
        <v>9</v>
      </c>
      <c r="G54" s="34">
        <v>40483</v>
      </c>
      <c r="H54" s="1">
        <v>1.73</v>
      </c>
      <c r="I54" s="34">
        <v>40483</v>
      </c>
      <c r="J54" s="1">
        <v>161</v>
      </c>
      <c r="K54" s="34">
        <v>40483</v>
      </c>
      <c r="L54" s="1">
        <v>2238.5</v>
      </c>
      <c r="M54" s="34">
        <v>40483</v>
      </c>
      <c r="N54" s="1">
        <v>401.4</v>
      </c>
    </row>
    <row r="55" spans="1:14" x14ac:dyDescent="0.25">
      <c r="A55" s="34">
        <v>40513</v>
      </c>
      <c r="B55" s="1">
        <v>2232.8000000000002</v>
      </c>
      <c r="C55" s="34">
        <v>40513</v>
      </c>
      <c r="D55" s="1">
        <v>1043</v>
      </c>
      <c r="E55" s="34">
        <v>40513</v>
      </c>
      <c r="F55" s="1">
        <v>9</v>
      </c>
      <c r="G55" s="34">
        <v>40513</v>
      </c>
      <c r="H55" s="1">
        <v>1.53</v>
      </c>
      <c r="I55" s="34">
        <v>40513</v>
      </c>
      <c r="J55" s="1">
        <v>160.97999999999999</v>
      </c>
      <c r="K55" s="34">
        <v>40513</v>
      </c>
      <c r="L55" s="1">
        <v>2254.8000000000002</v>
      </c>
      <c r="M55" s="34">
        <v>40513</v>
      </c>
      <c r="N55" s="1">
        <v>398.5</v>
      </c>
    </row>
    <row r="56" spans="1:14" x14ac:dyDescent="0.25">
      <c r="A56" s="34">
        <v>40544</v>
      </c>
      <c r="B56" s="1">
        <v>2239.9</v>
      </c>
      <c r="C56" s="34">
        <v>40544</v>
      </c>
      <c r="D56" s="1">
        <v>643</v>
      </c>
      <c r="E56" s="34">
        <v>40544</v>
      </c>
      <c r="F56" s="1">
        <v>8.8000000000000007</v>
      </c>
      <c r="G56" s="34">
        <v>40544</v>
      </c>
      <c r="H56" s="1">
        <v>1.55</v>
      </c>
      <c r="I56" s="34">
        <v>40544</v>
      </c>
      <c r="J56" s="1">
        <v>161.69999999999999</v>
      </c>
      <c r="K56" s="34">
        <v>40544</v>
      </c>
      <c r="L56" s="1">
        <v>2202.9</v>
      </c>
      <c r="M56" s="34">
        <v>40544</v>
      </c>
      <c r="N56" s="1">
        <v>383.4</v>
      </c>
    </row>
    <row r="57" spans="1:14" x14ac:dyDescent="0.25">
      <c r="A57" s="34">
        <v>40575</v>
      </c>
      <c r="B57" s="1">
        <v>2238.3000000000002</v>
      </c>
      <c r="C57" s="34">
        <v>40575</v>
      </c>
      <c r="D57" s="1">
        <v>569</v>
      </c>
      <c r="E57" s="34">
        <v>40575</v>
      </c>
      <c r="F57" s="1">
        <v>8.6999999999999993</v>
      </c>
      <c r="G57" s="34">
        <v>40575</v>
      </c>
      <c r="H57" s="1">
        <v>1.75</v>
      </c>
      <c r="I57" s="34">
        <v>40575</v>
      </c>
      <c r="J57" s="1">
        <v>161.91999999999999</v>
      </c>
      <c r="K57" s="34">
        <v>40575</v>
      </c>
      <c r="L57" s="1">
        <v>2213.5</v>
      </c>
      <c r="M57" s="34">
        <v>40575</v>
      </c>
      <c r="N57" s="1">
        <v>395.9</v>
      </c>
    </row>
    <row r="58" spans="1:14" x14ac:dyDescent="0.25">
      <c r="A58" s="34">
        <v>40603</v>
      </c>
      <c r="B58" s="1">
        <v>2242.9</v>
      </c>
      <c r="C58" s="34">
        <v>40603</v>
      </c>
      <c r="D58" s="1">
        <v>1264</v>
      </c>
      <c r="E58" s="34">
        <v>40603</v>
      </c>
      <c r="F58" s="1">
        <v>8.6</v>
      </c>
      <c r="G58" s="34">
        <v>40603</v>
      </c>
      <c r="H58" s="1">
        <v>1.6</v>
      </c>
      <c r="I58" s="34">
        <v>40603</v>
      </c>
      <c r="J58" s="1">
        <v>162.26</v>
      </c>
      <c r="K58" s="34">
        <v>40603</v>
      </c>
      <c r="L58" s="1">
        <v>2229</v>
      </c>
      <c r="M58" s="34">
        <v>40603</v>
      </c>
      <c r="N58" s="1">
        <v>398.4</v>
      </c>
    </row>
    <row r="59" spans="1:14" x14ac:dyDescent="0.25">
      <c r="A59" s="34">
        <v>40634</v>
      </c>
      <c r="B59" s="1">
        <v>2252.8000000000002</v>
      </c>
      <c r="C59" s="34">
        <v>40634</v>
      </c>
      <c r="D59" s="1">
        <v>1078</v>
      </c>
      <c r="E59" s="34">
        <v>40634</v>
      </c>
      <c r="F59" s="1">
        <v>8.5</v>
      </c>
      <c r="G59" s="34">
        <v>40634</v>
      </c>
      <c r="H59" s="1">
        <v>1.81</v>
      </c>
      <c r="I59" s="34">
        <v>40634</v>
      </c>
      <c r="J59" s="1">
        <v>162.79</v>
      </c>
      <c r="K59" s="34">
        <v>40634</v>
      </c>
      <c r="L59" s="1">
        <v>2248.1</v>
      </c>
      <c r="M59" s="34">
        <v>40634</v>
      </c>
      <c r="N59" s="1">
        <v>400.4</v>
      </c>
    </row>
    <row r="60" spans="1:14" x14ac:dyDescent="0.25">
      <c r="A60" s="34">
        <v>40664</v>
      </c>
      <c r="B60" s="1">
        <v>2253.6999999999998</v>
      </c>
      <c r="C60" s="34">
        <v>40664</v>
      </c>
      <c r="D60" s="1">
        <v>1070</v>
      </c>
      <c r="E60" s="34">
        <v>40664</v>
      </c>
      <c r="F60" s="1">
        <v>8.5</v>
      </c>
      <c r="G60" s="34">
        <v>40664</v>
      </c>
      <c r="H60" s="1">
        <v>1.46</v>
      </c>
      <c r="I60" s="34">
        <v>40664</v>
      </c>
      <c r="J60" s="1">
        <v>163.09</v>
      </c>
      <c r="K60" s="34">
        <v>40664</v>
      </c>
      <c r="L60" s="1">
        <v>2252.6999999999998</v>
      </c>
      <c r="M60" s="34">
        <v>40664</v>
      </c>
      <c r="N60" s="1">
        <v>403.3</v>
      </c>
    </row>
    <row r="61" spans="1:14" x14ac:dyDescent="0.25">
      <c r="A61" s="34">
        <v>40695</v>
      </c>
      <c r="B61" s="1">
        <v>2254.1</v>
      </c>
      <c r="C61" s="34">
        <v>40695</v>
      </c>
      <c r="D61" s="1">
        <v>1171</v>
      </c>
      <c r="E61" s="34">
        <v>40695</v>
      </c>
      <c r="F61" s="1">
        <v>8.6</v>
      </c>
      <c r="G61" s="34">
        <v>40695</v>
      </c>
      <c r="H61" s="1">
        <v>0.97</v>
      </c>
      <c r="I61" s="34">
        <v>40695</v>
      </c>
      <c r="J61" s="1">
        <v>163.11000000000001</v>
      </c>
      <c r="K61" s="34">
        <v>40695</v>
      </c>
      <c r="L61" s="1">
        <v>2274.6999999999998</v>
      </c>
      <c r="M61" s="34">
        <v>40695</v>
      </c>
      <c r="N61" s="1">
        <v>392.3</v>
      </c>
    </row>
    <row r="62" spans="1:14" x14ac:dyDescent="0.25">
      <c r="A62" s="34">
        <v>40725</v>
      </c>
      <c r="B62" s="1">
        <v>2259.1</v>
      </c>
      <c r="C62" s="34">
        <v>40725</v>
      </c>
      <c r="D62" s="1">
        <v>1532</v>
      </c>
      <c r="E62" s="34">
        <v>40725</v>
      </c>
      <c r="F62" s="1">
        <v>8.6</v>
      </c>
      <c r="G62" s="34">
        <v>40725</v>
      </c>
      <c r="H62" s="1">
        <v>1.1599999999999999</v>
      </c>
      <c r="I62" s="34">
        <v>40725</v>
      </c>
      <c r="J62" s="1">
        <v>163.56</v>
      </c>
      <c r="K62" s="34">
        <v>40725</v>
      </c>
      <c r="L62" s="1">
        <v>2263.5</v>
      </c>
      <c r="M62" s="34">
        <v>40725</v>
      </c>
      <c r="N62" s="1">
        <v>371.6</v>
      </c>
    </row>
    <row r="63" spans="1:14" x14ac:dyDescent="0.25">
      <c r="A63" s="34">
        <v>40756</v>
      </c>
      <c r="B63" s="1">
        <v>2264.6</v>
      </c>
      <c r="C63" s="34">
        <v>40756</v>
      </c>
      <c r="D63" s="1">
        <v>1676</v>
      </c>
      <c r="E63" s="34">
        <v>40756</v>
      </c>
      <c r="F63" s="1">
        <v>8.6</v>
      </c>
      <c r="G63" s="34">
        <v>40756</v>
      </c>
      <c r="H63" s="1">
        <v>1.4</v>
      </c>
      <c r="I63" s="34">
        <v>40756</v>
      </c>
      <c r="J63" s="1">
        <v>163.82</v>
      </c>
      <c r="K63" s="34">
        <v>40756</v>
      </c>
      <c r="L63" s="1">
        <v>2274.3000000000002</v>
      </c>
      <c r="M63" s="34">
        <v>40756</v>
      </c>
      <c r="N63" s="1">
        <v>372.3</v>
      </c>
    </row>
    <row r="64" spans="1:14" x14ac:dyDescent="0.25">
      <c r="A64" s="34">
        <v>40787</v>
      </c>
      <c r="B64" s="1">
        <v>2272.6999999999998</v>
      </c>
      <c r="C64" s="34">
        <v>40787</v>
      </c>
      <c r="D64" s="1">
        <v>1180</v>
      </c>
      <c r="E64" s="34">
        <v>40787</v>
      </c>
      <c r="F64" s="1">
        <v>8.5</v>
      </c>
      <c r="G64" s="34">
        <v>40787</v>
      </c>
      <c r="H64" s="1">
        <v>1.54</v>
      </c>
      <c r="I64" s="34">
        <v>40787</v>
      </c>
      <c r="J64" s="1">
        <v>164.35</v>
      </c>
      <c r="K64" s="34">
        <v>40787</v>
      </c>
      <c r="L64" s="1">
        <v>2280.1999999999998</v>
      </c>
      <c r="M64" s="34">
        <v>40787</v>
      </c>
      <c r="N64" s="1">
        <v>395.4</v>
      </c>
    </row>
    <row r="65" spans="1:14" x14ac:dyDescent="0.25">
      <c r="A65" s="34">
        <v>40817</v>
      </c>
      <c r="B65" s="1">
        <v>2269.9</v>
      </c>
      <c r="C65" s="34">
        <v>40817</v>
      </c>
      <c r="D65" s="1">
        <v>1344</v>
      </c>
      <c r="E65" s="34">
        <v>40817</v>
      </c>
      <c r="F65" s="1">
        <v>8.4</v>
      </c>
      <c r="G65" s="34">
        <v>40817</v>
      </c>
      <c r="H65" s="1">
        <v>1.63</v>
      </c>
      <c r="I65" s="34">
        <v>40817</v>
      </c>
      <c r="J65" s="1">
        <v>164.76</v>
      </c>
      <c r="K65" s="34">
        <v>40817</v>
      </c>
      <c r="L65" s="1">
        <v>2277.6</v>
      </c>
      <c r="M65" s="34">
        <v>40817</v>
      </c>
      <c r="N65" s="1">
        <v>401.2</v>
      </c>
    </row>
    <row r="66" spans="1:14" x14ac:dyDescent="0.25">
      <c r="A66" s="34">
        <v>40848</v>
      </c>
      <c r="B66" s="1">
        <v>2275.1999999999998</v>
      </c>
      <c r="C66" s="34">
        <v>40848</v>
      </c>
      <c r="D66" s="1">
        <v>933</v>
      </c>
      <c r="E66" s="34">
        <v>40848</v>
      </c>
      <c r="F66" s="1">
        <v>8.3000000000000007</v>
      </c>
      <c r="G66" s="34">
        <v>40848</v>
      </c>
      <c r="H66" s="1">
        <v>1.89</v>
      </c>
      <c r="I66" s="34">
        <v>40848</v>
      </c>
      <c r="J66" s="1">
        <v>165.29</v>
      </c>
      <c r="K66" s="34">
        <v>40848</v>
      </c>
      <c r="L66" s="1">
        <v>2285</v>
      </c>
      <c r="M66" s="34">
        <v>40848</v>
      </c>
      <c r="N66" s="1">
        <v>401.9</v>
      </c>
    </row>
    <row r="67" spans="1:14" x14ac:dyDescent="0.25">
      <c r="A67" s="34">
        <v>40878</v>
      </c>
      <c r="B67" s="1">
        <v>2279.6999999999998</v>
      </c>
      <c r="C67" s="34">
        <v>40878</v>
      </c>
      <c r="D67" s="1">
        <v>1090</v>
      </c>
      <c r="E67" s="34">
        <v>40878</v>
      </c>
      <c r="F67" s="1">
        <v>8.3000000000000007</v>
      </c>
      <c r="G67" s="34">
        <v>40878</v>
      </c>
      <c r="H67" s="1">
        <v>1.37</v>
      </c>
      <c r="I67" s="34">
        <v>40878</v>
      </c>
      <c r="J67" s="1">
        <v>165.45</v>
      </c>
      <c r="K67" s="34">
        <v>40878</v>
      </c>
      <c r="L67" s="1">
        <v>2301.6999999999998</v>
      </c>
      <c r="M67" s="34">
        <v>40878</v>
      </c>
      <c r="N67" s="1">
        <v>398.7</v>
      </c>
    </row>
    <row r="68" spans="1:14" x14ac:dyDescent="0.25">
      <c r="A68" s="34">
        <v>40909</v>
      </c>
      <c r="B68" s="1">
        <v>2286.6999999999998</v>
      </c>
      <c r="C68" s="34">
        <v>40909</v>
      </c>
      <c r="D68" s="1">
        <v>989</v>
      </c>
      <c r="E68" s="34">
        <v>40909</v>
      </c>
      <c r="F68" s="1">
        <v>8.1999999999999993</v>
      </c>
      <c r="G68" s="34">
        <v>40909</v>
      </c>
      <c r="H68" s="1">
        <v>1.67</v>
      </c>
      <c r="I68" s="34">
        <v>40909</v>
      </c>
      <c r="J68" s="1">
        <v>166.1</v>
      </c>
      <c r="K68" s="34">
        <v>40909</v>
      </c>
      <c r="L68" s="1">
        <v>2249.6</v>
      </c>
      <c r="M68" s="34">
        <v>40909</v>
      </c>
      <c r="N68" s="1">
        <v>383.8</v>
      </c>
    </row>
    <row r="69" spans="1:14" x14ac:dyDescent="0.25">
      <c r="A69" s="34">
        <v>40940</v>
      </c>
      <c r="B69" s="1">
        <v>2288.4</v>
      </c>
      <c r="C69" s="34">
        <v>40940</v>
      </c>
      <c r="D69" s="1">
        <v>851</v>
      </c>
      <c r="E69" s="34">
        <v>40940</v>
      </c>
      <c r="F69" s="1">
        <v>8.1</v>
      </c>
      <c r="G69" s="34">
        <v>40940</v>
      </c>
      <c r="H69" s="1">
        <v>1.98</v>
      </c>
      <c r="I69" s="34">
        <v>40940</v>
      </c>
      <c r="J69" s="1">
        <v>166.79</v>
      </c>
      <c r="K69" s="34">
        <v>40940</v>
      </c>
      <c r="L69" s="1">
        <v>2263.1999999999998</v>
      </c>
      <c r="M69" s="34">
        <v>40940</v>
      </c>
      <c r="N69" s="1">
        <v>396.4</v>
      </c>
    </row>
    <row r="70" spans="1:14" x14ac:dyDescent="0.25">
      <c r="A70" s="34">
        <v>40969</v>
      </c>
      <c r="B70" s="1">
        <v>2295.8000000000002</v>
      </c>
      <c r="C70" s="34">
        <v>40969</v>
      </c>
      <c r="D70" s="1">
        <v>1687</v>
      </c>
      <c r="E70" s="34">
        <v>40969</v>
      </c>
      <c r="F70" s="1">
        <v>8.1</v>
      </c>
      <c r="G70" s="34">
        <v>40969</v>
      </c>
      <c r="H70" s="1">
        <v>1.96</v>
      </c>
      <c r="I70" s="34">
        <v>40969</v>
      </c>
      <c r="J70" s="1">
        <v>167.16</v>
      </c>
      <c r="K70" s="34">
        <v>40969</v>
      </c>
      <c r="L70" s="1">
        <v>2282.6</v>
      </c>
      <c r="M70" s="34">
        <v>40969</v>
      </c>
      <c r="N70" s="1">
        <v>399.6</v>
      </c>
    </row>
    <row r="71" spans="1:14" x14ac:dyDescent="0.25">
      <c r="A71" s="34">
        <v>41000</v>
      </c>
      <c r="B71" s="1">
        <v>2301.1</v>
      </c>
      <c r="C71" s="34">
        <v>41000</v>
      </c>
      <c r="D71" s="1">
        <v>1978</v>
      </c>
      <c r="E71" s="34">
        <v>41000</v>
      </c>
      <c r="F71" s="1">
        <v>8.1</v>
      </c>
      <c r="G71" s="34">
        <v>41000</v>
      </c>
      <c r="H71" s="1">
        <v>1.75</v>
      </c>
      <c r="I71" s="34">
        <v>41000</v>
      </c>
      <c r="J71" s="1">
        <v>167.55</v>
      </c>
      <c r="K71" s="34">
        <v>41000</v>
      </c>
      <c r="L71" s="1">
        <v>2292.6</v>
      </c>
      <c r="M71" s="34">
        <v>41000</v>
      </c>
      <c r="N71" s="1">
        <v>400.8</v>
      </c>
    </row>
    <row r="72" spans="1:14" x14ac:dyDescent="0.25">
      <c r="A72" s="34">
        <v>41030</v>
      </c>
      <c r="B72" s="1">
        <v>2304.1</v>
      </c>
      <c r="C72" s="34">
        <v>41030</v>
      </c>
      <c r="D72" s="1">
        <v>1913</v>
      </c>
      <c r="E72" s="34">
        <v>41030</v>
      </c>
      <c r="F72" s="1">
        <v>8</v>
      </c>
      <c r="G72" s="34">
        <v>41030</v>
      </c>
      <c r="H72" s="1">
        <v>2.1800000000000002</v>
      </c>
      <c r="I72" s="34">
        <v>41030</v>
      </c>
      <c r="J72" s="1">
        <v>168.37</v>
      </c>
      <c r="K72" s="34">
        <v>41030</v>
      </c>
      <c r="L72" s="1">
        <v>2303.1</v>
      </c>
      <c r="M72" s="34">
        <v>41030</v>
      </c>
      <c r="N72" s="1">
        <v>404.4</v>
      </c>
    </row>
    <row r="73" spans="1:14" x14ac:dyDescent="0.25">
      <c r="A73" s="34">
        <v>41061</v>
      </c>
      <c r="B73" s="1">
        <v>2309.9</v>
      </c>
      <c r="C73" s="34">
        <v>41061</v>
      </c>
      <c r="D73" s="1">
        <v>2274</v>
      </c>
      <c r="E73" s="34">
        <v>41061</v>
      </c>
      <c r="F73" s="1">
        <v>8</v>
      </c>
      <c r="G73" s="34">
        <v>41061</v>
      </c>
      <c r="H73" s="1">
        <v>2.09</v>
      </c>
      <c r="I73" s="34">
        <v>41061</v>
      </c>
      <c r="J73" s="1">
        <v>168.67</v>
      </c>
      <c r="K73" s="34">
        <v>41061</v>
      </c>
      <c r="L73" s="1">
        <v>2330.8000000000002</v>
      </c>
      <c r="M73" s="34">
        <v>41061</v>
      </c>
      <c r="N73" s="1">
        <v>394</v>
      </c>
    </row>
    <row r="74" spans="1:14" x14ac:dyDescent="0.25">
      <c r="A74" s="34">
        <v>41091</v>
      </c>
      <c r="B74" s="1">
        <v>2314.9</v>
      </c>
      <c r="C74" s="34">
        <v>41091</v>
      </c>
      <c r="D74" s="1">
        <v>2149</v>
      </c>
      <c r="E74" s="34">
        <v>41091</v>
      </c>
      <c r="F74" s="1">
        <v>7.9</v>
      </c>
      <c r="G74" s="34">
        <v>41091</v>
      </c>
      <c r="H74" s="1">
        <v>1.79</v>
      </c>
      <c r="I74" s="34">
        <v>41091</v>
      </c>
      <c r="J74" s="1">
        <v>169.34</v>
      </c>
      <c r="K74" s="34">
        <v>41091</v>
      </c>
      <c r="L74" s="1">
        <v>2319.3000000000002</v>
      </c>
      <c r="M74" s="34">
        <v>41091</v>
      </c>
      <c r="N74" s="1">
        <v>373.1</v>
      </c>
    </row>
    <row r="75" spans="1:14" x14ac:dyDescent="0.25">
      <c r="A75" s="34">
        <v>41122</v>
      </c>
      <c r="B75" s="1">
        <v>2316.6999999999998</v>
      </c>
      <c r="C75" s="34">
        <v>41122</v>
      </c>
      <c r="D75" s="1">
        <v>2703</v>
      </c>
      <c r="E75" s="34">
        <v>41122</v>
      </c>
      <c r="F75" s="1">
        <v>7.8</v>
      </c>
      <c r="G75" s="34">
        <v>41122</v>
      </c>
      <c r="H75" s="1">
        <v>2.0699999999999998</v>
      </c>
      <c r="I75" s="34">
        <v>41122</v>
      </c>
      <c r="J75" s="1">
        <v>169.84</v>
      </c>
      <c r="K75" s="34">
        <v>41122</v>
      </c>
      <c r="L75" s="1">
        <v>2329</v>
      </c>
      <c r="M75" s="34">
        <v>41122</v>
      </c>
      <c r="N75" s="1">
        <v>377.6</v>
      </c>
    </row>
    <row r="76" spans="1:14" x14ac:dyDescent="0.25">
      <c r="A76" s="34">
        <v>41153</v>
      </c>
      <c r="B76" s="1">
        <v>2323.3000000000002</v>
      </c>
      <c r="C76" s="34">
        <v>41153</v>
      </c>
      <c r="D76" s="1">
        <v>1516</v>
      </c>
      <c r="E76" s="34">
        <v>41153</v>
      </c>
      <c r="F76" s="1">
        <v>7.6</v>
      </c>
      <c r="G76" s="34">
        <v>41153</v>
      </c>
      <c r="H76" s="1">
        <v>2.75</v>
      </c>
      <c r="I76" s="34">
        <v>41153</v>
      </c>
      <c r="J76" s="1">
        <v>170.8</v>
      </c>
      <c r="K76" s="34">
        <v>41153</v>
      </c>
      <c r="L76" s="1">
        <v>2330.4</v>
      </c>
      <c r="M76" s="34">
        <v>41153</v>
      </c>
      <c r="N76" s="1">
        <v>398.2</v>
      </c>
    </row>
    <row r="77" spans="1:14" x14ac:dyDescent="0.25">
      <c r="A77" s="34">
        <v>41183</v>
      </c>
      <c r="B77" s="1">
        <v>2333.6999999999998</v>
      </c>
      <c r="C77" s="34">
        <v>41183</v>
      </c>
      <c r="D77" s="1">
        <v>1641</v>
      </c>
      <c r="E77" s="34">
        <v>41183</v>
      </c>
      <c r="F77" s="1">
        <v>7.5</v>
      </c>
      <c r="G77" s="34">
        <v>41183</v>
      </c>
      <c r="H77" s="1">
        <v>2.56</v>
      </c>
      <c r="I77" s="34">
        <v>41183</v>
      </c>
      <c r="J77" s="1">
        <v>171.38</v>
      </c>
      <c r="K77" s="34">
        <v>41183</v>
      </c>
      <c r="L77" s="1">
        <v>2341.1</v>
      </c>
      <c r="M77" s="34">
        <v>41183</v>
      </c>
      <c r="N77" s="1">
        <v>403.3</v>
      </c>
    </row>
    <row r="78" spans="1:14" x14ac:dyDescent="0.25">
      <c r="A78" s="34">
        <v>41214</v>
      </c>
      <c r="B78" s="1">
        <v>2337.3000000000002</v>
      </c>
      <c r="C78" s="34">
        <v>41214</v>
      </c>
      <c r="D78" s="1">
        <v>2059</v>
      </c>
      <c r="E78" s="34">
        <v>41214</v>
      </c>
      <c r="F78" s="1">
        <v>7.4</v>
      </c>
      <c r="G78" s="34">
        <v>41214</v>
      </c>
      <c r="H78" s="1">
        <v>2.34</v>
      </c>
      <c r="I78" s="34">
        <v>41214</v>
      </c>
      <c r="J78" s="1">
        <v>172.05</v>
      </c>
      <c r="K78" s="34">
        <v>41214</v>
      </c>
      <c r="L78" s="1">
        <v>2351.1</v>
      </c>
      <c r="M78" s="34">
        <v>41214</v>
      </c>
      <c r="N78" s="1">
        <v>405.2</v>
      </c>
    </row>
    <row r="79" spans="1:14" x14ac:dyDescent="0.25">
      <c r="A79" s="34">
        <v>41244</v>
      </c>
      <c r="B79" s="1">
        <v>2341.9</v>
      </c>
      <c r="C79" s="34">
        <v>41244</v>
      </c>
      <c r="D79" s="1">
        <v>1798</v>
      </c>
      <c r="E79" s="34">
        <v>41244</v>
      </c>
      <c r="F79" s="1">
        <v>7.3</v>
      </c>
      <c r="G79" s="34">
        <v>41244</v>
      </c>
      <c r="H79" s="1">
        <v>2.3199999999999998</v>
      </c>
      <c r="I79" s="34">
        <v>41244</v>
      </c>
      <c r="J79" s="1">
        <v>172.7</v>
      </c>
      <c r="K79" s="34">
        <v>41244</v>
      </c>
      <c r="L79" s="1">
        <v>2363.6</v>
      </c>
      <c r="M79" s="34">
        <v>41244</v>
      </c>
      <c r="N79" s="1">
        <v>401.7</v>
      </c>
    </row>
    <row r="80" spans="1:14" x14ac:dyDescent="0.25">
      <c r="A80" s="34">
        <v>41275</v>
      </c>
      <c r="B80" s="1">
        <v>2349</v>
      </c>
      <c r="C80" s="34">
        <v>41275</v>
      </c>
      <c r="D80" s="1">
        <v>1878</v>
      </c>
      <c r="E80" s="34">
        <v>41275</v>
      </c>
      <c r="F80" s="1">
        <v>7.2</v>
      </c>
      <c r="G80" s="34">
        <v>41275</v>
      </c>
      <c r="H80" s="1">
        <v>2.1800000000000002</v>
      </c>
      <c r="I80" s="34">
        <v>41275</v>
      </c>
      <c r="J80" s="1">
        <v>173.32</v>
      </c>
      <c r="K80" s="34">
        <v>41275</v>
      </c>
      <c r="L80" s="1">
        <v>2311</v>
      </c>
      <c r="M80" s="34">
        <v>41275</v>
      </c>
      <c r="N80" s="1">
        <v>391.8</v>
      </c>
    </row>
    <row r="81" spans="1:14" x14ac:dyDescent="0.25">
      <c r="A81" s="34">
        <v>41306</v>
      </c>
      <c r="B81" s="1">
        <v>2357</v>
      </c>
      <c r="C81" s="34">
        <v>41306</v>
      </c>
      <c r="D81" s="1">
        <v>1815</v>
      </c>
      <c r="E81" s="34">
        <v>41306</v>
      </c>
      <c r="F81" s="1">
        <v>7.1</v>
      </c>
      <c r="G81" s="34">
        <v>41306</v>
      </c>
      <c r="H81" s="1">
        <v>2.2000000000000002</v>
      </c>
      <c r="I81" s="34">
        <v>41306</v>
      </c>
      <c r="J81" s="1">
        <v>173.93</v>
      </c>
      <c r="K81" s="34">
        <v>41306</v>
      </c>
      <c r="L81" s="1">
        <v>2332.3000000000002</v>
      </c>
      <c r="M81" s="34">
        <v>41306</v>
      </c>
      <c r="N81" s="1">
        <v>405.5</v>
      </c>
    </row>
    <row r="82" spans="1:14" x14ac:dyDescent="0.25">
      <c r="A82" s="34">
        <v>41334</v>
      </c>
      <c r="B82" s="1">
        <v>2362.3000000000002</v>
      </c>
      <c r="C82" s="34">
        <v>41334</v>
      </c>
      <c r="D82" s="1">
        <v>2727</v>
      </c>
      <c r="E82" s="34">
        <v>41334</v>
      </c>
      <c r="F82" s="1">
        <v>7</v>
      </c>
      <c r="G82" s="34">
        <v>41334</v>
      </c>
      <c r="H82" s="1">
        <v>1.95</v>
      </c>
      <c r="I82" s="34">
        <v>41334</v>
      </c>
      <c r="J82" s="1">
        <v>174.53</v>
      </c>
      <c r="K82" s="34">
        <v>41334</v>
      </c>
      <c r="L82" s="1">
        <v>2349.9</v>
      </c>
      <c r="M82" s="34">
        <v>41334</v>
      </c>
      <c r="N82" s="1">
        <v>407.8</v>
      </c>
    </row>
    <row r="83" spans="1:14" x14ac:dyDescent="0.25">
      <c r="A83" s="34">
        <v>41365</v>
      </c>
      <c r="B83" s="1">
        <v>2367.3000000000002</v>
      </c>
      <c r="C83" s="34">
        <v>41365</v>
      </c>
      <c r="D83" s="1">
        <v>1773</v>
      </c>
      <c r="E83" s="34">
        <v>41365</v>
      </c>
      <c r="F83" s="1">
        <v>6.9</v>
      </c>
      <c r="G83" s="34">
        <v>41365</v>
      </c>
      <c r="H83" s="1">
        <v>2.13</v>
      </c>
      <c r="I83" s="34">
        <v>41365</v>
      </c>
      <c r="J83" s="1">
        <v>175.26</v>
      </c>
      <c r="K83" s="34">
        <v>41365</v>
      </c>
      <c r="L83" s="1">
        <v>2359.1</v>
      </c>
      <c r="M83" s="34">
        <v>41365</v>
      </c>
      <c r="N83" s="1">
        <v>408.7</v>
      </c>
    </row>
    <row r="84" spans="1:14" x14ac:dyDescent="0.25">
      <c r="A84" s="34">
        <v>41395</v>
      </c>
      <c r="B84" s="1">
        <v>2373.3000000000002</v>
      </c>
      <c r="C84" s="34">
        <v>41395</v>
      </c>
      <c r="D84" s="1">
        <v>2609</v>
      </c>
      <c r="E84" s="34">
        <v>41395</v>
      </c>
      <c r="F84" s="1">
        <v>6.9</v>
      </c>
      <c r="G84" s="34">
        <v>41395</v>
      </c>
      <c r="H84" s="1">
        <v>1.85</v>
      </c>
      <c r="I84" s="34">
        <v>41395</v>
      </c>
      <c r="J84" s="1">
        <v>175.69</v>
      </c>
      <c r="K84" s="34">
        <v>41395</v>
      </c>
      <c r="L84" s="1">
        <v>2371.8000000000002</v>
      </c>
      <c r="M84" s="34">
        <v>41395</v>
      </c>
      <c r="N84" s="1">
        <v>413.2</v>
      </c>
    </row>
    <row r="85" spans="1:14" x14ac:dyDescent="0.25">
      <c r="A85" s="34">
        <v>41426</v>
      </c>
      <c r="B85" s="1">
        <v>2380.5</v>
      </c>
      <c r="C85" s="34">
        <v>41426</v>
      </c>
      <c r="D85" s="1">
        <v>2305</v>
      </c>
      <c r="E85" s="34">
        <v>41426</v>
      </c>
      <c r="F85" s="1">
        <v>6.9</v>
      </c>
      <c r="G85" s="34">
        <v>41426</v>
      </c>
      <c r="H85" s="1">
        <v>1.75</v>
      </c>
      <c r="I85" s="34">
        <v>41426</v>
      </c>
      <c r="J85" s="1">
        <v>176.19</v>
      </c>
      <c r="K85" s="34">
        <v>41426</v>
      </c>
      <c r="L85" s="1">
        <v>2397.6</v>
      </c>
      <c r="M85" s="34">
        <v>41426</v>
      </c>
      <c r="N85" s="1">
        <v>401.1</v>
      </c>
    </row>
    <row r="86" spans="1:14" x14ac:dyDescent="0.25">
      <c r="A86" s="34">
        <v>41456</v>
      </c>
      <c r="B86" s="1">
        <v>2386.6</v>
      </c>
      <c r="C86" s="34">
        <v>41456</v>
      </c>
      <c r="D86" s="1">
        <v>2265</v>
      </c>
      <c r="E86" s="34">
        <v>41456</v>
      </c>
      <c r="F86" s="1">
        <v>6.8</v>
      </c>
      <c r="G86" s="34">
        <v>41456</v>
      </c>
      <c r="H86" s="1">
        <v>2.46</v>
      </c>
      <c r="I86" s="34">
        <v>41456</v>
      </c>
      <c r="J86" s="1">
        <v>177.13</v>
      </c>
      <c r="K86" s="34">
        <v>41456</v>
      </c>
      <c r="L86" s="1">
        <v>2390.1999999999998</v>
      </c>
      <c r="M86" s="34">
        <v>41456</v>
      </c>
      <c r="N86" s="1">
        <v>381.1</v>
      </c>
    </row>
    <row r="87" spans="1:14" x14ac:dyDescent="0.25">
      <c r="A87" s="34">
        <v>41487</v>
      </c>
      <c r="B87" s="1">
        <v>2393</v>
      </c>
      <c r="C87" s="34">
        <v>41487</v>
      </c>
      <c r="D87" s="1">
        <v>2903</v>
      </c>
      <c r="E87" s="34">
        <v>41487</v>
      </c>
      <c r="F87" s="1">
        <v>6.8</v>
      </c>
      <c r="G87" s="34">
        <v>41487</v>
      </c>
      <c r="H87" s="1">
        <v>2.0499999999999998</v>
      </c>
      <c r="I87" s="34">
        <v>41487</v>
      </c>
      <c r="J87" s="1">
        <v>177.37</v>
      </c>
      <c r="K87" s="34">
        <v>41487</v>
      </c>
      <c r="L87" s="1">
        <v>2404.1999999999998</v>
      </c>
      <c r="M87" s="34">
        <v>41487</v>
      </c>
      <c r="N87" s="1">
        <v>386.2</v>
      </c>
    </row>
    <row r="88" spans="1:14" x14ac:dyDescent="0.25">
      <c r="A88" s="34">
        <v>41518</v>
      </c>
      <c r="B88" s="1">
        <v>2397.1</v>
      </c>
      <c r="C88" s="34">
        <v>41518</v>
      </c>
      <c r="D88" s="1">
        <v>2069</v>
      </c>
      <c r="E88" s="34">
        <v>41518</v>
      </c>
      <c r="F88" s="1">
        <v>6.6</v>
      </c>
      <c r="G88" s="34">
        <v>41518</v>
      </c>
      <c r="H88" s="1">
        <v>2.0699999999999998</v>
      </c>
      <c r="I88" s="34">
        <v>41518</v>
      </c>
      <c r="J88" s="1">
        <v>178.39</v>
      </c>
      <c r="K88" s="34">
        <v>41518</v>
      </c>
      <c r="L88" s="1">
        <v>2404.3000000000002</v>
      </c>
      <c r="M88" s="34">
        <v>41518</v>
      </c>
      <c r="N88" s="1">
        <v>408.9</v>
      </c>
    </row>
    <row r="89" spans="1:14" x14ac:dyDescent="0.25">
      <c r="A89" s="34">
        <v>41548</v>
      </c>
      <c r="B89" s="1">
        <v>2400.9</v>
      </c>
      <c r="C89" s="34">
        <v>41548</v>
      </c>
      <c r="D89" s="1">
        <v>2166</v>
      </c>
      <c r="E89" s="34">
        <v>41548</v>
      </c>
      <c r="F89" s="1">
        <v>6.5</v>
      </c>
      <c r="G89" s="34">
        <v>41548</v>
      </c>
      <c r="H89" s="1">
        <v>2.25</v>
      </c>
      <c r="I89" s="34">
        <v>41548</v>
      </c>
      <c r="J89" s="1">
        <v>178.73</v>
      </c>
      <c r="K89" s="34">
        <v>41548</v>
      </c>
      <c r="L89" s="1">
        <v>2408.5</v>
      </c>
      <c r="M89" s="34">
        <v>41548</v>
      </c>
      <c r="N89" s="1">
        <v>415.9</v>
      </c>
    </row>
    <row r="90" spans="1:14" x14ac:dyDescent="0.25">
      <c r="A90" s="34">
        <v>41579</v>
      </c>
      <c r="B90" s="1">
        <v>2402.9</v>
      </c>
      <c r="C90" s="34">
        <v>41579</v>
      </c>
      <c r="D90" s="1">
        <v>2160</v>
      </c>
      <c r="E90" s="34">
        <v>41579</v>
      </c>
      <c r="F90" s="1">
        <v>6.3</v>
      </c>
      <c r="G90" s="34">
        <v>41579</v>
      </c>
      <c r="H90" s="1">
        <v>2.2599999999999998</v>
      </c>
      <c r="I90" s="34">
        <v>41579</v>
      </c>
      <c r="J90" s="1">
        <v>179.65</v>
      </c>
      <c r="K90" s="34">
        <v>41579</v>
      </c>
      <c r="L90" s="1">
        <v>2417.4</v>
      </c>
      <c r="M90" s="34">
        <v>41579</v>
      </c>
      <c r="N90" s="1">
        <v>417.1</v>
      </c>
    </row>
    <row r="91" spans="1:14" x14ac:dyDescent="0.25">
      <c r="A91" s="34">
        <v>41609</v>
      </c>
      <c r="B91" s="1">
        <v>2404.9</v>
      </c>
      <c r="C91" s="34">
        <v>41609</v>
      </c>
      <c r="D91" s="1">
        <v>2410</v>
      </c>
      <c r="E91" s="34">
        <v>41609</v>
      </c>
      <c r="F91" s="1">
        <v>6.2</v>
      </c>
      <c r="G91" s="34">
        <v>41609</v>
      </c>
      <c r="H91" s="1">
        <v>2.5299999999999998</v>
      </c>
      <c r="I91" s="34">
        <v>41609</v>
      </c>
      <c r="J91" s="1">
        <v>180.29</v>
      </c>
      <c r="K91" s="34">
        <v>41609</v>
      </c>
      <c r="L91" s="1">
        <v>2426.5</v>
      </c>
      <c r="M91" s="34">
        <v>41609</v>
      </c>
      <c r="N91" s="1">
        <v>412.6</v>
      </c>
    </row>
    <row r="92" spans="1:14" x14ac:dyDescent="0.25">
      <c r="A92" s="34">
        <v>41640</v>
      </c>
      <c r="B92" s="1">
        <v>2416.1</v>
      </c>
      <c r="C92" s="34">
        <v>41640</v>
      </c>
      <c r="D92" s="1">
        <v>1539</v>
      </c>
      <c r="E92" s="34">
        <v>41640</v>
      </c>
      <c r="F92" s="1">
        <v>6.1</v>
      </c>
      <c r="G92" s="34">
        <v>41640</v>
      </c>
      <c r="H92" s="1">
        <v>2.79</v>
      </c>
      <c r="I92" s="34">
        <v>41640</v>
      </c>
      <c r="J92" s="1">
        <v>181.29</v>
      </c>
      <c r="K92" s="34">
        <v>41640</v>
      </c>
      <c r="L92" s="1">
        <v>2384.5</v>
      </c>
      <c r="M92" s="34">
        <v>41640</v>
      </c>
      <c r="N92" s="1">
        <v>400.2</v>
      </c>
    </row>
    <row r="93" spans="1:14" x14ac:dyDescent="0.25">
      <c r="A93" s="34">
        <v>41671</v>
      </c>
      <c r="B93" s="1">
        <v>2420</v>
      </c>
      <c r="C93" s="34">
        <v>41671</v>
      </c>
      <c r="D93" s="1">
        <v>2099</v>
      </c>
      <c r="E93" s="34">
        <v>41671</v>
      </c>
      <c r="F93" s="1">
        <v>6.1</v>
      </c>
      <c r="G93" s="34">
        <v>41671</v>
      </c>
      <c r="H93" s="1">
        <v>2.84</v>
      </c>
      <c r="I93" s="34">
        <v>41671</v>
      </c>
      <c r="J93" s="1">
        <v>182</v>
      </c>
      <c r="K93" s="34">
        <v>41671</v>
      </c>
      <c r="L93" s="1">
        <v>2400.9</v>
      </c>
      <c r="M93" s="34">
        <v>41671</v>
      </c>
      <c r="N93" s="1">
        <v>410.7</v>
      </c>
    </row>
    <row r="94" spans="1:14" x14ac:dyDescent="0.25">
      <c r="A94" s="34">
        <v>41699</v>
      </c>
      <c r="B94" s="1">
        <v>2424.1999999999998</v>
      </c>
      <c r="C94" s="34">
        <v>41699</v>
      </c>
      <c r="D94" s="1">
        <v>3117</v>
      </c>
      <c r="E94" s="34">
        <v>41699</v>
      </c>
      <c r="F94" s="1">
        <v>6.2</v>
      </c>
      <c r="G94" s="34">
        <v>41699</v>
      </c>
      <c r="H94" s="1">
        <v>1.81</v>
      </c>
      <c r="I94" s="34">
        <v>41699</v>
      </c>
      <c r="J94" s="1">
        <v>182.01</v>
      </c>
      <c r="K94" s="34">
        <v>41699</v>
      </c>
      <c r="L94" s="1">
        <v>2411.6</v>
      </c>
      <c r="M94" s="34">
        <v>41699</v>
      </c>
      <c r="N94" s="1">
        <v>413.5</v>
      </c>
    </row>
    <row r="95" spans="1:14" x14ac:dyDescent="0.25">
      <c r="A95" s="34">
        <v>41730</v>
      </c>
      <c r="B95" s="1">
        <v>2434.6999999999998</v>
      </c>
      <c r="C95" s="34">
        <v>41730</v>
      </c>
      <c r="D95" s="1">
        <v>2480</v>
      </c>
      <c r="E95" s="34">
        <v>41730</v>
      </c>
      <c r="F95" s="1">
        <v>6</v>
      </c>
      <c r="G95" s="34">
        <v>41730</v>
      </c>
      <c r="H95" s="1">
        <v>2.1</v>
      </c>
      <c r="I95" s="34">
        <v>41730</v>
      </c>
      <c r="J95" s="1">
        <v>183.05</v>
      </c>
      <c r="K95" s="34">
        <v>41730</v>
      </c>
      <c r="L95" s="1">
        <v>2424.9</v>
      </c>
      <c r="M95" s="34">
        <v>41730</v>
      </c>
      <c r="N95" s="1">
        <v>414.5</v>
      </c>
    </row>
    <row r="96" spans="1:14" x14ac:dyDescent="0.25">
      <c r="A96" s="34">
        <v>41760</v>
      </c>
      <c r="B96" s="1">
        <v>2443.8000000000002</v>
      </c>
      <c r="C96" s="34">
        <v>41760</v>
      </c>
      <c r="D96" s="1">
        <v>2133</v>
      </c>
      <c r="E96" s="34">
        <v>41760</v>
      </c>
      <c r="F96" s="1">
        <v>5.8</v>
      </c>
      <c r="G96" s="34">
        <v>41760</v>
      </c>
      <c r="H96" s="1">
        <v>2.33</v>
      </c>
      <c r="I96" s="34">
        <v>41760</v>
      </c>
      <c r="J96" s="1">
        <v>183.6</v>
      </c>
      <c r="K96" s="34">
        <v>41760</v>
      </c>
      <c r="L96" s="1">
        <v>2437.4</v>
      </c>
      <c r="M96" s="34">
        <v>41760</v>
      </c>
      <c r="N96" s="1">
        <v>419.4</v>
      </c>
    </row>
    <row r="97" spans="1:14" x14ac:dyDescent="0.25">
      <c r="A97" s="34">
        <v>41791</v>
      </c>
      <c r="B97" s="1">
        <v>2446.6999999999998</v>
      </c>
      <c r="C97" s="34">
        <v>41791</v>
      </c>
      <c r="D97" s="1">
        <v>2574</v>
      </c>
      <c r="E97" s="34">
        <v>41791</v>
      </c>
      <c r="F97" s="1">
        <v>5.5</v>
      </c>
      <c r="G97" s="34">
        <v>41791</v>
      </c>
      <c r="H97" s="1">
        <v>2.35</v>
      </c>
      <c r="I97" s="34">
        <v>41791</v>
      </c>
      <c r="J97" s="1">
        <v>184.49</v>
      </c>
      <c r="K97" s="34">
        <v>41791</v>
      </c>
      <c r="L97" s="1">
        <v>2464.3000000000002</v>
      </c>
      <c r="M97" s="34">
        <v>41791</v>
      </c>
      <c r="N97" s="1">
        <v>407.9</v>
      </c>
    </row>
    <row r="98" spans="1:14" x14ac:dyDescent="0.25">
      <c r="A98" s="34">
        <v>41821</v>
      </c>
      <c r="B98" s="1">
        <v>2448.1</v>
      </c>
      <c r="C98" s="34">
        <v>41821</v>
      </c>
      <c r="D98" s="1">
        <v>2980</v>
      </c>
      <c r="E98" s="34">
        <v>41821</v>
      </c>
      <c r="F98" s="1">
        <v>5.3</v>
      </c>
      <c r="G98" s="34">
        <v>41821</v>
      </c>
      <c r="H98" s="1">
        <v>2.1800000000000002</v>
      </c>
      <c r="I98" s="34">
        <v>41821</v>
      </c>
      <c r="J98" s="1">
        <v>184.83</v>
      </c>
      <c r="K98" s="34">
        <v>41821</v>
      </c>
      <c r="L98" s="1">
        <v>2455.6</v>
      </c>
      <c r="M98" s="34">
        <v>41821</v>
      </c>
      <c r="N98" s="1">
        <v>386</v>
      </c>
    </row>
    <row r="99" spans="1:14" x14ac:dyDescent="0.25">
      <c r="A99" s="34">
        <v>41852</v>
      </c>
      <c r="B99" s="1">
        <v>2449.9</v>
      </c>
      <c r="C99" s="34">
        <v>41852</v>
      </c>
      <c r="D99" s="1">
        <v>2537</v>
      </c>
      <c r="E99" s="34">
        <v>41852</v>
      </c>
      <c r="F99" s="1">
        <v>5.0999999999999996</v>
      </c>
      <c r="G99" s="34">
        <v>41852</v>
      </c>
      <c r="H99" s="1">
        <v>1.38</v>
      </c>
      <c r="I99" s="34">
        <v>41852</v>
      </c>
      <c r="J99" s="1">
        <v>184.95</v>
      </c>
      <c r="K99" s="34">
        <v>41852</v>
      </c>
      <c r="L99" s="1">
        <v>2457.9</v>
      </c>
      <c r="M99" s="34">
        <v>41852</v>
      </c>
      <c r="N99" s="1">
        <v>389.9</v>
      </c>
    </row>
    <row r="100" spans="1:14" x14ac:dyDescent="0.25">
      <c r="A100" s="34">
        <v>41883</v>
      </c>
      <c r="B100" s="1">
        <v>2461.4</v>
      </c>
      <c r="C100" s="34">
        <v>41883</v>
      </c>
      <c r="D100" s="1">
        <v>2770</v>
      </c>
      <c r="E100" s="34">
        <v>41883</v>
      </c>
      <c r="F100" s="1">
        <v>4.7</v>
      </c>
      <c r="G100" s="34">
        <v>41883</v>
      </c>
      <c r="H100" s="1">
        <v>1.56</v>
      </c>
      <c r="I100" s="34">
        <v>41883</v>
      </c>
      <c r="J100" s="1">
        <v>185.77</v>
      </c>
      <c r="K100" s="34">
        <v>41883</v>
      </c>
      <c r="L100" s="1">
        <v>2467.1</v>
      </c>
      <c r="M100" s="34">
        <v>41883</v>
      </c>
      <c r="N100" s="1">
        <v>412.6</v>
      </c>
    </row>
    <row r="101" spans="1:14" x14ac:dyDescent="0.25">
      <c r="A101" s="34">
        <v>41913</v>
      </c>
      <c r="B101" s="1">
        <v>2459.8000000000002</v>
      </c>
      <c r="C101" s="34">
        <v>41913</v>
      </c>
      <c r="D101" s="1">
        <v>3066</v>
      </c>
      <c r="E101" s="34">
        <v>41913</v>
      </c>
      <c r="F101" s="1">
        <v>4.3</v>
      </c>
      <c r="G101" s="34">
        <v>41913</v>
      </c>
      <c r="H101" s="1">
        <v>2.4500000000000002</v>
      </c>
      <c r="I101" s="34">
        <v>41913</v>
      </c>
      <c r="J101" s="1">
        <v>186.55</v>
      </c>
      <c r="K101" s="34">
        <v>41913</v>
      </c>
      <c r="L101" s="1">
        <v>2464.6</v>
      </c>
      <c r="M101" s="34">
        <v>41913</v>
      </c>
      <c r="N101" s="1">
        <v>421.7</v>
      </c>
    </row>
    <row r="102" spans="1:14" x14ac:dyDescent="0.25">
      <c r="A102" s="34">
        <v>41944</v>
      </c>
      <c r="B102" s="1">
        <v>2462.5</v>
      </c>
      <c r="C102" s="34">
        <v>41944</v>
      </c>
      <c r="D102" s="1">
        <v>1893</v>
      </c>
      <c r="E102" s="34">
        <v>41944</v>
      </c>
      <c r="F102" s="1">
        <v>4.0999999999999996</v>
      </c>
      <c r="G102" s="34">
        <v>41944</v>
      </c>
      <c r="H102" s="1">
        <v>1.71</v>
      </c>
      <c r="I102" s="34">
        <v>41944</v>
      </c>
      <c r="J102" s="1">
        <v>186.74</v>
      </c>
      <c r="K102" s="34">
        <v>41944</v>
      </c>
      <c r="L102" s="1">
        <v>2473.3000000000002</v>
      </c>
      <c r="M102" s="34">
        <v>41944</v>
      </c>
      <c r="N102" s="1">
        <v>424.3</v>
      </c>
    </row>
    <row r="103" spans="1:14" x14ac:dyDescent="0.25">
      <c r="A103" s="34">
        <v>41974</v>
      </c>
      <c r="B103" s="1">
        <v>2467.1999999999998</v>
      </c>
      <c r="E103" s="34">
        <v>41974</v>
      </c>
      <c r="F103" s="1">
        <v>4</v>
      </c>
      <c r="K103" s="34">
        <v>41974</v>
      </c>
      <c r="L103" s="1">
        <v>2489.4</v>
      </c>
      <c r="M103" s="34">
        <v>41974</v>
      </c>
      <c r="N103" s="1">
        <v>419.2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103"/>
  <sheetViews>
    <sheetView topLeftCell="A79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82</v>
      </c>
      <c r="C1" s="34" t="s">
        <v>83</v>
      </c>
      <c r="E1" s="34" t="s">
        <v>84</v>
      </c>
      <c r="G1" s="34" t="s">
        <v>85</v>
      </c>
      <c r="I1" s="34" t="s">
        <v>86</v>
      </c>
      <c r="K1" s="34" t="str">
        <f>CONCATENATE(LEFT(A1,2), "NAN")</f>
        <v>CTNAN</v>
      </c>
      <c r="M1" s="34" t="str">
        <f>CONCATENATE(LEFT(A1,2), "GOVTN")</f>
        <v>CTGOVTN</v>
      </c>
      <c r="O1" s="34" t="str">
        <f>CONCATENATE(LEFT($A$1,2), "RGSP")</f>
        <v>CTRGSP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856</v>
      </c>
      <c r="C5" s="35" t="s">
        <v>87</v>
      </c>
      <c r="E5" s="35" t="s">
        <v>88</v>
      </c>
      <c r="G5" s="35" t="s">
        <v>89</v>
      </c>
      <c r="I5" s="35" t="s">
        <v>90</v>
      </c>
      <c r="K5" s="35" t="s">
        <v>856</v>
      </c>
      <c r="M5" s="35" t="s">
        <v>857</v>
      </c>
      <c r="O5" s="35" t="s">
        <v>814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1691.4</v>
      </c>
      <c r="C8" s="34">
        <v>39083</v>
      </c>
      <c r="D8" s="1">
        <v>529</v>
      </c>
      <c r="E8" s="34">
        <v>39083</v>
      </c>
      <c r="F8" s="1">
        <v>4.4000000000000004</v>
      </c>
      <c r="G8" s="34">
        <v>39083</v>
      </c>
      <c r="H8" s="1">
        <v>0.86</v>
      </c>
      <c r="I8" s="34">
        <v>39083</v>
      </c>
      <c r="J8" s="1">
        <v>146.62</v>
      </c>
      <c r="K8" s="34">
        <v>39083</v>
      </c>
      <c r="L8" s="1">
        <v>1666.5</v>
      </c>
      <c r="M8" s="34">
        <v>39083</v>
      </c>
      <c r="N8" s="1">
        <v>247.5</v>
      </c>
      <c r="O8" s="34">
        <v>39083</v>
      </c>
      <c r="P8" s="1">
        <v>246719</v>
      </c>
    </row>
    <row r="9" spans="1:16" x14ac:dyDescent="0.25">
      <c r="A9" s="34">
        <v>39114</v>
      </c>
      <c r="B9" s="1">
        <v>1692.1</v>
      </c>
      <c r="C9" s="34">
        <v>39114</v>
      </c>
      <c r="D9" s="1">
        <v>372</v>
      </c>
      <c r="E9" s="34">
        <v>39114</v>
      </c>
      <c r="F9" s="1">
        <v>4.4000000000000004</v>
      </c>
      <c r="G9" s="34">
        <v>39114</v>
      </c>
      <c r="H9" s="1">
        <v>1.03</v>
      </c>
      <c r="I9" s="34">
        <v>39114</v>
      </c>
      <c r="J9" s="1">
        <v>147.05000000000001</v>
      </c>
      <c r="K9" s="34">
        <v>39114</v>
      </c>
      <c r="L9" s="1">
        <v>1668.4</v>
      </c>
      <c r="M9" s="34">
        <v>39114</v>
      </c>
      <c r="N9" s="1">
        <v>252.4</v>
      </c>
      <c r="O9" s="34">
        <v>39448</v>
      </c>
      <c r="P9" s="1">
        <v>241691</v>
      </c>
    </row>
    <row r="10" spans="1:16" x14ac:dyDescent="0.25">
      <c r="A10" s="34">
        <v>39142</v>
      </c>
      <c r="B10" s="1">
        <v>1690.7</v>
      </c>
      <c r="C10" s="34">
        <v>39142</v>
      </c>
      <c r="D10" s="1">
        <v>538</v>
      </c>
      <c r="E10" s="34">
        <v>39142</v>
      </c>
      <c r="F10" s="1">
        <v>4.4000000000000004</v>
      </c>
      <c r="G10" s="34">
        <v>39142</v>
      </c>
      <c r="H10" s="1">
        <v>1.21</v>
      </c>
      <c r="I10" s="34">
        <v>39142</v>
      </c>
      <c r="J10" s="1">
        <v>147.46</v>
      </c>
      <c r="K10" s="34">
        <v>39142</v>
      </c>
      <c r="L10" s="1">
        <v>1671.9</v>
      </c>
      <c r="M10" s="34">
        <v>39142</v>
      </c>
      <c r="N10" s="1">
        <v>251.8</v>
      </c>
      <c r="O10" s="34">
        <v>39814</v>
      </c>
      <c r="P10" s="1">
        <v>230005</v>
      </c>
    </row>
    <row r="11" spans="1:16" x14ac:dyDescent="0.25">
      <c r="A11" s="34">
        <v>39173</v>
      </c>
      <c r="B11" s="1">
        <v>1693</v>
      </c>
      <c r="C11" s="34">
        <v>39173</v>
      </c>
      <c r="D11" s="1">
        <v>779</v>
      </c>
      <c r="E11" s="34">
        <v>39173</v>
      </c>
      <c r="F11" s="1">
        <v>4.4000000000000004</v>
      </c>
      <c r="G11" s="34">
        <v>39173</v>
      </c>
      <c r="H11" s="1">
        <v>1.21</v>
      </c>
      <c r="I11" s="34">
        <v>39173</v>
      </c>
      <c r="J11" s="1">
        <v>147.85</v>
      </c>
      <c r="K11" s="34">
        <v>39173</v>
      </c>
      <c r="L11" s="1">
        <v>1689.8</v>
      </c>
      <c r="M11" s="34">
        <v>39173</v>
      </c>
      <c r="N11" s="1">
        <v>252.3</v>
      </c>
      <c r="O11" s="34">
        <v>40179</v>
      </c>
      <c r="P11" s="1">
        <v>231643</v>
      </c>
    </row>
    <row r="12" spans="1:16" x14ac:dyDescent="0.25">
      <c r="A12" s="34">
        <v>39203</v>
      </c>
      <c r="B12" s="1">
        <v>1697</v>
      </c>
      <c r="C12" s="34">
        <v>39203</v>
      </c>
      <c r="D12" s="1">
        <v>808</v>
      </c>
      <c r="E12" s="34">
        <v>39203</v>
      </c>
      <c r="F12" s="1">
        <v>4.4000000000000004</v>
      </c>
      <c r="G12" s="34">
        <v>39203</v>
      </c>
      <c r="H12" s="1">
        <v>0.85</v>
      </c>
      <c r="I12" s="34">
        <v>39203</v>
      </c>
      <c r="J12" s="1">
        <v>148.21</v>
      </c>
      <c r="K12" s="34">
        <v>39203</v>
      </c>
      <c r="L12" s="1">
        <v>1705.6</v>
      </c>
      <c r="M12" s="34">
        <v>39203</v>
      </c>
      <c r="N12" s="1">
        <v>252</v>
      </c>
      <c r="O12" s="34">
        <v>40544</v>
      </c>
      <c r="P12" s="1">
        <v>229513</v>
      </c>
    </row>
    <row r="13" spans="1:16" x14ac:dyDescent="0.25">
      <c r="A13" s="34">
        <v>39234</v>
      </c>
      <c r="B13" s="1">
        <v>1701.8</v>
      </c>
      <c r="C13" s="34">
        <v>39234</v>
      </c>
      <c r="D13" s="1">
        <v>742</v>
      </c>
      <c r="E13" s="34">
        <v>39234</v>
      </c>
      <c r="F13" s="1">
        <v>4.5</v>
      </c>
      <c r="G13" s="34">
        <v>39234</v>
      </c>
      <c r="H13" s="1">
        <v>0.59</v>
      </c>
      <c r="I13" s="34">
        <v>39234</v>
      </c>
      <c r="J13" s="1">
        <v>148.5</v>
      </c>
      <c r="K13" s="34">
        <v>39234</v>
      </c>
      <c r="L13" s="1">
        <v>1720.4</v>
      </c>
      <c r="M13" s="34">
        <v>39234</v>
      </c>
      <c r="N13" s="1">
        <v>248.5</v>
      </c>
      <c r="O13" s="34">
        <v>40909</v>
      </c>
      <c r="P13" s="1">
        <v>231809</v>
      </c>
    </row>
    <row r="14" spans="1:16" x14ac:dyDescent="0.25">
      <c r="A14" s="34">
        <v>39264</v>
      </c>
      <c r="B14" s="1">
        <v>1700.9</v>
      </c>
      <c r="C14" s="34">
        <v>39264</v>
      </c>
      <c r="D14" s="1">
        <v>846</v>
      </c>
      <c r="E14" s="34">
        <v>39264</v>
      </c>
      <c r="F14" s="1">
        <v>4.5</v>
      </c>
      <c r="G14" s="34">
        <v>39264</v>
      </c>
      <c r="H14" s="1">
        <v>0.86</v>
      </c>
      <c r="I14" s="34">
        <v>39264</v>
      </c>
      <c r="J14" s="1">
        <v>148.76</v>
      </c>
      <c r="K14" s="34">
        <v>39264</v>
      </c>
      <c r="L14" s="1">
        <v>1691.4</v>
      </c>
      <c r="M14" s="34">
        <v>39264</v>
      </c>
      <c r="N14" s="1">
        <v>230.9</v>
      </c>
      <c r="O14" s="34">
        <v>41275</v>
      </c>
      <c r="P14" s="1">
        <v>233996</v>
      </c>
    </row>
    <row r="15" spans="1:16" x14ac:dyDescent="0.25">
      <c r="A15" s="34">
        <v>39295</v>
      </c>
      <c r="B15" s="1">
        <v>1701.1</v>
      </c>
      <c r="C15" s="34">
        <v>39295</v>
      </c>
      <c r="D15" s="1">
        <v>682</v>
      </c>
      <c r="E15" s="34">
        <v>39295</v>
      </c>
      <c r="F15" s="1">
        <v>4.5999999999999996</v>
      </c>
      <c r="G15" s="34">
        <v>39295</v>
      </c>
      <c r="H15" s="1">
        <v>0.31</v>
      </c>
      <c r="I15" s="34">
        <v>39295</v>
      </c>
      <c r="J15" s="1">
        <v>148.94999999999999</v>
      </c>
      <c r="K15" s="34">
        <v>39295</v>
      </c>
      <c r="L15" s="1">
        <v>1690.4</v>
      </c>
      <c r="M15" s="34">
        <v>39295</v>
      </c>
      <c r="N15" s="1">
        <v>234.2</v>
      </c>
    </row>
    <row r="16" spans="1:16" x14ac:dyDescent="0.25">
      <c r="A16" s="34">
        <v>39326</v>
      </c>
      <c r="B16" s="1">
        <v>1699.8</v>
      </c>
      <c r="C16" s="34">
        <v>39326</v>
      </c>
      <c r="D16" s="1">
        <v>553</v>
      </c>
      <c r="E16" s="34">
        <v>39326</v>
      </c>
      <c r="F16" s="1">
        <v>4.7</v>
      </c>
      <c r="G16" s="34">
        <v>39326</v>
      </c>
      <c r="H16" s="1">
        <v>0.56000000000000005</v>
      </c>
      <c r="I16" s="34">
        <v>39326</v>
      </c>
      <c r="J16" s="1">
        <v>149.09</v>
      </c>
      <c r="K16" s="34">
        <v>39326</v>
      </c>
      <c r="L16" s="1">
        <v>1704.3</v>
      </c>
      <c r="M16" s="34">
        <v>39326</v>
      </c>
      <c r="N16" s="1">
        <v>248.2</v>
      </c>
    </row>
    <row r="17" spans="1:14" x14ac:dyDescent="0.25">
      <c r="A17" s="34">
        <v>39356</v>
      </c>
      <c r="B17" s="1">
        <v>1703.1</v>
      </c>
      <c r="C17" s="34">
        <v>39356</v>
      </c>
      <c r="D17" s="1">
        <v>582</v>
      </c>
      <c r="E17" s="34">
        <v>39356</v>
      </c>
      <c r="F17" s="1">
        <v>4.8</v>
      </c>
      <c r="G17" s="34">
        <v>39356</v>
      </c>
      <c r="H17" s="1">
        <v>0.59</v>
      </c>
      <c r="I17" s="34">
        <v>39356</v>
      </c>
      <c r="J17" s="1">
        <v>149.24</v>
      </c>
      <c r="K17" s="34">
        <v>39356</v>
      </c>
      <c r="L17" s="1">
        <v>1714.2</v>
      </c>
      <c r="M17" s="34">
        <v>39356</v>
      </c>
      <c r="N17" s="1">
        <v>256</v>
      </c>
    </row>
    <row r="18" spans="1:14" x14ac:dyDescent="0.25">
      <c r="A18" s="34">
        <v>39387</v>
      </c>
      <c r="B18" s="1">
        <v>1704.3</v>
      </c>
      <c r="C18" s="34">
        <v>39387</v>
      </c>
      <c r="D18" s="1">
        <v>638</v>
      </c>
      <c r="E18" s="34">
        <v>39387</v>
      </c>
      <c r="F18" s="1">
        <v>4.9000000000000004</v>
      </c>
      <c r="G18" s="34">
        <v>39387</v>
      </c>
      <c r="H18" s="1">
        <v>0.76</v>
      </c>
      <c r="I18" s="34">
        <v>39387</v>
      </c>
      <c r="J18" s="1">
        <v>149.44</v>
      </c>
      <c r="K18" s="34">
        <v>39387</v>
      </c>
      <c r="L18" s="1">
        <v>1724.2</v>
      </c>
      <c r="M18" s="34">
        <v>39387</v>
      </c>
      <c r="N18" s="1">
        <v>258.7</v>
      </c>
    </row>
    <row r="19" spans="1:14" x14ac:dyDescent="0.25">
      <c r="A19" s="34">
        <v>39417</v>
      </c>
      <c r="B19" s="1">
        <v>1705.2</v>
      </c>
      <c r="C19" s="34">
        <v>39417</v>
      </c>
      <c r="D19" s="1">
        <v>396</v>
      </c>
      <c r="E19" s="34">
        <v>39417</v>
      </c>
      <c r="F19" s="1">
        <v>4.9000000000000004</v>
      </c>
      <c r="G19" s="34">
        <v>39417</v>
      </c>
      <c r="H19" s="1">
        <v>0.75</v>
      </c>
      <c r="I19" s="34">
        <v>39417</v>
      </c>
      <c r="J19" s="1">
        <v>149.69</v>
      </c>
      <c r="K19" s="34">
        <v>39417</v>
      </c>
      <c r="L19" s="1">
        <v>1730.9</v>
      </c>
      <c r="M19" s="34">
        <v>39417</v>
      </c>
      <c r="N19" s="1">
        <v>258</v>
      </c>
    </row>
    <row r="20" spans="1:14" x14ac:dyDescent="0.25">
      <c r="A20" s="34">
        <v>39448</v>
      </c>
      <c r="B20" s="1">
        <v>1711.5</v>
      </c>
      <c r="C20" s="34">
        <v>39448</v>
      </c>
      <c r="D20" s="1">
        <v>517</v>
      </c>
      <c r="E20" s="34">
        <v>39448</v>
      </c>
      <c r="F20" s="1">
        <v>5</v>
      </c>
      <c r="G20" s="34">
        <v>39448</v>
      </c>
      <c r="H20" s="1">
        <v>0.21</v>
      </c>
      <c r="I20" s="34">
        <v>39448</v>
      </c>
      <c r="J20" s="1">
        <v>149.91999999999999</v>
      </c>
      <c r="K20" s="34">
        <v>39448</v>
      </c>
      <c r="L20" s="1">
        <v>1685.3</v>
      </c>
      <c r="M20" s="34">
        <v>39448</v>
      </c>
      <c r="N20" s="1">
        <v>252.6</v>
      </c>
    </row>
    <row r="21" spans="1:14" x14ac:dyDescent="0.25">
      <c r="A21" s="34">
        <v>39479</v>
      </c>
      <c r="B21" s="1">
        <v>1711.8</v>
      </c>
      <c r="C21" s="34">
        <v>39479</v>
      </c>
      <c r="D21" s="1">
        <v>260</v>
      </c>
      <c r="E21" s="34">
        <v>39479</v>
      </c>
      <c r="F21" s="1">
        <v>5</v>
      </c>
      <c r="G21" s="34">
        <v>39479</v>
      </c>
      <c r="H21" s="1">
        <v>0.48</v>
      </c>
      <c r="I21" s="34">
        <v>39479</v>
      </c>
      <c r="J21" s="1">
        <v>150.15</v>
      </c>
      <c r="K21" s="34">
        <v>39479</v>
      </c>
      <c r="L21" s="1">
        <v>1687.8</v>
      </c>
      <c r="M21" s="34">
        <v>39479</v>
      </c>
      <c r="N21" s="1">
        <v>257.7</v>
      </c>
    </row>
    <row r="22" spans="1:14" x14ac:dyDescent="0.25">
      <c r="A22" s="34">
        <v>39508</v>
      </c>
      <c r="B22" s="1">
        <v>1713</v>
      </c>
      <c r="C22" s="34">
        <v>39508</v>
      </c>
      <c r="D22" s="1">
        <v>467</v>
      </c>
      <c r="E22" s="34">
        <v>39508</v>
      </c>
      <c r="F22" s="1">
        <v>5</v>
      </c>
      <c r="G22" s="34">
        <v>39508</v>
      </c>
      <c r="H22" s="1">
        <v>0.08</v>
      </c>
      <c r="I22" s="34">
        <v>39508</v>
      </c>
      <c r="J22" s="1">
        <v>150.30000000000001</v>
      </c>
      <c r="K22" s="34">
        <v>39508</v>
      </c>
      <c r="L22" s="1">
        <v>1692.5</v>
      </c>
      <c r="M22" s="34">
        <v>39508</v>
      </c>
      <c r="N22" s="1">
        <v>256.7</v>
      </c>
    </row>
    <row r="23" spans="1:14" x14ac:dyDescent="0.25">
      <c r="A23" s="34">
        <v>39539</v>
      </c>
      <c r="B23" s="1">
        <v>1710.3</v>
      </c>
      <c r="C23" s="34">
        <v>39539</v>
      </c>
      <c r="D23" s="1">
        <v>381</v>
      </c>
      <c r="E23" s="34">
        <v>39539</v>
      </c>
      <c r="F23" s="1">
        <v>5.0999999999999996</v>
      </c>
      <c r="G23" s="34">
        <v>39539</v>
      </c>
      <c r="H23" s="1">
        <v>-1.1499999999999999</v>
      </c>
      <c r="I23" s="34">
        <v>39539</v>
      </c>
      <c r="J23" s="1">
        <v>150.22999999999999</v>
      </c>
      <c r="K23" s="34">
        <v>39539</v>
      </c>
      <c r="L23" s="1">
        <v>1705.6</v>
      </c>
      <c r="M23" s="34">
        <v>39539</v>
      </c>
      <c r="N23" s="1">
        <v>257</v>
      </c>
    </row>
    <row r="24" spans="1:14" x14ac:dyDescent="0.25">
      <c r="A24" s="34">
        <v>39569</v>
      </c>
      <c r="B24" s="1">
        <v>1708.1</v>
      </c>
      <c r="C24" s="34">
        <v>39569</v>
      </c>
      <c r="D24" s="1">
        <v>529</v>
      </c>
      <c r="E24" s="34">
        <v>39569</v>
      </c>
      <c r="F24" s="1">
        <v>5.3</v>
      </c>
      <c r="G24" s="34">
        <v>39569</v>
      </c>
      <c r="H24" s="1">
        <v>-1.45</v>
      </c>
      <c r="I24" s="34">
        <v>39569</v>
      </c>
      <c r="J24" s="1">
        <v>149.96</v>
      </c>
      <c r="K24" s="34">
        <v>39569</v>
      </c>
      <c r="L24" s="1">
        <v>1717.7</v>
      </c>
      <c r="M24" s="34">
        <v>39569</v>
      </c>
      <c r="N24" s="1">
        <v>257.60000000000002</v>
      </c>
    </row>
    <row r="25" spans="1:14" x14ac:dyDescent="0.25">
      <c r="A25" s="34">
        <v>39600</v>
      </c>
      <c r="B25" s="1">
        <v>1706.5</v>
      </c>
      <c r="C25" s="34">
        <v>39600</v>
      </c>
      <c r="D25" s="1">
        <v>767</v>
      </c>
      <c r="E25" s="34">
        <v>39600</v>
      </c>
      <c r="F25" s="1">
        <v>5.5</v>
      </c>
      <c r="G25" s="34">
        <v>39600</v>
      </c>
      <c r="H25" s="1">
        <v>-1.26</v>
      </c>
      <c r="I25" s="34">
        <v>39600</v>
      </c>
      <c r="J25" s="1">
        <v>149.59</v>
      </c>
      <c r="K25" s="34">
        <v>39600</v>
      </c>
      <c r="L25" s="1">
        <v>1724.5</v>
      </c>
      <c r="M25" s="34">
        <v>39600</v>
      </c>
      <c r="N25" s="1">
        <v>252.3</v>
      </c>
    </row>
    <row r="26" spans="1:14" x14ac:dyDescent="0.25">
      <c r="A26" s="34">
        <v>39630</v>
      </c>
      <c r="B26" s="1">
        <v>1697.8</v>
      </c>
      <c r="C26" s="34">
        <v>39630</v>
      </c>
      <c r="D26" s="1">
        <v>445</v>
      </c>
      <c r="E26" s="34">
        <v>39630</v>
      </c>
      <c r="F26" s="1">
        <v>5.7</v>
      </c>
      <c r="G26" s="34">
        <v>39630</v>
      </c>
      <c r="H26" s="1">
        <v>-1.29</v>
      </c>
      <c r="I26" s="34">
        <v>39630</v>
      </c>
      <c r="J26" s="1">
        <v>149.22</v>
      </c>
      <c r="K26" s="34">
        <v>39630</v>
      </c>
      <c r="L26" s="1">
        <v>1690.4</v>
      </c>
      <c r="M26" s="34">
        <v>39630</v>
      </c>
      <c r="N26" s="1">
        <v>233.8</v>
      </c>
    </row>
    <row r="27" spans="1:14" x14ac:dyDescent="0.25">
      <c r="A27" s="34">
        <v>39661</v>
      </c>
      <c r="B27" s="1">
        <v>1696.1</v>
      </c>
      <c r="C27" s="34">
        <v>39661</v>
      </c>
      <c r="D27" s="1">
        <v>333</v>
      </c>
      <c r="E27" s="34">
        <v>39661</v>
      </c>
      <c r="F27" s="1">
        <v>5.8</v>
      </c>
      <c r="G27" s="34">
        <v>39661</v>
      </c>
      <c r="H27" s="1">
        <v>-1.52</v>
      </c>
      <c r="I27" s="34">
        <v>39661</v>
      </c>
      <c r="J27" s="1">
        <v>148.85</v>
      </c>
      <c r="K27" s="34">
        <v>39661</v>
      </c>
      <c r="L27" s="1">
        <v>1686.7</v>
      </c>
      <c r="M27" s="34">
        <v>39661</v>
      </c>
      <c r="N27" s="1">
        <v>236.3</v>
      </c>
    </row>
    <row r="28" spans="1:14" x14ac:dyDescent="0.25">
      <c r="A28" s="34">
        <v>39692</v>
      </c>
      <c r="B28" s="1">
        <v>1693.1</v>
      </c>
      <c r="C28" s="34">
        <v>39692</v>
      </c>
      <c r="D28" s="1">
        <v>440</v>
      </c>
      <c r="E28" s="34">
        <v>39692</v>
      </c>
      <c r="F28" s="1">
        <v>6</v>
      </c>
      <c r="G28" s="34">
        <v>39692</v>
      </c>
      <c r="H28" s="1">
        <v>-2.23</v>
      </c>
      <c r="I28" s="34">
        <v>39692</v>
      </c>
      <c r="J28" s="1">
        <v>148.38</v>
      </c>
      <c r="K28" s="34">
        <v>39692</v>
      </c>
      <c r="L28" s="1">
        <v>1697.2</v>
      </c>
      <c r="M28" s="34">
        <v>39692</v>
      </c>
      <c r="N28" s="1">
        <v>250.1</v>
      </c>
    </row>
    <row r="29" spans="1:14" x14ac:dyDescent="0.25">
      <c r="A29" s="34">
        <v>39722</v>
      </c>
      <c r="B29" s="1">
        <v>1686.7</v>
      </c>
      <c r="C29" s="34">
        <v>39722</v>
      </c>
      <c r="D29" s="1">
        <v>481</v>
      </c>
      <c r="E29" s="34">
        <v>39722</v>
      </c>
      <c r="F29" s="1">
        <v>6.2</v>
      </c>
      <c r="G29" s="34">
        <v>39722</v>
      </c>
      <c r="H29" s="1">
        <v>-2.36</v>
      </c>
      <c r="I29" s="34">
        <v>39722</v>
      </c>
      <c r="J29" s="1">
        <v>147.80000000000001</v>
      </c>
      <c r="K29" s="34">
        <v>39722</v>
      </c>
      <c r="L29" s="1">
        <v>1700.9</v>
      </c>
      <c r="M29" s="34">
        <v>39722</v>
      </c>
      <c r="N29" s="1">
        <v>257.5</v>
      </c>
    </row>
    <row r="30" spans="1:14" x14ac:dyDescent="0.25">
      <c r="A30" s="34">
        <v>39753</v>
      </c>
      <c r="B30" s="1">
        <v>1680.7</v>
      </c>
      <c r="C30" s="34">
        <v>39753</v>
      </c>
      <c r="D30" s="1">
        <v>578</v>
      </c>
      <c r="E30" s="34">
        <v>39753</v>
      </c>
      <c r="F30" s="1">
        <v>6.4</v>
      </c>
      <c r="G30" s="34">
        <v>39753</v>
      </c>
      <c r="H30" s="1">
        <v>-3.03</v>
      </c>
      <c r="I30" s="34">
        <v>39753</v>
      </c>
      <c r="J30" s="1">
        <v>147.07</v>
      </c>
      <c r="K30" s="34">
        <v>39753</v>
      </c>
      <c r="L30" s="1">
        <v>1701.4</v>
      </c>
      <c r="M30" s="34">
        <v>39753</v>
      </c>
      <c r="N30" s="1">
        <v>259.8</v>
      </c>
    </row>
    <row r="31" spans="1:14" x14ac:dyDescent="0.25">
      <c r="A31" s="34">
        <v>39783</v>
      </c>
      <c r="B31" s="1">
        <v>1672.6</v>
      </c>
      <c r="C31" s="34">
        <v>39783</v>
      </c>
      <c r="D31" s="1">
        <v>171</v>
      </c>
      <c r="E31" s="34">
        <v>39783</v>
      </c>
      <c r="F31" s="1">
        <v>6.7</v>
      </c>
      <c r="G31" s="34">
        <v>39783</v>
      </c>
      <c r="H31" s="1">
        <v>-3.47</v>
      </c>
      <c r="I31" s="34">
        <v>39783</v>
      </c>
      <c r="J31" s="1">
        <v>146.16</v>
      </c>
      <c r="K31" s="34">
        <v>39783</v>
      </c>
      <c r="L31" s="1">
        <v>1698</v>
      </c>
      <c r="M31" s="34">
        <v>39783</v>
      </c>
      <c r="N31" s="1">
        <v>258.10000000000002</v>
      </c>
    </row>
    <row r="32" spans="1:14" x14ac:dyDescent="0.25">
      <c r="A32" s="34">
        <v>39814</v>
      </c>
      <c r="B32" s="1">
        <v>1663.8</v>
      </c>
      <c r="C32" s="34">
        <v>39814</v>
      </c>
      <c r="D32" s="1">
        <v>101</v>
      </c>
      <c r="E32" s="34">
        <v>39814</v>
      </c>
      <c r="F32" s="1">
        <v>7</v>
      </c>
      <c r="G32" s="34">
        <v>39814</v>
      </c>
      <c r="H32" s="1">
        <v>-3.77</v>
      </c>
      <c r="I32" s="34">
        <v>39814</v>
      </c>
      <c r="J32" s="1">
        <v>145.09</v>
      </c>
      <c r="K32" s="34">
        <v>39814</v>
      </c>
      <c r="L32" s="1">
        <v>1639.1</v>
      </c>
      <c r="M32" s="34">
        <v>39814</v>
      </c>
      <c r="N32" s="1">
        <v>251.7</v>
      </c>
    </row>
    <row r="33" spans="1:14" x14ac:dyDescent="0.25">
      <c r="A33" s="34">
        <v>39845</v>
      </c>
      <c r="B33" s="1">
        <v>1656.6</v>
      </c>
      <c r="C33" s="34">
        <v>39845</v>
      </c>
      <c r="D33" s="1">
        <v>209</v>
      </c>
      <c r="E33" s="34">
        <v>39845</v>
      </c>
      <c r="F33" s="1">
        <v>7.4</v>
      </c>
      <c r="G33" s="34">
        <v>39845</v>
      </c>
      <c r="H33" s="1">
        <v>-3.7</v>
      </c>
      <c r="I33" s="34">
        <v>39845</v>
      </c>
      <c r="J33" s="1">
        <v>143.94</v>
      </c>
      <c r="K33" s="34">
        <v>39845</v>
      </c>
      <c r="L33" s="1">
        <v>1634.7</v>
      </c>
      <c r="M33" s="34">
        <v>39845</v>
      </c>
      <c r="N33" s="1">
        <v>255.7</v>
      </c>
    </row>
    <row r="34" spans="1:14" x14ac:dyDescent="0.25">
      <c r="A34" s="34">
        <v>39873</v>
      </c>
      <c r="B34" s="1">
        <v>1646.7</v>
      </c>
      <c r="C34" s="34">
        <v>39873</v>
      </c>
      <c r="D34" s="1">
        <v>208</v>
      </c>
      <c r="E34" s="34">
        <v>39873</v>
      </c>
      <c r="F34" s="1">
        <v>7.7</v>
      </c>
      <c r="G34" s="34">
        <v>39873</v>
      </c>
      <c r="H34" s="1">
        <v>-3.37</v>
      </c>
      <c r="I34" s="34">
        <v>39873</v>
      </c>
      <c r="J34" s="1">
        <v>142.87</v>
      </c>
      <c r="K34" s="34">
        <v>39873</v>
      </c>
      <c r="L34" s="1">
        <v>1626.9</v>
      </c>
      <c r="M34" s="34">
        <v>39873</v>
      </c>
      <c r="N34" s="1">
        <v>255</v>
      </c>
    </row>
    <row r="35" spans="1:14" x14ac:dyDescent="0.25">
      <c r="A35" s="34">
        <v>39904</v>
      </c>
      <c r="B35" s="1">
        <v>1627.9</v>
      </c>
      <c r="C35" s="34">
        <v>39904</v>
      </c>
      <c r="D35" s="1">
        <v>339</v>
      </c>
      <c r="E35" s="34">
        <v>39904</v>
      </c>
      <c r="F35" s="1">
        <v>7.9</v>
      </c>
      <c r="G35" s="34">
        <v>39904</v>
      </c>
      <c r="H35" s="1">
        <v>-2.86</v>
      </c>
      <c r="I35" s="34">
        <v>39904</v>
      </c>
      <c r="J35" s="1">
        <v>141.97</v>
      </c>
      <c r="K35" s="34">
        <v>39904</v>
      </c>
      <c r="L35" s="1">
        <v>1627</v>
      </c>
      <c r="M35" s="34">
        <v>39904</v>
      </c>
      <c r="N35" s="1">
        <v>254.8</v>
      </c>
    </row>
    <row r="36" spans="1:14" x14ac:dyDescent="0.25">
      <c r="A36" s="34">
        <v>39934</v>
      </c>
      <c r="B36" s="1">
        <v>1629.7</v>
      </c>
      <c r="C36" s="34">
        <v>39934</v>
      </c>
      <c r="D36" s="1">
        <v>237</v>
      </c>
      <c r="E36" s="34">
        <v>39934</v>
      </c>
      <c r="F36" s="1">
        <v>8.1</v>
      </c>
      <c r="G36" s="34">
        <v>39934</v>
      </c>
      <c r="H36" s="1">
        <v>-2.31</v>
      </c>
      <c r="I36" s="34">
        <v>39934</v>
      </c>
      <c r="J36" s="1">
        <v>141.19999999999999</v>
      </c>
      <c r="K36" s="34">
        <v>39934</v>
      </c>
      <c r="L36" s="1">
        <v>1639.7</v>
      </c>
      <c r="M36" s="34">
        <v>39934</v>
      </c>
      <c r="N36" s="1">
        <v>255</v>
      </c>
    </row>
    <row r="37" spans="1:14" x14ac:dyDescent="0.25">
      <c r="A37" s="34">
        <v>39965</v>
      </c>
      <c r="B37" s="1">
        <v>1624.8</v>
      </c>
      <c r="C37" s="34">
        <v>39965</v>
      </c>
      <c r="D37" s="1">
        <v>421</v>
      </c>
      <c r="E37" s="34">
        <v>39965</v>
      </c>
      <c r="F37" s="1">
        <v>8.3000000000000007</v>
      </c>
      <c r="G37" s="34">
        <v>39965</v>
      </c>
      <c r="H37" s="1">
        <v>-2</v>
      </c>
      <c r="I37" s="34">
        <v>39965</v>
      </c>
      <c r="J37" s="1">
        <v>140.55000000000001</v>
      </c>
      <c r="K37" s="34">
        <v>39965</v>
      </c>
      <c r="L37" s="1">
        <v>1640.7</v>
      </c>
      <c r="M37" s="34">
        <v>39965</v>
      </c>
      <c r="N37" s="1">
        <v>248.3</v>
      </c>
    </row>
    <row r="38" spans="1:14" x14ac:dyDescent="0.25">
      <c r="A38" s="34">
        <v>39995</v>
      </c>
      <c r="B38" s="1">
        <v>1614.8</v>
      </c>
      <c r="C38" s="34">
        <v>39995</v>
      </c>
      <c r="D38" s="1">
        <v>473</v>
      </c>
      <c r="E38" s="34">
        <v>39995</v>
      </c>
      <c r="F38" s="1">
        <v>8.4</v>
      </c>
      <c r="G38" s="34">
        <v>39995</v>
      </c>
      <c r="H38" s="1">
        <v>-0.77</v>
      </c>
      <c r="I38" s="34">
        <v>39995</v>
      </c>
      <c r="J38" s="1">
        <v>140.08000000000001</v>
      </c>
      <c r="K38" s="34">
        <v>39995</v>
      </c>
      <c r="L38" s="1">
        <v>1608.5</v>
      </c>
      <c r="M38" s="34">
        <v>39995</v>
      </c>
      <c r="N38" s="1">
        <v>229.1</v>
      </c>
    </row>
    <row r="39" spans="1:14" x14ac:dyDescent="0.25">
      <c r="A39" s="34">
        <v>40026</v>
      </c>
      <c r="B39" s="1">
        <v>1612.6</v>
      </c>
      <c r="C39" s="34">
        <v>40026</v>
      </c>
      <c r="D39" s="1">
        <v>235</v>
      </c>
      <c r="E39" s="34">
        <v>40026</v>
      </c>
      <c r="F39" s="1">
        <v>8.5</v>
      </c>
      <c r="G39" s="34">
        <v>40026</v>
      </c>
      <c r="H39" s="1">
        <v>-0.28000000000000003</v>
      </c>
      <c r="I39" s="34">
        <v>40026</v>
      </c>
      <c r="J39" s="1">
        <v>139.75</v>
      </c>
      <c r="K39" s="34">
        <v>40026</v>
      </c>
      <c r="L39" s="1">
        <v>1602.5</v>
      </c>
      <c r="M39" s="34">
        <v>40026</v>
      </c>
      <c r="N39" s="1">
        <v>230.2</v>
      </c>
    </row>
    <row r="40" spans="1:14" x14ac:dyDescent="0.25">
      <c r="A40" s="34">
        <v>40057</v>
      </c>
      <c r="B40" s="1">
        <v>1613.5</v>
      </c>
      <c r="C40" s="34">
        <v>40057</v>
      </c>
      <c r="D40" s="1">
        <v>227</v>
      </c>
      <c r="E40" s="34">
        <v>40057</v>
      </c>
      <c r="F40" s="1">
        <v>8.6</v>
      </c>
      <c r="G40" s="34">
        <v>40057</v>
      </c>
      <c r="H40" s="1">
        <v>-0.08</v>
      </c>
      <c r="I40" s="34">
        <v>40057</v>
      </c>
      <c r="J40" s="1">
        <v>139.52000000000001</v>
      </c>
      <c r="K40" s="34">
        <v>40057</v>
      </c>
      <c r="L40" s="1">
        <v>1617.4</v>
      </c>
      <c r="M40" s="34">
        <v>40057</v>
      </c>
      <c r="N40" s="1">
        <v>244.1</v>
      </c>
    </row>
    <row r="41" spans="1:14" x14ac:dyDescent="0.25">
      <c r="A41" s="34">
        <v>40087</v>
      </c>
      <c r="B41" s="1">
        <v>1609.2</v>
      </c>
      <c r="C41" s="34">
        <v>40087</v>
      </c>
      <c r="D41" s="1">
        <v>363</v>
      </c>
      <c r="E41" s="34">
        <v>40087</v>
      </c>
      <c r="F41" s="1">
        <v>8.6999999999999993</v>
      </c>
      <c r="G41" s="34">
        <v>40087</v>
      </c>
      <c r="H41" s="1">
        <v>-0.43</v>
      </c>
      <c r="I41" s="34">
        <v>40087</v>
      </c>
      <c r="J41" s="1">
        <v>139.30000000000001</v>
      </c>
      <c r="K41" s="34">
        <v>40087</v>
      </c>
      <c r="L41" s="1">
        <v>1623.1</v>
      </c>
      <c r="M41" s="34">
        <v>40087</v>
      </c>
      <c r="N41" s="1">
        <v>250.2</v>
      </c>
    </row>
    <row r="42" spans="1:14" x14ac:dyDescent="0.25">
      <c r="A42" s="34">
        <v>40118</v>
      </c>
      <c r="B42" s="1">
        <v>1608.5</v>
      </c>
      <c r="C42" s="34">
        <v>40118</v>
      </c>
      <c r="D42" s="1">
        <v>252</v>
      </c>
      <c r="E42" s="34">
        <v>40118</v>
      </c>
      <c r="F42" s="1">
        <v>8.9</v>
      </c>
      <c r="G42" s="34">
        <v>40118</v>
      </c>
      <c r="H42" s="1">
        <v>-0.39</v>
      </c>
      <c r="I42" s="34">
        <v>40118</v>
      </c>
      <c r="J42" s="1">
        <v>139.07</v>
      </c>
      <c r="K42" s="34">
        <v>40118</v>
      </c>
      <c r="L42" s="1">
        <v>1628.3</v>
      </c>
      <c r="M42" s="34">
        <v>40118</v>
      </c>
      <c r="N42" s="1">
        <v>253.1</v>
      </c>
    </row>
    <row r="43" spans="1:14" x14ac:dyDescent="0.25">
      <c r="A43" s="34">
        <v>40148</v>
      </c>
      <c r="B43" s="1">
        <v>1606.4</v>
      </c>
      <c r="C43" s="34">
        <v>40148</v>
      </c>
      <c r="D43" s="1">
        <v>269</v>
      </c>
      <c r="E43" s="34">
        <v>40148</v>
      </c>
      <c r="F43" s="1">
        <v>9</v>
      </c>
      <c r="G43" s="34">
        <v>40148</v>
      </c>
      <c r="H43" s="1">
        <v>0.17</v>
      </c>
      <c r="I43" s="34">
        <v>40148</v>
      </c>
      <c r="J43" s="1">
        <v>138.91</v>
      </c>
      <c r="K43" s="34">
        <v>40148</v>
      </c>
      <c r="L43" s="1">
        <v>1631.3</v>
      </c>
      <c r="M43" s="34">
        <v>40148</v>
      </c>
      <c r="N43" s="1">
        <v>251.7</v>
      </c>
    </row>
    <row r="44" spans="1:14" x14ac:dyDescent="0.25">
      <c r="A44" s="34">
        <v>40179</v>
      </c>
      <c r="B44" s="1">
        <v>1594.5</v>
      </c>
      <c r="C44" s="34">
        <v>40179</v>
      </c>
      <c r="D44" s="1">
        <v>165</v>
      </c>
      <c r="E44" s="34">
        <v>40179</v>
      </c>
      <c r="F44" s="1">
        <v>9.1</v>
      </c>
      <c r="G44" s="34">
        <v>40179</v>
      </c>
      <c r="H44" s="1">
        <v>0.24</v>
      </c>
      <c r="I44" s="34">
        <v>40179</v>
      </c>
      <c r="J44" s="1">
        <v>138.82</v>
      </c>
      <c r="K44" s="34">
        <v>40179</v>
      </c>
      <c r="L44" s="1">
        <v>1569.1</v>
      </c>
      <c r="M44" s="34">
        <v>40179</v>
      </c>
      <c r="N44" s="1">
        <v>245.8</v>
      </c>
    </row>
    <row r="45" spans="1:14" x14ac:dyDescent="0.25">
      <c r="A45" s="34">
        <v>40210</v>
      </c>
      <c r="B45" s="1">
        <v>1593.9</v>
      </c>
      <c r="C45" s="34">
        <v>40210</v>
      </c>
      <c r="D45" s="1">
        <v>188</v>
      </c>
      <c r="E45" s="34">
        <v>40210</v>
      </c>
      <c r="F45" s="1">
        <v>9.1999999999999993</v>
      </c>
      <c r="G45" s="34">
        <v>40210</v>
      </c>
      <c r="H45" s="1">
        <v>1.25</v>
      </c>
      <c r="I45" s="34">
        <v>40210</v>
      </c>
      <c r="J45" s="1">
        <v>138.9</v>
      </c>
      <c r="K45" s="34">
        <v>40210</v>
      </c>
      <c r="L45" s="1">
        <v>1571.8</v>
      </c>
      <c r="M45" s="34">
        <v>40210</v>
      </c>
      <c r="N45" s="1">
        <v>249.8</v>
      </c>
    </row>
    <row r="46" spans="1:14" x14ac:dyDescent="0.25">
      <c r="A46" s="34">
        <v>40238</v>
      </c>
      <c r="B46" s="1">
        <v>1594.9</v>
      </c>
      <c r="C46" s="34">
        <v>40238</v>
      </c>
      <c r="D46" s="1">
        <v>277</v>
      </c>
      <c r="E46" s="34">
        <v>40238</v>
      </c>
      <c r="F46" s="1">
        <v>9.1999999999999993</v>
      </c>
      <c r="G46" s="34">
        <v>40238</v>
      </c>
      <c r="H46" s="1">
        <v>2.09</v>
      </c>
      <c r="I46" s="34">
        <v>40238</v>
      </c>
      <c r="J46" s="1">
        <v>139.19999999999999</v>
      </c>
      <c r="K46" s="34">
        <v>40238</v>
      </c>
      <c r="L46" s="1">
        <v>1575.2</v>
      </c>
      <c r="M46" s="34">
        <v>40238</v>
      </c>
      <c r="N46" s="1">
        <v>247.9</v>
      </c>
    </row>
    <row r="47" spans="1:14" x14ac:dyDescent="0.25">
      <c r="A47" s="34">
        <v>40269</v>
      </c>
      <c r="B47" s="1">
        <v>1600.8</v>
      </c>
      <c r="C47" s="34">
        <v>40269</v>
      </c>
      <c r="D47" s="1">
        <v>346</v>
      </c>
      <c r="E47" s="34">
        <v>40269</v>
      </c>
      <c r="F47" s="1">
        <v>9.1999999999999993</v>
      </c>
      <c r="G47" s="34">
        <v>40269</v>
      </c>
      <c r="H47" s="1">
        <v>2.13</v>
      </c>
      <c r="I47" s="34">
        <v>40269</v>
      </c>
      <c r="J47" s="1">
        <v>139.65</v>
      </c>
      <c r="K47" s="34">
        <v>40269</v>
      </c>
      <c r="L47" s="1">
        <v>1600.3</v>
      </c>
      <c r="M47" s="34">
        <v>40269</v>
      </c>
      <c r="N47" s="1">
        <v>247.4</v>
      </c>
    </row>
    <row r="48" spans="1:14" x14ac:dyDescent="0.25">
      <c r="A48" s="34">
        <v>40299</v>
      </c>
      <c r="B48" s="1">
        <v>1611.6</v>
      </c>
      <c r="C48" s="34">
        <v>40299</v>
      </c>
      <c r="D48" s="1">
        <v>256</v>
      </c>
      <c r="E48" s="34">
        <v>40299</v>
      </c>
      <c r="F48" s="1">
        <v>9.1999999999999993</v>
      </c>
      <c r="G48" s="34">
        <v>40299</v>
      </c>
      <c r="H48" s="1">
        <v>1.71</v>
      </c>
      <c r="I48" s="34">
        <v>40299</v>
      </c>
      <c r="J48" s="1">
        <v>140.1</v>
      </c>
      <c r="K48" s="34">
        <v>40299</v>
      </c>
      <c r="L48" s="1">
        <v>1622.4</v>
      </c>
      <c r="M48" s="34">
        <v>40299</v>
      </c>
      <c r="N48" s="1">
        <v>254</v>
      </c>
    </row>
    <row r="49" spans="1:14" x14ac:dyDescent="0.25">
      <c r="A49" s="34">
        <v>40330</v>
      </c>
      <c r="B49" s="1">
        <v>1610.2</v>
      </c>
      <c r="C49" s="34">
        <v>40330</v>
      </c>
      <c r="D49" s="1">
        <v>247</v>
      </c>
      <c r="E49" s="34">
        <v>40330</v>
      </c>
      <c r="F49" s="1">
        <v>9.3000000000000007</v>
      </c>
      <c r="G49" s="34">
        <v>40330</v>
      </c>
      <c r="H49" s="1">
        <v>1.32</v>
      </c>
      <c r="I49" s="34">
        <v>40330</v>
      </c>
      <c r="J49" s="1">
        <v>140.46</v>
      </c>
      <c r="K49" s="34">
        <v>40330</v>
      </c>
      <c r="L49" s="1">
        <v>1625.1</v>
      </c>
      <c r="M49" s="34">
        <v>40330</v>
      </c>
      <c r="N49" s="1">
        <v>243.9</v>
      </c>
    </row>
    <row r="50" spans="1:14" x14ac:dyDescent="0.25">
      <c r="A50" s="34">
        <v>40360</v>
      </c>
      <c r="B50" s="1">
        <v>1612.6</v>
      </c>
      <c r="C50" s="34">
        <v>40360</v>
      </c>
      <c r="D50" s="1">
        <v>296</v>
      </c>
      <c r="E50" s="34">
        <v>40360</v>
      </c>
      <c r="F50" s="1">
        <v>9.3000000000000007</v>
      </c>
      <c r="G50" s="34">
        <v>40360</v>
      </c>
      <c r="H50" s="1">
        <v>1.75</v>
      </c>
      <c r="I50" s="34">
        <v>40360</v>
      </c>
      <c r="J50" s="1">
        <v>140.80000000000001</v>
      </c>
      <c r="K50" s="34">
        <v>40360</v>
      </c>
      <c r="L50" s="1">
        <v>1607.3</v>
      </c>
      <c r="M50" s="34">
        <v>40360</v>
      </c>
      <c r="N50" s="1">
        <v>227.9</v>
      </c>
    </row>
    <row r="51" spans="1:14" x14ac:dyDescent="0.25">
      <c r="A51" s="34">
        <v>40391</v>
      </c>
      <c r="B51" s="1">
        <v>1614.1</v>
      </c>
      <c r="C51" s="34">
        <v>40391</v>
      </c>
      <c r="D51" s="1">
        <v>239</v>
      </c>
      <c r="E51" s="34">
        <v>40391</v>
      </c>
      <c r="F51" s="1">
        <v>9.4</v>
      </c>
      <c r="G51" s="34">
        <v>40391</v>
      </c>
      <c r="H51" s="1">
        <v>0.88</v>
      </c>
      <c r="I51" s="34">
        <v>40391</v>
      </c>
      <c r="J51" s="1">
        <v>141.08000000000001</v>
      </c>
      <c r="K51" s="34">
        <v>40391</v>
      </c>
      <c r="L51" s="1">
        <v>1604.2</v>
      </c>
      <c r="M51" s="34">
        <v>40391</v>
      </c>
      <c r="N51" s="1">
        <v>229.1</v>
      </c>
    </row>
    <row r="52" spans="1:14" x14ac:dyDescent="0.25">
      <c r="A52" s="34">
        <v>40422</v>
      </c>
      <c r="B52" s="1">
        <v>1612.6</v>
      </c>
      <c r="C52" s="34">
        <v>40422</v>
      </c>
      <c r="D52" s="1">
        <v>398</v>
      </c>
      <c r="E52" s="34">
        <v>40422</v>
      </c>
      <c r="F52" s="1">
        <v>9.4</v>
      </c>
      <c r="G52" s="34">
        <v>40422</v>
      </c>
      <c r="H52" s="1">
        <v>0.99</v>
      </c>
      <c r="I52" s="34">
        <v>40422</v>
      </c>
      <c r="J52" s="1">
        <v>141.33000000000001</v>
      </c>
      <c r="K52" s="34">
        <v>40422</v>
      </c>
      <c r="L52" s="1">
        <v>1616.8</v>
      </c>
      <c r="M52" s="34">
        <v>40422</v>
      </c>
      <c r="N52" s="1">
        <v>240.4</v>
      </c>
    </row>
    <row r="53" spans="1:14" x14ac:dyDescent="0.25">
      <c r="A53" s="34">
        <v>40452</v>
      </c>
      <c r="B53" s="1">
        <v>1616</v>
      </c>
      <c r="C53" s="34">
        <v>40452</v>
      </c>
      <c r="D53" s="1">
        <v>293</v>
      </c>
      <c r="E53" s="34">
        <v>40452</v>
      </c>
      <c r="F53" s="1">
        <v>9.5</v>
      </c>
      <c r="G53" s="34">
        <v>40452</v>
      </c>
      <c r="H53" s="1">
        <v>0.91</v>
      </c>
      <c r="I53" s="34">
        <v>40452</v>
      </c>
      <c r="J53" s="1">
        <v>141.55000000000001</v>
      </c>
      <c r="K53" s="34">
        <v>40452</v>
      </c>
      <c r="L53" s="1">
        <v>1629.1</v>
      </c>
      <c r="M53" s="34">
        <v>40452</v>
      </c>
      <c r="N53" s="1">
        <v>247.4</v>
      </c>
    </row>
    <row r="54" spans="1:14" x14ac:dyDescent="0.25">
      <c r="A54" s="34">
        <v>40483</v>
      </c>
      <c r="B54" s="1">
        <v>1616.1</v>
      </c>
      <c r="C54" s="34">
        <v>40483</v>
      </c>
      <c r="D54" s="1">
        <v>300</v>
      </c>
      <c r="E54" s="34">
        <v>40483</v>
      </c>
      <c r="F54" s="1">
        <v>9.5</v>
      </c>
      <c r="G54" s="34">
        <v>40483</v>
      </c>
      <c r="H54" s="1">
        <v>1.81</v>
      </c>
      <c r="I54" s="34">
        <v>40483</v>
      </c>
      <c r="J54" s="1">
        <v>141.84</v>
      </c>
      <c r="K54" s="34">
        <v>40483</v>
      </c>
      <c r="L54" s="1">
        <v>1635.5</v>
      </c>
      <c r="M54" s="34">
        <v>40483</v>
      </c>
      <c r="N54" s="1">
        <v>248.9</v>
      </c>
    </row>
    <row r="55" spans="1:14" x14ac:dyDescent="0.25">
      <c r="A55" s="34">
        <v>40513</v>
      </c>
      <c r="B55" s="1">
        <v>1616.9</v>
      </c>
      <c r="C55" s="34">
        <v>40513</v>
      </c>
      <c r="D55" s="1">
        <v>215</v>
      </c>
      <c r="E55" s="34">
        <v>40513</v>
      </c>
      <c r="F55" s="1">
        <v>9.4</v>
      </c>
      <c r="G55" s="34">
        <v>40513</v>
      </c>
      <c r="H55" s="1">
        <v>1.96</v>
      </c>
      <c r="I55" s="34">
        <v>40513</v>
      </c>
      <c r="J55" s="1">
        <v>142.25</v>
      </c>
      <c r="K55" s="34">
        <v>40513</v>
      </c>
      <c r="L55" s="1">
        <v>1639.2</v>
      </c>
      <c r="M55" s="34">
        <v>40513</v>
      </c>
      <c r="N55" s="1">
        <v>247.9</v>
      </c>
    </row>
    <row r="56" spans="1:14" x14ac:dyDescent="0.25">
      <c r="A56" s="34">
        <v>40544</v>
      </c>
      <c r="B56" s="1">
        <v>1618.1</v>
      </c>
      <c r="C56" s="34">
        <v>40544</v>
      </c>
      <c r="D56" s="1">
        <v>133</v>
      </c>
      <c r="E56" s="34">
        <v>40544</v>
      </c>
      <c r="F56" s="1">
        <v>9.3000000000000007</v>
      </c>
      <c r="G56" s="34">
        <v>40544</v>
      </c>
      <c r="H56" s="1">
        <v>1.47</v>
      </c>
      <c r="I56" s="34">
        <v>40544</v>
      </c>
      <c r="J56" s="1">
        <v>142.69</v>
      </c>
      <c r="K56" s="34">
        <v>40544</v>
      </c>
      <c r="L56" s="1">
        <v>1591.4</v>
      </c>
      <c r="M56" s="34">
        <v>40544</v>
      </c>
      <c r="N56" s="1">
        <v>241</v>
      </c>
    </row>
    <row r="57" spans="1:14" x14ac:dyDescent="0.25">
      <c r="A57" s="34">
        <v>40575</v>
      </c>
      <c r="B57" s="1">
        <v>1620.7</v>
      </c>
      <c r="C57" s="34">
        <v>40575</v>
      </c>
      <c r="D57" s="1">
        <v>114</v>
      </c>
      <c r="E57" s="34">
        <v>40575</v>
      </c>
      <c r="F57" s="1">
        <v>9.1999999999999993</v>
      </c>
      <c r="G57" s="34">
        <v>40575</v>
      </c>
      <c r="H57" s="1">
        <v>1.53</v>
      </c>
      <c r="I57" s="34">
        <v>40575</v>
      </c>
      <c r="J57" s="1">
        <v>143.13999999999999</v>
      </c>
      <c r="K57" s="34">
        <v>40575</v>
      </c>
      <c r="L57" s="1">
        <v>1598</v>
      </c>
      <c r="M57" s="34">
        <v>40575</v>
      </c>
      <c r="N57" s="1">
        <v>245.1</v>
      </c>
    </row>
    <row r="58" spans="1:14" x14ac:dyDescent="0.25">
      <c r="A58" s="34">
        <v>40603</v>
      </c>
      <c r="B58" s="1">
        <v>1620.1</v>
      </c>
      <c r="C58" s="34">
        <v>40603</v>
      </c>
      <c r="D58" s="1">
        <v>267</v>
      </c>
      <c r="E58" s="34">
        <v>40603</v>
      </c>
      <c r="F58" s="1">
        <v>9.1</v>
      </c>
      <c r="G58" s="34">
        <v>40603</v>
      </c>
      <c r="H58" s="1">
        <v>1.38</v>
      </c>
      <c r="I58" s="34">
        <v>40603</v>
      </c>
      <c r="J58" s="1">
        <v>143.54</v>
      </c>
      <c r="K58" s="34">
        <v>40603</v>
      </c>
      <c r="L58" s="1">
        <v>1600.3</v>
      </c>
      <c r="M58" s="34">
        <v>40603</v>
      </c>
      <c r="N58" s="1">
        <v>245.1</v>
      </c>
    </row>
    <row r="59" spans="1:14" x14ac:dyDescent="0.25">
      <c r="A59" s="34">
        <v>40634</v>
      </c>
      <c r="B59" s="1">
        <v>1627.4</v>
      </c>
      <c r="C59" s="34">
        <v>40634</v>
      </c>
      <c r="D59" s="1">
        <v>234</v>
      </c>
      <c r="E59" s="34">
        <v>40634</v>
      </c>
      <c r="F59" s="1">
        <v>9</v>
      </c>
      <c r="G59" s="34">
        <v>40634</v>
      </c>
      <c r="H59" s="1">
        <v>0.86</v>
      </c>
      <c r="I59" s="34">
        <v>40634</v>
      </c>
      <c r="J59" s="1">
        <v>143.85</v>
      </c>
      <c r="K59" s="34">
        <v>40634</v>
      </c>
      <c r="L59" s="1">
        <v>1627.8</v>
      </c>
      <c r="M59" s="34">
        <v>40634</v>
      </c>
      <c r="N59" s="1">
        <v>247.4</v>
      </c>
    </row>
    <row r="60" spans="1:14" x14ac:dyDescent="0.25">
      <c r="A60" s="34">
        <v>40664</v>
      </c>
      <c r="B60" s="1">
        <v>1623.6</v>
      </c>
      <c r="C60" s="34">
        <v>40664</v>
      </c>
      <c r="D60" s="1">
        <v>228</v>
      </c>
      <c r="E60" s="34">
        <v>40664</v>
      </c>
      <c r="F60" s="1">
        <v>9</v>
      </c>
      <c r="G60" s="34">
        <v>40664</v>
      </c>
      <c r="H60" s="1">
        <v>0.04</v>
      </c>
      <c r="I60" s="34">
        <v>40664</v>
      </c>
      <c r="J60" s="1">
        <v>144.01</v>
      </c>
      <c r="K60" s="34">
        <v>40664</v>
      </c>
      <c r="L60" s="1">
        <v>1634.9</v>
      </c>
      <c r="M60" s="34">
        <v>40664</v>
      </c>
      <c r="N60" s="1">
        <v>244.9</v>
      </c>
    </row>
    <row r="61" spans="1:14" x14ac:dyDescent="0.25">
      <c r="A61" s="34">
        <v>40695</v>
      </c>
      <c r="B61" s="1">
        <v>1622.3</v>
      </c>
      <c r="C61" s="34">
        <v>40695</v>
      </c>
      <c r="D61" s="1">
        <v>418</v>
      </c>
      <c r="E61" s="34">
        <v>40695</v>
      </c>
      <c r="F61" s="1">
        <v>9</v>
      </c>
      <c r="G61" s="34">
        <v>40695</v>
      </c>
      <c r="H61" s="1">
        <v>0.63</v>
      </c>
      <c r="I61" s="34">
        <v>40695</v>
      </c>
      <c r="J61" s="1">
        <v>144.09</v>
      </c>
      <c r="K61" s="34">
        <v>40695</v>
      </c>
      <c r="L61" s="1">
        <v>1638.2</v>
      </c>
      <c r="M61" s="34">
        <v>40695</v>
      </c>
      <c r="N61" s="1">
        <v>236.8</v>
      </c>
    </row>
    <row r="62" spans="1:14" x14ac:dyDescent="0.25">
      <c r="A62" s="34">
        <v>40725</v>
      </c>
      <c r="B62" s="1">
        <v>1628.5</v>
      </c>
      <c r="C62" s="34">
        <v>40725</v>
      </c>
      <c r="D62" s="1">
        <v>276</v>
      </c>
      <c r="E62" s="34">
        <v>40725</v>
      </c>
      <c r="F62" s="1">
        <v>9</v>
      </c>
      <c r="G62" s="34">
        <v>40725</v>
      </c>
      <c r="H62" s="1">
        <v>1.1000000000000001</v>
      </c>
      <c r="I62" s="34">
        <v>40725</v>
      </c>
      <c r="J62" s="1">
        <v>144.22999999999999</v>
      </c>
      <c r="K62" s="34">
        <v>40725</v>
      </c>
      <c r="L62" s="1">
        <v>1622.6</v>
      </c>
      <c r="M62" s="34">
        <v>40725</v>
      </c>
      <c r="N62" s="1">
        <v>224.6</v>
      </c>
    </row>
    <row r="63" spans="1:14" x14ac:dyDescent="0.25">
      <c r="A63" s="34">
        <v>40756</v>
      </c>
      <c r="B63" s="1">
        <v>1626.8</v>
      </c>
      <c r="C63" s="34">
        <v>40756</v>
      </c>
      <c r="D63" s="1">
        <v>250</v>
      </c>
      <c r="E63" s="34">
        <v>40756</v>
      </c>
      <c r="F63" s="1">
        <v>8.9</v>
      </c>
      <c r="G63" s="34">
        <v>40756</v>
      </c>
      <c r="H63" s="1">
        <v>1.45</v>
      </c>
      <c r="I63" s="34">
        <v>40756</v>
      </c>
      <c r="J63" s="1">
        <v>144.47</v>
      </c>
      <c r="K63" s="34">
        <v>40756</v>
      </c>
      <c r="L63" s="1">
        <v>1616.9</v>
      </c>
      <c r="M63" s="34">
        <v>40756</v>
      </c>
      <c r="N63" s="1">
        <v>223.4</v>
      </c>
    </row>
    <row r="64" spans="1:14" x14ac:dyDescent="0.25">
      <c r="A64" s="34">
        <v>40787</v>
      </c>
      <c r="B64" s="1">
        <v>1628.9</v>
      </c>
      <c r="C64" s="34">
        <v>40787</v>
      </c>
      <c r="D64" s="1">
        <v>441</v>
      </c>
      <c r="E64" s="34">
        <v>40787</v>
      </c>
      <c r="F64" s="1">
        <v>8.8000000000000007</v>
      </c>
      <c r="G64" s="34">
        <v>40787</v>
      </c>
      <c r="H64" s="1">
        <v>1.7</v>
      </c>
      <c r="I64" s="34">
        <v>40787</v>
      </c>
      <c r="J64" s="1">
        <v>144.78</v>
      </c>
      <c r="K64" s="34">
        <v>40787</v>
      </c>
      <c r="L64" s="1">
        <v>1632.6</v>
      </c>
      <c r="M64" s="34">
        <v>40787</v>
      </c>
      <c r="N64" s="1">
        <v>238.6</v>
      </c>
    </row>
    <row r="65" spans="1:14" x14ac:dyDescent="0.25">
      <c r="A65" s="34">
        <v>40817</v>
      </c>
      <c r="B65" s="1">
        <v>1626.4</v>
      </c>
      <c r="C65" s="34">
        <v>40817</v>
      </c>
      <c r="D65" s="1">
        <v>187</v>
      </c>
      <c r="E65" s="34">
        <v>40817</v>
      </c>
      <c r="F65" s="1">
        <v>8.6</v>
      </c>
      <c r="G65" s="34">
        <v>40817</v>
      </c>
      <c r="H65" s="1">
        <v>1.83</v>
      </c>
      <c r="I65" s="34">
        <v>40817</v>
      </c>
      <c r="J65" s="1">
        <v>145.18</v>
      </c>
      <c r="K65" s="34">
        <v>40817</v>
      </c>
      <c r="L65" s="1">
        <v>1639</v>
      </c>
      <c r="M65" s="34">
        <v>40817</v>
      </c>
      <c r="N65" s="1">
        <v>244.4</v>
      </c>
    </row>
    <row r="66" spans="1:14" x14ac:dyDescent="0.25">
      <c r="A66" s="34">
        <v>40848</v>
      </c>
      <c r="B66" s="1">
        <v>1628.3</v>
      </c>
      <c r="C66" s="34">
        <v>40848</v>
      </c>
      <c r="D66" s="1">
        <v>270</v>
      </c>
      <c r="E66" s="34">
        <v>40848</v>
      </c>
      <c r="F66" s="1">
        <v>8.5</v>
      </c>
      <c r="G66" s="34">
        <v>40848</v>
      </c>
      <c r="H66" s="1">
        <v>1.83</v>
      </c>
      <c r="I66" s="34">
        <v>40848</v>
      </c>
      <c r="J66" s="1">
        <v>145.63</v>
      </c>
      <c r="K66" s="34">
        <v>40848</v>
      </c>
      <c r="L66" s="1">
        <v>1647</v>
      </c>
      <c r="M66" s="34">
        <v>40848</v>
      </c>
      <c r="N66" s="1">
        <v>245.9</v>
      </c>
    </row>
    <row r="67" spans="1:14" x14ac:dyDescent="0.25">
      <c r="A67" s="34">
        <v>40878</v>
      </c>
      <c r="B67" s="1">
        <v>1631.2</v>
      </c>
      <c r="C67" s="34">
        <v>40878</v>
      </c>
      <c r="D67" s="1">
        <v>253</v>
      </c>
      <c r="E67" s="34">
        <v>40878</v>
      </c>
      <c r="F67" s="1">
        <v>8.3000000000000007</v>
      </c>
      <c r="G67" s="34">
        <v>40878</v>
      </c>
      <c r="H67" s="1">
        <v>2.19</v>
      </c>
      <c r="I67" s="34">
        <v>40878</v>
      </c>
      <c r="J67" s="1">
        <v>146.16999999999999</v>
      </c>
      <c r="K67" s="34">
        <v>40878</v>
      </c>
      <c r="L67" s="1">
        <v>1653</v>
      </c>
      <c r="M67" s="34">
        <v>40878</v>
      </c>
      <c r="N67" s="1">
        <v>245.9</v>
      </c>
    </row>
    <row r="68" spans="1:14" x14ac:dyDescent="0.25">
      <c r="A68" s="34">
        <v>40909</v>
      </c>
      <c r="B68" s="1">
        <v>1637.2</v>
      </c>
      <c r="C68" s="34">
        <v>40909</v>
      </c>
      <c r="D68" s="1">
        <v>154</v>
      </c>
      <c r="E68" s="34">
        <v>40909</v>
      </c>
      <c r="F68" s="1">
        <v>8.1999999999999993</v>
      </c>
      <c r="G68" s="34">
        <v>40909</v>
      </c>
      <c r="H68" s="1">
        <v>2.06</v>
      </c>
      <c r="I68" s="34">
        <v>40909</v>
      </c>
      <c r="J68" s="1">
        <v>146.69999999999999</v>
      </c>
      <c r="K68" s="34">
        <v>40909</v>
      </c>
      <c r="L68" s="1">
        <v>1609.4</v>
      </c>
      <c r="M68" s="34">
        <v>40909</v>
      </c>
      <c r="N68" s="1">
        <v>238.4</v>
      </c>
    </row>
    <row r="69" spans="1:14" x14ac:dyDescent="0.25">
      <c r="A69" s="34">
        <v>40940</v>
      </c>
      <c r="B69" s="1">
        <v>1639.9</v>
      </c>
      <c r="C69" s="34">
        <v>40940</v>
      </c>
      <c r="D69" s="1">
        <v>410</v>
      </c>
      <c r="E69" s="34">
        <v>40940</v>
      </c>
      <c r="F69" s="1">
        <v>8.1</v>
      </c>
      <c r="G69" s="34">
        <v>40940</v>
      </c>
      <c r="H69" s="1">
        <v>1.77</v>
      </c>
      <c r="I69" s="34">
        <v>40940</v>
      </c>
      <c r="J69" s="1">
        <v>147.15</v>
      </c>
      <c r="K69" s="34">
        <v>40940</v>
      </c>
      <c r="L69" s="1">
        <v>1615.5</v>
      </c>
      <c r="M69" s="34">
        <v>40940</v>
      </c>
      <c r="N69" s="1">
        <v>244.3</v>
      </c>
    </row>
    <row r="70" spans="1:14" x14ac:dyDescent="0.25">
      <c r="A70" s="34">
        <v>40969</v>
      </c>
      <c r="B70" s="1">
        <v>1643</v>
      </c>
      <c r="C70" s="34">
        <v>40969</v>
      </c>
      <c r="D70" s="1">
        <v>249</v>
      </c>
      <c r="E70" s="34">
        <v>40969</v>
      </c>
      <c r="F70" s="1">
        <v>8.1</v>
      </c>
      <c r="G70" s="34">
        <v>40969</v>
      </c>
      <c r="H70" s="1">
        <v>0.94</v>
      </c>
      <c r="I70" s="34">
        <v>40969</v>
      </c>
      <c r="J70" s="1">
        <v>147.41</v>
      </c>
      <c r="K70" s="34">
        <v>40969</v>
      </c>
      <c r="L70" s="1">
        <v>1623.1</v>
      </c>
      <c r="M70" s="34">
        <v>40969</v>
      </c>
      <c r="N70" s="1">
        <v>244</v>
      </c>
    </row>
    <row r="71" spans="1:14" x14ac:dyDescent="0.25">
      <c r="A71" s="34">
        <v>41000</v>
      </c>
      <c r="B71" s="1">
        <v>1636.9</v>
      </c>
      <c r="C71" s="34">
        <v>41000</v>
      </c>
      <c r="D71" s="1">
        <v>249</v>
      </c>
      <c r="E71" s="34">
        <v>41000</v>
      </c>
      <c r="F71" s="1">
        <v>8.1999999999999993</v>
      </c>
      <c r="G71" s="34">
        <v>41000</v>
      </c>
      <c r="H71" s="1">
        <v>0.51</v>
      </c>
      <c r="I71" s="34">
        <v>41000</v>
      </c>
      <c r="J71" s="1">
        <v>147.5</v>
      </c>
      <c r="K71" s="34">
        <v>41000</v>
      </c>
      <c r="L71" s="1">
        <v>1635.1</v>
      </c>
      <c r="M71" s="34">
        <v>41000</v>
      </c>
      <c r="N71" s="1">
        <v>242.8</v>
      </c>
    </row>
    <row r="72" spans="1:14" x14ac:dyDescent="0.25">
      <c r="A72" s="34">
        <v>41030</v>
      </c>
      <c r="B72" s="1">
        <v>1636.5</v>
      </c>
      <c r="C72" s="34">
        <v>41030</v>
      </c>
      <c r="D72" s="1">
        <v>358</v>
      </c>
      <c r="E72" s="34">
        <v>41030</v>
      </c>
      <c r="F72" s="1">
        <v>8.3000000000000007</v>
      </c>
      <c r="G72" s="34">
        <v>41030</v>
      </c>
      <c r="H72" s="1">
        <v>0.72</v>
      </c>
      <c r="I72" s="34">
        <v>41030</v>
      </c>
      <c r="J72" s="1">
        <v>147.52000000000001</v>
      </c>
      <c r="K72" s="34">
        <v>41030</v>
      </c>
      <c r="L72" s="1">
        <v>1648.1</v>
      </c>
      <c r="M72" s="34">
        <v>41030</v>
      </c>
      <c r="N72" s="1">
        <v>241.3</v>
      </c>
    </row>
    <row r="73" spans="1:14" x14ac:dyDescent="0.25">
      <c r="A73" s="34">
        <v>41061</v>
      </c>
      <c r="B73" s="1">
        <v>1639.5</v>
      </c>
      <c r="C73" s="34">
        <v>41061</v>
      </c>
      <c r="D73" s="1">
        <v>792</v>
      </c>
      <c r="E73" s="34">
        <v>41061</v>
      </c>
      <c r="F73" s="1">
        <v>8.4</v>
      </c>
      <c r="G73" s="34">
        <v>41061</v>
      </c>
      <c r="H73" s="1">
        <v>0.69</v>
      </c>
      <c r="I73" s="34">
        <v>41061</v>
      </c>
      <c r="J73" s="1">
        <v>147.55000000000001</v>
      </c>
      <c r="K73" s="34">
        <v>41061</v>
      </c>
      <c r="L73" s="1">
        <v>1655.6</v>
      </c>
      <c r="M73" s="34">
        <v>41061</v>
      </c>
      <c r="N73" s="1">
        <v>235.7</v>
      </c>
    </row>
    <row r="74" spans="1:14" x14ac:dyDescent="0.25">
      <c r="A74" s="34">
        <v>41091</v>
      </c>
      <c r="B74" s="1">
        <v>1639.1</v>
      </c>
      <c r="C74" s="34">
        <v>41091</v>
      </c>
      <c r="D74" s="1">
        <v>402</v>
      </c>
      <c r="E74" s="34">
        <v>41091</v>
      </c>
      <c r="F74" s="1">
        <v>8.5</v>
      </c>
      <c r="G74" s="34">
        <v>41091</v>
      </c>
      <c r="H74" s="1">
        <v>1.06</v>
      </c>
      <c r="I74" s="34">
        <v>41091</v>
      </c>
      <c r="J74" s="1">
        <v>147.66</v>
      </c>
      <c r="K74" s="34">
        <v>41091</v>
      </c>
      <c r="L74" s="1">
        <v>1634.2</v>
      </c>
      <c r="M74" s="34">
        <v>41091</v>
      </c>
      <c r="N74" s="1">
        <v>223.1</v>
      </c>
    </row>
    <row r="75" spans="1:14" x14ac:dyDescent="0.25">
      <c r="A75" s="34">
        <v>41122</v>
      </c>
      <c r="B75" s="1">
        <v>1640.9</v>
      </c>
      <c r="C75" s="34">
        <v>41122</v>
      </c>
      <c r="D75" s="1">
        <v>611</v>
      </c>
      <c r="E75" s="34">
        <v>41122</v>
      </c>
      <c r="F75" s="1">
        <v>8.5</v>
      </c>
      <c r="G75" s="34">
        <v>41122</v>
      </c>
      <c r="H75" s="1">
        <v>1.66</v>
      </c>
      <c r="I75" s="34">
        <v>41122</v>
      </c>
      <c r="J75" s="1">
        <v>147.91999999999999</v>
      </c>
      <c r="K75" s="34">
        <v>41122</v>
      </c>
      <c r="L75" s="1">
        <v>1630.4</v>
      </c>
      <c r="M75" s="34">
        <v>41122</v>
      </c>
      <c r="N75" s="1">
        <v>223.2</v>
      </c>
    </row>
    <row r="76" spans="1:14" x14ac:dyDescent="0.25">
      <c r="A76" s="34">
        <v>41153</v>
      </c>
      <c r="B76" s="1">
        <v>1641.8</v>
      </c>
      <c r="C76" s="34">
        <v>41153</v>
      </c>
      <c r="D76" s="1">
        <v>456</v>
      </c>
      <c r="E76" s="34">
        <v>41153</v>
      </c>
      <c r="F76" s="1">
        <v>8.4</v>
      </c>
      <c r="G76" s="34">
        <v>41153</v>
      </c>
      <c r="H76" s="1">
        <v>1.86</v>
      </c>
      <c r="I76" s="34">
        <v>41153</v>
      </c>
      <c r="J76" s="1">
        <v>148.33000000000001</v>
      </c>
      <c r="K76" s="34">
        <v>41153</v>
      </c>
      <c r="L76" s="1">
        <v>1645.2</v>
      </c>
      <c r="M76" s="34">
        <v>41153</v>
      </c>
      <c r="N76" s="1">
        <v>237.4</v>
      </c>
    </row>
    <row r="77" spans="1:14" x14ac:dyDescent="0.25">
      <c r="A77" s="34">
        <v>41183</v>
      </c>
      <c r="B77" s="1">
        <v>1643.1</v>
      </c>
      <c r="C77" s="34">
        <v>41183</v>
      </c>
      <c r="D77" s="1">
        <v>592</v>
      </c>
      <c r="E77" s="34">
        <v>41183</v>
      </c>
      <c r="F77" s="1">
        <v>8.3000000000000007</v>
      </c>
      <c r="G77" s="34">
        <v>41183</v>
      </c>
      <c r="H77" s="1">
        <v>1.7</v>
      </c>
      <c r="I77" s="34">
        <v>41183</v>
      </c>
      <c r="J77" s="1">
        <v>148.79</v>
      </c>
      <c r="K77" s="34">
        <v>41183</v>
      </c>
      <c r="L77" s="1">
        <v>1655.2</v>
      </c>
      <c r="M77" s="34">
        <v>41183</v>
      </c>
      <c r="N77" s="1">
        <v>242</v>
      </c>
    </row>
    <row r="78" spans="1:14" x14ac:dyDescent="0.25">
      <c r="A78" s="34">
        <v>41214</v>
      </c>
      <c r="B78" s="1">
        <v>1645.6</v>
      </c>
      <c r="C78" s="34">
        <v>41214</v>
      </c>
      <c r="D78" s="1">
        <v>369</v>
      </c>
      <c r="E78" s="34">
        <v>41214</v>
      </c>
      <c r="F78" s="1">
        <v>8.1999999999999993</v>
      </c>
      <c r="G78" s="34">
        <v>41214</v>
      </c>
      <c r="H78" s="1">
        <v>1.61</v>
      </c>
      <c r="I78" s="34">
        <v>41214</v>
      </c>
      <c r="J78" s="1">
        <v>149.26</v>
      </c>
      <c r="K78" s="34">
        <v>41214</v>
      </c>
      <c r="L78" s="1">
        <v>1664.3</v>
      </c>
      <c r="M78" s="34">
        <v>41214</v>
      </c>
      <c r="N78" s="1">
        <v>244.9</v>
      </c>
    </row>
    <row r="79" spans="1:14" x14ac:dyDescent="0.25">
      <c r="A79" s="34">
        <v>41244</v>
      </c>
      <c r="B79" s="1">
        <v>1645.1</v>
      </c>
      <c r="C79" s="34">
        <v>41244</v>
      </c>
      <c r="D79" s="1">
        <v>569</v>
      </c>
      <c r="E79" s="34">
        <v>41244</v>
      </c>
      <c r="F79" s="1">
        <v>8.1</v>
      </c>
      <c r="G79" s="34">
        <v>41244</v>
      </c>
      <c r="H79" s="1">
        <v>1.79</v>
      </c>
      <c r="I79" s="34">
        <v>41244</v>
      </c>
      <c r="J79" s="1">
        <v>149.72999999999999</v>
      </c>
      <c r="K79" s="34">
        <v>41244</v>
      </c>
      <c r="L79" s="1">
        <v>1669.2</v>
      </c>
      <c r="M79" s="34">
        <v>41244</v>
      </c>
      <c r="N79" s="1">
        <v>245.3</v>
      </c>
    </row>
    <row r="80" spans="1:14" x14ac:dyDescent="0.25">
      <c r="A80" s="34">
        <v>41275</v>
      </c>
      <c r="B80" s="1">
        <v>1649.2</v>
      </c>
      <c r="C80" s="34">
        <v>41275</v>
      </c>
      <c r="D80" s="1">
        <v>263</v>
      </c>
      <c r="E80" s="34">
        <v>41275</v>
      </c>
      <c r="F80" s="1">
        <v>8</v>
      </c>
      <c r="G80" s="34">
        <v>41275</v>
      </c>
      <c r="H80" s="1">
        <v>1.68</v>
      </c>
      <c r="I80" s="34">
        <v>41275</v>
      </c>
      <c r="J80" s="1">
        <v>150.18</v>
      </c>
      <c r="K80" s="34">
        <v>41275</v>
      </c>
      <c r="L80" s="1">
        <v>1621.3</v>
      </c>
      <c r="M80" s="34">
        <v>41275</v>
      </c>
      <c r="N80" s="1">
        <v>240.2</v>
      </c>
    </row>
    <row r="81" spans="1:14" x14ac:dyDescent="0.25">
      <c r="A81" s="34">
        <v>41306</v>
      </c>
      <c r="B81" s="1">
        <v>1643.1</v>
      </c>
      <c r="C81" s="34">
        <v>41306</v>
      </c>
      <c r="D81" s="1">
        <v>253</v>
      </c>
      <c r="E81" s="34">
        <v>41306</v>
      </c>
      <c r="F81" s="1">
        <v>7.9</v>
      </c>
      <c r="G81" s="34">
        <v>41306</v>
      </c>
      <c r="H81" s="1">
        <v>1.8</v>
      </c>
      <c r="I81" s="34">
        <v>41306</v>
      </c>
      <c r="J81" s="1">
        <v>150.63</v>
      </c>
      <c r="K81" s="34">
        <v>41306</v>
      </c>
      <c r="L81" s="1">
        <v>1618.8</v>
      </c>
      <c r="M81" s="34">
        <v>41306</v>
      </c>
      <c r="N81" s="1">
        <v>241.3</v>
      </c>
    </row>
    <row r="82" spans="1:14" x14ac:dyDescent="0.25">
      <c r="A82" s="34">
        <v>41334</v>
      </c>
      <c r="B82" s="1">
        <v>1649.5</v>
      </c>
      <c r="C82" s="34">
        <v>41334</v>
      </c>
      <c r="D82" s="1">
        <v>607</v>
      </c>
      <c r="E82" s="34">
        <v>41334</v>
      </c>
      <c r="F82" s="1">
        <v>7.8</v>
      </c>
      <c r="G82" s="34">
        <v>41334</v>
      </c>
      <c r="H82" s="1">
        <v>1.86</v>
      </c>
      <c r="I82" s="34">
        <v>41334</v>
      </c>
      <c r="J82" s="1">
        <v>151.05000000000001</v>
      </c>
      <c r="K82" s="34">
        <v>41334</v>
      </c>
      <c r="L82" s="1">
        <v>1629.6</v>
      </c>
      <c r="M82" s="34">
        <v>41334</v>
      </c>
      <c r="N82" s="1">
        <v>242</v>
      </c>
    </row>
    <row r="83" spans="1:14" x14ac:dyDescent="0.25">
      <c r="A83" s="34">
        <v>41365</v>
      </c>
      <c r="B83" s="1">
        <v>1653.3</v>
      </c>
      <c r="C83" s="34">
        <v>41365</v>
      </c>
      <c r="D83" s="1">
        <v>364</v>
      </c>
      <c r="E83" s="34">
        <v>41365</v>
      </c>
      <c r="F83" s="1">
        <v>7.8</v>
      </c>
      <c r="G83" s="34">
        <v>41365</v>
      </c>
      <c r="H83" s="1">
        <v>1.32</v>
      </c>
      <c r="I83" s="34">
        <v>41365</v>
      </c>
      <c r="J83" s="1">
        <v>151.38999999999999</v>
      </c>
      <c r="K83" s="34">
        <v>41365</v>
      </c>
      <c r="L83" s="1">
        <v>1652</v>
      </c>
      <c r="M83" s="34">
        <v>41365</v>
      </c>
      <c r="N83" s="1">
        <v>242.9</v>
      </c>
    </row>
    <row r="84" spans="1:14" x14ac:dyDescent="0.25">
      <c r="A84" s="34">
        <v>41395</v>
      </c>
      <c r="B84" s="1">
        <v>1653</v>
      </c>
      <c r="C84" s="34">
        <v>41395</v>
      </c>
      <c r="D84" s="1">
        <v>488</v>
      </c>
      <c r="E84" s="34">
        <v>41395</v>
      </c>
      <c r="F84" s="1">
        <v>7.8</v>
      </c>
      <c r="G84" s="34">
        <v>41395</v>
      </c>
      <c r="H84" s="1">
        <v>1.25</v>
      </c>
      <c r="I84" s="34">
        <v>41395</v>
      </c>
      <c r="J84" s="1">
        <v>151.63999999999999</v>
      </c>
      <c r="K84" s="34">
        <v>41395</v>
      </c>
      <c r="L84" s="1">
        <v>1664.7</v>
      </c>
      <c r="M84" s="34">
        <v>41395</v>
      </c>
      <c r="N84" s="1">
        <v>243.1</v>
      </c>
    </row>
    <row r="85" spans="1:14" x14ac:dyDescent="0.25">
      <c r="A85" s="34">
        <v>41426</v>
      </c>
      <c r="B85" s="1">
        <v>1662.1</v>
      </c>
      <c r="C85" s="34">
        <v>41426</v>
      </c>
      <c r="D85" s="1">
        <v>398</v>
      </c>
      <c r="E85" s="34">
        <v>41426</v>
      </c>
      <c r="F85" s="1">
        <v>7.9</v>
      </c>
      <c r="G85" s="34">
        <v>41426</v>
      </c>
      <c r="H85" s="1">
        <v>1</v>
      </c>
      <c r="I85" s="34">
        <v>41426</v>
      </c>
      <c r="J85" s="1">
        <v>151.82</v>
      </c>
      <c r="K85" s="34">
        <v>41426</v>
      </c>
      <c r="L85" s="1">
        <v>1678.1</v>
      </c>
      <c r="M85" s="34">
        <v>41426</v>
      </c>
      <c r="N85" s="1">
        <v>242.6</v>
      </c>
    </row>
    <row r="86" spans="1:14" x14ac:dyDescent="0.25">
      <c r="A86" s="34">
        <v>41456</v>
      </c>
      <c r="B86" s="1">
        <v>1661.1</v>
      </c>
      <c r="C86" s="34">
        <v>41456</v>
      </c>
      <c r="D86" s="1">
        <v>456</v>
      </c>
      <c r="E86" s="34">
        <v>41456</v>
      </c>
      <c r="F86" s="1">
        <v>7.9</v>
      </c>
      <c r="G86" s="34">
        <v>41456</v>
      </c>
      <c r="H86" s="1">
        <v>1.54</v>
      </c>
      <c r="I86" s="34">
        <v>41456</v>
      </c>
      <c r="J86" s="1">
        <v>152.05000000000001</v>
      </c>
      <c r="K86" s="34">
        <v>41456</v>
      </c>
      <c r="L86" s="1">
        <v>1656.4</v>
      </c>
      <c r="M86" s="34">
        <v>41456</v>
      </c>
      <c r="N86" s="1">
        <v>228.2</v>
      </c>
    </row>
    <row r="87" spans="1:14" x14ac:dyDescent="0.25">
      <c r="A87" s="34">
        <v>41487</v>
      </c>
      <c r="B87" s="1">
        <v>1659.7</v>
      </c>
      <c r="C87" s="34">
        <v>41487</v>
      </c>
      <c r="D87" s="1">
        <v>902</v>
      </c>
      <c r="E87" s="34">
        <v>41487</v>
      </c>
      <c r="F87" s="1">
        <v>7.8</v>
      </c>
      <c r="G87" s="34">
        <v>41487</v>
      </c>
      <c r="H87" s="1">
        <v>1.58</v>
      </c>
      <c r="I87" s="34">
        <v>41487</v>
      </c>
      <c r="J87" s="1">
        <v>152.37</v>
      </c>
      <c r="K87" s="34">
        <v>41487</v>
      </c>
      <c r="L87" s="1">
        <v>1648.7</v>
      </c>
      <c r="M87" s="34">
        <v>41487</v>
      </c>
      <c r="N87" s="1">
        <v>223.9</v>
      </c>
    </row>
    <row r="88" spans="1:14" x14ac:dyDescent="0.25">
      <c r="A88" s="34">
        <v>41518</v>
      </c>
      <c r="B88" s="1">
        <v>1653.1</v>
      </c>
      <c r="C88" s="34">
        <v>41518</v>
      </c>
      <c r="D88" s="1">
        <v>328</v>
      </c>
      <c r="E88" s="34">
        <v>41518</v>
      </c>
      <c r="F88" s="1">
        <v>7.7</v>
      </c>
      <c r="G88" s="34">
        <v>41518</v>
      </c>
      <c r="H88" s="1">
        <v>1.23</v>
      </c>
      <c r="I88" s="34">
        <v>41518</v>
      </c>
      <c r="J88" s="1">
        <v>152.72999999999999</v>
      </c>
      <c r="K88" s="34">
        <v>41518</v>
      </c>
      <c r="L88" s="1">
        <v>1656.2</v>
      </c>
      <c r="M88" s="34">
        <v>41518</v>
      </c>
      <c r="N88" s="1">
        <v>234.3</v>
      </c>
    </row>
    <row r="89" spans="1:14" x14ac:dyDescent="0.25">
      <c r="A89" s="34">
        <v>41548</v>
      </c>
      <c r="B89" s="1">
        <v>1658.8</v>
      </c>
      <c r="C89" s="34">
        <v>41548</v>
      </c>
      <c r="D89" s="1">
        <v>544</v>
      </c>
      <c r="E89" s="34">
        <v>41548</v>
      </c>
      <c r="F89" s="1">
        <v>7.6</v>
      </c>
      <c r="G89" s="34">
        <v>41548</v>
      </c>
      <c r="H89" s="1">
        <v>1.63</v>
      </c>
      <c r="I89" s="34">
        <v>41548</v>
      </c>
      <c r="J89" s="1">
        <v>153.11000000000001</v>
      </c>
      <c r="K89" s="34">
        <v>41548</v>
      </c>
      <c r="L89" s="1">
        <v>1669.8</v>
      </c>
      <c r="M89" s="34">
        <v>41548</v>
      </c>
      <c r="N89" s="1">
        <v>239.2</v>
      </c>
    </row>
    <row r="90" spans="1:14" x14ac:dyDescent="0.25">
      <c r="A90" s="34">
        <v>41579</v>
      </c>
      <c r="B90" s="1">
        <v>1661.4</v>
      </c>
      <c r="C90" s="34">
        <v>41579</v>
      </c>
      <c r="D90" s="1">
        <v>290</v>
      </c>
      <c r="E90" s="34">
        <v>41579</v>
      </c>
      <c r="F90" s="1">
        <v>7.5</v>
      </c>
      <c r="G90" s="34">
        <v>41579</v>
      </c>
      <c r="H90" s="1">
        <v>1.47</v>
      </c>
      <c r="I90" s="34">
        <v>41579</v>
      </c>
      <c r="J90" s="1">
        <v>153.5</v>
      </c>
      <c r="K90" s="34">
        <v>41579</v>
      </c>
      <c r="L90" s="1">
        <v>1680</v>
      </c>
      <c r="M90" s="34">
        <v>41579</v>
      </c>
      <c r="N90" s="1">
        <v>241.9</v>
      </c>
    </row>
    <row r="91" spans="1:14" x14ac:dyDescent="0.25">
      <c r="A91" s="34">
        <v>41609</v>
      </c>
      <c r="B91" s="1">
        <v>1663.5</v>
      </c>
      <c r="C91" s="34">
        <v>41609</v>
      </c>
      <c r="D91" s="1">
        <v>331</v>
      </c>
      <c r="E91" s="34">
        <v>41609</v>
      </c>
      <c r="F91" s="1">
        <v>7.4</v>
      </c>
      <c r="G91" s="34">
        <v>41609</v>
      </c>
      <c r="H91" s="1">
        <v>1.73</v>
      </c>
      <c r="I91" s="34">
        <v>41609</v>
      </c>
      <c r="J91" s="1">
        <v>153.93</v>
      </c>
      <c r="K91" s="34">
        <v>41609</v>
      </c>
      <c r="L91" s="1">
        <v>1681.2</v>
      </c>
      <c r="M91" s="34">
        <v>41609</v>
      </c>
      <c r="N91" s="1">
        <v>242.1</v>
      </c>
    </row>
    <row r="92" spans="1:14" x14ac:dyDescent="0.25">
      <c r="A92" s="34">
        <v>41640</v>
      </c>
      <c r="B92" s="1">
        <v>1652.6</v>
      </c>
      <c r="C92" s="34">
        <v>41640</v>
      </c>
      <c r="D92" s="1">
        <v>533</v>
      </c>
      <c r="E92" s="34">
        <v>41640</v>
      </c>
      <c r="F92" s="1">
        <v>7.2</v>
      </c>
      <c r="G92" s="34">
        <v>41640</v>
      </c>
      <c r="H92" s="1">
        <v>2.1</v>
      </c>
      <c r="I92" s="34">
        <v>41640</v>
      </c>
      <c r="J92" s="1">
        <v>154.44</v>
      </c>
      <c r="K92" s="34">
        <v>41640</v>
      </c>
      <c r="L92" s="1">
        <v>1629.3</v>
      </c>
      <c r="M92" s="34">
        <v>41640</v>
      </c>
      <c r="N92" s="1">
        <v>236.1</v>
      </c>
    </row>
    <row r="93" spans="1:14" x14ac:dyDescent="0.25">
      <c r="A93" s="34">
        <v>41671</v>
      </c>
      <c r="B93" s="1">
        <v>1654</v>
      </c>
      <c r="C93" s="34">
        <v>41671</v>
      </c>
      <c r="D93" s="1">
        <v>180</v>
      </c>
      <c r="E93" s="34">
        <v>41671</v>
      </c>
      <c r="F93" s="1">
        <v>7</v>
      </c>
      <c r="G93" s="34">
        <v>41671</v>
      </c>
      <c r="H93" s="1">
        <v>1.63</v>
      </c>
      <c r="I93" s="34">
        <v>41671</v>
      </c>
      <c r="J93" s="1">
        <v>154.94</v>
      </c>
      <c r="K93" s="34">
        <v>41671</v>
      </c>
      <c r="L93" s="1">
        <v>1630.5</v>
      </c>
      <c r="M93" s="34">
        <v>41671</v>
      </c>
      <c r="N93" s="1">
        <v>238.4</v>
      </c>
    </row>
    <row r="94" spans="1:14" x14ac:dyDescent="0.25">
      <c r="A94" s="34">
        <v>41699</v>
      </c>
      <c r="B94" s="1">
        <v>1658</v>
      </c>
      <c r="C94" s="34">
        <v>41699</v>
      </c>
      <c r="D94" s="1">
        <v>249</v>
      </c>
      <c r="E94" s="34">
        <v>41699</v>
      </c>
      <c r="F94" s="1">
        <v>7</v>
      </c>
      <c r="G94" s="34">
        <v>41699</v>
      </c>
      <c r="H94" s="1">
        <v>1.1100000000000001</v>
      </c>
      <c r="I94" s="34">
        <v>41699</v>
      </c>
      <c r="J94" s="1">
        <v>155.32</v>
      </c>
      <c r="K94" s="34">
        <v>41699</v>
      </c>
      <c r="L94" s="1">
        <v>1639.6</v>
      </c>
      <c r="M94" s="34">
        <v>41699</v>
      </c>
      <c r="N94" s="1">
        <v>238.9</v>
      </c>
    </row>
    <row r="95" spans="1:14" x14ac:dyDescent="0.25">
      <c r="A95" s="34">
        <v>41730</v>
      </c>
      <c r="B95" s="1">
        <v>1659.7</v>
      </c>
      <c r="C95" s="34">
        <v>41730</v>
      </c>
      <c r="D95" s="1">
        <v>336</v>
      </c>
      <c r="E95" s="34">
        <v>41730</v>
      </c>
      <c r="F95" s="1">
        <v>6.9</v>
      </c>
      <c r="G95" s="34">
        <v>41730</v>
      </c>
      <c r="H95" s="1">
        <v>1.87</v>
      </c>
      <c r="I95" s="34">
        <v>41730</v>
      </c>
      <c r="J95" s="1">
        <v>155.69999999999999</v>
      </c>
      <c r="K95" s="34">
        <v>41730</v>
      </c>
      <c r="L95" s="1">
        <v>1662.3</v>
      </c>
      <c r="M95" s="34">
        <v>41730</v>
      </c>
      <c r="N95" s="1">
        <v>239.2</v>
      </c>
    </row>
    <row r="96" spans="1:14" x14ac:dyDescent="0.25">
      <c r="A96" s="34">
        <v>41760</v>
      </c>
      <c r="B96" s="1">
        <v>1665.7</v>
      </c>
      <c r="C96" s="34">
        <v>41760</v>
      </c>
      <c r="D96" s="1">
        <v>433</v>
      </c>
      <c r="E96" s="34">
        <v>41760</v>
      </c>
      <c r="F96" s="1">
        <v>6.9</v>
      </c>
      <c r="G96" s="34">
        <v>41760</v>
      </c>
      <c r="H96" s="1">
        <v>1.86</v>
      </c>
      <c r="I96" s="34">
        <v>41760</v>
      </c>
      <c r="J96" s="1">
        <v>156.13999999999999</v>
      </c>
      <c r="K96" s="34">
        <v>41760</v>
      </c>
      <c r="L96" s="1">
        <v>1677.7</v>
      </c>
      <c r="M96" s="34">
        <v>41760</v>
      </c>
      <c r="N96" s="1">
        <v>239</v>
      </c>
    </row>
    <row r="97" spans="1:14" x14ac:dyDescent="0.25">
      <c r="A97" s="34">
        <v>41791</v>
      </c>
      <c r="B97" s="1">
        <v>1667.9</v>
      </c>
      <c r="C97" s="34">
        <v>41791</v>
      </c>
      <c r="D97" s="1">
        <v>1317</v>
      </c>
      <c r="E97" s="34">
        <v>41791</v>
      </c>
      <c r="F97" s="1">
        <v>6.7</v>
      </c>
      <c r="G97" s="34">
        <v>41791</v>
      </c>
      <c r="H97" s="1">
        <v>2.2799999999999998</v>
      </c>
      <c r="I97" s="34">
        <v>41791</v>
      </c>
      <c r="J97" s="1">
        <v>156.69</v>
      </c>
      <c r="K97" s="34">
        <v>41791</v>
      </c>
      <c r="L97" s="1">
        <v>1687.8</v>
      </c>
      <c r="M97" s="34">
        <v>41791</v>
      </c>
      <c r="N97" s="1">
        <v>236.6</v>
      </c>
    </row>
    <row r="98" spans="1:14" x14ac:dyDescent="0.25">
      <c r="A98" s="34">
        <v>41821</v>
      </c>
      <c r="B98" s="1">
        <v>1668.9</v>
      </c>
      <c r="C98" s="34">
        <v>41821</v>
      </c>
      <c r="D98" s="1">
        <v>327</v>
      </c>
      <c r="E98" s="34">
        <v>41821</v>
      </c>
      <c r="F98" s="1">
        <v>6.6</v>
      </c>
      <c r="G98" s="34">
        <v>41821</v>
      </c>
      <c r="H98" s="1">
        <v>1.67</v>
      </c>
      <c r="I98" s="34">
        <v>41821</v>
      </c>
      <c r="J98" s="1">
        <v>157.22999999999999</v>
      </c>
      <c r="K98" s="34">
        <v>41821</v>
      </c>
      <c r="L98" s="1">
        <v>1667.3</v>
      </c>
      <c r="M98" s="34">
        <v>41821</v>
      </c>
      <c r="N98" s="1">
        <v>219.5</v>
      </c>
    </row>
    <row r="99" spans="1:14" x14ac:dyDescent="0.25">
      <c r="A99" s="34">
        <v>41852</v>
      </c>
      <c r="B99" s="1">
        <v>1667.7</v>
      </c>
      <c r="C99" s="34">
        <v>41852</v>
      </c>
      <c r="D99" s="1">
        <v>419</v>
      </c>
      <c r="E99" s="34">
        <v>41852</v>
      </c>
      <c r="F99" s="1">
        <v>6.6</v>
      </c>
      <c r="G99" s="34">
        <v>41852</v>
      </c>
      <c r="H99" s="1">
        <v>2.0099999999999998</v>
      </c>
      <c r="I99" s="34">
        <v>41852</v>
      </c>
      <c r="J99" s="1">
        <v>157.78</v>
      </c>
      <c r="K99" s="34">
        <v>41852</v>
      </c>
      <c r="L99" s="1">
        <v>1658.4</v>
      </c>
      <c r="M99" s="34">
        <v>41852</v>
      </c>
      <c r="N99" s="1">
        <v>220.2</v>
      </c>
    </row>
    <row r="100" spans="1:14" x14ac:dyDescent="0.25">
      <c r="A100" s="34">
        <v>41883</v>
      </c>
      <c r="B100" s="1">
        <v>1678.2</v>
      </c>
      <c r="C100" s="34">
        <v>41883</v>
      </c>
      <c r="D100" s="1">
        <v>463</v>
      </c>
      <c r="E100" s="34">
        <v>41883</v>
      </c>
      <c r="F100" s="1">
        <v>6.4</v>
      </c>
      <c r="G100" s="34">
        <v>41883</v>
      </c>
      <c r="H100" s="1">
        <v>2.71</v>
      </c>
      <c r="I100" s="34">
        <v>41883</v>
      </c>
      <c r="J100" s="1">
        <v>158.41999999999999</v>
      </c>
      <c r="K100" s="34">
        <v>41883</v>
      </c>
      <c r="L100" s="1">
        <v>1676.8</v>
      </c>
      <c r="M100" s="34">
        <v>41883</v>
      </c>
      <c r="N100" s="1">
        <v>235</v>
      </c>
    </row>
    <row r="101" spans="1:14" x14ac:dyDescent="0.25">
      <c r="A101" s="34">
        <v>41913</v>
      </c>
      <c r="B101" s="1">
        <v>1682.5</v>
      </c>
      <c r="C101" s="34">
        <v>41913</v>
      </c>
      <c r="D101" s="1">
        <v>433</v>
      </c>
      <c r="E101" s="34">
        <v>41913</v>
      </c>
      <c r="F101" s="1">
        <v>6.4</v>
      </c>
      <c r="G101" s="34">
        <v>41913</v>
      </c>
      <c r="H101" s="1">
        <v>1.33</v>
      </c>
      <c r="I101" s="34">
        <v>41913</v>
      </c>
      <c r="J101" s="1">
        <v>158.96</v>
      </c>
      <c r="K101" s="34">
        <v>41913</v>
      </c>
      <c r="L101" s="1">
        <v>1695.3</v>
      </c>
      <c r="M101" s="34">
        <v>41913</v>
      </c>
      <c r="N101" s="1">
        <v>240.1</v>
      </c>
    </row>
    <row r="102" spans="1:14" x14ac:dyDescent="0.25">
      <c r="A102" s="34">
        <v>41944</v>
      </c>
      <c r="B102" s="1">
        <v>1685.4</v>
      </c>
      <c r="C102" s="34">
        <v>41944</v>
      </c>
      <c r="D102" s="1">
        <v>250</v>
      </c>
      <c r="E102" s="34">
        <v>41944</v>
      </c>
      <c r="F102" s="1">
        <v>6.5</v>
      </c>
      <c r="G102" s="34">
        <v>41944</v>
      </c>
      <c r="H102" s="1">
        <v>0.98</v>
      </c>
      <c r="I102" s="34">
        <v>41944</v>
      </c>
      <c r="J102" s="1">
        <v>159.33000000000001</v>
      </c>
      <c r="K102" s="34">
        <v>41944</v>
      </c>
      <c r="L102" s="1">
        <v>1703.6</v>
      </c>
      <c r="M102" s="34">
        <v>41944</v>
      </c>
      <c r="N102" s="1">
        <v>242.8</v>
      </c>
    </row>
    <row r="103" spans="1:14" x14ac:dyDescent="0.25">
      <c r="A103" s="34">
        <v>41974</v>
      </c>
      <c r="B103" s="1">
        <v>1690.2</v>
      </c>
      <c r="E103" s="34">
        <v>41974</v>
      </c>
      <c r="F103" s="1">
        <v>6.4</v>
      </c>
      <c r="K103" s="34">
        <v>41974</v>
      </c>
      <c r="L103" s="1">
        <v>1707.8</v>
      </c>
      <c r="M103" s="34">
        <v>41974</v>
      </c>
      <c r="N103" s="1">
        <v>243.1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103"/>
  <sheetViews>
    <sheetView topLeftCell="A82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91</v>
      </c>
      <c r="C1" s="34" t="s">
        <v>92</v>
      </c>
      <c r="E1" s="34" t="s">
        <v>93</v>
      </c>
      <c r="G1" s="34" t="s">
        <v>94</v>
      </c>
      <c r="I1" s="34" t="s">
        <v>95</v>
      </c>
      <c r="K1" s="34" t="str">
        <f>CONCATENATE(LEFT(A1,2), "NAN")</f>
        <v>DENAN</v>
      </c>
      <c r="M1" s="34" t="str">
        <f>CONCATENATE(LEFT(A1,2), "GOVTN")</f>
        <v>DEGOVTN</v>
      </c>
      <c r="O1" s="34" t="str">
        <f>CONCATENATE(LEFT($A$1,2), "RGSP")</f>
        <v>DERGSP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858</v>
      </c>
      <c r="C5" s="35" t="s">
        <v>96</v>
      </c>
      <c r="E5" s="35" t="s">
        <v>97</v>
      </c>
      <c r="G5" s="35" t="s">
        <v>98</v>
      </c>
      <c r="I5" s="35" t="s">
        <v>99</v>
      </c>
      <c r="K5" s="35" t="s">
        <v>858</v>
      </c>
      <c r="M5" s="35" t="s">
        <v>859</v>
      </c>
      <c r="O5" s="35" t="s">
        <v>813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439.3</v>
      </c>
      <c r="C8" s="34">
        <v>39083</v>
      </c>
      <c r="D8" s="1">
        <v>456</v>
      </c>
      <c r="E8" s="34">
        <v>39083</v>
      </c>
      <c r="F8" s="1">
        <v>3.4</v>
      </c>
      <c r="G8" s="34">
        <v>39083</v>
      </c>
      <c r="H8" s="1">
        <v>0.05</v>
      </c>
      <c r="I8" s="34">
        <v>39083</v>
      </c>
      <c r="J8" s="1">
        <v>150.63999999999999</v>
      </c>
      <c r="K8" s="34">
        <v>39083</v>
      </c>
      <c r="L8" s="1">
        <v>428.7</v>
      </c>
      <c r="M8" s="34">
        <v>39083</v>
      </c>
      <c r="N8" s="1">
        <v>60.6</v>
      </c>
      <c r="O8" s="34">
        <v>39083</v>
      </c>
      <c r="P8" s="1">
        <v>57152</v>
      </c>
    </row>
    <row r="9" spans="1:16" x14ac:dyDescent="0.25">
      <c r="A9" s="34">
        <v>39114</v>
      </c>
      <c r="B9" s="1">
        <v>437.7</v>
      </c>
      <c r="C9" s="34">
        <v>39114</v>
      </c>
      <c r="D9" s="1">
        <v>418</v>
      </c>
      <c r="E9" s="34">
        <v>39114</v>
      </c>
      <c r="F9" s="1">
        <v>3.4</v>
      </c>
      <c r="G9" s="34">
        <v>39114</v>
      </c>
      <c r="H9" s="1">
        <v>-0.08</v>
      </c>
      <c r="I9" s="34">
        <v>39114</v>
      </c>
      <c r="J9" s="1">
        <v>150.68</v>
      </c>
      <c r="K9" s="34">
        <v>39114</v>
      </c>
      <c r="L9" s="1">
        <v>427.6</v>
      </c>
      <c r="M9" s="34">
        <v>39114</v>
      </c>
      <c r="N9" s="1">
        <v>61.7</v>
      </c>
      <c r="O9" s="34">
        <v>39448</v>
      </c>
      <c r="P9" s="1">
        <v>54035</v>
      </c>
    </row>
    <row r="10" spans="1:16" x14ac:dyDescent="0.25">
      <c r="A10" s="34">
        <v>39142</v>
      </c>
      <c r="B10" s="1">
        <v>438.7</v>
      </c>
      <c r="C10" s="34">
        <v>39142</v>
      </c>
      <c r="D10" s="1">
        <v>489</v>
      </c>
      <c r="E10" s="34">
        <v>39142</v>
      </c>
      <c r="F10" s="1">
        <v>3.4</v>
      </c>
      <c r="G10" s="34">
        <v>39142</v>
      </c>
      <c r="H10" s="1">
        <v>0.1</v>
      </c>
      <c r="I10" s="34">
        <v>39142</v>
      </c>
      <c r="J10" s="1">
        <v>150.69999999999999</v>
      </c>
      <c r="K10" s="34">
        <v>39142</v>
      </c>
      <c r="L10" s="1">
        <v>432.8</v>
      </c>
      <c r="M10" s="34">
        <v>39142</v>
      </c>
      <c r="N10" s="1">
        <v>62.9</v>
      </c>
      <c r="O10" s="34">
        <v>39814</v>
      </c>
      <c r="P10" s="1">
        <v>56090</v>
      </c>
    </row>
    <row r="11" spans="1:16" x14ac:dyDescent="0.25">
      <c r="A11" s="34">
        <v>39173</v>
      </c>
      <c r="B11" s="1">
        <v>438.3</v>
      </c>
      <c r="C11" s="34">
        <v>39173</v>
      </c>
      <c r="D11" s="1">
        <v>572</v>
      </c>
      <c r="E11" s="34">
        <v>39173</v>
      </c>
      <c r="F11" s="1">
        <v>3.5</v>
      </c>
      <c r="G11" s="34">
        <v>39173</v>
      </c>
      <c r="H11" s="1">
        <v>0</v>
      </c>
      <c r="I11" s="34">
        <v>39173</v>
      </c>
      <c r="J11" s="1">
        <v>150.71</v>
      </c>
      <c r="K11" s="34">
        <v>39173</v>
      </c>
      <c r="L11" s="1">
        <v>436.7</v>
      </c>
      <c r="M11" s="34">
        <v>39173</v>
      </c>
      <c r="N11" s="1">
        <v>63.2</v>
      </c>
      <c r="O11" s="34">
        <v>40179</v>
      </c>
      <c r="P11" s="1">
        <v>56684</v>
      </c>
    </row>
    <row r="12" spans="1:16" x14ac:dyDescent="0.25">
      <c r="A12" s="34">
        <v>39203</v>
      </c>
      <c r="B12" s="1">
        <v>439.1</v>
      </c>
      <c r="C12" s="34">
        <v>39203</v>
      </c>
      <c r="D12" s="1">
        <v>591</v>
      </c>
      <c r="E12" s="34">
        <v>39203</v>
      </c>
      <c r="F12" s="1">
        <v>3.4</v>
      </c>
      <c r="G12" s="34">
        <v>39203</v>
      </c>
      <c r="H12" s="1">
        <v>0.36</v>
      </c>
      <c r="I12" s="34">
        <v>39203</v>
      </c>
      <c r="J12" s="1">
        <v>150.72999999999999</v>
      </c>
      <c r="K12" s="34">
        <v>39203</v>
      </c>
      <c r="L12" s="1">
        <v>442.3</v>
      </c>
      <c r="M12" s="34">
        <v>39203</v>
      </c>
      <c r="N12" s="1">
        <v>63.5</v>
      </c>
      <c r="O12" s="34">
        <v>40544</v>
      </c>
      <c r="P12" s="1">
        <v>56789</v>
      </c>
    </row>
    <row r="13" spans="1:16" x14ac:dyDescent="0.25">
      <c r="A13" s="34">
        <v>39234</v>
      </c>
      <c r="B13" s="1">
        <v>439.9</v>
      </c>
      <c r="C13" s="34">
        <v>39234</v>
      </c>
      <c r="D13" s="1">
        <v>486</v>
      </c>
      <c r="E13" s="34">
        <v>39234</v>
      </c>
      <c r="F13" s="1">
        <v>3.5</v>
      </c>
      <c r="G13" s="34">
        <v>39234</v>
      </c>
      <c r="H13" s="1">
        <v>-0.57999999999999996</v>
      </c>
      <c r="I13" s="34">
        <v>39234</v>
      </c>
      <c r="J13" s="1">
        <v>150.69999999999999</v>
      </c>
      <c r="K13" s="34">
        <v>39234</v>
      </c>
      <c r="L13" s="1">
        <v>445.8</v>
      </c>
      <c r="M13" s="34">
        <v>39234</v>
      </c>
      <c r="N13" s="1">
        <v>60.7</v>
      </c>
      <c r="O13" s="34">
        <v>40909</v>
      </c>
      <c r="P13" s="1">
        <v>57129</v>
      </c>
    </row>
    <row r="14" spans="1:16" x14ac:dyDescent="0.25">
      <c r="A14" s="34">
        <v>39264</v>
      </c>
      <c r="B14" s="1">
        <v>439.3</v>
      </c>
      <c r="C14" s="34">
        <v>39264</v>
      </c>
      <c r="D14" s="1">
        <v>429</v>
      </c>
      <c r="E14" s="34">
        <v>39264</v>
      </c>
      <c r="F14" s="1">
        <v>3.5</v>
      </c>
      <c r="G14" s="34">
        <v>39264</v>
      </c>
      <c r="H14" s="1">
        <v>0.09</v>
      </c>
      <c r="I14" s="34">
        <v>39264</v>
      </c>
      <c r="J14" s="1">
        <v>150.63999999999999</v>
      </c>
      <c r="K14" s="34">
        <v>39264</v>
      </c>
      <c r="L14" s="1">
        <v>441.6</v>
      </c>
      <c r="M14" s="34">
        <v>39264</v>
      </c>
      <c r="N14" s="1">
        <v>59.5</v>
      </c>
      <c r="O14" s="34">
        <v>41275</v>
      </c>
      <c r="P14" s="1">
        <v>58028</v>
      </c>
    </row>
    <row r="15" spans="1:16" x14ac:dyDescent="0.25">
      <c r="A15" s="34">
        <v>39295</v>
      </c>
      <c r="B15" s="1">
        <v>439</v>
      </c>
      <c r="C15" s="34">
        <v>39295</v>
      </c>
      <c r="D15" s="1">
        <v>346</v>
      </c>
      <c r="E15" s="34">
        <v>39295</v>
      </c>
      <c r="F15" s="1">
        <v>3.5</v>
      </c>
      <c r="G15" s="34">
        <v>39295</v>
      </c>
      <c r="H15" s="1">
        <v>0.1</v>
      </c>
      <c r="I15" s="34">
        <v>39295</v>
      </c>
      <c r="J15" s="1">
        <v>150.61000000000001</v>
      </c>
      <c r="K15" s="34">
        <v>39295</v>
      </c>
      <c r="L15" s="1">
        <v>441.1</v>
      </c>
      <c r="M15" s="34">
        <v>39295</v>
      </c>
      <c r="N15" s="1">
        <v>58.6</v>
      </c>
    </row>
    <row r="16" spans="1:16" x14ac:dyDescent="0.25">
      <c r="A16" s="34">
        <v>39326</v>
      </c>
      <c r="B16" s="1">
        <v>437.9</v>
      </c>
      <c r="C16" s="34">
        <v>39326</v>
      </c>
      <c r="D16" s="1">
        <v>391</v>
      </c>
      <c r="E16" s="34">
        <v>39326</v>
      </c>
      <c r="F16" s="1">
        <v>3.5</v>
      </c>
      <c r="G16" s="34">
        <v>39326</v>
      </c>
      <c r="H16" s="1">
        <v>-0.31</v>
      </c>
      <c r="I16" s="34">
        <v>39326</v>
      </c>
      <c r="J16" s="1">
        <v>150.58000000000001</v>
      </c>
      <c r="K16" s="34">
        <v>39326</v>
      </c>
      <c r="L16" s="1">
        <v>440.2</v>
      </c>
      <c r="M16" s="34">
        <v>39326</v>
      </c>
      <c r="N16" s="1">
        <v>61.5</v>
      </c>
    </row>
    <row r="17" spans="1:14" x14ac:dyDescent="0.25">
      <c r="A17" s="34">
        <v>39356</v>
      </c>
      <c r="B17" s="1">
        <v>438.3</v>
      </c>
      <c r="C17" s="34">
        <v>39356</v>
      </c>
      <c r="D17" s="1">
        <v>268</v>
      </c>
      <c r="E17" s="34">
        <v>39356</v>
      </c>
      <c r="F17" s="1">
        <v>3.6</v>
      </c>
      <c r="G17" s="34">
        <v>39356</v>
      </c>
      <c r="H17" s="1">
        <v>-0.26</v>
      </c>
      <c r="I17" s="34">
        <v>39356</v>
      </c>
      <c r="J17" s="1">
        <v>150.56</v>
      </c>
      <c r="K17" s="34">
        <v>39356</v>
      </c>
      <c r="L17" s="1">
        <v>440.5</v>
      </c>
      <c r="M17" s="34">
        <v>39356</v>
      </c>
      <c r="N17" s="1">
        <v>63.6</v>
      </c>
    </row>
    <row r="18" spans="1:14" x14ac:dyDescent="0.25">
      <c r="A18" s="34">
        <v>39387</v>
      </c>
      <c r="B18" s="1">
        <v>439.7</v>
      </c>
      <c r="C18" s="34">
        <v>39387</v>
      </c>
      <c r="D18" s="1">
        <v>294</v>
      </c>
      <c r="E18" s="34">
        <v>39387</v>
      </c>
      <c r="F18" s="1">
        <v>3.6</v>
      </c>
      <c r="G18" s="34">
        <v>39387</v>
      </c>
      <c r="H18" s="1">
        <v>-0.3</v>
      </c>
      <c r="I18" s="34">
        <v>39387</v>
      </c>
      <c r="J18" s="1">
        <v>150.54</v>
      </c>
      <c r="K18" s="34">
        <v>39387</v>
      </c>
      <c r="L18" s="1">
        <v>444.3</v>
      </c>
      <c r="M18" s="34">
        <v>39387</v>
      </c>
      <c r="N18" s="1">
        <v>63.9</v>
      </c>
    </row>
    <row r="19" spans="1:14" x14ac:dyDescent="0.25">
      <c r="A19" s="34">
        <v>39417</v>
      </c>
      <c r="B19" s="1">
        <v>440.8</v>
      </c>
      <c r="C19" s="34">
        <v>39417</v>
      </c>
      <c r="D19" s="1">
        <v>330</v>
      </c>
      <c r="E19" s="34">
        <v>39417</v>
      </c>
      <c r="F19" s="1">
        <v>3.8</v>
      </c>
      <c r="G19" s="34">
        <v>39417</v>
      </c>
      <c r="H19" s="1">
        <v>-0.64</v>
      </c>
      <c r="I19" s="34">
        <v>39417</v>
      </c>
      <c r="J19" s="1">
        <v>150.5</v>
      </c>
      <c r="K19" s="34">
        <v>39417</v>
      </c>
      <c r="L19" s="1">
        <v>445.7</v>
      </c>
      <c r="M19" s="34">
        <v>39417</v>
      </c>
      <c r="N19" s="1">
        <v>63.7</v>
      </c>
    </row>
    <row r="20" spans="1:14" x14ac:dyDescent="0.25">
      <c r="A20" s="34">
        <v>39448</v>
      </c>
      <c r="B20" s="1">
        <v>441.5</v>
      </c>
      <c r="C20" s="34">
        <v>39448</v>
      </c>
      <c r="D20" s="1">
        <v>295</v>
      </c>
      <c r="E20" s="34">
        <v>39448</v>
      </c>
      <c r="F20" s="1">
        <v>3.8</v>
      </c>
      <c r="G20" s="34">
        <v>39448</v>
      </c>
      <c r="H20" s="1">
        <v>0.09</v>
      </c>
      <c r="I20" s="34">
        <v>39448</v>
      </c>
      <c r="J20" s="1">
        <v>150.47999999999999</v>
      </c>
      <c r="K20" s="34">
        <v>39448</v>
      </c>
      <c r="L20" s="1">
        <v>430.7</v>
      </c>
      <c r="M20" s="34">
        <v>39448</v>
      </c>
      <c r="N20" s="1">
        <v>62.1</v>
      </c>
    </row>
    <row r="21" spans="1:14" x14ac:dyDescent="0.25">
      <c r="A21" s="34">
        <v>39479</v>
      </c>
      <c r="B21" s="1">
        <v>442.3</v>
      </c>
      <c r="C21" s="34">
        <v>39479</v>
      </c>
      <c r="D21" s="1">
        <v>250</v>
      </c>
      <c r="E21" s="34">
        <v>39479</v>
      </c>
      <c r="F21" s="1">
        <v>3.8</v>
      </c>
      <c r="G21" s="34">
        <v>39479</v>
      </c>
      <c r="H21" s="1">
        <v>-1.21</v>
      </c>
      <c r="I21" s="34">
        <v>39479</v>
      </c>
      <c r="J21" s="1">
        <v>150.38999999999999</v>
      </c>
      <c r="K21" s="34">
        <v>39479</v>
      </c>
      <c r="L21" s="1">
        <v>431.8</v>
      </c>
      <c r="M21" s="34">
        <v>39479</v>
      </c>
      <c r="N21" s="1">
        <v>62.8</v>
      </c>
    </row>
    <row r="22" spans="1:14" x14ac:dyDescent="0.25">
      <c r="A22" s="34">
        <v>39508</v>
      </c>
      <c r="B22" s="1">
        <v>441</v>
      </c>
      <c r="C22" s="34">
        <v>39508</v>
      </c>
      <c r="D22" s="1">
        <v>434</v>
      </c>
      <c r="E22" s="34">
        <v>39508</v>
      </c>
      <c r="F22" s="1">
        <v>4</v>
      </c>
      <c r="G22" s="34">
        <v>39508</v>
      </c>
      <c r="H22" s="1">
        <v>-2.16</v>
      </c>
      <c r="I22" s="34">
        <v>39508</v>
      </c>
      <c r="J22" s="1">
        <v>150.11000000000001</v>
      </c>
      <c r="K22" s="34">
        <v>39508</v>
      </c>
      <c r="L22" s="1">
        <v>434.9</v>
      </c>
      <c r="M22" s="34">
        <v>39508</v>
      </c>
      <c r="N22" s="1">
        <v>64</v>
      </c>
    </row>
    <row r="23" spans="1:14" x14ac:dyDescent="0.25">
      <c r="A23" s="34">
        <v>39539</v>
      </c>
      <c r="B23" s="1">
        <v>441.4</v>
      </c>
      <c r="C23" s="34">
        <v>39539</v>
      </c>
      <c r="D23" s="1">
        <v>313</v>
      </c>
      <c r="E23" s="34">
        <v>39539</v>
      </c>
      <c r="F23" s="1">
        <v>4</v>
      </c>
      <c r="G23" s="34">
        <v>39539</v>
      </c>
      <c r="H23" s="1">
        <v>-2.13</v>
      </c>
      <c r="I23" s="34">
        <v>39539</v>
      </c>
      <c r="J23" s="1">
        <v>149.63</v>
      </c>
      <c r="K23" s="34">
        <v>39539</v>
      </c>
      <c r="L23" s="1">
        <v>439.7</v>
      </c>
      <c r="M23" s="34">
        <v>39539</v>
      </c>
      <c r="N23" s="1">
        <v>64.5</v>
      </c>
    </row>
    <row r="24" spans="1:14" x14ac:dyDescent="0.25">
      <c r="A24" s="34">
        <v>39569</v>
      </c>
      <c r="B24" s="1">
        <v>439.4</v>
      </c>
      <c r="C24" s="34">
        <v>39569</v>
      </c>
      <c r="D24" s="1">
        <v>299</v>
      </c>
      <c r="E24" s="34">
        <v>39569</v>
      </c>
      <c r="F24" s="1">
        <v>4.4000000000000004</v>
      </c>
      <c r="G24" s="34">
        <v>39569</v>
      </c>
      <c r="H24" s="1">
        <v>-3.3</v>
      </c>
      <c r="I24" s="34">
        <v>39569</v>
      </c>
      <c r="J24" s="1">
        <v>148.9</v>
      </c>
      <c r="K24" s="34">
        <v>39569</v>
      </c>
      <c r="L24" s="1">
        <v>441.8</v>
      </c>
      <c r="M24" s="34">
        <v>39569</v>
      </c>
      <c r="N24" s="1">
        <v>64.599999999999994</v>
      </c>
    </row>
    <row r="25" spans="1:14" x14ac:dyDescent="0.25">
      <c r="A25" s="34">
        <v>39600</v>
      </c>
      <c r="B25" s="1">
        <v>437.7</v>
      </c>
      <c r="C25" s="34">
        <v>39600</v>
      </c>
      <c r="D25" s="1">
        <v>307</v>
      </c>
      <c r="E25" s="34">
        <v>39600</v>
      </c>
      <c r="F25" s="1">
        <v>4.5999999999999996</v>
      </c>
      <c r="G25" s="34">
        <v>39600</v>
      </c>
      <c r="H25" s="1">
        <v>-1.96</v>
      </c>
      <c r="I25" s="34">
        <v>39600</v>
      </c>
      <c r="J25" s="1">
        <v>148.1</v>
      </c>
      <c r="K25" s="34">
        <v>39600</v>
      </c>
      <c r="L25" s="1">
        <v>443.7</v>
      </c>
      <c r="M25" s="34">
        <v>39600</v>
      </c>
      <c r="N25" s="1">
        <v>61.5</v>
      </c>
    </row>
    <row r="26" spans="1:14" x14ac:dyDescent="0.25">
      <c r="A26" s="34">
        <v>39630</v>
      </c>
      <c r="B26" s="1">
        <v>437</v>
      </c>
      <c r="C26" s="34">
        <v>39630</v>
      </c>
      <c r="D26" s="1">
        <v>341</v>
      </c>
      <c r="E26" s="34">
        <v>39630</v>
      </c>
      <c r="F26" s="1">
        <v>4.9000000000000004</v>
      </c>
      <c r="G26" s="34">
        <v>39630</v>
      </c>
      <c r="H26" s="1">
        <v>-2.56</v>
      </c>
      <c r="I26" s="34">
        <v>39630</v>
      </c>
      <c r="J26" s="1">
        <v>147.27000000000001</v>
      </c>
      <c r="K26" s="34">
        <v>39630</v>
      </c>
      <c r="L26" s="1">
        <v>439.7</v>
      </c>
      <c r="M26" s="34">
        <v>39630</v>
      </c>
      <c r="N26" s="1">
        <v>60.3</v>
      </c>
    </row>
    <row r="27" spans="1:14" x14ac:dyDescent="0.25">
      <c r="A27" s="34">
        <v>39661</v>
      </c>
      <c r="B27" s="1">
        <v>435.5</v>
      </c>
      <c r="C27" s="34">
        <v>39661</v>
      </c>
      <c r="D27" s="1">
        <v>256</v>
      </c>
      <c r="E27" s="34">
        <v>39661</v>
      </c>
      <c r="F27" s="1">
        <v>5.2</v>
      </c>
      <c r="G27" s="34">
        <v>39661</v>
      </c>
      <c r="H27" s="1">
        <v>-2.7</v>
      </c>
      <c r="I27" s="34">
        <v>39661</v>
      </c>
      <c r="J27" s="1">
        <v>146.41999999999999</v>
      </c>
      <c r="K27" s="34">
        <v>39661</v>
      </c>
      <c r="L27" s="1">
        <v>438.2</v>
      </c>
      <c r="M27" s="34">
        <v>39661</v>
      </c>
      <c r="N27" s="1">
        <v>59.6</v>
      </c>
    </row>
    <row r="28" spans="1:14" x14ac:dyDescent="0.25">
      <c r="A28" s="34">
        <v>39692</v>
      </c>
      <c r="B28" s="1">
        <v>433.9</v>
      </c>
      <c r="C28" s="34">
        <v>39692</v>
      </c>
      <c r="D28" s="1">
        <v>289</v>
      </c>
      <c r="E28" s="34">
        <v>39692</v>
      </c>
      <c r="F28" s="1">
        <v>5.4</v>
      </c>
      <c r="G28" s="34">
        <v>39692</v>
      </c>
      <c r="H28" s="1">
        <v>-3.25</v>
      </c>
      <c r="I28" s="34">
        <v>39692</v>
      </c>
      <c r="J28" s="1">
        <v>145.52000000000001</v>
      </c>
      <c r="K28" s="34">
        <v>39692</v>
      </c>
      <c r="L28" s="1">
        <v>436.3</v>
      </c>
      <c r="M28" s="34">
        <v>39692</v>
      </c>
      <c r="N28" s="1">
        <v>62.7</v>
      </c>
    </row>
    <row r="29" spans="1:14" x14ac:dyDescent="0.25">
      <c r="A29" s="34">
        <v>39722</v>
      </c>
      <c r="B29" s="1">
        <v>432</v>
      </c>
      <c r="C29" s="34">
        <v>39722</v>
      </c>
      <c r="D29" s="1">
        <v>223</v>
      </c>
      <c r="E29" s="34">
        <v>39722</v>
      </c>
      <c r="F29" s="1">
        <v>5.8</v>
      </c>
      <c r="G29" s="34">
        <v>39722</v>
      </c>
      <c r="H29" s="1">
        <v>-4.3600000000000003</v>
      </c>
      <c r="I29" s="34">
        <v>39722</v>
      </c>
      <c r="J29" s="1">
        <v>144.47</v>
      </c>
      <c r="K29" s="34">
        <v>39722</v>
      </c>
      <c r="L29" s="1">
        <v>435.4</v>
      </c>
      <c r="M29" s="34">
        <v>39722</v>
      </c>
      <c r="N29" s="1">
        <v>64.2</v>
      </c>
    </row>
    <row r="30" spans="1:14" x14ac:dyDescent="0.25">
      <c r="A30" s="34">
        <v>39753</v>
      </c>
      <c r="B30" s="1">
        <v>431.5</v>
      </c>
      <c r="C30" s="34">
        <v>39753</v>
      </c>
      <c r="D30" s="1">
        <v>143</v>
      </c>
      <c r="E30" s="34">
        <v>39753</v>
      </c>
      <c r="F30" s="1">
        <v>6.1</v>
      </c>
      <c r="G30" s="34">
        <v>39753</v>
      </c>
      <c r="H30" s="1">
        <v>-4.68</v>
      </c>
      <c r="I30" s="34">
        <v>39753</v>
      </c>
      <c r="J30" s="1">
        <v>143.25</v>
      </c>
      <c r="K30" s="34">
        <v>39753</v>
      </c>
      <c r="L30" s="1">
        <v>435.9</v>
      </c>
      <c r="M30" s="34">
        <v>39753</v>
      </c>
      <c r="N30" s="1">
        <v>64</v>
      </c>
    </row>
    <row r="31" spans="1:14" x14ac:dyDescent="0.25">
      <c r="A31" s="34">
        <v>39783</v>
      </c>
      <c r="B31" s="1">
        <v>428.6</v>
      </c>
      <c r="C31" s="34">
        <v>39783</v>
      </c>
      <c r="D31" s="1">
        <v>259</v>
      </c>
      <c r="E31" s="34">
        <v>39783</v>
      </c>
      <c r="F31" s="1">
        <v>6.6</v>
      </c>
      <c r="G31" s="34">
        <v>39783</v>
      </c>
      <c r="H31" s="1">
        <v>-4.91</v>
      </c>
      <c r="I31" s="34">
        <v>39783</v>
      </c>
      <c r="J31" s="1">
        <v>141.87</v>
      </c>
      <c r="K31" s="34">
        <v>39783</v>
      </c>
      <c r="L31" s="1">
        <v>433.4</v>
      </c>
      <c r="M31" s="34">
        <v>39783</v>
      </c>
      <c r="N31" s="1">
        <v>63.8</v>
      </c>
    </row>
    <row r="32" spans="1:14" x14ac:dyDescent="0.25">
      <c r="A32" s="34">
        <v>39814</v>
      </c>
      <c r="B32" s="1">
        <v>425.3</v>
      </c>
      <c r="C32" s="34">
        <v>39814</v>
      </c>
      <c r="D32" s="1">
        <v>131</v>
      </c>
      <c r="E32" s="34">
        <v>39814</v>
      </c>
      <c r="F32" s="1">
        <v>7</v>
      </c>
      <c r="G32" s="34">
        <v>39814</v>
      </c>
      <c r="H32" s="1">
        <v>-4.17</v>
      </c>
      <c r="I32" s="34">
        <v>39814</v>
      </c>
      <c r="J32" s="1">
        <v>140.46</v>
      </c>
      <c r="K32" s="34">
        <v>39814</v>
      </c>
      <c r="L32" s="1">
        <v>415.7</v>
      </c>
      <c r="M32" s="34">
        <v>39814</v>
      </c>
      <c r="N32" s="1">
        <v>62.1</v>
      </c>
    </row>
    <row r="33" spans="1:14" x14ac:dyDescent="0.25">
      <c r="A33" s="34">
        <v>39845</v>
      </c>
      <c r="B33" s="1">
        <v>424.5</v>
      </c>
      <c r="C33" s="34">
        <v>39845</v>
      </c>
      <c r="D33" s="1">
        <v>145</v>
      </c>
      <c r="E33" s="34">
        <v>39845</v>
      </c>
      <c r="F33" s="1">
        <v>7.3</v>
      </c>
      <c r="G33" s="34">
        <v>39845</v>
      </c>
      <c r="H33" s="1">
        <v>-3.87</v>
      </c>
      <c r="I33" s="34">
        <v>39845</v>
      </c>
      <c r="J33" s="1">
        <v>139.13</v>
      </c>
      <c r="K33" s="34">
        <v>39845</v>
      </c>
      <c r="L33" s="1">
        <v>414.2</v>
      </c>
      <c r="M33" s="34">
        <v>39845</v>
      </c>
      <c r="N33" s="1">
        <v>63.6</v>
      </c>
    </row>
    <row r="34" spans="1:14" x14ac:dyDescent="0.25">
      <c r="A34" s="34">
        <v>39873</v>
      </c>
      <c r="B34" s="1">
        <v>420.7</v>
      </c>
      <c r="C34" s="34">
        <v>39873</v>
      </c>
      <c r="D34" s="1">
        <v>205</v>
      </c>
      <c r="E34" s="34">
        <v>39873</v>
      </c>
      <c r="F34" s="1">
        <v>7.6</v>
      </c>
      <c r="G34" s="34">
        <v>39873</v>
      </c>
      <c r="H34" s="1">
        <v>-3.66</v>
      </c>
      <c r="I34" s="34">
        <v>39873</v>
      </c>
      <c r="J34" s="1">
        <v>137.93</v>
      </c>
      <c r="K34" s="34">
        <v>39873</v>
      </c>
      <c r="L34" s="1">
        <v>415</v>
      </c>
      <c r="M34" s="34">
        <v>39873</v>
      </c>
      <c r="N34" s="1">
        <v>65.099999999999994</v>
      </c>
    </row>
    <row r="35" spans="1:14" x14ac:dyDescent="0.25">
      <c r="A35" s="34">
        <v>39904</v>
      </c>
      <c r="B35" s="1">
        <v>417.2</v>
      </c>
      <c r="C35" s="34">
        <v>39904</v>
      </c>
      <c r="D35" s="1">
        <v>258</v>
      </c>
      <c r="E35" s="34">
        <v>39904</v>
      </c>
      <c r="F35" s="1">
        <v>7.8</v>
      </c>
      <c r="G35" s="34">
        <v>39904</v>
      </c>
      <c r="H35" s="1">
        <v>-2.73</v>
      </c>
      <c r="I35" s="34">
        <v>39904</v>
      </c>
      <c r="J35" s="1">
        <v>136.9</v>
      </c>
      <c r="K35" s="34">
        <v>39904</v>
      </c>
      <c r="L35" s="1">
        <v>416.9</v>
      </c>
      <c r="M35" s="34">
        <v>39904</v>
      </c>
      <c r="N35" s="1">
        <v>65.2</v>
      </c>
    </row>
    <row r="36" spans="1:14" x14ac:dyDescent="0.25">
      <c r="A36" s="34">
        <v>39934</v>
      </c>
      <c r="B36" s="1">
        <v>418.6</v>
      </c>
      <c r="C36" s="34">
        <v>39934</v>
      </c>
      <c r="D36" s="1">
        <v>334</v>
      </c>
      <c r="E36" s="34">
        <v>39934</v>
      </c>
      <c r="F36" s="1">
        <v>7.9</v>
      </c>
      <c r="G36" s="34">
        <v>39934</v>
      </c>
      <c r="H36" s="1">
        <v>-2.13</v>
      </c>
      <c r="I36" s="34">
        <v>39934</v>
      </c>
      <c r="J36" s="1">
        <v>136.05000000000001</v>
      </c>
      <c r="K36" s="34">
        <v>39934</v>
      </c>
      <c r="L36" s="1">
        <v>422</v>
      </c>
      <c r="M36" s="34">
        <v>39934</v>
      </c>
      <c r="N36" s="1">
        <v>65.099999999999994</v>
      </c>
    </row>
    <row r="37" spans="1:14" x14ac:dyDescent="0.25">
      <c r="A37" s="34">
        <v>39965</v>
      </c>
      <c r="B37" s="1">
        <v>416.2</v>
      </c>
      <c r="C37" s="34">
        <v>39965</v>
      </c>
      <c r="D37" s="1">
        <v>237</v>
      </c>
      <c r="E37" s="34">
        <v>39965</v>
      </c>
      <c r="F37" s="1">
        <v>8</v>
      </c>
      <c r="G37" s="34">
        <v>39965</v>
      </c>
      <c r="H37" s="1">
        <v>-2.4500000000000002</v>
      </c>
      <c r="I37" s="34">
        <v>39965</v>
      </c>
      <c r="J37" s="1">
        <v>135.31</v>
      </c>
      <c r="K37" s="34">
        <v>39965</v>
      </c>
      <c r="L37" s="1">
        <v>421.5</v>
      </c>
      <c r="M37" s="34">
        <v>39965</v>
      </c>
      <c r="N37" s="1">
        <v>61.9</v>
      </c>
    </row>
    <row r="38" spans="1:14" x14ac:dyDescent="0.25">
      <c r="A38" s="34">
        <v>39995</v>
      </c>
      <c r="B38" s="1">
        <v>414.1</v>
      </c>
      <c r="C38" s="34">
        <v>39995</v>
      </c>
      <c r="D38" s="1">
        <v>477</v>
      </c>
      <c r="E38" s="34">
        <v>39995</v>
      </c>
      <c r="F38" s="1">
        <v>8.1</v>
      </c>
      <c r="G38" s="34">
        <v>39995</v>
      </c>
      <c r="H38" s="1">
        <v>-1.49</v>
      </c>
      <c r="I38" s="34">
        <v>39995</v>
      </c>
      <c r="J38" s="1">
        <v>134.66</v>
      </c>
      <c r="K38" s="34">
        <v>39995</v>
      </c>
      <c r="L38" s="1">
        <v>416.7</v>
      </c>
      <c r="M38" s="34">
        <v>39995</v>
      </c>
      <c r="N38" s="1">
        <v>59.5</v>
      </c>
    </row>
    <row r="39" spans="1:14" x14ac:dyDescent="0.25">
      <c r="A39" s="34">
        <v>40026</v>
      </c>
      <c r="B39" s="1">
        <v>413.5</v>
      </c>
      <c r="C39" s="34">
        <v>40026</v>
      </c>
      <c r="D39" s="1">
        <v>294</v>
      </c>
      <c r="E39" s="34">
        <v>40026</v>
      </c>
      <c r="F39" s="1">
        <v>8.1</v>
      </c>
      <c r="G39" s="34">
        <v>40026</v>
      </c>
      <c r="H39" s="1">
        <v>-0.9</v>
      </c>
      <c r="I39" s="34">
        <v>40026</v>
      </c>
      <c r="J39" s="1">
        <v>134.13</v>
      </c>
      <c r="K39" s="34">
        <v>40026</v>
      </c>
      <c r="L39" s="1">
        <v>415.6</v>
      </c>
      <c r="M39" s="34">
        <v>40026</v>
      </c>
      <c r="N39" s="1">
        <v>59.3</v>
      </c>
    </row>
    <row r="40" spans="1:14" x14ac:dyDescent="0.25">
      <c r="A40" s="34">
        <v>40057</v>
      </c>
      <c r="B40" s="1">
        <v>413</v>
      </c>
      <c r="C40" s="34">
        <v>40057</v>
      </c>
      <c r="D40" s="1">
        <v>336</v>
      </c>
      <c r="E40" s="34">
        <v>40057</v>
      </c>
      <c r="F40" s="1">
        <v>8.1999999999999993</v>
      </c>
      <c r="G40" s="34">
        <v>40057</v>
      </c>
      <c r="H40" s="1">
        <v>-1.24</v>
      </c>
      <c r="I40" s="34">
        <v>40057</v>
      </c>
      <c r="J40" s="1">
        <v>133.66999999999999</v>
      </c>
      <c r="K40" s="34">
        <v>40057</v>
      </c>
      <c r="L40" s="1">
        <v>415</v>
      </c>
      <c r="M40" s="34">
        <v>40057</v>
      </c>
      <c r="N40" s="1">
        <v>62.6</v>
      </c>
    </row>
    <row r="41" spans="1:14" x14ac:dyDescent="0.25">
      <c r="A41" s="34">
        <v>40087</v>
      </c>
      <c r="B41" s="1">
        <v>412.7</v>
      </c>
      <c r="C41" s="34">
        <v>40087</v>
      </c>
      <c r="D41" s="1">
        <v>249</v>
      </c>
      <c r="E41" s="34">
        <v>40087</v>
      </c>
      <c r="F41" s="1">
        <v>8.1999999999999993</v>
      </c>
      <c r="G41" s="34">
        <v>40087</v>
      </c>
      <c r="H41" s="1">
        <v>-1</v>
      </c>
      <c r="I41" s="34">
        <v>40087</v>
      </c>
      <c r="J41" s="1">
        <v>133.25</v>
      </c>
      <c r="K41" s="34">
        <v>40087</v>
      </c>
      <c r="L41" s="1">
        <v>416.1</v>
      </c>
      <c r="M41" s="34">
        <v>40087</v>
      </c>
      <c r="N41" s="1">
        <v>65.3</v>
      </c>
    </row>
    <row r="42" spans="1:14" x14ac:dyDescent="0.25">
      <c r="A42" s="34">
        <v>40118</v>
      </c>
      <c r="B42" s="1">
        <v>411.8</v>
      </c>
      <c r="C42" s="34">
        <v>40118</v>
      </c>
      <c r="D42" s="1">
        <v>222</v>
      </c>
      <c r="E42" s="34">
        <v>40118</v>
      </c>
      <c r="F42" s="1">
        <v>8.3000000000000007</v>
      </c>
      <c r="G42" s="34">
        <v>40118</v>
      </c>
      <c r="H42" s="1">
        <v>-1.01</v>
      </c>
      <c r="I42" s="34">
        <v>40118</v>
      </c>
      <c r="J42" s="1">
        <v>132.85</v>
      </c>
      <c r="K42" s="34">
        <v>40118</v>
      </c>
      <c r="L42" s="1">
        <v>415.7</v>
      </c>
      <c r="M42" s="34">
        <v>40118</v>
      </c>
      <c r="N42" s="1">
        <v>65.3</v>
      </c>
    </row>
    <row r="43" spans="1:14" x14ac:dyDescent="0.25">
      <c r="A43" s="34">
        <v>40148</v>
      </c>
      <c r="B43" s="1">
        <v>410.4</v>
      </c>
      <c r="C43" s="34">
        <v>40148</v>
      </c>
      <c r="D43" s="1">
        <v>263</v>
      </c>
      <c r="E43" s="34">
        <v>40148</v>
      </c>
      <c r="F43" s="1">
        <v>8.4</v>
      </c>
      <c r="G43" s="34">
        <v>40148</v>
      </c>
      <c r="H43" s="1">
        <v>0.03</v>
      </c>
      <c r="I43" s="34">
        <v>40148</v>
      </c>
      <c r="J43" s="1">
        <v>132.55000000000001</v>
      </c>
      <c r="K43" s="34">
        <v>40148</v>
      </c>
      <c r="L43" s="1">
        <v>414.8</v>
      </c>
      <c r="M43" s="34">
        <v>40148</v>
      </c>
      <c r="N43" s="1">
        <v>64.7</v>
      </c>
    </row>
    <row r="44" spans="1:14" x14ac:dyDescent="0.25">
      <c r="A44" s="34">
        <v>40179</v>
      </c>
      <c r="B44" s="1">
        <v>409.6</v>
      </c>
      <c r="C44" s="34">
        <v>40179</v>
      </c>
      <c r="D44" s="1">
        <v>202</v>
      </c>
      <c r="E44" s="34">
        <v>40179</v>
      </c>
      <c r="F44" s="1">
        <v>8.4</v>
      </c>
      <c r="G44" s="34">
        <v>40179</v>
      </c>
      <c r="H44" s="1">
        <v>1.35</v>
      </c>
      <c r="I44" s="34">
        <v>40179</v>
      </c>
      <c r="J44" s="1">
        <v>132.44999999999999</v>
      </c>
      <c r="K44" s="34">
        <v>40179</v>
      </c>
      <c r="L44" s="1">
        <v>399.9</v>
      </c>
      <c r="M44" s="34">
        <v>40179</v>
      </c>
      <c r="N44" s="1">
        <v>62</v>
      </c>
    </row>
    <row r="45" spans="1:14" x14ac:dyDescent="0.25">
      <c r="A45" s="34">
        <v>40210</v>
      </c>
      <c r="B45" s="1">
        <v>407.1</v>
      </c>
      <c r="C45" s="34">
        <v>40210</v>
      </c>
      <c r="D45" s="1">
        <v>221</v>
      </c>
      <c r="E45" s="34">
        <v>40210</v>
      </c>
      <c r="F45" s="1">
        <v>8.3000000000000007</v>
      </c>
      <c r="G45" s="34">
        <v>40210</v>
      </c>
      <c r="H45" s="1">
        <v>1.95</v>
      </c>
      <c r="I45" s="34">
        <v>40210</v>
      </c>
      <c r="J45" s="1">
        <v>132.6</v>
      </c>
      <c r="K45" s="34">
        <v>40210</v>
      </c>
      <c r="L45" s="1">
        <v>397.2</v>
      </c>
      <c r="M45" s="34">
        <v>40210</v>
      </c>
      <c r="N45" s="1">
        <v>63</v>
      </c>
    </row>
    <row r="46" spans="1:14" x14ac:dyDescent="0.25">
      <c r="A46" s="34">
        <v>40238</v>
      </c>
      <c r="B46" s="1">
        <v>409.7</v>
      </c>
      <c r="C46" s="34">
        <v>40238</v>
      </c>
      <c r="D46" s="1">
        <v>348</v>
      </c>
      <c r="E46" s="34">
        <v>40238</v>
      </c>
      <c r="F46" s="1">
        <v>8.1999999999999993</v>
      </c>
      <c r="G46" s="34">
        <v>40238</v>
      </c>
      <c r="H46" s="1">
        <v>2.0299999999999998</v>
      </c>
      <c r="I46" s="34">
        <v>40238</v>
      </c>
      <c r="J46" s="1">
        <v>132.94999999999999</v>
      </c>
      <c r="K46" s="34">
        <v>40238</v>
      </c>
      <c r="L46" s="1">
        <v>403.9</v>
      </c>
      <c r="M46" s="34">
        <v>40238</v>
      </c>
      <c r="N46" s="1">
        <v>64.7</v>
      </c>
    </row>
    <row r="47" spans="1:14" x14ac:dyDescent="0.25">
      <c r="A47" s="34">
        <v>40269</v>
      </c>
      <c r="B47" s="1">
        <v>411.8</v>
      </c>
      <c r="C47" s="34">
        <v>40269</v>
      </c>
      <c r="D47" s="1">
        <v>315</v>
      </c>
      <c r="E47" s="34">
        <v>40269</v>
      </c>
      <c r="F47" s="1">
        <v>8.1</v>
      </c>
      <c r="G47" s="34">
        <v>40269</v>
      </c>
      <c r="H47" s="1">
        <v>2.21</v>
      </c>
      <c r="I47" s="34">
        <v>40269</v>
      </c>
      <c r="J47" s="1">
        <v>133.44</v>
      </c>
      <c r="K47" s="34">
        <v>40269</v>
      </c>
      <c r="L47" s="1">
        <v>411.5</v>
      </c>
      <c r="M47" s="34">
        <v>40269</v>
      </c>
      <c r="N47" s="1">
        <v>65.3</v>
      </c>
    </row>
    <row r="48" spans="1:14" x14ac:dyDescent="0.25">
      <c r="A48" s="34">
        <v>40299</v>
      </c>
      <c r="B48" s="1">
        <v>414</v>
      </c>
      <c r="C48" s="34">
        <v>40299</v>
      </c>
      <c r="D48" s="1">
        <v>233</v>
      </c>
      <c r="E48" s="34">
        <v>40299</v>
      </c>
      <c r="F48" s="1">
        <v>8</v>
      </c>
      <c r="G48" s="34">
        <v>40299</v>
      </c>
      <c r="H48" s="1">
        <v>1.87</v>
      </c>
      <c r="I48" s="34">
        <v>40299</v>
      </c>
      <c r="J48" s="1">
        <v>133.96</v>
      </c>
      <c r="K48" s="34">
        <v>40299</v>
      </c>
      <c r="L48" s="1">
        <v>417.2</v>
      </c>
      <c r="M48" s="34">
        <v>40299</v>
      </c>
      <c r="N48" s="1">
        <v>66.400000000000006</v>
      </c>
    </row>
    <row r="49" spans="1:14" x14ac:dyDescent="0.25">
      <c r="A49" s="34">
        <v>40330</v>
      </c>
      <c r="B49" s="1">
        <v>414.7</v>
      </c>
      <c r="C49" s="34">
        <v>40330</v>
      </c>
      <c r="D49" s="1">
        <v>294</v>
      </c>
      <c r="E49" s="34">
        <v>40330</v>
      </c>
      <c r="F49" s="1">
        <v>7.9</v>
      </c>
      <c r="G49" s="34">
        <v>40330</v>
      </c>
      <c r="H49" s="1">
        <v>1.59</v>
      </c>
      <c r="I49" s="34">
        <v>40330</v>
      </c>
      <c r="J49" s="1">
        <v>134.46</v>
      </c>
      <c r="K49" s="34">
        <v>40330</v>
      </c>
      <c r="L49" s="1">
        <v>419.8</v>
      </c>
      <c r="M49" s="34">
        <v>40330</v>
      </c>
      <c r="N49" s="1">
        <v>63.4</v>
      </c>
    </row>
    <row r="50" spans="1:14" x14ac:dyDescent="0.25">
      <c r="A50" s="34">
        <v>40360</v>
      </c>
      <c r="B50" s="1">
        <v>417.4</v>
      </c>
      <c r="C50" s="34">
        <v>40360</v>
      </c>
      <c r="D50" s="1">
        <v>276</v>
      </c>
      <c r="E50" s="34">
        <v>40360</v>
      </c>
      <c r="F50" s="1">
        <v>7.9</v>
      </c>
      <c r="G50" s="34">
        <v>40360</v>
      </c>
      <c r="H50" s="1">
        <v>1.04</v>
      </c>
      <c r="I50" s="34">
        <v>40360</v>
      </c>
      <c r="J50" s="1">
        <v>134.86000000000001</v>
      </c>
      <c r="K50" s="34">
        <v>40360</v>
      </c>
      <c r="L50" s="1">
        <v>420.2</v>
      </c>
      <c r="M50" s="34">
        <v>40360</v>
      </c>
      <c r="N50" s="1">
        <v>61.5</v>
      </c>
    </row>
    <row r="51" spans="1:14" x14ac:dyDescent="0.25">
      <c r="A51" s="34">
        <v>40391</v>
      </c>
      <c r="B51" s="1">
        <v>417</v>
      </c>
      <c r="C51" s="34">
        <v>40391</v>
      </c>
      <c r="D51" s="1">
        <v>205</v>
      </c>
      <c r="E51" s="34">
        <v>40391</v>
      </c>
      <c r="F51" s="1">
        <v>7.9</v>
      </c>
      <c r="G51" s="34">
        <v>40391</v>
      </c>
      <c r="H51" s="1">
        <v>1.28</v>
      </c>
      <c r="I51" s="34">
        <v>40391</v>
      </c>
      <c r="J51" s="1">
        <v>135.19</v>
      </c>
      <c r="K51" s="34">
        <v>40391</v>
      </c>
      <c r="L51" s="1">
        <v>418.9</v>
      </c>
      <c r="M51" s="34">
        <v>40391</v>
      </c>
      <c r="N51" s="1">
        <v>60.3</v>
      </c>
    </row>
    <row r="52" spans="1:14" x14ac:dyDescent="0.25">
      <c r="A52" s="34">
        <v>40422</v>
      </c>
      <c r="B52" s="1">
        <v>416.3</v>
      </c>
      <c r="C52" s="34">
        <v>40422</v>
      </c>
      <c r="D52" s="1">
        <v>256</v>
      </c>
      <c r="E52" s="34">
        <v>40422</v>
      </c>
      <c r="F52" s="1">
        <v>7.8</v>
      </c>
      <c r="G52" s="34">
        <v>40422</v>
      </c>
      <c r="H52" s="1">
        <v>0.83</v>
      </c>
      <c r="I52" s="34">
        <v>40422</v>
      </c>
      <c r="J52" s="1">
        <v>135.44999999999999</v>
      </c>
      <c r="K52" s="34">
        <v>40422</v>
      </c>
      <c r="L52" s="1">
        <v>419.3</v>
      </c>
      <c r="M52" s="34">
        <v>40422</v>
      </c>
      <c r="N52" s="1">
        <v>63.7</v>
      </c>
    </row>
    <row r="53" spans="1:14" x14ac:dyDescent="0.25">
      <c r="A53" s="34">
        <v>40452</v>
      </c>
      <c r="B53" s="1">
        <v>416</v>
      </c>
      <c r="C53" s="34">
        <v>40452</v>
      </c>
      <c r="D53" s="1">
        <v>208</v>
      </c>
      <c r="E53" s="34">
        <v>40452</v>
      </c>
      <c r="F53" s="1">
        <v>7.8</v>
      </c>
      <c r="G53" s="34">
        <v>40452</v>
      </c>
      <c r="H53" s="1">
        <v>0.17</v>
      </c>
      <c r="I53" s="34">
        <v>40452</v>
      </c>
      <c r="J53" s="1">
        <v>135.61000000000001</v>
      </c>
      <c r="K53" s="34">
        <v>40452</v>
      </c>
      <c r="L53" s="1">
        <v>418</v>
      </c>
      <c r="M53" s="34">
        <v>40452</v>
      </c>
      <c r="N53" s="1">
        <v>64.8</v>
      </c>
    </row>
    <row r="54" spans="1:14" x14ac:dyDescent="0.25">
      <c r="A54" s="34">
        <v>40483</v>
      </c>
      <c r="B54" s="1">
        <v>415.6</v>
      </c>
      <c r="C54" s="34">
        <v>40483</v>
      </c>
      <c r="D54" s="1">
        <v>217</v>
      </c>
      <c r="E54" s="34">
        <v>40483</v>
      </c>
      <c r="F54" s="1">
        <v>7.8</v>
      </c>
      <c r="G54" s="34">
        <v>40483</v>
      </c>
      <c r="H54" s="1">
        <v>1.03</v>
      </c>
      <c r="I54" s="34">
        <v>40483</v>
      </c>
      <c r="J54" s="1">
        <v>135.76</v>
      </c>
      <c r="K54" s="34">
        <v>40483</v>
      </c>
      <c r="L54" s="1">
        <v>419.2</v>
      </c>
      <c r="M54" s="34">
        <v>40483</v>
      </c>
      <c r="N54" s="1">
        <v>65.400000000000006</v>
      </c>
    </row>
    <row r="55" spans="1:14" x14ac:dyDescent="0.25">
      <c r="A55" s="34">
        <v>40513</v>
      </c>
      <c r="B55" s="1">
        <v>416.6</v>
      </c>
      <c r="C55" s="34">
        <v>40513</v>
      </c>
      <c r="D55" s="1">
        <v>180</v>
      </c>
      <c r="E55" s="34">
        <v>40513</v>
      </c>
      <c r="F55" s="1">
        <v>7.7</v>
      </c>
      <c r="G55" s="34">
        <v>40513</v>
      </c>
      <c r="H55" s="1">
        <v>1.79</v>
      </c>
      <c r="I55" s="34">
        <v>40513</v>
      </c>
      <c r="J55" s="1">
        <v>136</v>
      </c>
      <c r="K55" s="34">
        <v>40513</v>
      </c>
      <c r="L55" s="1">
        <v>420.3</v>
      </c>
      <c r="M55" s="34">
        <v>40513</v>
      </c>
      <c r="N55" s="1">
        <v>65.2</v>
      </c>
    </row>
    <row r="56" spans="1:14" x14ac:dyDescent="0.25">
      <c r="A56" s="34">
        <v>40544</v>
      </c>
      <c r="B56" s="1">
        <v>417.1</v>
      </c>
      <c r="C56" s="34">
        <v>40544</v>
      </c>
      <c r="D56" s="1">
        <v>240</v>
      </c>
      <c r="E56" s="34">
        <v>40544</v>
      </c>
      <c r="F56" s="1">
        <v>7.5</v>
      </c>
      <c r="G56" s="34">
        <v>40544</v>
      </c>
      <c r="H56" s="1">
        <v>1.35</v>
      </c>
      <c r="I56" s="34">
        <v>40544</v>
      </c>
      <c r="J56" s="1">
        <v>136.30000000000001</v>
      </c>
      <c r="K56" s="34">
        <v>40544</v>
      </c>
      <c r="L56" s="1">
        <v>406.7</v>
      </c>
      <c r="M56" s="34">
        <v>40544</v>
      </c>
      <c r="N56" s="1">
        <v>62.7</v>
      </c>
    </row>
    <row r="57" spans="1:14" x14ac:dyDescent="0.25">
      <c r="A57" s="34">
        <v>40575</v>
      </c>
      <c r="B57" s="1">
        <v>417.9</v>
      </c>
      <c r="C57" s="34">
        <v>40575</v>
      </c>
      <c r="D57" s="1">
        <v>169</v>
      </c>
      <c r="E57" s="34">
        <v>40575</v>
      </c>
      <c r="F57" s="1">
        <v>7.4</v>
      </c>
      <c r="G57" s="34">
        <v>40575</v>
      </c>
      <c r="H57" s="1">
        <v>0.31</v>
      </c>
      <c r="I57" s="34">
        <v>40575</v>
      </c>
      <c r="J57" s="1">
        <v>136.55000000000001</v>
      </c>
      <c r="K57" s="34">
        <v>40575</v>
      </c>
      <c r="L57" s="1">
        <v>407.7</v>
      </c>
      <c r="M57" s="34">
        <v>40575</v>
      </c>
      <c r="N57" s="1">
        <v>63.7</v>
      </c>
    </row>
    <row r="58" spans="1:14" x14ac:dyDescent="0.25">
      <c r="A58" s="34">
        <v>40603</v>
      </c>
      <c r="B58" s="1">
        <v>417.4</v>
      </c>
      <c r="C58" s="34">
        <v>40603</v>
      </c>
      <c r="D58" s="1">
        <v>262</v>
      </c>
      <c r="E58" s="34">
        <v>40603</v>
      </c>
      <c r="F58" s="1">
        <v>7.3</v>
      </c>
      <c r="G58" s="34">
        <v>40603</v>
      </c>
      <c r="H58" s="1">
        <v>-0.06</v>
      </c>
      <c r="I58" s="34">
        <v>40603</v>
      </c>
      <c r="J58" s="1">
        <v>136.68</v>
      </c>
      <c r="K58" s="34">
        <v>40603</v>
      </c>
      <c r="L58" s="1">
        <v>411.6</v>
      </c>
      <c r="M58" s="34">
        <v>40603</v>
      </c>
      <c r="N58" s="1">
        <v>64.900000000000006</v>
      </c>
    </row>
    <row r="59" spans="1:14" x14ac:dyDescent="0.25">
      <c r="A59" s="34">
        <v>40634</v>
      </c>
      <c r="B59" s="1">
        <v>419.9</v>
      </c>
      <c r="C59" s="34">
        <v>40634</v>
      </c>
      <c r="D59" s="1">
        <v>244</v>
      </c>
      <c r="E59" s="34">
        <v>40634</v>
      </c>
      <c r="F59" s="1">
        <v>7.3</v>
      </c>
      <c r="G59" s="34">
        <v>40634</v>
      </c>
      <c r="H59" s="1">
        <v>-0.83</v>
      </c>
      <c r="I59" s="34">
        <v>40634</v>
      </c>
      <c r="J59" s="1">
        <v>136.61000000000001</v>
      </c>
      <c r="K59" s="34">
        <v>40634</v>
      </c>
      <c r="L59" s="1">
        <v>419.6</v>
      </c>
      <c r="M59" s="34">
        <v>40634</v>
      </c>
      <c r="N59" s="1">
        <v>66.3</v>
      </c>
    </row>
    <row r="60" spans="1:14" x14ac:dyDescent="0.25">
      <c r="A60" s="34">
        <v>40664</v>
      </c>
      <c r="B60" s="1">
        <v>417</v>
      </c>
      <c r="C60" s="34">
        <v>40664</v>
      </c>
      <c r="D60" s="1">
        <v>299</v>
      </c>
      <c r="E60" s="34">
        <v>40664</v>
      </c>
      <c r="F60" s="1">
        <v>7.4</v>
      </c>
      <c r="G60" s="34">
        <v>40664</v>
      </c>
      <c r="H60" s="1">
        <v>-0.74</v>
      </c>
      <c r="I60" s="34">
        <v>40664</v>
      </c>
      <c r="J60" s="1">
        <v>136.38999999999999</v>
      </c>
      <c r="K60" s="34">
        <v>40664</v>
      </c>
      <c r="L60" s="1">
        <v>420</v>
      </c>
      <c r="M60" s="34">
        <v>40664</v>
      </c>
      <c r="N60" s="1">
        <v>65</v>
      </c>
    </row>
    <row r="61" spans="1:14" x14ac:dyDescent="0.25">
      <c r="A61" s="34">
        <v>40695</v>
      </c>
      <c r="B61" s="1">
        <v>416.4</v>
      </c>
      <c r="C61" s="34">
        <v>40695</v>
      </c>
      <c r="D61" s="1">
        <v>277</v>
      </c>
      <c r="E61" s="34">
        <v>40695</v>
      </c>
      <c r="F61" s="1">
        <v>7.5</v>
      </c>
      <c r="G61" s="34">
        <v>40695</v>
      </c>
      <c r="H61" s="1">
        <v>-0.16</v>
      </c>
      <c r="I61" s="34">
        <v>40695</v>
      </c>
      <c r="J61" s="1">
        <v>136.11000000000001</v>
      </c>
      <c r="K61" s="34">
        <v>40695</v>
      </c>
      <c r="L61" s="1">
        <v>421.5</v>
      </c>
      <c r="M61" s="34">
        <v>40695</v>
      </c>
      <c r="N61" s="1">
        <v>62.3</v>
      </c>
    </row>
    <row r="62" spans="1:14" x14ac:dyDescent="0.25">
      <c r="A62" s="34">
        <v>40725</v>
      </c>
      <c r="B62" s="1">
        <v>417.3</v>
      </c>
      <c r="C62" s="34">
        <v>40725</v>
      </c>
      <c r="D62" s="1">
        <v>246</v>
      </c>
      <c r="E62" s="34">
        <v>40725</v>
      </c>
      <c r="F62" s="1">
        <v>7.6</v>
      </c>
      <c r="G62" s="34">
        <v>40725</v>
      </c>
      <c r="H62" s="1">
        <v>0.11</v>
      </c>
      <c r="I62" s="34">
        <v>40725</v>
      </c>
      <c r="J62" s="1">
        <v>135.87</v>
      </c>
      <c r="K62" s="34">
        <v>40725</v>
      </c>
      <c r="L62" s="1">
        <v>420.5</v>
      </c>
      <c r="M62" s="34">
        <v>40725</v>
      </c>
      <c r="N62" s="1">
        <v>60.7</v>
      </c>
    </row>
    <row r="63" spans="1:14" x14ac:dyDescent="0.25">
      <c r="A63" s="34">
        <v>40756</v>
      </c>
      <c r="B63" s="1">
        <v>416.3</v>
      </c>
      <c r="C63" s="34">
        <v>40756</v>
      </c>
      <c r="D63" s="1">
        <v>306</v>
      </c>
      <c r="E63" s="34">
        <v>40756</v>
      </c>
      <c r="F63" s="1">
        <v>7.6</v>
      </c>
      <c r="G63" s="34">
        <v>40756</v>
      </c>
      <c r="H63" s="1">
        <v>0.57999999999999996</v>
      </c>
      <c r="I63" s="34">
        <v>40756</v>
      </c>
      <c r="J63" s="1">
        <v>135.72999999999999</v>
      </c>
      <c r="K63" s="34">
        <v>40756</v>
      </c>
      <c r="L63" s="1">
        <v>418.4</v>
      </c>
      <c r="M63" s="34">
        <v>40756</v>
      </c>
      <c r="N63" s="1">
        <v>60.1</v>
      </c>
    </row>
    <row r="64" spans="1:14" x14ac:dyDescent="0.25">
      <c r="A64" s="34">
        <v>40787</v>
      </c>
      <c r="B64" s="1">
        <v>416.8</v>
      </c>
      <c r="C64" s="34">
        <v>40787</v>
      </c>
      <c r="D64" s="1">
        <v>250</v>
      </c>
      <c r="E64" s="34">
        <v>40787</v>
      </c>
      <c r="F64" s="1">
        <v>7.6</v>
      </c>
      <c r="G64" s="34">
        <v>40787</v>
      </c>
      <c r="H64" s="1">
        <v>1.19</v>
      </c>
      <c r="I64" s="34">
        <v>40787</v>
      </c>
      <c r="J64" s="1">
        <v>135.72</v>
      </c>
      <c r="K64" s="34">
        <v>40787</v>
      </c>
      <c r="L64" s="1">
        <v>419.6</v>
      </c>
      <c r="M64" s="34">
        <v>40787</v>
      </c>
      <c r="N64" s="1">
        <v>63.6</v>
      </c>
    </row>
    <row r="65" spans="1:14" x14ac:dyDescent="0.25">
      <c r="A65" s="34">
        <v>40817</v>
      </c>
      <c r="B65" s="1">
        <v>416.2</v>
      </c>
      <c r="C65" s="34">
        <v>40817</v>
      </c>
      <c r="D65" s="1">
        <v>223</v>
      </c>
      <c r="E65" s="34">
        <v>40817</v>
      </c>
      <c r="F65" s="1">
        <v>7.4</v>
      </c>
      <c r="G65" s="34">
        <v>40817</v>
      </c>
      <c r="H65" s="1">
        <v>1.35</v>
      </c>
      <c r="I65" s="34">
        <v>40817</v>
      </c>
      <c r="J65" s="1">
        <v>135.85</v>
      </c>
      <c r="K65" s="34">
        <v>40817</v>
      </c>
      <c r="L65" s="1">
        <v>418.3</v>
      </c>
      <c r="M65" s="34">
        <v>40817</v>
      </c>
      <c r="N65" s="1">
        <v>65.099999999999994</v>
      </c>
    </row>
    <row r="66" spans="1:14" x14ac:dyDescent="0.25">
      <c r="A66" s="34">
        <v>40848</v>
      </c>
      <c r="B66" s="1">
        <v>416.5</v>
      </c>
      <c r="C66" s="34">
        <v>40848</v>
      </c>
      <c r="D66" s="1">
        <v>269</v>
      </c>
      <c r="E66" s="34">
        <v>40848</v>
      </c>
      <c r="F66" s="1">
        <v>7.3</v>
      </c>
      <c r="G66" s="34">
        <v>40848</v>
      </c>
      <c r="H66" s="1">
        <v>0.88</v>
      </c>
      <c r="I66" s="34">
        <v>40848</v>
      </c>
      <c r="J66" s="1">
        <v>136.06</v>
      </c>
      <c r="K66" s="34">
        <v>40848</v>
      </c>
      <c r="L66" s="1">
        <v>420.1</v>
      </c>
      <c r="M66" s="34">
        <v>40848</v>
      </c>
      <c r="N66" s="1">
        <v>65.2</v>
      </c>
    </row>
    <row r="67" spans="1:14" x14ac:dyDescent="0.25">
      <c r="A67" s="34">
        <v>40878</v>
      </c>
      <c r="B67" s="1">
        <v>416.9</v>
      </c>
      <c r="C67" s="34">
        <v>40878</v>
      </c>
      <c r="D67" s="1">
        <v>242</v>
      </c>
      <c r="E67" s="34">
        <v>40878</v>
      </c>
      <c r="F67" s="1">
        <v>7.2</v>
      </c>
      <c r="G67" s="34">
        <v>40878</v>
      </c>
      <c r="H67" s="1">
        <v>1.36</v>
      </c>
      <c r="I67" s="34">
        <v>40878</v>
      </c>
      <c r="J67" s="1">
        <v>136.31</v>
      </c>
      <c r="K67" s="34">
        <v>40878</v>
      </c>
      <c r="L67" s="1">
        <v>420.8</v>
      </c>
      <c r="M67" s="34">
        <v>40878</v>
      </c>
      <c r="N67" s="1">
        <v>65</v>
      </c>
    </row>
    <row r="68" spans="1:14" x14ac:dyDescent="0.25">
      <c r="A68" s="34">
        <v>40909</v>
      </c>
      <c r="B68" s="1">
        <v>417.3</v>
      </c>
      <c r="C68" s="34">
        <v>40909</v>
      </c>
      <c r="D68" s="1">
        <v>320</v>
      </c>
      <c r="E68" s="34">
        <v>40909</v>
      </c>
      <c r="F68" s="1">
        <v>7.1</v>
      </c>
      <c r="G68" s="34">
        <v>40909</v>
      </c>
      <c r="H68" s="1">
        <v>1.45</v>
      </c>
      <c r="I68" s="34">
        <v>40909</v>
      </c>
      <c r="J68" s="1">
        <v>136.6</v>
      </c>
      <c r="K68" s="34">
        <v>40909</v>
      </c>
      <c r="L68" s="1">
        <v>406.8</v>
      </c>
      <c r="M68" s="34">
        <v>40909</v>
      </c>
      <c r="N68" s="1">
        <v>62.2</v>
      </c>
    </row>
    <row r="69" spans="1:14" x14ac:dyDescent="0.25">
      <c r="A69" s="34">
        <v>40940</v>
      </c>
      <c r="B69" s="1">
        <v>417.4</v>
      </c>
      <c r="C69" s="34">
        <v>40940</v>
      </c>
      <c r="D69" s="1">
        <v>255</v>
      </c>
      <c r="E69" s="34">
        <v>40940</v>
      </c>
      <c r="F69" s="1">
        <v>7</v>
      </c>
      <c r="G69" s="34">
        <v>40940</v>
      </c>
      <c r="H69" s="1">
        <v>1.06</v>
      </c>
      <c r="I69" s="34">
        <v>40940</v>
      </c>
      <c r="J69" s="1">
        <v>136.87</v>
      </c>
      <c r="K69" s="34">
        <v>40940</v>
      </c>
      <c r="L69" s="1">
        <v>407.6</v>
      </c>
      <c r="M69" s="34">
        <v>40940</v>
      </c>
      <c r="N69" s="1">
        <v>63.9</v>
      </c>
    </row>
    <row r="70" spans="1:14" x14ac:dyDescent="0.25">
      <c r="A70" s="34">
        <v>40969</v>
      </c>
      <c r="B70" s="1">
        <v>418.1</v>
      </c>
      <c r="C70" s="34">
        <v>40969</v>
      </c>
      <c r="D70" s="1">
        <v>316</v>
      </c>
      <c r="E70" s="34">
        <v>40969</v>
      </c>
      <c r="F70" s="1">
        <v>7</v>
      </c>
      <c r="G70" s="34">
        <v>40969</v>
      </c>
      <c r="H70" s="1">
        <v>0.47</v>
      </c>
      <c r="I70" s="34">
        <v>40969</v>
      </c>
      <c r="J70" s="1">
        <v>137.07</v>
      </c>
      <c r="K70" s="34">
        <v>40969</v>
      </c>
      <c r="L70" s="1">
        <v>412.4</v>
      </c>
      <c r="M70" s="34">
        <v>40969</v>
      </c>
      <c r="N70" s="1">
        <v>65.099999999999994</v>
      </c>
    </row>
    <row r="71" spans="1:14" x14ac:dyDescent="0.25">
      <c r="A71" s="34">
        <v>41000</v>
      </c>
      <c r="B71" s="1">
        <v>417.8</v>
      </c>
      <c r="C71" s="34">
        <v>41000</v>
      </c>
      <c r="D71" s="1">
        <v>352</v>
      </c>
      <c r="E71" s="34">
        <v>41000</v>
      </c>
      <c r="F71" s="1">
        <v>7</v>
      </c>
      <c r="G71" s="34">
        <v>41000</v>
      </c>
      <c r="H71" s="1">
        <v>0.24</v>
      </c>
      <c r="I71" s="34">
        <v>41000</v>
      </c>
      <c r="J71" s="1">
        <v>137.16</v>
      </c>
      <c r="K71" s="34">
        <v>41000</v>
      </c>
      <c r="L71" s="1">
        <v>416.7</v>
      </c>
      <c r="M71" s="34">
        <v>41000</v>
      </c>
      <c r="N71" s="1">
        <v>65</v>
      </c>
    </row>
    <row r="72" spans="1:14" x14ac:dyDescent="0.25">
      <c r="A72" s="34">
        <v>41030</v>
      </c>
      <c r="B72" s="1">
        <v>418.8</v>
      </c>
      <c r="C72" s="34">
        <v>41030</v>
      </c>
      <c r="D72" s="1">
        <v>302</v>
      </c>
      <c r="E72" s="34">
        <v>41030</v>
      </c>
      <c r="F72" s="1">
        <v>7.1</v>
      </c>
      <c r="G72" s="34">
        <v>41030</v>
      </c>
      <c r="H72" s="1">
        <v>0.19</v>
      </c>
      <c r="I72" s="34">
        <v>41030</v>
      </c>
      <c r="J72" s="1">
        <v>137.16999999999999</v>
      </c>
      <c r="K72" s="34">
        <v>41030</v>
      </c>
      <c r="L72" s="1">
        <v>422.1</v>
      </c>
      <c r="M72" s="34">
        <v>41030</v>
      </c>
      <c r="N72" s="1">
        <v>65.400000000000006</v>
      </c>
    </row>
    <row r="73" spans="1:14" x14ac:dyDescent="0.25">
      <c r="A73" s="34">
        <v>41061</v>
      </c>
      <c r="B73" s="1">
        <v>418.8</v>
      </c>
      <c r="C73" s="34">
        <v>41061</v>
      </c>
      <c r="D73" s="1">
        <v>424</v>
      </c>
      <c r="E73" s="34">
        <v>41061</v>
      </c>
      <c r="F73" s="1">
        <v>7.2</v>
      </c>
      <c r="G73" s="34">
        <v>41061</v>
      </c>
      <c r="H73" s="1">
        <v>0.74</v>
      </c>
      <c r="I73" s="34">
        <v>41061</v>
      </c>
      <c r="J73" s="1">
        <v>137.16999999999999</v>
      </c>
      <c r="K73" s="34">
        <v>41061</v>
      </c>
      <c r="L73" s="1">
        <v>423.5</v>
      </c>
      <c r="M73" s="34">
        <v>41061</v>
      </c>
      <c r="N73" s="1">
        <v>62.5</v>
      </c>
    </row>
    <row r="74" spans="1:14" x14ac:dyDescent="0.25">
      <c r="A74" s="34">
        <v>41091</v>
      </c>
      <c r="B74" s="1">
        <v>419.4</v>
      </c>
      <c r="C74" s="34">
        <v>41091</v>
      </c>
      <c r="D74" s="1">
        <v>307</v>
      </c>
      <c r="E74" s="34">
        <v>41091</v>
      </c>
      <c r="F74" s="1">
        <v>7.3</v>
      </c>
      <c r="G74" s="34">
        <v>41091</v>
      </c>
      <c r="H74" s="1">
        <v>1.64</v>
      </c>
      <c r="I74" s="34">
        <v>41091</v>
      </c>
      <c r="J74" s="1">
        <v>137.27000000000001</v>
      </c>
      <c r="K74" s="34">
        <v>41091</v>
      </c>
      <c r="L74" s="1">
        <v>422.8</v>
      </c>
      <c r="M74" s="34">
        <v>41091</v>
      </c>
      <c r="N74" s="1">
        <v>60.8</v>
      </c>
    </row>
    <row r="75" spans="1:14" x14ac:dyDescent="0.25">
      <c r="A75" s="34">
        <v>41122</v>
      </c>
      <c r="B75" s="1">
        <v>419.1</v>
      </c>
      <c r="C75" s="34">
        <v>41122</v>
      </c>
      <c r="D75" s="1">
        <v>329</v>
      </c>
      <c r="E75" s="34">
        <v>41122</v>
      </c>
      <c r="F75" s="1">
        <v>7.2</v>
      </c>
      <c r="G75" s="34">
        <v>41122</v>
      </c>
      <c r="H75" s="1">
        <v>2.2599999999999998</v>
      </c>
      <c r="I75" s="34">
        <v>41122</v>
      </c>
      <c r="J75" s="1">
        <v>137.55000000000001</v>
      </c>
      <c r="K75" s="34">
        <v>41122</v>
      </c>
      <c r="L75" s="1">
        <v>421.9</v>
      </c>
      <c r="M75" s="34">
        <v>41122</v>
      </c>
      <c r="N75" s="1">
        <v>59.8</v>
      </c>
    </row>
    <row r="76" spans="1:14" x14ac:dyDescent="0.25">
      <c r="A76" s="34">
        <v>41153</v>
      </c>
      <c r="B76" s="1">
        <v>419.8</v>
      </c>
      <c r="C76" s="34">
        <v>41153</v>
      </c>
      <c r="D76" s="1">
        <v>340</v>
      </c>
      <c r="E76" s="34">
        <v>41153</v>
      </c>
      <c r="F76" s="1">
        <v>7.1</v>
      </c>
      <c r="G76" s="34">
        <v>41153</v>
      </c>
      <c r="H76" s="1">
        <v>1.53</v>
      </c>
      <c r="I76" s="34">
        <v>41153</v>
      </c>
      <c r="J76" s="1">
        <v>137.93</v>
      </c>
      <c r="K76" s="34">
        <v>41153</v>
      </c>
      <c r="L76" s="1">
        <v>421.8</v>
      </c>
      <c r="M76" s="34">
        <v>41153</v>
      </c>
      <c r="N76" s="1">
        <v>63.4</v>
      </c>
    </row>
    <row r="77" spans="1:14" x14ac:dyDescent="0.25">
      <c r="A77" s="34">
        <v>41183</v>
      </c>
      <c r="B77" s="1">
        <v>421.5</v>
      </c>
      <c r="C77" s="34">
        <v>41183</v>
      </c>
      <c r="D77" s="1">
        <v>324</v>
      </c>
      <c r="E77" s="34">
        <v>41183</v>
      </c>
      <c r="F77" s="1">
        <v>7.1</v>
      </c>
      <c r="G77" s="34">
        <v>41183</v>
      </c>
      <c r="H77" s="1">
        <v>1.41</v>
      </c>
      <c r="I77" s="34">
        <v>41183</v>
      </c>
      <c r="J77" s="1">
        <v>138.33000000000001</v>
      </c>
      <c r="K77" s="34">
        <v>41183</v>
      </c>
      <c r="L77" s="1">
        <v>423.6</v>
      </c>
      <c r="M77" s="34">
        <v>41183</v>
      </c>
      <c r="N77" s="1">
        <v>64.900000000000006</v>
      </c>
    </row>
    <row r="78" spans="1:14" x14ac:dyDescent="0.25">
      <c r="A78" s="34">
        <v>41214</v>
      </c>
      <c r="B78" s="1">
        <v>423.1</v>
      </c>
      <c r="C78" s="34">
        <v>41214</v>
      </c>
      <c r="D78" s="1">
        <v>313</v>
      </c>
      <c r="E78" s="34">
        <v>41214</v>
      </c>
      <c r="F78" s="1">
        <v>7</v>
      </c>
      <c r="G78" s="34">
        <v>41214</v>
      </c>
      <c r="H78" s="1">
        <v>1.71</v>
      </c>
      <c r="I78" s="34">
        <v>41214</v>
      </c>
      <c r="J78" s="1">
        <v>138.72999999999999</v>
      </c>
      <c r="K78" s="34">
        <v>41214</v>
      </c>
      <c r="L78" s="1">
        <v>426.9</v>
      </c>
      <c r="M78" s="34">
        <v>41214</v>
      </c>
      <c r="N78" s="1">
        <v>65.099999999999994</v>
      </c>
    </row>
    <row r="79" spans="1:14" x14ac:dyDescent="0.25">
      <c r="A79" s="34">
        <v>41244</v>
      </c>
      <c r="B79" s="1">
        <v>422.6</v>
      </c>
      <c r="C79" s="34">
        <v>41244</v>
      </c>
      <c r="D79" s="1">
        <v>319</v>
      </c>
      <c r="E79" s="34">
        <v>41244</v>
      </c>
      <c r="F79" s="1">
        <v>7</v>
      </c>
      <c r="G79" s="34">
        <v>41244</v>
      </c>
      <c r="H79" s="1">
        <v>1.33</v>
      </c>
      <c r="I79" s="34">
        <v>41244</v>
      </c>
      <c r="J79" s="1">
        <v>139.1</v>
      </c>
      <c r="K79" s="34">
        <v>41244</v>
      </c>
      <c r="L79" s="1">
        <v>427.3</v>
      </c>
      <c r="M79" s="34">
        <v>41244</v>
      </c>
      <c r="N79" s="1">
        <v>65.099999999999994</v>
      </c>
    </row>
    <row r="80" spans="1:14" x14ac:dyDescent="0.25">
      <c r="A80" s="34">
        <v>41275</v>
      </c>
      <c r="B80" s="1">
        <v>423.1</v>
      </c>
      <c r="C80" s="34">
        <v>41275</v>
      </c>
      <c r="D80" s="1">
        <v>317</v>
      </c>
      <c r="E80" s="34">
        <v>41275</v>
      </c>
      <c r="F80" s="1">
        <v>7</v>
      </c>
      <c r="G80" s="34">
        <v>41275</v>
      </c>
      <c r="H80" s="1">
        <v>1.76</v>
      </c>
      <c r="I80" s="34">
        <v>41275</v>
      </c>
      <c r="J80" s="1">
        <v>139.46</v>
      </c>
      <c r="K80" s="34">
        <v>41275</v>
      </c>
      <c r="L80" s="1">
        <v>412.8</v>
      </c>
      <c r="M80" s="34">
        <v>41275</v>
      </c>
      <c r="N80" s="1">
        <v>61.4</v>
      </c>
    </row>
    <row r="81" spans="1:14" x14ac:dyDescent="0.25">
      <c r="A81" s="34">
        <v>41306</v>
      </c>
      <c r="B81" s="1">
        <v>424.4</v>
      </c>
      <c r="C81" s="34">
        <v>41306</v>
      </c>
      <c r="D81" s="1">
        <v>342</v>
      </c>
      <c r="E81" s="34">
        <v>41306</v>
      </c>
      <c r="F81" s="1">
        <v>6.9</v>
      </c>
      <c r="G81" s="34">
        <v>41306</v>
      </c>
      <c r="H81" s="1">
        <v>2.2200000000000002</v>
      </c>
      <c r="I81" s="34">
        <v>41306</v>
      </c>
      <c r="J81" s="1">
        <v>139.86000000000001</v>
      </c>
      <c r="K81" s="34">
        <v>41306</v>
      </c>
      <c r="L81" s="1">
        <v>414.9</v>
      </c>
      <c r="M81" s="34">
        <v>41306</v>
      </c>
      <c r="N81" s="1">
        <v>64</v>
      </c>
    </row>
    <row r="82" spans="1:14" x14ac:dyDescent="0.25">
      <c r="A82" s="34">
        <v>41334</v>
      </c>
      <c r="B82" s="1">
        <v>425.1</v>
      </c>
      <c r="C82" s="34">
        <v>41334</v>
      </c>
      <c r="D82" s="1">
        <v>378</v>
      </c>
      <c r="E82" s="34">
        <v>41334</v>
      </c>
      <c r="F82" s="1">
        <v>6.8</v>
      </c>
      <c r="G82" s="34">
        <v>41334</v>
      </c>
      <c r="H82" s="1">
        <v>1.46</v>
      </c>
      <c r="I82" s="34">
        <v>41334</v>
      </c>
      <c r="J82" s="1">
        <v>140.24</v>
      </c>
      <c r="K82" s="34">
        <v>41334</v>
      </c>
      <c r="L82" s="1">
        <v>419.4</v>
      </c>
      <c r="M82" s="34">
        <v>41334</v>
      </c>
      <c r="N82" s="1">
        <v>65.400000000000006</v>
      </c>
    </row>
    <row r="83" spans="1:14" x14ac:dyDescent="0.25">
      <c r="A83" s="34">
        <v>41365</v>
      </c>
      <c r="B83" s="1">
        <v>425.1</v>
      </c>
      <c r="C83" s="34">
        <v>41365</v>
      </c>
      <c r="D83" s="1">
        <v>445</v>
      </c>
      <c r="E83" s="34">
        <v>41365</v>
      </c>
      <c r="F83" s="1">
        <v>6.8</v>
      </c>
      <c r="G83" s="34">
        <v>41365</v>
      </c>
      <c r="H83" s="1">
        <v>0.98</v>
      </c>
      <c r="I83" s="34">
        <v>41365</v>
      </c>
      <c r="J83" s="1">
        <v>140.55000000000001</v>
      </c>
      <c r="K83" s="34">
        <v>41365</v>
      </c>
      <c r="L83" s="1">
        <v>424</v>
      </c>
      <c r="M83" s="34">
        <v>41365</v>
      </c>
      <c r="N83" s="1">
        <v>65.599999999999994</v>
      </c>
    </row>
    <row r="84" spans="1:14" x14ac:dyDescent="0.25">
      <c r="A84" s="34">
        <v>41395</v>
      </c>
      <c r="B84" s="1">
        <v>426.6</v>
      </c>
      <c r="C84" s="34">
        <v>41395</v>
      </c>
      <c r="D84" s="1">
        <v>429</v>
      </c>
      <c r="E84" s="34">
        <v>41395</v>
      </c>
      <c r="F84" s="1">
        <v>6.8</v>
      </c>
      <c r="G84" s="34">
        <v>41395</v>
      </c>
      <c r="H84" s="1">
        <v>1.22</v>
      </c>
      <c r="I84" s="34">
        <v>41395</v>
      </c>
      <c r="J84" s="1">
        <v>140.81</v>
      </c>
      <c r="K84" s="34">
        <v>41395</v>
      </c>
      <c r="L84" s="1">
        <v>429</v>
      </c>
      <c r="M84" s="34">
        <v>41395</v>
      </c>
      <c r="N84" s="1">
        <v>65.8</v>
      </c>
    </row>
    <row r="85" spans="1:14" x14ac:dyDescent="0.25">
      <c r="A85" s="34">
        <v>41426</v>
      </c>
      <c r="B85" s="1">
        <v>426.1</v>
      </c>
      <c r="C85" s="34">
        <v>41426</v>
      </c>
      <c r="D85" s="1">
        <v>403</v>
      </c>
      <c r="E85" s="34">
        <v>41426</v>
      </c>
      <c r="F85" s="1">
        <v>6.9</v>
      </c>
      <c r="G85" s="34">
        <v>41426</v>
      </c>
      <c r="H85" s="1">
        <v>1.83</v>
      </c>
      <c r="I85" s="34">
        <v>41426</v>
      </c>
      <c r="J85" s="1">
        <v>141.08000000000001</v>
      </c>
      <c r="K85" s="34">
        <v>41426</v>
      </c>
      <c r="L85" s="1">
        <v>431.1</v>
      </c>
      <c r="M85" s="34">
        <v>41426</v>
      </c>
      <c r="N85" s="1">
        <v>63</v>
      </c>
    </row>
    <row r="86" spans="1:14" x14ac:dyDescent="0.25">
      <c r="A86" s="34">
        <v>41456</v>
      </c>
      <c r="B86" s="1">
        <v>427.8</v>
      </c>
      <c r="C86" s="34">
        <v>41456</v>
      </c>
      <c r="D86" s="1">
        <v>435</v>
      </c>
      <c r="E86" s="34">
        <v>41456</v>
      </c>
      <c r="F86" s="1">
        <v>6.8</v>
      </c>
      <c r="G86" s="34">
        <v>41456</v>
      </c>
      <c r="H86" s="1">
        <v>2.76</v>
      </c>
      <c r="I86" s="34">
        <v>41456</v>
      </c>
      <c r="J86" s="1">
        <v>141.49</v>
      </c>
      <c r="K86" s="34">
        <v>41456</v>
      </c>
      <c r="L86" s="1">
        <v>431.3</v>
      </c>
      <c r="M86" s="34">
        <v>41456</v>
      </c>
      <c r="N86" s="1">
        <v>61.2</v>
      </c>
    </row>
    <row r="87" spans="1:14" x14ac:dyDescent="0.25">
      <c r="A87" s="34">
        <v>41487</v>
      </c>
      <c r="B87" s="1">
        <v>428.6</v>
      </c>
      <c r="C87" s="34">
        <v>41487</v>
      </c>
      <c r="D87" s="1">
        <v>397</v>
      </c>
      <c r="E87" s="34">
        <v>41487</v>
      </c>
      <c r="F87" s="1">
        <v>6.7</v>
      </c>
      <c r="G87" s="34">
        <v>41487</v>
      </c>
      <c r="H87" s="1">
        <v>2.2000000000000002</v>
      </c>
      <c r="I87" s="34">
        <v>41487</v>
      </c>
      <c r="J87" s="1">
        <v>141.99</v>
      </c>
      <c r="K87" s="34">
        <v>41487</v>
      </c>
      <c r="L87" s="1">
        <v>431.2</v>
      </c>
      <c r="M87" s="34">
        <v>41487</v>
      </c>
      <c r="N87" s="1">
        <v>60.2</v>
      </c>
    </row>
    <row r="88" spans="1:14" x14ac:dyDescent="0.25">
      <c r="A88" s="34">
        <v>41518</v>
      </c>
      <c r="B88" s="1">
        <v>428.5</v>
      </c>
      <c r="C88" s="34">
        <v>41518</v>
      </c>
      <c r="D88" s="1">
        <v>443</v>
      </c>
      <c r="E88" s="34">
        <v>41518</v>
      </c>
      <c r="F88" s="1">
        <v>6.6</v>
      </c>
      <c r="G88" s="34">
        <v>41518</v>
      </c>
      <c r="H88" s="1">
        <v>2.12</v>
      </c>
      <c r="I88" s="34">
        <v>41518</v>
      </c>
      <c r="J88" s="1">
        <v>142.53</v>
      </c>
      <c r="K88" s="34">
        <v>41518</v>
      </c>
      <c r="L88" s="1">
        <v>430.4</v>
      </c>
      <c r="M88" s="34">
        <v>41518</v>
      </c>
      <c r="N88" s="1">
        <v>63.9</v>
      </c>
    </row>
    <row r="89" spans="1:14" x14ac:dyDescent="0.25">
      <c r="A89" s="34">
        <v>41548</v>
      </c>
      <c r="B89" s="1">
        <v>431.4</v>
      </c>
      <c r="C89" s="34">
        <v>41548</v>
      </c>
      <c r="D89" s="1">
        <v>365</v>
      </c>
      <c r="E89" s="34">
        <v>41548</v>
      </c>
      <c r="F89" s="1">
        <v>6.5</v>
      </c>
      <c r="G89" s="34">
        <v>41548</v>
      </c>
      <c r="H89" s="1">
        <v>2.84</v>
      </c>
      <c r="I89" s="34">
        <v>41548</v>
      </c>
      <c r="J89" s="1">
        <v>143.13</v>
      </c>
      <c r="K89" s="34">
        <v>41548</v>
      </c>
      <c r="L89" s="1">
        <v>432.3</v>
      </c>
      <c r="M89" s="34">
        <v>41548</v>
      </c>
      <c r="N89" s="1">
        <v>65.3</v>
      </c>
    </row>
    <row r="90" spans="1:14" x14ac:dyDescent="0.25">
      <c r="A90" s="34">
        <v>41579</v>
      </c>
      <c r="B90" s="1">
        <v>433.6</v>
      </c>
      <c r="C90" s="34">
        <v>41579</v>
      </c>
      <c r="D90" s="1">
        <v>381</v>
      </c>
      <c r="E90" s="34">
        <v>41579</v>
      </c>
      <c r="F90" s="1">
        <v>6.3</v>
      </c>
      <c r="G90" s="34">
        <v>41579</v>
      </c>
      <c r="H90" s="1">
        <v>2.75</v>
      </c>
      <c r="I90" s="34">
        <v>41579</v>
      </c>
      <c r="J90" s="1">
        <v>143.78</v>
      </c>
      <c r="K90" s="34">
        <v>41579</v>
      </c>
      <c r="L90" s="1">
        <v>436.5</v>
      </c>
      <c r="M90" s="34">
        <v>41579</v>
      </c>
      <c r="N90" s="1">
        <v>66.2</v>
      </c>
    </row>
    <row r="91" spans="1:14" x14ac:dyDescent="0.25">
      <c r="A91" s="34">
        <v>41609</v>
      </c>
      <c r="B91" s="1">
        <v>432.8</v>
      </c>
      <c r="C91" s="34">
        <v>41609</v>
      </c>
      <c r="D91" s="1">
        <v>358</v>
      </c>
      <c r="E91" s="34">
        <v>41609</v>
      </c>
      <c r="F91" s="1">
        <v>6.2</v>
      </c>
      <c r="G91" s="34">
        <v>41609</v>
      </c>
      <c r="H91" s="1">
        <v>2.12</v>
      </c>
      <c r="I91" s="34">
        <v>41609</v>
      </c>
      <c r="J91" s="1">
        <v>144.41999999999999</v>
      </c>
      <c r="K91" s="34">
        <v>41609</v>
      </c>
      <c r="L91" s="1">
        <v>435.9</v>
      </c>
      <c r="M91" s="34">
        <v>41609</v>
      </c>
      <c r="N91" s="1">
        <v>65</v>
      </c>
    </row>
    <row r="92" spans="1:14" x14ac:dyDescent="0.25">
      <c r="A92" s="34">
        <v>41640</v>
      </c>
      <c r="B92" s="1">
        <v>431.9</v>
      </c>
      <c r="C92" s="34">
        <v>41640</v>
      </c>
      <c r="D92" s="1">
        <v>309</v>
      </c>
      <c r="E92" s="34">
        <v>41640</v>
      </c>
      <c r="F92" s="1">
        <v>6.1</v>
      </c>
      <c r="G92" s="34">
        <v>41640</v>
      </c>
      <c r="H92" s="1">
        <v>2.64</v>
      </c>
      <c r="I92" s="34">
        <v>41640</v>
      </c>
      <c r="J92" s="1">
        <v>145.06</v>
      </c>
      <c r="K92" s="34">
        <v>41640</v>
      </c>
      <c r="L92" s="1">
        <v>422.5</v>
      </c>
      <c r="M92" s="34">
        <v>41640</v>
      </c>
      <c r="N92" s="1">
        <v>63.5</v>
      </c>
    </row>
    <row r="93" spans="1:14" x14ac:dyDescent="0.25">
      <c r="A93" s="34">
        <v>41671</v>
      </c>
      <c r="B93" s="1">
        <v>432.7</v>
      </c>
      <c r="C93" s="34">
        <v>41671</v>
      </c>
      <c r="D93" s="1">
        <v>361</v>
      </c>
      <c r="E93" s="34">
        <v>41671</v>
      </c>
      <c r="F93" s="1">
        <v>5.9</v>
      </c>
      <c r="G93" s="34">
        <v>41671</v>
      </c>
      <c r="H93" s="1">
        <v>2.4300000000000002</v>
      </c>
      <c r="I93" s="34">
        <v>41671</v>
      </c>
      <c r="J93" s="1">
        <v>145.69999999999999</v>
      </c>
      <c r="K93" s="34">
        <v>41671</v>
      </c>
      <c r="L93" s="1">
        <v>423.6</v>
      </c>
      <c r="M93" s="34">
        <v>41671</v>
      </c>
      <c r="N93" s="1">
        <v>65.2</v>
      </c>
    </row>
    <row r="94" spans="1:14" x14ac:dyDescent="0.25">
      <c r="A94" s="34">
        <v>41699</v>
      </c>
      <c r="B94" s="1">
        <v>432.2</v>
      </c>
      <c r="C94" s="34">
        <v>41699</v>
      </c>
      <c r="D94" s="1">
        <v>364</v>
      </c>
      <c r="E94" s="34">
        <v>41699</v>
      </c>
      <c r="F94" s="1">
        <v>5.9</v>
      </c>
      <c r="G94" s="34">
        <v>41699</v>
      </c>
      <c r="H94" s="1">
        <v>1.95</v>
      </c>
      <c r="I94" s="34">
        <v>41699</v>
      </c>
      <c r="J94" s="1">
        <v>146.29</v>
      </c>
      <c r="K94" s="34">
        <v>41699</v>
      </c>
      <c r="L94" s="1">
        <v>427</v>
      </c>
      <c r="M94" s="34">
        <v>41699</v>
      </c>
      <c r="N94" s="1">
        <v>66</v>
      </c>
    </row>
    <row r="95" spans="1:14" x14ac:dyDescent="0.25">
      <c r="A95" s="34">
        <v>41730</v>
      </c>
      <c r="B95" s="1">
        <v>433.7</v>
      </c>
      <c r="C95" s="34">
        <v>41730</v>
      </c>
      <c r="D95" s="1">
        <v>382</v>
      </c>
      <c r="E95" s="34">
        <v>41730</v>
      </c>
      <c r="F95" s="1">
        <v>5.8</v>
      </c>
      <c r="G95" s="34">
        <v>41730</v>
      </c>
      <c r="H95" s="1">
        <v>2</v>
      </c>
      <c r="I95" s="34">
        <v>41730</v>
      </c>
      <c r="J95" s="1">
        <v>146.83000000000001</v>
      </c>
      <c r="K95" s="34">
        <v>41730</v>
      </c>
      <c r="L95" s="1">
        <v>434</v>
      </c>
      <c r="M95" s="34">
        <v>41730</v>
      </c>
      <c r="N95" s="1">
        <v>66.099999999999994</v>
      </c>
    </row>
    <row r="96" spans="1:14" x14ac:dyDescent="0.25">
      <c r="A96" s="34">
        <v>41760</v>
      </c>
      <c r="B96" s="1">
        <v>437.6</v>
      </c>
      <c r="C96" s="34">
        <v>41760</v>
      </c>
      <c r="D96" s="1">
        <v>417</v>
      </c>
      <c r="E96" s="34">
        <v>41760</v>
      </c>
      <c r="F96" s="1">
        <v>5.9</v>
      </c>
      <c r="G96" s="34">
        <v>41760</v>
      </c>
      <c r="H96" s="1">
        <v>0.94</v>
      </c>
      <c r="I96" s="34">
        <v>41760</v>
      </c>
      <c r="J96" s="1">
        <v>147.24</v>
      </c>
      <c r="K96" s="34">
        <v>41760</v>
      </c>
      <c r="L96" s="1">
        <v>441</v>
      </c>
      <c r="M96" s="34">
        <v>41760</v>
      </c>
      <c r="N96" s="1">
        <v>66.2</v>
      </c>
    </row>
    <row r="97" spans="1:14" x14ac:dyDescent="0.25">
      <c r="A97" s="34">
        <v>41791</v>
      </c>
      <c r="B97" s="1">
        <v>438</v>
      </c>
      <c r="C97" s="34">
        <v>41791</v>
      </c>
      <c r="D97" s="1">
        <v>389</v>
      </c>
      <c r="E97" s="34">
        <v>41791</v>
      </c>
      <c r="F97" s="1">
        <v>6.1</v>
      </c>
      <c r="G97" s="34">
        <v>41791</v>
      </c>
      <c r="H97" s="1">
        <v>0.74</v>
      </c>
      <c r="I97" s="34">
        <v>41791</v>
      </c>
      <c r="J97" s="1">
        <v>147.51</v>
      </c>
      <c r="K97" s="34">
        <v>41791</v>
      </c>
      <c r="L97" s="1">
        <v>444.4</v>
      </c>
      <c r="M97" s="34">
        <v>41791</v>
      </c>
      <c r="N97" s="1">
        <v>63.4</v>
      </c>
    </row>
    <row r="98" spans="1:14" x14ac:dyDescent="0.25">
      <c r="A98" s="34">
        <v>41821</v>
      </c>
      <c r="B98" s="1">
        <v>438.9</v>
      </c>
      <c r="C98" s="34">
        <v>41821</v>
      </c>
      <c r="D98" s="1">
        <v>415</v>
      </c>
      <c r="E98" s="34">
        <v>41821</v>
      </c>
      <c r="F98" s="1">
        <v>6.2</v>
      </c>
      <c r="G98" s="34">
        <v>41821</v>
      </c>
      <c r="H98" s="1">
        <v>0.96</v>
      </c>
      <c r="I98" s="34">
        <v>41821</v>
      </c>
      <c r="J98" s="1">
        <v>147.69</v>
      </c>
      <c r="K98" s="34">
        <v>41821</v>
      </c>
      <c r="L98" s="1">
        <v>443.9</v>
      </c>
      <c r="M98" s="34">
        <v>41821</v>
      </c>
      <c r="N98" s="1">
        <v>61.7</v>
      </c>
    </row>
    <row r="99" spans="1:14" x14ac:dyDescent="0.25">
      <c r="A99" s="34">
        <v>41852</v>
      </c>
      <c r="B99" s="1">
        <v>439.9</v>
      </c>
      <c r="C99" s="34">
        <v>41852</v>
      </c>
      <c r="D99" s="1">
        <v>387</v>
      </c>
      <c r="E99" s="34">
        <v>41852</v>
      </c>
      <c r="F99" s="1">
        <v>6.5</v>
      </c>
      <c r="G99" s="34">
        <v>41852</v>
      </c>
      <c r="H99" s="1">
        <v>1.48</v>
      </c>
      <c r="I99" s="34">
        <v>41852</v>
      </c>
      <c r="J99" s="1">
        <v>147.88</v>
      </c>
      <c r="K99" s="34">
        <v>41852</v>
      </c>
      <c r="L99" s="1">
        <v>442.4</v>
      </c>
      <c r="M99" s="34">
        <v>41852</v>
      </c>
      <c r="N99" s="1">
        <v>60.5</v>
      </c>
    </row>
    <row r="100" spans="1:14" x14ac:dyDescent="0.25">
      <c r="A100" s="34">
        <v>41883</v>
      </c>
      <c r="B100" s="1">
        <v>442</v>
      </c>
      <c r="C100" s="34">
        <v>41883</v>
      </c>
      <c r="D100" s="1">
        <v>460</v>
      </c>
      <c r="E100" s="34">
        <v>41883</v>
      </c>
      <c r="F100" s="1">
        <v>6.5</v>
      </c>
      <c r="G100" s="34">
        <v>41883</v>
      </c>
      <c r="H100" s="1">
        <v>3.93</v>
      </c>
      <c r="I100" s="34">
        <v>41883</v>
      </c>
      <c r="J100" s="1">
        <v>148.33000000000001</v>
      </c>
      <c r="K100" s="34">
        <v>41883</v>
      </c>
      <c r="L100" s="1">
        <v>442.3</v>
      </c>
      <c r="M100" s="34">
        <v>41883</v>
      </c>
      <c r="N100" s="1">
        <v>64.3</v>
      </c>
    </row>
    <row r="101" spans="1:14" x14ac:dyDescent="0.25">
      <c r="A101" s="34">
        <v>41913</v>
      </c>
      <c r="B101" s="1">
        <v>443.6</v>
      </c>
      <c r="C101" s="34">
        <v>41913</v>
      </c>
      <c r="D101" s="1">
        <v>539</v>
      </c>
      <c r="E101" s="34">
        <v>41913</v>
      </c>
      <c r="F101" s="1">
        <v>6.4</v>
      </c>
      <c r="G101" s="34">
        <v>41913</v>
      </c>
      <c r="H101" s="1">
        <v>4.87</v>
      </c>
      <c r="I101" s="34">
        <v>41913</v>
      </c>
      <c r="J101" s="1">
        <v>149.15</v>
      </c>
      <c r="K101" s="34">
        <v>41913</v>
      </c>
      <c r="L101" s="1">
        <v>444.7</v>
      </c>
      <c r="M101" s="34">
        <v>41913</v>
      </c>
      <c r="N101" s="1">
        <v>65.8</v>
      </c>
    </row>
    <row r="102" spans="1:14" x14ac:dyDescent="0.25">
      <c r="A102" s="34">
        <v>41944</v>
      </c>
      <c r="B102" s="1">
        <v>445.4</v>
      </c>
      <c r="C102" s="34">
        <v>41944</v>
      </c>
      <c r="D102" s="1">
        <v>312</v>
      </c>
      <c r="E102" s="34">
        <v>41944</v>
      </c>
      <c r="F102" s="1">
        <v>6</v>
      </c>
      <c r="G102" s="34">
        <v>41944</v>
      </c>
      <c r="H102" s="1">
        <v>4.5</v>
      </c>
      <c r="I102" s="34">
        <v>41944</v>
      </c>
      <c r="J102" s="1">
        <v>150.26</v>
      </c>
      <c r="K102" s="34">
        <v>41944</v>
      </c>
      <c r="L102" s="1">
        <v>447.7</v>
      </c>
      <c r="M102" s="34">
        <v>41944</v>
      </c>
      <c r="N102" s="1">
        <v>66.3</v>
      </c>
    </row>
    <row r="103" spans="1:14" x14ac:dyDescent="0.25">
      <c r="A103" s="34">
        <v>41974</v>
      </c>
      <c r="B103" s="1">
        <v>444.4</v>
      </c>
      <c r="E103" s="34">
        <v>41974</v>
      </c>
      <c r="F103" s="1">
        <v>5.4</v>
      </c>
      <c r="K103" s="34">
        <v>41974</v>
      </c>
      <c r="L103" s="1">
        <v>447.6</v>
      </c>
      <c r="M103" s="34">
        <v>41974</v>
      </c>
      <c r="N103" s="1">
        <v>66.3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103"/>
  <sheetViews>
    <sheetView topLeftCell="A85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105</v>
      </c>
      <c r="C1" s="34" t="s">
        <v>106</v>
      </c>
      <c r="E1" s="34" t="s">
        <v>107</v>
      </c>
      <c r="G1" s="34" t="str">
        <f>CONCATENATE(LEFT(A1,2), "NAN")</f>
        <v>DCNAN</v>
      </c>
      <c r="I1" s="34" t="str">
        <f>CONCATENATE(LEFT(A1,2), "GOVTN")</f>
        <v>DCGOVTN</v>
      </c>
      <c r="K1" s="34" t="str">
        <f>CONCATENATE(LEFT(A1,2), "NAN")</f>
        <v>DCNAN</v>
      </c>
      <c r="M1" s="34" t="str">
        <f>CONCATENATE(LEFT(A1,2), "GOVTN")</f>
        <v>DCGOVTN</v>
      </c>
      <c r="O1" s="34" t="str">
        <f>CONCATENATE(LEFT($A$1,2), "RGSP")</f>
        <v>DCRGSP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6</v>
      </c>
      <c r="I2" s="34" t="s">
        <v>3</v>
      </c>
      <c r="J2" s="1" t="s">
        <v>6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985</v>
      </c>
      <c r="I4" s="34">
        <v>39083</v>
      </c>
      <c r="J4" s="1" t="s">
        <v>984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860</v>
      </c>
      <c r="C5" s="35" t="s">
        <v>463</v>
      </c>
      <c r="E5" s="35" t="s">
        <v>464</v>
      </c>
      <c r="G5" s="35" t="s">
        <v>860</v>
      </c>
      <c r="I5" s="35" t="s">
        <v>861</v>
      </c>
      <c r="K5" s="35" t="s">
        <v>860</v>
      </c>
      <c r="M5" s="35" t="s">
        <v>861</v>
      </c>
      <c r="O5" s="35" t="s">
        <v>812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953</v>
      </c>
      <c r="I6" s="34" t="s">
        <v>953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690.4</v>
      </c>
      <c r="C8" s="34">
        <v>39083</v>
      </c>
      <c r="D8" s="1">
        <v>402</v>
      </c>
      <c r="E8" s="34">
        <v>39083</v>
      </c>
      <c r="F8" s="1">
        <v>5.5</v>
      </c>
      <c r="G8" s="34">
        <v>39083</v>
      </c>
      <c r="H8" s="1">
        <v>680.7</v>
      </c>
      <c r="I8" s="34">
        <v>39083</v>
      </c>
      <c r="J8" s="1">
        <v>226.9</v>
      </c>
      <c r="K8" s="34">
        <v>39083</v>
      </c>
      <c r="L8" s="1">
        <v>680.7</v>
      </c>
      <c r="M8" s="34">
        <v>39083</v>
      </c>
      <c r="N8" s="1">
        <v>226.9</v>
      </c>
      <c r="O8" s="34">
        <v>39083</v>
      </c>
      <c r="P8" s="1">
        <v>100084</v>
      </c>
    </row>
    <row r="9" spans="1:16" x14ac:dyDescent="0.25">
      <c r="A9" s="34">
        <v>39114</v>
      </c>
      <c r="B9" s="1">
        <v>693.8</v>
      </c>
      <c r="C9" s="34">
        <v>39114</v>
      </c>
      <c r="D9" s="1">
        <v>365</v>
      </c>
      <c r="E9" s="34">
        <v>39114</v>
      </c>
      <c r="F9" s="1">
        <v>5.5</v>
      </c>
      <c r="G9" s="34">
        <v>39114</v>
      </c>
      <c r="H9" s="1">
        <v>689.2</v>
      </c>
      <c r="I9" s="34">
        <v>39114</v>
      </c>
      <c r="J9" s="1">
        <v>227.8</v>
      </c>
      <c r="K9" s="34">
        <v>39114</v>
      </c>
      <c r="L9" s="1">
        <v>689.2</v>
      </c>
      <c r="M9" s="34">
        <v>39114</v>
      </c>
      <c r="N9" s="1">
        <v>227.8</v>
      </c>
      <c r="O9" s="34">
        <v>39448</v>
      </c>
      <c r="P9" s="1">
        <v>103244</v>
      </c>
    </row>
    <row r="10" spans="1:16" x14ac:dyDescent="0.25">
      <c r="A10" s="34">
        <v>39142</v>
      </c>
      <c r="B10" s="1">
        <v>693.6</v>
      </c>
      <c r="C10" s="34">
        <v>39142</v>
      </c>
      <c r="D10" s="1">
        <v>67</v>
      </c>
      <c r="E10" s="34">
        <v>39142</v>
      </c>
      <c r="F10" s="1">
        <v>5.4</v>
      </c>
      <c r="G10" s="34">
        <v>39142</v>
      </c>
      <c r="H10" s="1">
        <v>692</v>
      </c>
      <c r="I10" s="34">
        <v>39142</v>
      </c>
      <c r="J10" s="1">
        <v>227.1</v>
      </c>
      <c r="K10" s="34">
        <v>39142</v>
      </c>
      <c r="L10" s="1">
        <v>692</v>
      </c>
      <c r="M10" s="34">
        <v>39142</v>
      </c>
      <c r="N10" s="1">
        <v>227.1</v>
      </c>
      <c r="O10" s="34">
        <v>39814</v>
      </c>
      <c r="P10" s="1">
        <v>101927</v>
      </c>
    </row>
    <row r="11" spans="1:16" x14ac:dyDescent="0.25">
      <c r="A11" s="34">
        <v>39173</v>
      </c>
      <c r="B11" s="1">
        <v>692.3</v>
      </c>
      <c r="C11" s="34">
        <v>39173</v>
      </c>
      <c r="D11" s="1">
        <v>26</v>
      </c>
      <c r="E11" s="34">
        <v>39173</v>
      </c>
      <c r="F11" s="1">
        <v>5.4</v>
      </c>
      <c r="G11" s="34">
        <v>39173</v>
      </c>
      <c r="H11" s="1">
        <v>692.1</v>
      </c>
      <c r="I11" s="34">
        <v>39173</v>
      </c>
      <c r="J11" s="1">
        <v>226.9</v>
      </c>
      <c r="K11" s="34">
        <v>39173</v>
      </c>
      <c r="L11" s="1">
        <v>692.1</v>
      </c>
      <c r="M11" s="34">
        <v>39173</v>
      </c>
      <c r="N11" s="1">
        <v>226.9</v>
      </c>
      <c r="O11" s="34">
        <v>40179</v>
      </c>
      <c r="P11" s="1">
        <v>104407</v>
      </c>
    </row>
    <row r="12" spans="1:16" x14ac:dyDescent="0.25">
      <c r="A12" s="34">
        <v>39203</v>
      </c>
      <c r="B12" s="1">
        <v>690.9</v>
      </c>
      <c r="C12" s="34">
        <v>39203</v>
      </c>
      <c r="D12" s="1">
        <v>466</v>
      </c>
      <c r="E12" s="34">
        <v>39203</v>
      </c>
      <c r="F12" s="1">
        <v>5.4</v>
      </c>
      <c r="G12" s="34">
        <v>39203</v>
      </c>
      <c r="H12" s="1">
        <v>689.6</v>
      </c>
      <c r="I12" s="34">
        <v>39203</v>
      </c>
      <c r="J12" s="1">
        <v>227.3</v>
      </c>
      <c r="K12" s="34">
        <v>39203</v>
      </c>
      <c r="L12" s="1">
        <v>689.6</v>
      </c>
      <c r="M12" s="34">
        <v>39203</v>
      </c>
      <c r="N12" s="1">
        <v>227.3</v>
      </c>
      <c r="O12" s="34">
        <v>40544</v>
      </c>
      <c r="P12" s="1">
        <v>106484</v>
      </c>
    </row>
    <row r="13" spans="1:16" x14ac:dyDescent="0.25">
      <c r="A13" s="34">
        <v>39234</v>
      </c>
      <c r="B13" s="1">
        <v>690</v>
      </c>
      <c r="C13" s="34">
        <v>39234</v>
      </c>
      <c r="D13" s="1">
        <v>9</v>
      </c>
      <c r="E13" s="34">
        <v>39234</v>
      </c>
      <c r="F13" s="1">
        <v>5.4</v>
      </c>
      <c r="G13" s="34">
        <v>39234</v>
      </c>
      <c r="H13" s="1">
        <v>691.3</v>
      </c>
      <c r="I13" s="34">
        <v>39234</v>
      </c>
      <c r="J13" s="1">
        <v>230</v>
      </c>
      <c r="K13" s="34">
        <v>39234</v>
      </c>
      <c r="L13" s="1">
        <v>691.3</v>
      </c>
      <c r="M13" s="34">
        <v>39234</v>
      </c>
      <c r="N13" s="1">
        <v>230</v>
      </c>
      <c r="O13" s="34">
        <v>40909</v>
      </c>
      <c r="P13" s="1">
        <v>105989</v>
      </c>
    </row>
    <row r="14" spans="1:16" x14ac:dyDescent="0.25">
      <c r="A14" s="34">
        <v>39264</v>
      </c>
      <c r="B14" s="1">
        <v>692</v>
      </c>
      <c r="C14" s="34">
        <v>39264</v>
      </c>
      <c r="D14" s="1">
        <v>190</v>
      </c>
      <c r="E14" s="34">
        <v>39264</v>
      </c>
      <c r="F14" s="1">
        <v>5.5</v>
      </c>
      <c r="G14" s="34">
        <v>39264</v>
      </c>
      <c r="H14" s="1">
        <v>701.4</v>
      </c>
      <c r="I14" s="34">
        <v>39264</v>
      </c>
      <c r="J14" s="1">
        <v>241.6</v>
      </c>
      <c r="K14" s="34">
        <v>39264</v>
      </c>
      <c r="L14" s="1">
        <v>701.4</v>
      </c>
      <c r="M14" s="34">
        <v>39264</v>
      </c>
      <c r="N14" s="1">
        <v>241.6</v>
      </c>
      <c r="O14" s="34">
        <v>41275</v>
      </c>
      <c r="P14" s="1">
        <v>105465</v>
      </c>
    </row>
    <row r="15" spans="1:16" x14ac:dyDescent="0.25">
      <c r="A15" s="34">
        <v>39295</v>
      </c>
      <c r="B15" s="1">
        <v>691</v>
      </c>
      <c r="C15" s="34">
        <v>39295</v>
      </c>
      <c r="D15" s="1">
        <v>199</v>
      </c>
      <c r="E15" s="34">
        <v>39295</v>
      </c>
      <c r="F15" s="1">
        <v>5.5</v>
      </c>
      <c r="G15" s="34">
        <v>39295</v>
      </c>
      <c r="H15" s="1">
        <v>695.5</v>
      </c>
      <c r="I15" s="34">
        <v>39295</v>
      </c>
      <c r="J15" s="1">
        <v>238.6</v>
      </c>
      <c r="K15" s="34">
        <v>39295</v>
      </c>
      <c r="L15" s="1">
        <v>695.5</v>
      </c>
      <c r="M15" s="34">
        <v>39295</v>
      </c>
      <c r="N15" s="1">
        <v>238.6</v>
      </c>
    </row>
    <row r="16" spans="1:16" x14ac:dyDescent="0.25">
      <c r="A16" s="34">
        <v>39326</v>
      </c>
      <c r="B16" s="1">
        <v>692.7</v>
      </c>
      <c r="C16" s="34">
        <v>39326</v>
      </c>
      <c r="D16" s="1">
        <v>138</v>
      </c>
      <c r="E16" s="34">
        <v>39326</v>
      </c>
      <c r="F16" s="1">
        <v>5.5</v>
      </c>
      <c r="G16" s="34">
        <v>39326</v>
      </c>
      <c r="H16" s="1">
        <v>690.3</v>
      </c>
      <c r="I16" s="34">
        <v>39326</v>
      </c>
      <c r="J16" s="1">
        <v>228.7</v>
      </c>
      <c r="K16" s="34">
        <v>39326</v>
      </c>
      <c r="L16" s="1">
        <v>690.3</v>
      </c>
      <c r="M16" s="34">
        <v>39326</v>
      </c>
      <c r="N16" s="1">
        <v>228.7</v>
      </c>
    </row>
    <row r="17" spans="1:14" x14ac:dyDescent="0.25">
      <c r="A17" s="34">
        <v>39356</v>
      </c>
      <c r="B17" s="1">
        <v>699</v>
      </c>
      <c r="C17" s="34">
        <v>39356</v>
      </c>
      <c r="D17" s="1">
        <v>13</v>
      </c>
      <c r="E17" s="34">
        <v>39356</v>
      </c>
      <c r="F17" s="1">
        <v>5.5</v>
      </c>
      <c r="G17" s="34">
        <v>39356</v>
      </c>
      <c r="H17" s="1">
        <v>700</v>
      </c>
      <c r="I17" s="34">
        <v>39356</v>
      </c>
      <c r="J17" s="1">
        <v>232.7</v>
      </c>
      <c r="K17" s="34">
        <v>39356</v>
      </c>
      <c r="L17" s="1">
        <v>700</v>
      </c>
      <c r="M17" s="34">
        <v>39356</v>
      </c>
      <c r="N17" s="1">
        <v>232.7</v>
      </c>
    </row>
    <row r="18" spans="1:14" x14ac:dyDescent="0.25">
      <c r="A18" s="34">
        <v>39387</v>
      </c>
      <c r="B18" s="1">
        <v>698.8</v>
      </c>
      <c r="C18" s="34">
        <v>39387</v>
      </c>
      <c r="D18" s="1">
        <v>7</v>
      </c>
      <c r="E18" s="34">
        <v>39387</v>
      </c>
      <c r="F18" s="1">
        <v>5.5</v>
      </c>
      <c r="G18" s="34">
        <v>39387</v>
      </c>
      <c r="H18" s="1">
        <v>701.1</v>
      </c>
      <c r="I18" s="34">
        <v>39387</v>
      </c>
      <c r="J18" s="1">
        <v>232.1</v>
      </c>
      <c r="K18" s="34">
        <v>39387</v>
      </c>
      <c r="L18" s="1">
        <v>701.1</v>
      </c>
      <c r="M18" s="34">
        <v>39387</v>
      </c>
      <c r="N18" s="1">
        <v>232.1</v>
      </c>
    </row>
    <row r="19" spans="1:14" x14ac:dyDescent="0.25">
      <c r="A19" s="34">
        <v>39417</v>
      </c>
      <c r="B19" s="1">
        <v>700.1</v>
      </c>
      <c r="C19" s="34">
        <v>39417</v>
      </c>
      <c r="D19" s="1">
        <v>146</v>
      </c>
      <c r="E19" s="34">
        <v>39417</v>
      </c>
      <c r="F19" s="1">
        <v>5.6</v>
      </c>
      <c r="G19" s="34">
        <v>39417</v>
      </c>
      <c r="H19" s="1">
        <v>701.8</v>
      </c>
      <c r="I19" s="34">
        <v>39417</v>
      </c>
      <c r="J19" s="1">
        <v>232.3</v>
      </c>
      <c r="K19" s="34">
        <v>39417</v>
      </c>
      <c r="L19" s="1">
        <v>701.8</v>
      </c>
      <c r="M19" s="34">
        <v>39417</v>
      </c>
      <c r="N19" s="1">
        <v>232.3</v>
      </c>
    </row>
    <row r="20" spans="1:14" x14ac:dyDescent="0.25">
      <c r="A20" s="34">
        <v>39448</v>
      </c>
      <c r="B20" s="1">
        <v>698.5</v>
      </c>
      <c r="C20" s="34">
        <v>39448</v>
      </c>
      <c r="D20" s="1">
        <v>66</v>
      </c>
      <c r="E20" s="34">
        <v>39448</v>
      </c>
      <c r="F20" s="1">
        <v>5.6</v>
      </c>
      <c r="G20" s="34">
        <v>39448</v>
      </c>
      <c r="H20" s="1">
        <v>689</v>
      </c>
      <c r="I20" s="34">
        <v>39448</v>
      </c>
      <c r="J20" s="1">
        <v>230.9</v>
      </c>
      <c r="K20" s="34">
        <v>39448</v>
      </c>
      <c r="L20" s="1">
        <v>689</v>
      </c>
      <c r="M20" s="34">
        <v>39448</v>
      </c>
      <c r="N20" s="1">
        <v>230.9</v>
      </c>
    </row>
    <row r="21" spans="1:14" x14ac:dyDescent="0.25">
      <c r="A21" s="34">
        <v>39479</v>
      </c>
      <c r="B21" s="1">
        <v>697.9</v>
      </c>
      <c r="C21" s="34">
        <v>39479</v>
      </c>
      <c r="D21" s="1">
        <v>60</v>
      </c>
      <c r="E21" s="34">
        <v>39479</v>
      </c>
      <c r="F21" s="1">
        <v>5.7</v>
      </c>
      <c r="G21" s="34">
        <v>39479</v>
      </c>
      <c r="H21" s="1">
        <v>693.6</v>
      </c>
      <c r="I21" s="34">
        <v>39479</v>
      </c>
      <c r="J21" s="1">
        <v>230.6</v>
      </c>
      <c r="K21" s="34">
        <v>39479</v>
      </c>
      <c r="L21" s="1">
        <v>693.6</v>
      </c>
      <c r="M21" s="34">
        <v>39479</v>
      </c>
      <c r="N21" s="1">
        <v>230.6</v>
      </c>
    </row>
    <row r="22" spans="1:14" x14ac:dyDescent="0.25">
      <c r="A22" s="34">
        <v>39508</v>
      </c>
      <c r="B22" s="1">
        <v>700.4</v>
      </c>
      <c r="C22" s="34">
        <v>39508</v>
      </c>
      <c r="D22" s="1">
        <v>27</v>
      </c>
      <c r="E22" s="34">
        <v>39508</v>
      </c>
      <c r="F22" s="1">
        <v>5.8</v>
      </c>
      <c r="G22" s="34">
        <v>39508</v>
      </c>
      <c r="H22" s="1">
        <v>698.2</v>
      </c>
      <c r="I22" s="34">
        <v>39508</v>
      </c>
      <c r="J22" s="1">
        <v>231.1</v>
      </c>
      <c r="K22" s="34">
        <v>39508</v>
      </c>
      <c r="L22" s="1">
        <v>698.2</v>
      </c>
      <c r="M22" s="34">
        <v>39508</v>
      </c>
      <c r="N22" s="1">
        <v>231.1</v>
      </c>
    </row>
    <row r="23" spans="1:14" x14ac:dyDescent="0.25">
      <c r="A23" s="34">
        <v>39539</v>
      </c>
      <c r="B23" s="1">
        <v>701.3</v>
      </c>
      <c r="C23" s="34">
        <v>39539</v>
      </c>
      <c r="D23" s="1">
        <v>166</v>
      </c>
      <c r="E23" s="34">
        <v>39539</v>
      </c>
      <c r="F23" s="1">
        <v>5.9</v>
      </c>
      <c r="G23" s="34">
        <v>39539</v>
      </c>
      <c r="H23" s="1">
        <v>701.2</v>
      </c>
      <c r="I23" s="34">
        <v>39539</v>
      </c>
      <c r="J23" s="1">
        <v>229.8</v>
      </c>
      <c r="K23" s="34">
        <v>39539</v>
      </c>
      <c r="L23" s="1">
        <v>701.2</v>
      </c>
      <c r="M23" s="34">
        <v>39539</v>
      </c>
      <c r="N23" s="1">
        <v>229.8</v>
      </c>
    </row>
    <row r="24" spans="1:14" x14ac:dyDescent="0.25">
      <c r="A24" s="34">
        <v>39569</v>
      </c>
      <c r="B24" s="1">
        <v>703.5</v>
      </c>
      <c r="C24" s="34">
        <v>39569</v>
      </c>
      <c r="D24" s="1">
        <v>15</v>
      </c>
      <c r="E24" s="34">
        <v>39569</v>
      </c>
      <c r="F24" s="1">
        <v>6.1</v>
      </c>
      <c r="G24" s="34">
        <v>39569</v>
      </c>
      <c r="H24" s="1">
        <v>702.7</v>
      </c>
      <c r="I24" s="34">
        <v>39569</v>
      </c>
      <c r="J24" s="1">
        <v>230.9</v>
      </c>
      <c r="K24" s="34">
        <v>39569</v>
      </c>
      <c r="L24" s="1">
        <v>702.7</v>
      </c>
      <c r="M24" s="34">
        <v>39569</v>
      </c>
      <c r="N24" s="1">
        <v>230.9</v>
      </c>
    </row>
    <row r="25" spans="1:14" x14ac:dyDescent="0.25">
      <c r="A25" s="34">
        <v>39600</v>
      </c>
      <c r="B25" s="1">
        <v>704.7</v>
      </c>
      <c r="C25" s="34">
        <v>39600</v>
      </c>
      <c r="D25" s="1">
        <v>8</v>
      </c>
      <c r="E25" s="34">
        <v>39600</v>
      </c>
      <c r="F25" s="1">
        <v>6.4</v>
      </c>
      <c r="G25" s="34">
        <v>39600</v>
      </c>
      <c r="H25" s="1">
        <v>704.1</v>
      </c>
      <c r="I25" s="34">
        <v>39600</v>
      </c>
      <c r="J25" s="1">
        <v>234</v>
      </c>
      <c r="K25" s="34">
        <v>39600</v>
      </c>
      <c r="L25" s="1">
        <v>704.1</v>
      </c>
      <c r="M25" s="34">
        <v>39600</v>
      </c>
      <c r="N25" s="1">
        <v>234</v>
      </c>
    </row>
    <row r="26" spans="1:14" x14ac:dyDescent="0.25">
      <c r="A26" s="34">
        <v>39630</v>
      </c>
      <c r="B26" s="1">
        <v>706.1</v>
      </c>
      <c r="C26" s="34">
        <v>39630</v>
      </c>
      <c r="D26" s="1">
        <v>140</v>
      </c>
      <c r="E26" s="34">
        <v>39630</v>
      </c>
      <c r="F26" s="1">
        <v>6.6</v>
      </c>
      <c r="G26" s="34">
        <v>39630</v>
      </c>
      <c r="H26" s="1">
        <v>720</v>
      </c>
      <c r="I26" s="34">
        <v>39630</v>
      </c>
      <c r="J26" s="1">
        <v>248.5</v>
      </c>
      <c r="K26" s="34">
        <v>39630</v>
      </c>
      <c r="L26" s="1">
        <v>720</v>
      </c>
      <c r="M26" s="34">
        <v>39630</v>
      </c>
      <c r="N26" s="1">
        <v>248.5</v>
      </c>
    </row>
    <row r="27" spans="1:14" x14ac:dyDescent="0.25">
      <c r="A27" s="34">
        <v>39661</v>
      </c>
      <c r="B27" s="1">
        <v>713.5</v>
      </c>
      <c r="C27" s="34">
        <v>39661</v>
      </c>
      <c r="D27" s="1">
        <v>10</v>
      </c>
      <c r="E27" s="34">
        <v>39661</v>
      </c>
      <c r="F27" s="1">
        <v>6.9</v>
      </c>
      <c r="G27" s="34">
        <v>39661</v>
      </c>
      <c r="H27" s="1">
        <v>715.9</v>
      </c>
      <c r="I27" s="34">
        <v>39661</v>
      </c>
      <c r="J27" s="1">
        <v>246.4</v>
      </c>
      <c r="K27" s="34">
        <v>39661</v>
      </c>
      <c r="L27" s="1">
        <v>715.9</v>
      </c>
      <c r="M27" s="34">
        <v>39661</v>
      </c>
      <c r="N27" s="1">
        <v>246.4</v>
      </c>
    </row>
    <row r="28" spans="1:14" x14ac:dyDescent="0.25">
      <c r="A28" s="34">
        <v>39692</v>
      </c>
      <c r="B28" s="1">
        <v>708.1</v>
      </c>
      <c r="C28" s="34">
        <v>39692</v>
      </c>
      <c r="D28" s="1">
        <v>2</v>
      </c>
      <c r="E28" s="34">
        <v>39692</v>
      </c>
      <c r="F28" s="1">
        <v>7.1</v>
      </c>
      <c r="G28" s="34">
        <v>39692</v>
      </c>
      <c r="H28" s="1">
        <v>705.1</v>
      </c>
      <c r="I28" s="34">
        <v>39692</v>
      </c>
      <c r="J28" s="1">
        <v>232.5</v>
      </c>
      <c r="K28" s="34">
        <v>39692</v>
      </c>
      <c r="L28" s="1">
        <v>705.1</v>
      </c>
      <c r="M28" s="34">
        <v>39692</v>
      </c>
      <c r="N28" s="1">
        <v>232.5</v>
      </c>
    </row>
    <row r="29" spans="1:14" x14ac:dyDescent="0.25">
      <c r="A29" s="34">
        <v>39722</v>
      </c>
      <c r="B29" s="1">
        <v>704.8</v>
      </c>
      <c r="C29" s="34">
        <v>39722</v>
      </c>
      <c r="D29" s="1">
        <v>30</v>
      </c>
      <c r="E29" s="34">
        <v>39722</v>
      </c>
      <c r="F29" s="1">
        <v>7.4</v>
      </c>
      <c r="G29" s="34">
        <v>39722</v>
      </c>
      <c r="H29" s="1">
        <v>705.9</v>
      </c>
      <c r="I29" s="34">
        <v>39722</v>
      </c>
      <c r="J29" s="1">
        <v>234.2</v>
      </c>
      <c r="K29" s="34">
        <v>39722</v>
      </c>
      <c r="L29" s="1">
        <v>705.9</v>
      </c>
      <c r="M29" s="34">
        <v>39722</v>
      </c>
      <c r="N29" s="1">
        <v>234.2</v>
      </c>
    </row>
    <row r="30" spans="1:14" x14ac:dyDescent="0.25">
      <c r="A30" s="34">
        <v>39753</v>
      </c>
      <c r="B30" s="1">
        <v>703.8</v>
      </c>
      <c r="C30" s="34">
        <v>39753</v>
      </c>
      <c r="D30" s="1">
        <v>1</v>
      </c>
      <c r="E30" s="34">
        <v>39753</v>
      </c>
      <c r="F30" s="1">
        <v>7.7</v>
      </c>
      <c r="G30" s="34">
        <v>39753</v>
      </c>
      <c r="H30" s="1">
        <v>706</v>
      </c>
      <c r="I30" s="34">
        <v>39753</v>
      </c>
      <c r="J30" s="1">
        <v>234.3</v>
      </c>
      <c r="K30" s="34">
        <v>39753</v>
      </c>
      <c r="L30" s="1">
        <v>706</v>
      </c>
      <c r="M30" s="34">
        <v>39753</v>
      </c>
      <c r="N30" s="1">
        <v>234.3</v>
      </c>
    </row>
    <row r="31" spans="1:14" x14ac:dyDescent="0.25">
      <c r="A31" s="34">
        <v>39783</v>
      </c>
      <c r="B31" s="1">
        <v>702.8</v>
      </c>
      <c r="C31" s="34">
        <v>39783</v>
      </c>
      <c r="D31" s="1">
        <v>11</v>
      </c>
      <c r="E31" s="34">
        <v>39783</v>
      </c>
      <c r="F31" s="1">
        <v>8</v>
      </c>
      <c r="G31" s="34">
        <v>39783</v>
      </c>
      <c r="H31" s="1">
        <v>704.5</v>
      </c>
      <c r="I31" s="34">
        <v>39783</v>
      </c>
      <c r="J31" s="1">
        <v>234.9</v>
      </c>
      <c r="K31" s="34">
        <v>39783</v>
      </c>
      <c r="L31" s="1">
        <v>704.5</v>
      </c>
      <c r="M31" s="34">
        <v>39783</v>
      </c>
      <c r="N31" s="1">
        <v>234.9</v>
      </c>
    </row>
    <row r="32" spans="1:14" x14ac:dyDescent="0.25">
      <c r="A32" s="34">
        <v>39814</v>
      </c>
      <c r="B32" s="1">
        <v>704.7</v>
      </c>
      <c r="C32" s="34">
        <v>39814</v>
      </c>
      <c r="D32" s="1">
        <v>8</v>
      </c>
      <c r="E32" s="34">
        <v>39814</v>
      </c>
      <c r="F32" s="1">
        <v>8.3000000000000007</v>
      </c>
      <c r="G32" s="34">
        <v>39814</v>
      </c>
      <c r="H32" s="1">
        <v>697.8</v>
      </c>
      <c r="I32" s="34">
        <v>39814</v>
      </c>
      <c r="J32" s="1">
        <v>234.1</v>
      </c>
      <c r="K32" s="34">
        <v>39814</v>
      </c>
      <c r="L32" s="1">
        <v>697.8</v>
      </c>
      <c r="M32" s="34">
        <v>39814</v>
      </c>
      <c r="N32" s="1">
        <v>234.1</v>
      </c>
    </row>
    <row r="33" spans="1:14" x14ac:dyDescent="0.25">
      <c r="A33" s="34">
        <v>39845</v>
      </c>
      <c r="B33" s="1">
        <v>703.4</v>
      </c>
      <c r="C33" s="34">
        <v>39845</v>
      </c>
      <c r="D33" s="1">
        <v>3</v>
      </c>
      <c r="E33" s="34">
        <v>39845</v>
      </c>
      <c r="F33" s="1">
        <v>8.6</v>
      </c>
      <c r="G33" s="34">
        <v>39845</v>
      </c>
      <c r="H33" s="1">
        <v>697.4</v>
      </c>
      <c r="I33" s="34">
        <v>39845</v>
      </c>
      <c r="J33" s="1">
        <v>234</v>
      </c>
      <c r="K33" s="34">
        <v>39845</v>
      </c>
      <c r="L33" s="1">
        <v>697.4</v>
      </c>
      <c r="M33" s="34">
        <v>39845</v>
      </c>
      <c r="N33" s="1">
        <v>234</v>
      </c>
    </row>
    <row r="34" spans="1:14" x14ac:dyDescent="0.25">
      <c r="A34" s="34">
        <v>39873</v>
      </c>
      <c r="B34" s="1">
        <v>700.3</v>
      </c>
      <c r="C34" s="34">
        <v>39873</v>
      </c>
      <c r="D34" s="1">
        <v>248</v>
      </c>
      <c r="E34" s="34">
        <v>39873</v>
      </c>
      <c r="F34" s="1">
        <v>8.9</v>
      </c>
      <c r="G34" s="34">
        <v>39873</v>
      </c>
      <c r="H34" s="1">
        <v>697.2</v>
      </c>
      <c r="I34" s="34">
        <v>39873</v>
      </c>
      <c r="J34" s="1">
        <v>233.9</v>
      </c>
      <c r="K34" s="34">
        <v>39873</v>
      </c>
      <c r="L34" s="1">
        <v>697.2</v>
      </c>
      <c r="M34" s="34">
        <v>39873</v>
      </c>
      <c r="N34" s="1">
        <v>233.9</v>
      </c>
    </row>
    <row r="35" spans="1:14" x14ac:dyDescent="0.25">
      <c r="A35" s="34">
        <v>39904</v>
      </c>
      <c r="B35" s="1">
        <v>694.5</v>
      </c>
      <c r="C35" s="34">
        <v>39904</v>
      </c>
      <c r="D35" s="1">
        <v>25</v>
      </c>
      <c r="E35" s="34">
        <v>39904</v>
      </c>
      <c r="F35" s="1">
        <v>9.1999999999999993</v>
      </c>
      <c r="G35" s="34">
        <v>39904</v>
      </c>
      <c r="H35" s="1">
        <v>696.5</v>
      </c>
      <c r="I35" s="34">
        <v>39904</v>
      </c>
      <c r="J35" s="1">
        <v>234.5</v>
      </c>
      <c r="K35" s="34">
        <v>39904</v>
      </c>
      <c r="L35" s="1">
        <v>696.5</v>
      </c>
      <c r="M35" s="34">
        <v>39904</v>
      </c>
      <c r="N35" s="1">
        <v>234.5</v>
      </c>
    </row>
    <row r="36" spans="1:14" x14ac:dyDescent="0.25">
      <c r="A36" s="34">
        <v>39934</v>
      </c>
      <c r="B36" s="1">
        <v>697.6</v>
      </c>
      <c r="C36" s="34">
        <v>39934</v>
      </c>
      <c r="D36" s="1">
        <v>5</v>
      </c>
      <c r="E36" s="34">
        <v>39934</v>
      </c>
      <c r="F36" s="1">
        <v>9.4</v>
      </c>
      <c r="G36" s="34">
        <v>39934</v>
      </c>
      <c r="H36" s="1">
        <v>697.3</v>
      </c>
      <c r="I36" s="34">
        <v>39934</v>
      </c>
      <c r="J36" s="1">
        <v>235.3</v>
      </c>
      <c r="K36" s="34">
        <v>39934</v>
      </c>
      <c r="L36" s="1">
        <v>697.3</v>
      </c>
      <c r="M36" s="34">
        <v>39934</v>
      </c>
      <c r="N36" s="1">
        <v>235.3</v>
      </c>
    </row>
    <row r="37" spans="1:14" x14ac:dyDescent="0.25">
      <c r="A37" s="34">
        <v>39965</v>
      </c>
      <c r="B37" s="1">
        <v>698.9</v>
      </c>
      <c r="C37" s="34">
        <v>39965</v>
      </c>
      <c r="D37" s="1">
        <v>5</v>
      </c>
      <c r="E37" s="34">
        <v>39965</v>
      </c>
      <c r="F37" s="1">
        <v>9.6999999999999993</v>
      </c>
      <c r="G37" s="34">
        <v>39965</v>
      </c>
      <c r="H37" s="1">
        <v>698.1</v>
      </c>
      <c r="I37" s="34">
        <v>39965</v>
      </c>
      <c r="J37" s="1">
        <v>238.8</v>
      </c>
      <c r="K37" s="34">
        <v>39965</v>
      </c>
      <c r="L37" s="1">
        <v>698.1</v>
      </c>
      <c r="M37" s="34">
        <v>39965</v>
      </c>
      <c r="N37" s="1">
        <v>238.8</v>
      </c>
    </row>
    <row r="38" spans="1:14" x14ac:dyDescent="0.25">
      <c r="A38" s="34">
        <v>39995</v>
      </c>
      <c r="B38" s="1">
        <v>701.9</v>
      </c>
      <c r="C38" s="34">
        <v>39995</v>
      </c>
      <c r="D38" s="1">
        <v>25</v>
      </c>
      <c r="E38" s="34">
        <v>39995</v>
      </c>
      <c r="F38" s="1">
        <v>9.8000000000000007</v>
      </c>
      <c r="G38" s="34">
        <v>39995</v>
      </c>
      <c r="H38" s="1">
        <v>718.1</v>
      </c>
      <c r="I38" s="34">
        <v>39995</v>
      </c>
      <c r="J38" s="1">
        <v>259.8</v>
      </c>
      <c r="K38" s="34">
        <v>39995</v>
      </c>
      <c r="L38" s="1">
        <v>718.1</v>
      </c>
      <c r="M38" s="34">
        <v>39995</v>
      </c>
      <c r="N38" s="1">
        <v>259.8</v>
      </c>
    </row>
    <row r="39" spans="1:14" x14ac:dyDescent="0.25">
      <c r="A39" s="34">
        <v>40026</v>
      </c>
      <c r="B39" s="1">
        <v>704.2</v>
      </c>
      <c r="C39" s="34">
        <v>40026</v>
      </c>
      <c r="D39" s="1">
        <v>18</v>
      </c>
      <c r="E39" s="34">
        <v>40026</v>
      </c>
      <c r="F39" s="1">
        <v>10</v>
      </c>
      <c r="G39" s="34">
        <v>40026</v>
      </c>
      <c r="H39" s="1">
        <v>706.6</v>
      </c>
      <c r="I39" s="34">
        <v>40026</v>
      </c>
      <c r="J39" s="1">
        <v>252.2</v>
      </c>
      <c r="K39" s="34">
        <v>40026</v>
      </c>
      <c r="L39" s="1">
        <v>706.6</v>
      </c>
      <c r="M39" s="34">
        <v>40026</v>
      </c>
      <c r="N39" s="1">
        <v>252.2</v>
      </c>
    </row>
    <row r="40" spans="1:14" x14ac:dyDescent="0.25">
      <c r="A40" s="34">
        <v>40057</v>
      </c>
      <c r="B40" s="1">
        <v>698.7</v>
      </c>
      <c r="C40" s="34">
        <v>40057</v>
      </c>
      <c r="D40" s="1">
        <v>120</v>
      </c>
      <c r="E40" s="34">
        <v>40057</v>
      </c>
      <c r="F40" s="1">
        <v>10.199999999999999</v>
      </c>
      <c r="G40" s="34">
        <v>40057</v>
      </c>
      <c r="H40" s="1">
        <v>694.2</v>
      </c>
      <c r="I40" s="34">
        <v>40057</v>
      </c>
      <c r="J40" s="1">
        <v>238.3</v>
      </c>
      <c r="K40" s="34">
        <v>40057</v>
      </c>
      <c r="L40" s="1">
        <v>694.2</v>
      </c>
      <c r="M40" s="34">
        <v>40057</v>
      </c>
      <c r="N40" s="1">
        <v>238.3</v>
      </c>
    </row>
    <row r="41" spans="1:14" x14ac:dyDescent="0.25">
      <c r="A41" s="34">
        <v>40087</v>
      </c>
      <c r="B41" s="1">
        <v>703.9</v>
      </c>
      <c r="C41" s="34">
        <v>40087</v>
      </c>
      <c r="D41" s="1">
        <v>396</v>
      </c>
      <c r="E41" s="34">
        <v>40087</v>
      </c>
      <c r="F41" s="1">
        <v>10.3</v>
      </c>
      <c r="G41" s="34">
        <v>40087</v>
      </c>
      <c r="H41" s="1">
        <v>703.8</v>
      </c>
      <c r="I41" s="34">
        <v>40087</v>
      </c>
      <c r="J41" s="1">
        <v>240.5</v>
      </c>
      <c r="K41" s="34">
        <v>40087</v>
      </c>
      <c r="L41" s="1">
        <v>703.8</v>
      </c>
      <c r="M41" s="34">
        <v>40087</v>
      </c>
      <c r="N41" s="1">
        <v>240.5</v>
      </c>
    </row>
    <row r="42" spans="1:14" x14ac:dyDescent="0.25">
      <c r="A42" s="34">
        <v>40118</v>
      </c>
      <c r="B42" s="1">
        <v>704.3</v>
      </c>
      <c r="C42" s="34">
        <v>40118</v>
      </c>
      <c r="D42" s="1">
        <v>1</v>
      </c>
      <c r="E42" s="34">
        <v>40118</v>
      </c>
      <c r="F42" s="1">
        <v>10.4</v>
      </c>
      <c r="G42" s="34">
        <v>40118</v>
      </c>
      <c r="H42" s="1">
        <v>706.8</v>
      </c>
      <c r="I42" s="34">
        <v>40118</v>
      </c>
      <c r="J42" s="1">
        <v>241.3</v>
      </c>
      <c r="K42" s="34">
        <v>40118</v>
      </c>
      <c r="L42" s="1">
        <v>706.8</v>
      </c>
      <c r="M42" s="34">
        <v>40118</v>
      </c>
      <c r="N42" s="1">
        <v>241.3</v>
      </c>
    </row>
    <row r="43" spans="1:14" x14ac:dyDescent="0.25">
      <c r="A43" s="34">
        <v>40148</v>
      </c>
      <c r="B43" s="1">
        <v>704.2</v>
      </c>
      <c r="C43" s="34">
        <v>40148</v>
      </c>
      <c r="D43" s="1">
        <v>24</v>
      </c>
      <c r="E43" s="34">
        <v>40148</v>
      </c>
      <c r="F43" s="1">
        <v>10.4</v>
      </c>
      <c r="G43" s="34">
        <v>40148</v>
      </c>
      <c r="H43" s="1">
        <v>705.6</v>
      </c>
      <c r="I43" s="34">
        <v>40148</v>
      </c>
      <c r="J43" s="1">
        <v>240.4</v>
      </c>
      <c r="K43" s="34">
        <v>40148</v>
      </c>
      <c r="L43" s="1">
        <v>705.6</v>
      </c>
      <c r="M43" s="34">
        <v>40148</v>
      </c>
      <c r="N43" s="1">
        <v>240.4</v>
      </c>
    </row>
    <row r="44" spans="1:14" x14ac:dyDescent="0.25">
      <c r="A44" s="34">
        <v>40179</v>
      </c>
      <c r="B44" s="1">
        <v>704.9</v>
      </c>
      <c r="C44" s="34">
        <v>40179</v>
      </c>
      <c r="D44" s="1">
        <v>20</v>
      </c>
      <c r="E44" s="34">
        <v>40179</v>
      </c>
      <c r="F44" s="1">
        <v>10.4</v>
      </c>
      <c r="G44" s="34">
        <v>40179</v>
      </c>
      <c r="H44" s="1">
        <v>698.2</v>
      </c>
      <c r="I44" s="34">
        <v>40179</v>
      </c>
      <c r="J44" s="1">
        <v>241.3</v>
      </c>
      <c r="K44" s="34">
        <v>40179</v>
      </c>
      <c r="L44" s="1">
        <v>698.2</v>
      </c>
      <c r="M44" s="34">
        <v>40179</v>
      </c>
      <c r="N44" s="1">
        <v>241.3</v>
      </c>
    </row>
    <row r="45" spans="1:14" x14ac:dyDescent="0.25">
      <c r="A45" s="34">
        <v>40210</v>
      </c>
      <c r="B45" s="1">
        <v>701.6</v>
      </c>
      <c r="C45" s="34">
        <v>40210</v>
      </c>
      <c r="D45" s="1">
        <v>5</v>
      </c>
      <c r="E45" s="34">
        <v>40210</v>
      </c>
      <c r="F45" s="1">
        <v>10.4</v>
      </c>
      <c r="G45" s="34">
        <v>40210</v>
      </c>
      <c r="H45" s="1">
        <v>695.5</v>
      </c>
      <c r="I45" s="34">
        <v>40210</v>
      </c>
      <c r="J45" s="1">
        <v>240.7</v>
      </c>
      <c r="K45" s="34">
        <v>40210</v>
      </c>
      <c r="L45" s="1">
        <v>695.5</v>
      </c>
      <c r="M45" s="34">
        <v>40210</v>
      </c>
      <c r="N45" s="1">
        <v>240.7</v>
      </c>
    </row>
    <row r="46" spans="1:14" x14ac:dyDescent="0.25">
      <c r="A46" s="34">
        <v>40238</v>
      </c>
      <c r="B46" s="1">
        <v>706.8</v>
      </c>
      <c r="C46" s="34">
        <v>40238</v>
      </c>
      <c r="D46" s="1">
        <v>274</v>
      </c>
      <c r="E46" s="34">
        <v>40238</v>
      </c>
      <c r="F46" s="1">
        <v>10.3</v>
      </c>
      <c r="G46" s="34">
        <v>40238</v>
      </c>
      <c r="H46" s="1">
        <v>703.4</v>
      </c>
      <c r="I46" s="34">
        <v>40238</v>
      </c>
      <c r="J46" s="1">
        <v>240.9</v>
      </c>
      <c r="K46" s="34">
        <v>40238</v>
      </c>
      <c r="L46" s="1">
        <v>703.4</v>
      </c>
      <c r="M46" s="34">
        <v>40238</v>
      </c>
      <c r="N46" s="1">
        <v>240.9</v>
      </c>
    </row>
    <row r="47" spans="1:14" x14ac:dyDescent="0.25">
      <c r="A47" s="34">
        <v>40269</v>
      </c>
      <c r="B47" s="1">
        <v>711.5</v>
      </c>
      <c r="C47" s="34">
        <v>40269</v>
      </c>
      <c r="D47" s="1">
        <v>23</v>
      </c>
      <c r="E47" s="34">
        <v>40269</v>
      </c>
      <c r="F47" s="1">
        <v>10.1</v>
      </c>
      <c r="G47" s="34">
        <v>40269</v>
      </c>
      <c r="H47" s="1">
        <v>713.6</v>
      </c>
      <c r="I47" s="34">
        <v>40269</v>
      </c>
      <c r="J47" s="1">
        <v>242.1</v>
      </c>
      <c r="K47" s="34">
        <v>40269</v>
      </c>
      <c r="L47" s="1">
        <v>713.6</v>
      </c>
      <c r="M47" s="34">
        <v>40269</v>
      </c>
      <c r="N47" s="1">
        <v>242.1</v>
      </c>
    </row>
    <row r="48" spans="1:14" x14ac:dyDescent="0.25">
      <c r="A48" s="34">
        <v>40299</v>
      </c>
      <c r="B48" s="1">
        <v>714.9</v>
      </c>
      <c r="C48" s="34">
        <v>40299</v>
      </c>
      <c r="D48" s="1">
        <v>8</v>
      </c>
      <c r="E48" s="34">
        <v>40299</v>
      </c>
      <c r="F48" s="1">
        <v>10.1</v>
      </c>
      <c r="G48" s="34">
        <v>40299</v>
      </c>
      <c r="H48" s="1">
        <v>715.5</v>
      </c>
      <c r="I48" s="34">
        <v>40299</v>
      </c>
      <c r="J48" s="1">
        <v>244.8</v>
      </c>
      <c r="K48" s="34">
        <v>40299</v>
      </c>
      <c r="L48" s="1">
        <v>715.5</v>
      </c>
      <c r="M48" s="34">
        <v>40299</v>
      </c>
      <c r="N48" s="1">
        <v>244.8</v>
      </c>
    </row>
    <row r="49" spans="1:14" x14ac:dyDescent="0.25">
      <c r="A49" s="34">
        <v>40330</v>
      </c>
      <c r="B49" s="1">
        <v>716.4</v>
      </c>
      <c r="C49" s="34">
        <v>40330</v>
      </c>
      <c r="D49" s="1">
        <v>0</v>
      </c>
      <c r="E49" s="34">
        <v>40330</v>
      </c>
      <c r="F49" s="1">
        <v>10</v>
      </c>
      <c r="G49" s="34">
        <v>40330</v>
      </c>
      <c r="H49" s="1">
        <v>715.6</v>
      </c>
      <c r="I49" s="34">
        <v>40330</v>
      </c>
      <c r="J49" s="1">
        <v>247.5</v>
      </c>
      <c r="K49" s="34">
        <v>40330</v>
      </c>
      <c r="L49" s="1">
        <v>715.6</v>
      </c>
      <c r="M49" s="34">
        <v>40330</v>
      </c>
      <c r="N49" s="1">
        <v>247.5</v>
      </c>
    </row>
    <row r="50" spans="1:14" x14ac:dyDescent="0.25">
      <c r="A50" s="34">
        <v>40360</v>
      </c>
      <c r="B50" s="1">
        <v>715.3</v>
      </c>
      <c r="C50" s="34">
        <v>40360</v>
      </c>
      <c r="D50" s="1">
        <v>101</v>
      </c>
      <c r="E50" s="34">
        <v>40360</v>
      </c>
      <c r="F50" s="1">
        <v>10</v>
      </c>
      <c r="G50" s="34">
        <v>40360</v>
      </c>
      <c r="H50" s="1">
        <v>732.1</v>
      </c>
      <c r="I50" s="34">
        <v>40360</v>
      </c>
      <c r="J50" s="1">
        <v>267.89999999999998</v>
      </c>
      <c r="K50" s="34">
        <v>40360</v>
      </c>
      <c r="L50" s="1">
        <v>732.1</v>
      </c>
      <c r="M50" s="34">
        <v>40360</v>
      </c>
      <c r="N50" s="1">
        <v>267.89999999999998</v>
      </c>
    </row>
    <row r="51" spans="1:14" x14ac:dyDescent="0.25">
      <c r="A51" s="34">
        <v>40391</v>
      </c>
      <c r="B51" s="1">
        <v>706</v>
      </c>
      <c r="C51" s="34">
        <v>40391</v>
      </c>
      <c r="D51" s="1">
        <v>117</v>
      </c>
      <c r="E51" s="34">
        <v>40391</v>
      </c>
      <c r="F51" s="1">
        <v>10</v>
      </c>
      <c r="G51" s="34">
        <v>40391</v>
      </c>
      <c r="H51" s="1">
        <v>707.7</v>
      </c>
      <c r="I51" s="34">
        <v>40391</v>
      </c>
      <c r="J51" s="1">
        <v>246.3</v>
      </c>
      <c r="K51" s="34">
        <v>40391</v>
      </c>
      <c r="L51" s="1">
        <v>707.7</v>
      </c>
      <c r="M51" s="34">
        <v>40391</v>
      </c>
      <c r="N51" s="1">
        <v>246.3</v>
      </c>
    </row>
    <row r="52" spans="1:14" x14ac:dyDescent="0.25">
      <c r="A52" s="34">
        <v>40422</v>
      </c>
      <c r="B52" s="1">
        <v>712.7</v>
      </c>
      <c r="C52" s="34">
        <v>40422</v>
      </c>
      <c r="D52" s="1">
        <v>17</v>
      </c>
      <c r="E52" s="34">
        <v>40422</v>
      </c>
      <c r="F52" s="1">
        <v>10.1</v>
      </c>
      <c r="G52" s="34">
        <v>40422</v>
      </c>
      <c r="H52" s="1">
        <v>711.1</v>
      </c>
      <c r="I52" s="34">
        <v>40422</v>
      </c>
      <c r="J52" s="1">
        <v>246</v>
      </c>
      <c r="K52" s="34">
        <v>40422</v>
      </c>
      <c r="L52" s="1">
        <v>711.1</v>
      </c>
      <c r="M52" s="34">
        <v>40422</v>
      </c>
      <c r="N52" s="1">
        <v>246</v>
      </c>
    </row>
    <row r="53" spans="1:14" x14ac:dyDescent="0.25">
      <c r="A53" s="34">
        <v>40452</v>
      </c>
      <c r="B53" s="1">
        <v>714.7</v>
      </c>
      <c r="C53" s="34">
        <v>40452</v>
      </c>
      <c r="D53" s="1">
        <v>11</v>
      </c>
      <c r="E53" s="34">
        <v>40452</v>
      </c>
      <c r="F53" s="1">
        <v>10.1</v>
      </c>
      <c r="G53" s="34">
        <v>40452</v>
      </c>
      <c r="H53" s="1">
        <v>717.2</v>
      </c>
      <c r="I53" s="34">
        <v>40452</v>
      </c>
      <c r="J53" s="1">
        <v>248.8</v>
      </c>
      <c r="K53" s="34">
        <v>40452</v>
      </c>
      <c r="L53" s="1">
        <v>717.2</v>
      </c>
      <c r="M53" s="34">
        <v>40452</v>
      </c>
      <c r="N53" s="1">
        <v>248.8</v>
      </c>
    </row>
    <row r="54" spans="1:14" x14ac:dyDescent="0.25">
      <c r="A54" s="34">
        <v>40483</v>
      </c>
      <c r="B54" s="1">
        <v>716</v>
      </c>
      <c r="C54" s="34">
        <v>40483</v>
      </c>
      <c r="D54" s="1">
        <v>45</v>
      </c>
      <c r="E54" s="34">
        <v>40483</v>
      </c>
      <c r="F54" s="1">
        <v>10.1</v>
      </c>
      <c r="G54" s="34">
        <v>40483</v>
      </c>
      <c r="H54" s="1">
        <v>718.4</v>
      </c>
      <c r="I54" s="34">
        <v>40483</v>
      </c>
      <c r="J54" s="1">
        <v>249</v>
      </c>
      <c r="K54" s="34">
        <v>40483</v>
      </c>
      <c r="L54" s="1">
        <v>718.4</v>
      </c>
      <c r="M54" s="34">
        <v>40483</v>
      </c>
      <c r="N54" s="1">
        <v>249</v>
      </c>
    </row>
    <row r="55" spans="1:14" x14ac:dyDescent="0.25">
      <c r="A55" s="34">
        <v>40513</v>
      </c>
      <c r="B55" s="1">
        <v>717.2</v>
      </c>
      <c r="C55" s="34">
        <v>40513</v>
      </c>
      <c r="D55" s="1">
        <v>83</v>
      </c>
      <c r="E55" s="34">
        <v>40513</v>
      </c>
      <c r="F55" s="1">
        <v>10.1</v>
      </c>
      <c r="G55" s="34">
        <v>40513</v>
      </c>
      <c r="H55" s="1">
        <v>717.3</v>
      </c>
      <c r="I55" s="34">
        <v>40513</v>
      </c>
      <c r="J55" s="1">
        <v>247.8</v>
      </c>
      <c r="K55" s="34">
        <v>40513</v>
      </c>
      <c r="L55" s="1">
        <v>717.3</v>
      </c>
      <c r="M55" s="34">
        <v>40513</v>
      </c>
      <c r="N55" s="1">
        <v>247.8</v>
      </c>
    </row>
    <row r="56" spans="1:14" x14ac:dyDescent="0.25">
      <c r="A56" s="34">
        <v>40544</v>
      </c>
      <c r="B56" s="1">
        <v>723</v>
      </c>
      <c r="C56" s="34">
        <v>40544</v>
      </c>
      <c r="D56" s="1">
        <v>472</v>
      </c>
      <c r="E56" s="34">
        <v>40544</v>
      </c>
      <c r="F56" s="1">
        <v>10</v>
      </c>
      <c r="G56" s="34">
        <v>40544</v>
      </c>
      <c r="H56" s="1">
        <v>713.9</v>
      </c>
      <c r="I56" s="34">
        <v>40544</v>
      </c>
      <c r="J56" s="1">
        <v>246.9</v>
      </c>
      <c r="K56" s="34">
        <v>40544</v>
      </c>
      <c r="L56" s="1">
        <v>713.9</v>
      </c>
      <c r="M56" s="34">
        <v>40544</v>
      </c>
      <c r="N56" s="1">
        <v>246.9</v>
      </c>
    </row>
    <row r="57" spans="1:14" x14ac:dyDescent="0.25">
      <c r="A57" s="34">
        <v>40575</v>
      </c>
      <c r="B57" s="1">
        <v>723</v>
      </c>
      <c r="C57" s="34">
        <v>40575</v>
      </c>
      <c r="D57" s="1">
        <v>81</v>
      </c>
      <c r="E57" s="34">
        <v>40575</v>
      </c>
      <c r="F57" s="1">
        <v>10</v>
      </c>
      <c r="G57" s="34">
        <v>40575</v>
      </c>
      <c r="H57" s="1">
        <v>716.9</v>
      </c>
      <c r="I57" s="34">
        <v>40575</v>
      </c>
      <c r="J57" s="1">
        <v>246.4</v>
      </c>
      <c r="K57" s="34">
        <v>40575</v>
      </c>
      <c r="L57" s="1">
        <v>716.9</v>
      </c>
      <c r="M57" s="34">
        <v>40575</v>
      </c>
      <c r="N57" s="1">
        <v>246.4</v>
      </c>
    </row>
    <row r="58" spans="1:14" x14ac:dyDescent="0.25">
      <c r="A58" s="34">
        <v>40603</v>
      </c>
      <c r="B58" s="1">
        <v>724.5</v>
      </c>
      <c r="C58" s="34">
        <v>40603</v>
      </c>
      <c r="D58" s="1">
        <v>161</v>
      </c>
      <c r="E58" s="34">
        <v>40603</v>
      </c>
      <c r="F58" s="1">
        <v>10</v>
      </c>
      <c r="G58" s="34">
        <v>40603</v>
      </c>
      <c r="H58" s="1">
        <v>721.4</v>
      </c>
      <c r="I58" s="34">
        <v>40603</v>
      </c>
      <c r="J58" s="1">
        <v>246.8</v>
      </c>
      <c r="K58" s="34">
        <v>40603</v>
      </c>
      <c r="L58" s="1">
        <v>721.4</v>
      </c>
      <c r="M58" s="34">
        <v>40603</v>
      </c>
      <c r="N58" s="1">
        <v>246.8</v>
      </c>
    </row>
    <row r="59" spans="1:14" x14ac:dyDescent="0.25">
      <c r="A59" s="34">
        <v>40634</v>
      </c>
      <c r="B59" s="1">
        <v>725.3</v>
      </c>
      <c r="C59" s="34">
        <v>40634</v>
      </c>
      <c r="D59" s="1">
        <v>30</v>
      </c>
      <c r="E59" s="34">
        <v>40634</v>
      </c>
      <c r="F59" s="1">
        <v>10</v>
      </c>
      <c r="G59" s="34">
        <v>40634</v>
      </c>
      <c r="H59" s="1">
        <v>727.8</v>
      </c>
      <c r="I59" s="34">
        <v>40634</v>
      </c>
      <c r="J59" s="1">
        <v>246.1</v>
      </c>
      <c r="K59" s="34">
        <v>40634</v>
      </c>
      <c r="L59" s="1">
        <v>727.8</v>
      </c>
      <c r="M59" s="34">
        <v>40634</v>
      </c>
      <c r="N59" s="1">
        <v>246.1</v>
      </c>
    </row>
    <row r="60" spans="1:14" x14ac:dyDescent="0.25">
      <c r="A60" s="34">
        <v>40664</v>
      </c>
      <c r="B60" s="1">
        <v>722.9</v>
      </c>
      <c r="C60" s="34">
        <v>40664</v>
      </c>
      <c r="D60" s="1">
        <v>70</v>
      </c>
      <c r="E60" s="34">
        <v>40664</v>
      </c>
      <c r="F60" s="1">
        <v>10.199999999999999</v>
      </c>
      <c r="G60" s="34">
        <v>40664</v>
      </c>
      <c r="H60" s="1">
        <v>723.8</v>
      </c>
      <c r="I60" s="34">
        <v>40664</v>
      </c>
      <c r="J60" s="1">
        <v>246.5</v>
      </c>
      <c r="K60" s="34">
        <v>40664</v>
      </c>
      <c r="L60" s="1">
        <v>723.8</v>
      </c>
      <c r="M60" s="34">
        <v>40664</v>
      </c>
      <c r="N60" s="1">
        <v>246.5</v>
      </c>
    </row>
    <row r="61" spans="1:14" x14ac:dyDescent="0.25">
      <c r="A61" s="34">
        <v>40695</v>
      </c>
      <c r="B61" s="1">
        <v>725.8</v>
      </c>
      <c r="C61" s="34">
        <v>40695</v>
      </c>
      <c r="D61" s="1">
        <v>617</v>
      </c>
      <c r="E61" s="34">
        <v>40695</v>
      </c>
      <c r="F61" s="1">
        <v>10.3</v>
      </c>
      <c r="G61" s="34">
        <v>40695</v>
      </c>
      <c r="H61" s="1">
        <v>726.3</v>
      </c>
      <c r="I61" s="34">
        <v>40695</v>
      </c>
      <c r="J61" s="1">
        <v>248.5</v>
      </c>
      <c r="K61" s="34">
        <v>40695</v>
      </c>
      <c r="L61" s="1">
        <v>726.3</v>
      </c>
      <c r="M61" s="34">
        <v>40695</v>
      </c>
      <c r="N61" s="1">
        <v>248.5</v>
      </c>
    </row>
    <row r="62" spans="1:14" x14ac:dyDescent="0.25">
      <c r="A62" s="34">
        <v>40725</v>
      </c>
      <c r="B62" s="1">
        <v>729.4</v>
      </c>
      <c r="C62" s="34">
        <v>40725</v>
      </c>
      <c r="D62" s="1">
        <v>19</v>
      </c>
      <c r="E62" s="34">
        <v>40725</v>
      </c>
      <c r="F62" s="1">
        <v>10.4</v>
      </c>
      <c r="G62" s="34">
        <v>40725</v>
      </c>
      <c r="H62" s="1">
        <v>740.8</v>
      </c>
      <c r="I62" s="34">
        <v>40725</v>
      </c>
      <c r="J62" s="1">
        <v>260.7</v>
      </c>
      <c r="K62" s="34">
        <v>40725</v>
      </c>
      <c r="L62" s="1">
        <v>740.8</v>
      </c>
      <c r="M62" s="34">
        <v>40725</v>
      </c>
      <c r="N62" s="1">
        <v>260.7</v>
      </c>
    </row>
    <row r="63" spans="1:14" x14ac:dyDescent="0.25">
      <c r="A63" s="34">
        <v>40756</v>
      </c>
      <c r="B63" s="1">
        <v>723.7</v>
      </c>
      <c r="C63" s="34">
        <v>40756</v>
      </c>
      <c r="D63" s="1">
        <v>656</v>
      </c>
      <c r="E63" s="34">
        <v>40756</v>
      </c>
      <c r="F63" s="1">
        <v>10.4</v>
      </c>
      <c r="G63" s="34">
        <v>40756</v>
      </c>
      <c r="H63" s="1">
        <v>724.7</v>
      </c>
      <c r="I63" s="34">
        <v>40756</v>
      </c>
      <c r="J63" s="1">
        <v>246.6</v>
      </c>
      <c r="K63" s="34">
        <v>40756</v>
      </c>
      <c r="L63" s="1">
        <v>724.7</v>
      </c>
      <c r="M63" s="34">
        <v>40756</v>
      </c>
      <c r="N63" s="1">
        <v>246.6</v>
      </c>
    </row>
    <row r="64" spans="1:14" x14ac:dyDescent="0.25">
      <c r="A64" s="34">
        <v>40787</v>
      </c>
      <c r="B64" s="1">
        <v>731.9</v>
      </c>
      <c r="C64" s="34">
        <v>40787</v>
      </c>
      <c r="D64" s="1">
        <v>214</v>
      </c>
      <c r="E64" s="34">
        <v>40787</v>
      </c>
      <c r="F64" s="1">
        <v>10.199999999999999</v>
      </c>
      <c r="G64" s="34">
        <v>40787</v>
      </c>
      <c r="H64" s="1">
        <v>730.3</v>
      </c>
      <c r="I64" s="34">
        <v>40787</v>
      </c>
      <c r="J64" s="1">
        <v>246.7</v>
      </c>
      <c r="K64" s="34">
        <v>40787</v>
      </c>
      <c r="L64" s="1">
        <v>730.3</v>
      </c>
      <c r="M64" s="34">
        <v>40787</v>
      </c>
      <c r="N64" s="1">
        <v>246.7</v>
      </c>
    </row>
    <row r="65" spans="1:14" x14ac:dyDescent="0.25">
      <c r="A65" s="34">
        <v>40817</v>
      </c>
      <c r="B65" s="1">
        <v>727.2</v>
      </c>
      <c r="C65" s="34">
        <v>40817</v>
      </c>
      <c r="D65" s="1">
        <v>240</v>
      </c>
      <c r="E65" s="34">
        <v>40817</v>
      </c>
      <c r="F65" s="1">
        <v>10.1</v>
      </c>
      <c r="G65" s="34">
        <v>40817</v>
      </c>
      <c r="H65" s="1">
        <v>729.8</v>
      </c>
      <c r="I65" s="34">
        <v>40817</v>
      </c>
      <c r="J65" s="1">
        <v>243.7</v>
      </c>
      <c r="K65" s="34">
        <v>40817</v>
      </c>
      <c r="L65" s="1">
        <v>729.8</v>
      </c>
      <c r="M65" s="34">
        <v>40817</v>
      </c>
      <c r="N65" s="1">
        <v>243.7</v>
      </c>
    </row>
    <row r="66" spans="1:14" x14ac:dyDescent="0.25">
      <c r="A66" s="34">
        <v>40848</v>
      </c>
      <c r="B66" s="1">
        <v>727</v>
      </c>
      <c r="C66" s="34">
        <v>40848</v>
      </c>
      <c r="D66" s="1">
        <v>866</v>
      </c>
      <c r="E66" s="34">
        <v>40848</v>
      </c>
      <c r="F66" s="1">
        <v>9.9</v>
      </c>
      <c r="G66" s="34">
        <v>40848</v>
      </c>
      <c r="H66" s="1">
        <v>729.7</v>
      </c>
      <c r="I66" s="34">
        <v>40848</v>
      </c>
      <c r="J66" s="1">
        <v>243.2</v>
      </c>
      <c r="K66" s="34">
        <v>40848</v>
      </c>
      <c r="L66" s="1">
        <v>729.7</v>
      </c>
      <c r="M66" s="34">
        <v>40848</v>
      </c>
      <c r="N66" s="1">
        <v>243.2</v>
      </c>
    </row>
    <row r="67" spans="1:14" x14ac:dyDescent="0.25">
      <c r="A67" s="34">
        <v>40878</v>
      </c>
      <c r="B67" s="1">
        <v>728.9</v>
      </c>
      <c r="C67" s="34">
        <v>40878</v>
      </c>
      <c r="D67" s="1">
        <v>427</v>
      </c>
      <c r="E67" s="34">
        <v>40878</v>
      </c>
      <c r="F67" s="1">
        <v>9.6999999999999993</v>
      </c>
      <c r="G67" s="34">
        <v>40878</v>
      </c>
      <c r="H67" s="1">
        <v>729.1</v>
      </c>
      <c r="I67" s="34">
        <v>40878</v>
      </c>
      <c r="J67" s="1">
        <v>243</v>
      </c>
      <c r="K67" s="34">
        <v>40878</v>
      </c>
      <c r="L67" s="1">
        <v>729.1</v>
      </c>
      <c r="M67" s="34">
        <v>40878</v>
      </c>
      <c r="N67" s="1">
        <v>243</v>
      </c>
    </row>
    <row r="68" spans="1:14" x14ac:dyDescent="0.25">
      <c r="A68" s="34">
        <v>40909</v>
      </c>
      <c r="B68" s="1">
        <v>731</v>
      </c>
      <c r="C68" s="34">
        <v>40909</v>
      </c>
      <c r="D68" s="1">
        <v>34</v>
      </c>
      <c r="E68" s="34">
        <v>40909</v>
      </c>
      <c r="F68" s="1">
        <v>9.6</v>
      </c>
      <c r="G68" s="34">
        <v>40909</v>
      </c>
      <c r="H68" s="1">
        <v>721.9</v>
      </c>
      <c r="I68" s="34">
        <v>40909</v>
      </c>
      <c r="J68" s="1">
        <v>242.4</v>
      </c>
      <c r="K68" s="34">
        <v>40909</v>
      </c>
      <c r="L68" s="1">
        <v>721.9</v>
      </c>
      <c r="M68" s="34">
        <v>40909</v>
      </c>
      <c r="N68" s="1">
        <v>242.4</v>
      </c>
    </row>
    <row r="69" spans="1:14" x14ac:dyDescent="0.25">
      <c r="A69" s="34">
        <v>40940</v>
      </c>
      <c r="B69" s="1">
        <v>730.6</v>
      </c>
      <c r="C69" s="34">
        <v>40940</v>
      </c>
      <c r="D69" s="1">
        <v>61</v>
      </c>
      <c r="E69" s="34">
        <v>40940</v>
      </c>
      <c r="F69" s="1">
        <v>9.4</v>
      </c>
      <c r="G69" s="34">
        <v>40940</v>
      </c>
      <c r="H69" s="1">
        <v>725.1</v>
      </c>
      <c r="I69" s="34">
        <v>40940</v>
      </c>
      <c r="J69" s="1">
        <v>241.3</v>
      </c>
      <c r="K69" s="34">
        <v>40940</v>
      </c>
      <c r="L69" s="1">
        <v>725.1</v>
      </c>
      <c r="M69" s="34">
        <v>40940</v>
      </c>
      <c r="N69" s="1">
        <v>241.3</v>
      </c>
    </row>
    <row r="70" spans="1:14" x14ac:dyDescent="0.25">
      <c r="A70" s="34">
        <v>40969</v>
      </c>
      <c r="B70" s="1">
        <v>732.7</v>
      </c>
      <c r="C70" s="34">
        <v>40969</v>
      </c>
      <c r="D70" s="1">
        <v>165</v>
      </c>
      <c r="E70" s="34">
        <v>40969</v>
      </c>
      <c r="F70" s="1">
        <v>9.3000000000000007</v>
      </c>
      <c r="G70" s="34">
        <v>40969</v>
      </c>
      <c r="H70" s="1">
        <v>729.9</v>
      </c>
      <c r="I70" s="34">
        <v>40969</v>
      </c>
      <c r="J70" s="1">
        <v>241.9</v>
      </c>
      <c r="K70" s="34">
        <v>40969</v>
      </c>
      <c r="L70" s="1">
        <v>729.9</v>
      </c>
      <c r="M70" s="34">
        <v>40969</v>
      </c>
      <c r="N70" s="1">
        <v>241.9</v>
      </c>
    </row>
    <row r="71" spans="1:14" x14ac:dyDescent="0.25">
      <c r="A71" s="34">
        <v>41000</v>
      </c>
      <c r="B71" s="1">
        <v>730.7</v>
      </c>
      <c r="C71" s="34">
        <v>41000</v>
      </c>
      <c r="D71" s="1">
        <v>35</v>
      </c>
      <c r="E71" s="34">
        <v>41000</v>
      </c>
      <c r="F71" s="1">
        <v>9.3000000000000007</v>
      </c>
      <c r="G71" s="34">
        <v>41000</v>
      </c>
      <c r="H71" s="1">
        <v>730.9</v>
      </c>
      <c r="I71" s="34">
        <v>41000</v>
      </c>
      <c r="J71" s="1">
        <v>240.8</v>
      </c>
      <c r="K71" s="34">
        <v>41000</v>
      </c>
      <c r="L71" s="1">
        <v>730.9</v>
      </c>
      <c r="M71" s="34">
        <v>41000</v>
      </c>
      <c r="N71" s="1">
        <v>240.8</v>
      </c>
    </row>
    <row r="72" spans="1:14" x14ac:dyDescent="0.25">
      <c r="A72" s="34">
        <v>41030</v>
      </c>
      <c r="B72" s="1">
        <v>732.7</v>
      </c>
      <c r="C72" s="34">
        <v>41030</v>
      </c>
      <c r="D72" s="1">
        <v>612</v>
      </c>
      <c r="E72" s="34">
        <v>41030</v>
      </c>
      <c r="F72" s="1">
        <v>9.1999999999999993</v>
      </c>
      <c r="G72" s="34">
        <v>41030</v>
      </c>
      <c r="H72" s="1">
        <v>733.9</v>
      </c>
      <c r="I72" s="34">
        <v>41030</v>
      </c>
      <c r="J72" s="1">
        <v>241.3</v>
      </c>
      <c r="K72" s="34">
        <v>41030</v>
      </c>
      <c r="L72" s="1">
        <v>733.9</v>
      </c>
      <c r="M72" s="34">
        <v>41030</v>
      </c>
      <c r="N72" s="1">
        <v>241.3</v>
      </c>
    </row>
    <row r="73" spans="1:14" x14ac:dyDescent="0.25">
      <c r="A73" s="34">
        <v>41061</v>
      </c>
      <c r="B73" s="1">
        <v>733.2</v>
      </c>
      <c r="C73" s="34">
        <v>41061</v>
      </c>
      <c r="D73" s="1">
        <v>349</v>
      </c>
      <c r="E73" s="34">
        <v>41061</v>
      </c>
      <c r="F73" s="1">
        <v>9.1999999999999993</v>
      </c>
      <c r="G73" s="34">
        <v>41061</v>
      </c>
      <c r="H73" s="1">
        <v>732.9</v>
      </c>
      <c r="I73" s="34">
        <v>41061</v>
      </c>
      <c r="J73" s="1">
        <v>243.6</v>
      </c>
      <c r="K73" s="34">
        <v>41061</v>
      </c>
      <c r="L73" s="1">
        <v>732.9</v>
      </c>
      <c r="M73" s="34">
        <v>41061</v>
      </c>
      <c r="N73" s="1">
        <v>243.6</v>
      </c>
    </row>
    <row r="74" spans="1:14" x14ac:dyDescent="0.25">
      <c r="A74" s="34">
        <v>41091</v>
      </c>
      <c r="B74" s="1">
        <v>733</v>
      </c>
      <c r="C74" s="34">
        <v>41091</v>
      </c>
      <c r="D74" s="1">
        <v>399</v>
      </c>
      <c r="E74" s="34">
        <v>41091</v>
      </c>
      <c r="F74" s="1">
        <v>9.1999999999999993</v>
      </c>
      <c r="G74" s="34">
        <v>41091</v>
      </c>
      <c r="H74" s="1">
        <v>743.1</v>
      </c>
      <c r="I74" s="34">
        <v>41091</v>
      </c>
      <c r="J74" s="1">
        <v>254.8</v>
      </c>
      <c r="K74" s="34">
        <v>41091</v>
      </c>
      <c r="L74" s="1">
        <v>743.1</v>
      </c>
      <c r="M74" s="34">
        <v>41091</v>
      </c>
      <c r="N74" s="1">
        <v>254.8</v>
      </c>
    </row>
    <row r="75" spans="1:14" x14ac:dyDescent="0.25">
      <c r="A75" s="34">
        <v>41122</v>
      </c>
      <c r="B75" s="1">
        <v>730.5</v>
      </c>
      <c r="C75" s="34">
        <v>41122</v>
      </c>
      <c r="D75" s="1">
        <v>512</v>
      </c>
      <c r="E75" s="34">
        <v>41122</v>
      </c>
      <c r="F75" s="1">
        <v>9</v>
      </c>
      <c r="G75" s="34">
        <v>41122</v>
      </c>
      <c r="H75" s="1">
        <v>729</v>
      </c>
      <c r="I75" s="34">
        <v>41122</v>
      </c>
      <c r="J75" s="1">
        <v>242.1</v>
      </c>
      <c r="K75" s="34">
        <v>41122</v>
      </c>
      <c r="L75" s="1">
        <v>729</v>
      </c>
      <c r="M75" s="34">
        <v>41122</v>
      </c>
      <c r="N75" s="1">
        <v>242.1</v>
      </c>
    </row>
    <row r="76" spans="1:14" x14ac:dyDescent="0.25">
      <c r="A76" s="34">
        <v>41153</v>
      </c>
      <c r="B76" s="1">
        <v>740.3</v>
      </c>
      <c r="C76" s="34">
        <v>41153</v>
      </c>
      <c r="D76" s="1">
        <v>391</v>
      </c>
      <c r="E76" s="34">
        <v>41153</v>
      </c>
      <c r="F76" s="1">
        <v>8.9</v>
      </c>
      <c r="G76" s="34">
        <v>41153</v>
      </c>
      <c r="H76" s="1">
        <v>736.1</v>
      </c>
      <c r="I76" s="34">
        <v>41153</v>
      </c>
      <c r="J76" s="1">
        <v>241.6</v>
      </c>
      <c r="K76" s="34">
        <v>41153</v>
      </c>
      <c r="L76" s="1">
        <v>736.1</v>
      </c>
      <c r="M76" s="34">
        <v>41153</v>
      </c>
      <c r="N76" s="1">
        <v>241.6</v>
      </c>
    </row>
    <row r="77" spans="1:14" x14ac:dyDescent="0.25">
      <c r="A77" s="34">
        <v>41183</v>
      </c>
      <c r="B77" s="1">
        <v>740.9</v>
      </c>
      <c r="C77" s="34">
        <v>41183</v>
      </c>
      <c r="D77" s="1">
        <v>404</v>
      </c>
      <c r="E77" s="34">
        <v>41183</v>
      </c>
      <c r="F77" s="1">
        <v>8.8000000000000007</v>
      </c>
      <c r="G77" s="34">
        <v>41183</v>
      </c>
      <c r="H77" s="1">
        <v>744</v>
      </c>
      <c r="I77" s="34">
        <v>41183</v>
      </c>
      <c r="J77" s="1">
        <v>242.7</v>
      </c>
      <c r="K77" s="34">
        <v>41183</v>
      </c>
      <c r="L77" s="1">
        <v>744</v>
      </c>
      <c r="M77" s="34">
        <v>41183</v>
      </c>
      <c r="N77" s="1">
        <v>242.7</v>
      </c>
    </row>
    <row r="78" spans="1:14" x14ac:dyDescent="0.25">
      <c r="A78" s="34">
        <v>41214</v>
      </c>
      <c r="B78" s="1">
        <v>742.5</v>
      </c>
      <c r="C78" s="34">
        <v>41214</v>
      </c>
      <c r="D78" s="1">
        <v>626</v>
      </c>
      <c r="E78" s="34">
        <v>41214</v>
      </c>
      <c r="F78" s="1">
        <v>8.6999999999999993</v>
      </c>
      <c r="G78" s="34">
        <v>41214</v>
      </c>
      <c r="H78" s="1">
        <v>745.8</v>
      </c>
      <c r="I78" s="34">
        <v>41214</v>
      </c>
      <c r="J78" s="1">
        <v>242.6</v>
      </c>
      <c r="K78" s="34">
        <v>41214</v>
      </c>
      <c r="L78" s="1">
        <v>745.8</v>
      </c>
      <c r="M78" s="34">
        <v>41214</v>
      </c>
      <c r="N78" s="1">
        <v>242.6</v>
      </c>
    </row>
    <row r="79" spans="1:14" x14ac:dyDescent="0.25">
      <c r="A79" s="34">
        <v>41244</v>
      </c>
      <c r="B79" s="1">
        <v>742.9</v>
      </c>
      <c r="C79" s="34">
        <v>41244</v>
      </c>
      <c r="D79" s="1">
        <v>532</v>
      </c>
      <c r="E79" s="34">
        <v>41244</v>
      </c>
      <c r="F79" s="1">
        <v>8.6999999999999993</v>
      </c>
      <c r="G79" s="34">
        <v>41244</v>
      </c>
      <c r="H79" s="1">
        <v>744.8</v>
      </c>
      <c r="I79" s="34">
        <v>41244</v>
      </c>
      <c r="J79" s="1">
        <v>242</v>
      </c>
      <c r="K79" s="34">
        <v>41244</v>
      </c>
      <c r="L79" s="1">
        <v>744.8</v>
      </c>
      <c r="M79" s="34">
        <v>41244</v>
      </c>
      <c r="N79" s="1">
        <v>242</v>
      </c>
    </row>
    <row r="80" spans="1:14" x14ac:dyDescent="0.25">
      <c r="A80" s="34">
        <v>41275</v>
      </c>
      <c r="B80" s="1">
        <v>742.5</v>
      </c>
      <c r="C80" s="34">
        <v>41275</v>
      </c>
      <c r="D80" s="1">
        <v>55</v>
      </c>
      <c r="E80" s="34">
        <v>41275</v>
      </c>
      <c r="F80" s="1">
        <v>8.6</v>
      </c>
      <c r="G80" s="34">
        <v>41275</v>
      </c>
      <c r="H80" s="1">
        <v>733.6</v>
      </c>
      <c r="I80" s="34">
        <v>41275</v>
      </c>
      <c r="J80" s="1">
        <v>240.2</v>
      </c>
      <c r="K80" s="34">
        <v>41275</v>
      </c>
      <c r="L80" s="1">
        <v>733.6</v>
      </c>
      <c r="M80" s="34">
        <v>41275</v>
      </c>
      <c r="N80" s="1">
        <v>240.2</v>
      </c>
    </row>
    <row r="81" spans="1:14" x14ac:dyDescent="0.25">
      <c r="A81" s="34">
        <v>41306</v>
      </c>
      <c r="B81" s="1">
        <v>744</v>
      </c>
      <c r="C81" s="34">
        <v>41306</v>
      </c>
      <c r="D81" s="1">
        <v>236</v>
      </c>
      <c r="E81" s="34">
        <v>41306</v>
      </c>
      <c r="F81" s="1">
        <v>8.6</v>
      </c>
      <c r="G81" s="34">
        <v>41306</v>
      </c>
      <c r="H81" s="1">
        <v>738.4</v>
      </c>
      <c r="I81" s="34">
        <v>41306</v>
      </c>
      <c r="J81" s="1">
        <v>239.6</v>
      </c>
      <c r="K81" s="34">
        <v>41306</v>
      </c>
      <c r="L81" s="1">
        <v>738.4</v>
      </c>
      <c r="M81" s="34">
        <v>41306</v>
      </c>
      <c r="N81" s="1">
        <v>239.6</v>
      </c>
    </row>
    <row r="82" spans="1:14" x14ac:dyDescent="0.25">
      <c r="A82" s="34">
        <v>41334</v>
      </c>
      <c r="B82" s="1">
        <v>744.1</v>
      </c>
      <c r="C82" s="34">
        <v>41334</v>
      </c>
      <c r="D82" s="1">
        <v>44</v>
      </c>
      <c r="E82" s="34">
        <v>41334</v>
      </c>
      <c r="F82" s="1">
        <v>8.5</v>
      </c>
      <c r="G82" s="34">
        <v>41334</v>
      </c>
      <c r="H82" s="1">
        <v>741.5</v>
      </c>
      <c r="I82" s="34">
        <v>41334</v>
      </c>
      <c r="J82" s="1">
        <v>239.9</v>
      </c>
      <c r="K82" s="34">
        <v>41334</v>
      </c>
      <c r="L82" s="1">
        <v>741.5</v>
      </c>
      <c r="M82" s="34">
        <v>41334</v>
      </c>
      <c r="N82" s="1">
        <v>239.9</v>
      </c>
    </row>
    <row r="83" spans="1:14" x14ac:dyDescent="0.25">
      <c r="A83" s="34">
        <v>41365</v>
      </c>
      <c r="B83" s="1">
        <v>746.2</v>
      </c>
      <c r="C83" s="34">
        <v>41365</v>
      </c>
      <c r="D83" s="1">
        <v>53</v>
      </c>
      <c r="E83" s="34">
        <v>41365</v>
      </c>
      <c r="F83" s="1">
        <v>8.5</v>
      </c>
      <c r="G83" s="34">
        <v>41365</v>
      </c>
      <c r="H83" s="1">
        <v>746.8</v>
      </c>
      <c r="I83" s="34">
        <v>41365</v>
      </c>
      <c r="J83" s="1">
        <v>239.2</v>
      </c>
      <c r="K83" s="34">
        <v>41365</v>
      </c>
      <c r="L83" s="1">
        <v>746.8</v>
      </c>
      <c r="M83" s="34">
        <v>41365</v>
      </c>
      <c r="N83" s="1">
        <v>239.2</v>
      </c>
    </row>
    <row r="84" spans="1:14" x14ac:dyDescent="0.25">
      <c r="A84" s="34">
        <v>41395</v>
      </c>
      <c r="B84" s="1">
        <v>745.1</v>
      </c>
      <c r="C84" s="34">
        <v>41395</v>
      </c>
      <c r="D84" s="1">
        <v>680</v>
      </c>
      <c r="E84" s="34">
        <v>41395</v>
      </c>
      <c r="F84" s="1">
        <v>8.5</v>
      </c>
      <c r="G84" s="34">
        <v>41395</v>
      </c>
      <c r="H84" s="1">
        <v>746.8</v>
      </c>
      <c r="I84" s="34">
        <v>41395</v>
      </c>
      <c r="J84" s="1">
        <v>239.1</v>
      </c>
      <c r="K84" s="34">
        <v>41395</v>
      </c>
      <c r="L84" s="1">
        <v>746.8</v>
      </c>
      <c r="M84" s="34">
        <v>41395</v>
      </c>
      <c r="N84" s="1">
        <v>239.1</v>
      </c>
    </row>
    <row r="85" spans="1:14" x14ac:dyDescent="0.25">
      <c r="A85" s="34">
        <v>41426</v>
      </c>
      <c r="B85" s="1">
        <v>744.3</v>
      </c>
      <c r="C85" s="34">
        <v>41426</v>
      </c>
      <c r="D85" s="1">
        <v>142</v>
      </c>
      <c r="E85" s="34">
        <v>41426</v>
      </c>
      <c r="F85" s="1">
        <v>8.5</v>
      </c>
      <c r="G85" s="34">
        <v>41426</v>
      </c>
      <c r="H85" s="1">
        <v>742.1</v>
      </c>
      <c r="I85" s="34">
        <v>41426</v>
      </c>
      <c r="J85" s="1">
        <v>239.5</v>
      </c>
      <c r="K85" s="34">
        <v>41426</v>
      </c>
      <c r="L85" s="1">
        <v>742.1</v>
      </c>
      <c r="M85" s="34">
        <v>41426</v>
      </c>
      <c r="N85" s="1">
        <v>239.5</v>
      </c>
    </row>
    <row r="86" spans="1:14" x14ac:dyDescent="0.25">
      <c r="A86" s="34">
        <v>41456</v>
      </c>
      <c r="B86" s="1">
        <v>745.7</v>
      </c>
      <c r="C86" s="34">
        <v>41456</v>
      </c>
      <c r="D86" s="1">
        <v>556</v>
      </c>
      <c r="E86" s="34">
        <v>41456</v>
      </c>
      <c r="F86" s="1">
        <v>8.4</v>
      </c>
      <c r="G86" s="34">
        <v>41456</v>
      </c>
      <c r="H86" s="1">
        <v>754.7</v>
      </c>
      <c r="I86" s="34">
        <v>41456</v>
      </c>
      <c r="J86" s="1">
        <v>249.8</v>
      </c>
      <c r="K86" s="34">
        <v>41456</v>
      </c>
      <c r="L86" s="1">
        <v>754.7</v>
      </c>
      <c r="M86" s="34">
        <v>41456</v>
      </c>
      <c r="N86" s="1">
        <v>249.8</v>
      </c>
    </row>
    <row r="87" spans="1:14" x14ac:dyDescent="0.25">
      <c r="A87" s="34">
        <v>41487</v>
      </c>
      <c r="B87" s="1">
        <v>742.5</v>
      </c>
      <c r="C87" s="34">
        <v>41487</v>
      </c>
      <c r="D87" s="1">
        <v>48</v>
      </c>
      <c r="E87" s="34">
        <v>41487</v>
      </c>
      <c r="F87" s="1">
        <v>8.3000000000000007</v>
      </c>
      <c r="G87" s="34">
        <v>41487</v>
      </c>
      <c r="H87" s="1">
        <v>740.3</v>
      </c>
      <c r="I87" s="34">
        <v>41487</v>
      </c>
      <c r="J87" s="1">
        <v>237.4</v>
      </c>
      <c r="K87" s="34">
        <v>41487</v>
      </c>
      <c r="L87" s="1">
        <v>740.3</v>
      </c>
      <c r="M87" s="34">
        <v>41487</v>
      </c>
      <c r="N87" s="1">
        <v>237.4</v>
      </c>
    </row>
    <row r="88" spans="1:14" x14ac:dyDescent="0.25">
      <c r="A88" s="34">
        <v>41518</v>
      </c>
      <c r="B88" s="1">
        <v>751.8</v>
      </c>
      <c r="C88" s="34">
        <v>41518</v>
      </c>
      <c r="D88" s="1">
        <v>478</v>
      </c>
      <c r="E88" s="34">
        <v>41518</v>
      </c>
      <c r="F88" s="1">
        <v>8.1999999999999993</v>
      </c>
      <c r="G88" s="34">
        <v>41518</v>
      </c>
      <c r="H88" s="1">
        <v>747.9</v>
      </c>
      <c r="I88" s="34">
        <v>41518</v>
      </c>
      <c r="J88" s="1">
        <v>238.8</v>
      </c>
      <c r="K88" s="34">
        <v>41518</v>
      </c>
      <c r="L88" s="1">
        <v>747.9</v>
      </c>
      <c r="M88" s="34">
        <v>41518</v>
      </c>
      <c r="N88" s="1">
        <v>238.8</v>
      </c>
    </row>
    <row r="89" spans="1:14" x14ac:dyDescent="0.25">
      <c r="A89" s="34">
        <v>41548</v>
      </c>
      <c r="B89" s="1">
        <v>748.4</v>
      </c>
      <c r="C89" s="34">
        <v>41548</v>
      </c>
      <c r="D89" s="1">
        <v>907</v>
      </c>
      <c r="E89" s="34">
        <v>41548</v>
      </c>
      <c r="F89" s="1">
        <v>8</v>
      </c>
      <c r="G89" s="34">
        <v>41548</v>
      </c>
      <c r="H89" s="1">
        <v>751.3</v>
      </c>
      <c r="I89" s="34">
        <v>41548</v>
      </c>
      <c r="J89" s="1">
        <v>238.1</v>
      </c>
      <c r="K89" s="34">
        <v>41548</v>
      </c>
      <c r="L89" s="1">
        <v>751.3</v>
      </c>
      <c r="M89" s="34">
        <v>41548</v>
      </c>
      <c r="N89" s="1">
        <v>238.1</v>
      </c>
    </row>
    <row r="90" spans="1:14" x14ac:dyDescent="0.25">
      <c r="A90" s="34">
        <v>41579</v>
      </c>
      <c r="B90" s="1">
        <v>747.8</v>
      </c>
      <c r="C90" s="34">
        <v>41579</v>
      </c>
      <c r="D90" s="1">
        <v>22</v>
      </c>
      <c r="E90" s="34">
        <v>41579</v>
      </c>
      <c r="F90" s="1">
        <v>7.8</v>
      </c>
      <c r="G90" s="34">
        <v>41579</v>
      </c>
      <c r="H90" s="1">
        <v>750.8</v>
      </c>
      <c r="I90" s="34">
        <v>41579</v>
      </c>
      <c r="J90" s="1">
        <v>237.1</v>
      </c>
      <c r="K90" s="34">
        <v>41579</v>
      </c>
      <c r="L90" s="1">
        <v>750.8</v>
      </c>
      <c r="M90" s="34">
        <v>41579</v>
      </c>
      <c r="N90" s="1">
        <v>237.1</v>
      </c>
    </row>
    <row r="91" spans="1:14" x14ac:dyDescent="0.25">
      <c r="A91" s="34">
        <v>41609</v>
      </c>
      <c r="B91" s="1">
        <v>747.4</v>
      </c>
      <c r="C91" s="34">
        <v>41609</v>
      </c>
      <c r="D91" s="1">
        <v>34</v>
      </c>
      <c r="E91" s="34">
        <v>41609</v>
      </c>
      <c r="F91" s="1">
        <v>7.6</v>
      </c>
      <c r="G91" s="34">
        <v>41609</v>
      </c>
      <c r="H91" s="1">
        <v>748.6</v>
      </c>
      <c r="I91" s="34">
        <v>41609</v>
      </c>
      <c r="J91" s="1">
        <v>237.1</v>
      </c>
      <c r="K91" s="34">
        <v>41609</v>
      </c>
      <c r="L91" s="1">
        <v>748.6</v>
      </c>
      <c r="M91" s="34">
        <v>41609</v>
      </c>
      <c r="N91" s="1">
        <v>237.1</v>
      </c>
    </row>
    <row r="92" spans="1:14" x14ac:dyDescent="0.25">
      <c r="A92" s="34">
        <v>41640</v>
      </c>
      <c r="B92" s="1">
        <v>747</v>
      </c>
      <c r="C92" s="34">
        <v>41640</v>
      </c>
      <c r="D92" s="1">
        <v>300</v>
      </c>
      <c r="E92" s="34">
        <v>41640</v>
      </c>
      <c r="F92" s="1">
        <v>7.4</v>
      </c>
      <c r="G92" s="34">
        <v>41640</v>
      </c>
      <c r="H92" s="1">
        <v>740.5</v>
      </c>
      <c r="I92" s="34">
        <v>41640</v>
      </c>
      <c r="J92" s="1">
        <v>235.5</v>
      </c>
      <c r="K92" s="34">
        <v>41640</v>
      </c>
      <c r="L92" s="1">
        <v>740.5</v>
      </c>
      <c r="M92" s="34">
        <v>41640</v>
      </c>
      <c r="N92" s="1">
        <v>235.5</v>
      </c>
    </row>
    <row r="93" spans="1:14" x14ac:dyDescent="0.25">
      <c r="A93" s="34">
        <v>41671</v>
      </c>
      <c r="B93" s="1">
        <v>745.7</v>
      </c>
      <c r="C93" s="34">
        <v>41671</v>
      </c>
      <c r="D93" s="1">
        <v>849</v>
      </c>
      <c r="E93" s="34">
        <v>41671</v>
      </c>
      <c r="F93" s="1">
        <v>7.4</v>
      </c>
      <c r="G93" s="34">
        <v>41671</v>
      </c>
      <c r="H93" s="1">
        <v>742.2</v>
      </c>
      <c r="I93" s="34">
        <v>41671</v>
      </c>
      <c r="J93" s="1">
        <v>234.8</v>
      </c>
      <c r="K93" s="34">
        <v>41671</v>
      </c>
      <c r="L93" s="1">
        <v>742.2</v>
      </c>
      <c r="M93" s="34">
        <v>41671</v>
      </c>
      <c r="N93" s="1">
        <v>234.8</v>
      </c>
    </row>
    <row r="94" spans="1:14" x14ac:dyDescent="0.25">
      <c r="A94" s="34">
        <v>41699</v>
      </c>
      <c r="B94" s="1">
        <v>745.3</v>
      </c>
      <c r="C94" s="34">
        <v>41699</v>
      </c>
      <c r="D94" s="1">
        <v>68</v>
      </c>
      <c r="E94" s="34">
        <v>41699</v>
      </c>
      <c r="F94" s="1">
        <v>7.5</v>
      </c>
      <c r="G94" s="34">
        <v>41699</v>
      </c>
      <c r="H94" s="1">
        <v>744.8</v>
      </c>
      <c r="I94" s="34">
        <v>41699</v>
      </c>
      <c r="J94" s="1">
        <v>234.8</v>
      </c>
      <c r="K94" s="34">
        <v>41699</v>
      </c>
      <c r="L94" s="1">
        <v>744.8</v>
      </c>
      <c r="M94" s="34">
        <v>41699</v>
      </c>
      <c r="N94" s="1">
        <v>234.8</v>
      </c>
    </row>
    <row r="95" spans="1:14" x14ac:dyDescent="0.25">
      <c r="A95" s="34">
        <v>41730</v>
      </c>
      <c r="B95" s="1">
        <v>747.6</v>
      </c>
      <c r="C95" s="34">
        <v>41730</v>
      </c>
      <c r="D95" s="1">
        <v>95</v>
      </c>
      <c r="E95" s="34">
        <v>41730</v>
      </c>
      <c r="F95" s="1">
        <v>7.5</v>
      </c>
      <c r="G95" s="34">
        <v>41730</v>
      </c>
      <c r="H95" s="1">
        <v>749.3</v>
      </c>
      <c r="I95" s="34">
        <v>41730</v>
      </c>
      <c r="J95" s="1">
        <v>234.5</v>
      </c>
      <c r="K95" s="34">
        <v>41730</v>
      </c>
      <c r="L95" s="1">
        <v>749.3</v>
      </c>
      <c r="M95" s="34">
        <v>41730</v>
      </c>
      <c r="N95" s="1">
        <v>234.5</v>
      </c>
    </row>
    <row r="96" spans="1:14" x14ac:dyDescent="0.25">
      <c r="A96" s="34">
        <v>41760</v>
      </c>
      <c r="B96" s="1">
        <v>749.7</v>
      </c>
      <c r="C96" s="34">
        <v>41760</v>
      </c>
      <c r="D96" s="1">
        <v>41</v>
      </c>
      <c r="E96" s="34">
        <v>41760</v>
      </c>
      <c r="F96" s="1">
        <v>7.5</v>
      </c>
      <c r="G96" s="34">
        <v>41760</v>
      </c>
      <c r="H96" s="1">
        <v>746.5</v>
      </c>
      <c r="I96" s="34">
        <v>41760</v>
      </c>
      <c r="J96" s="1">
        <v>234.4</v>
      </c>
      <c r="K96" s="34">
        <v>41760</v>
      </c>
      <c r="L96" s="1">
        <v>746.5</v>
      </c>
      <c r="M96" s="34">
        <v>41760</v>
      </c>
      <c r="N96" s="1">
        <v>234.4</v>
      </c>
    </row>
    <row r="97" spans="1:14" x14ac:dyDescent="0.25">
      <c r="A97" s="34">
        <v>41791</v>
      </c>
      <c r="B97" s="1">
        <v>753.3</v>
      </c>
      <c r="C97" s="34">
        <v>41791</v>
      </c>
      <c r="D97" s="1">
        <v>55</v>
      </c>
      <c r="E97" s="34">
        <v>41791</v>
      </c>
      <c r="F97" s="1">
        <v>7.4</v>
      </c>
      <c r="G97" s="34">
        <v>41791</v>
      </c>
      <c r="H97" s="1">
        <v>751.6</v>
      </c>
      <c r="I97" s="34">
        <v>41791</v>
      </c>
      <c r="J97" s="1">
        <v>235.6</v>
      </c>
      <c r="K97" s="34">
        <v>41791</v>
      </c>
      <c r="L97" s="1">
        <v>751.6</v>
      </c>
      <c r="M97" s="34">
        <v>41791</v>
      </c>
      <c r="N97" s="1">
        <v>235.6</v>
      </c>
    </row>
    <row r="98" spans="1:14" x14ac:dyDescent="0.25">
      <c r="A98" s="34">
        <v>41821</v>
      </c>
      <c r="B98" s="1">
        <v>754</v>
      </c>
      <c r="C98" s="34">
        <v>41821</v>
      </c>
      <c r="D98" s="1">
        <v>922</v>
      </c>
      <c r="E98" s="34">
        <v>41821</v>
      </c>
      <c r="F98" s="1">
        <v>7.4</v>
      </c>
      <c r="G98" s="34">
        <v>41821</v>
      </c>
      <c r="H98" s="1">
        <v>763.7</v>
      </c>
      <c r="I98" s="34">
        <v>41821</v>
      </c>
      <c r="J98" s="1">
        <v>246.3</v>
      </c>
      <c r="K98" s="34">
        <v>41821</v>
      </c>
      <c r="L98" s="1">
        <v>763.7</v>
      </c>
      <c r="M98" s="34">
        <v>41821</v>
      </c>
      <c r="N98" s="1">
        <v>246.3</v>
      </c>
    </row>
    <row r="99" spans="1:14" x14ac:dyDescent="0.25">
      <c r="A99" s="34">
        <v>41852</v>
      </c>
      <c r="B99" s="1">
        <v>749.7</v>
      </c>
      <c r="C99" s="34">
        <v>41852</v>
      </c>
      <c r="D99" s="1">
        <v>779</v>
      </c>
      <c r="E99" s="34">
        <v>41852</v>
      </c>
      <c r="F99" s="1">
        <v>7.7</v>
      </c>
      <c r="G99" s="34">
        <v>41852</v>
      </c>
      <c r="H99" s="1">
        <v>748.7</v>
      </c>
      <c r="I99" s="34">
        <v>41852</v>
      </c>
      <c r="J99" s="1">
        <v>236.5</v>
      </c>
      <c r="K99" s="34">
        <v>41852</v>
      </c>
      <c r="L99" s="1">
        <v>748.7</v>
      </c>
      <c r="M99" s="34">
        <v>41852</v>
      </c>
      <c r="N99" s="1">
        <v>236.5</v>
      </c>
    </row>
    <row r="100" spans="1:14" x14ac:dyDescent="0.25">
      <c r="A100" s="34">
        <v>41883</v>
      </c>
      <c r="B100" s="1">
        <v>756.8</v>
      </c>
      <c r="C100" s="34">
        <v>41883</v>
      </c>
      <c r="D100" s="1">
        <v>394</v>
      </c>
      <c r="E100" s="34">
        <v>41883</v>
      </c>
      <c r="F100" s="1">
        <v>7.7</v>
      </c>
      <c r="G100" s="34">
        <v>41883</v>
      </c>
      <c r="H100" s="1">
        <v>753.5</v>
      </c>
      <c r="I100" s="34">
        <v>41883</v>
      </c>
      <c r="J100" s="1">
        <v>237</v>
      </c>
      <c r="K100" s="34">
        <v>41883</v>
      </c>
      <c r="L100" s="1">
        <v>753.5</v>
      </c>
      <c r="M100" s="34">
        <v>41883</v>
      </c>
      <c r="N100" s="1">
        <v>237</v>
      </c>
    </row>
    <row r="101" spans="1:14" x14ac:dyDescent="0.25">
      <c r="A101" s="34">
        <v>41913</v>
      </c>
      <c r="B101" s="1">
        <v>756.4</v>
      </c>
      <c r="C101" s="34">
        <v>41913</v>
      </c>
      <c r="D101" s="1">
        <v>506</v>
      </c>
      <c r="E101" s="34">
        <v>41913</v>
      </c>
      <c r="F101" s="1">
        <v>7.6</v>
      </c>
      <c r="G101" s="34">
        <v>41913</v>
      </c>
      <c r="H101" s="1">
        <v>762</v>
      </c>
      <c r="I101" s="34">
        <v>41913</v>
      </c>
      <c r="J101" s="1">
        <v>237.4</v>
      </c>
      <c r="K101" s="34">
        <v>41913</v>
      </c>
      <c r="L101" s="1">
        <v>762</v>
      </c>
      <c r="M101" s="34">
        <v>41913</v>
      </c>
      <c r="N101" s="1">
        <v>237.4</v>
      </c>
    </row>
    <row r="102" spans="1:14" x14ac:dyDescent="0.25">
      <c r="A102" s="34">
        <v>41944</v>
      </c>
      <c r="B102" s="1">
        <v>762.7</v>
      </c>
      <c r="C102" s="34">
        <v>41944</v>
      </c>
      <c r="D102" s="1">
        <v>51</v>
      </c>
      <c r="E102" s="34">
        <v>41944</v>
      </c>
      <c r="F102" s="1">
        <v>7.4</v>
      </c>
      <c r="G102" s="34">
        <v>41944</v>
      </c>
      <c r="H102" s="1">
        <v>765.8</v>
      </c>
      <c r="I102" s="34">
        <v>41944</v>
      </c>
      <c r="J102" s="1">
        <v>237.9</v>
      </c>
      <c r="K102" s="34">
        <v>41944</v>
      </c>
      <c r="L102" s="1">
        <v>765.8</v>
      </c>
      <c r="M102" s="34">
        <v>41944</v>
      </c>
      <c r="N102" s="1">
        <v>237.9</v>
      </c>
    </row>
    <row r="103" spans="1:14" x14ac:dyDescent="0.25">
      <c r="A103" s="34">
        <v>41974</v>
      </c>
      <c r="B103" s="1">
        <v>761.9</v>
      </c>
      <c r="E103" s="34">
        <v>41974</v>
      </c>
      <c r="F103" s="1">
        <v>7.3</v>
      </c>
      <c r="G103" s="34">
        <v>41974</v>
      </c>
      <c r="H103" s="1">
        <v>763.2</v>
      </c>
      <c r="I103" s="34">
        <v>41974</v>
      </c>
      <c r="J103" s="1">
        <v>238.7</v>
      </c>
      <c r="K103" s="34">
        <v>41974</v>
      </c>
      <c r="L103" s="1">
        <v>763.2</v>
      </c>
      <c r="M103" s="34">
        <v>41974</v>
      </c>
      <c r="N103" s="1">
        <v>238.7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103"/>
  <sheetViews>
    <sheetView topLeftCell="A82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100</v>
      </c>
      <c r="C1" s="34" t="s">
        <v>101</v>
      </c>
      <c r="E1" s="34" t="s">
        <v>102</v>
      </c>
      <c r="G1" s="34" t="s">
        <v>103</v>
      </c>
      <c r="I1" s="34" t="s">
        <v>104</v>
      </c>
      <c r="K1" s="34" t="str">
        <f>CONCATENATE(LEFT(A1,2), "NAN")</f>
        <v>FLNAN</v>
      </c>
      <c r="M1" s="34" t="str">
        <f>CONCATENATE(LEFT(A1,2), "GOVTN")</f>
        <v>FLGOVTN</v>
      </c>
      <c r="O1" s="34" t="str">
        <f>CONCATENATE(LEFT($A$1,2), "RGSP")</f>
        <v>FLRGSP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862</v>
      </c>
      <c r="C5" s="35" t="s">
        <v>108</v>
      </c>
      <c r="E5" s="35" t="s">
        <v>109</v>
      </c>
      <c r="G5" s="35" t="s">
        <v>110</v>
      </c>
      <c r="I5" s="35" t="s">
        <v>111</v>
      </c>
      <c r="K5" s="35" t="s">
        <v>862</v>
      </c>
      <c r="M5" s="35" t="s">
        <v>863</v>
      </c>
      <c r="O5" s="35" t="s">
        <v>811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8037.7</v>
      </c>
      <c r="C8" s="34">
        <v>39083</v>
      </c>
      <c r="D8" s="1">
        <v>10064</v>
      </c>
      <c r="E8" s="34">
        <v>39083</v>
      </c>
      <c r="F8" s="1">
        <v>3.5</v>
      </c>
      <c r="G8" s="34">
        <v>39083</v>
      </c>
      <c r="H8" s="1">
        <v>-0.23</v>
      </c>
      <c r="I8" s="34">
        <v>39083</v>
      </c>
      <c r="J8" s="1">
        <v>160.82</v>
      </c>
      <c r="K8" s="34">
        <v>39083</v>
      </c>
      <c r="L8" s="1">
        <v>7992</v>
      </c>
      <c r="M8" s="34">
        <v>39083</v>
      </c>
      <c r="N8" s="1">
        <v>1123.8</v>
      </c>
      <c r="O8" s="34">
        <v>39083</v>
      </c>
      <c r="P8" s="1">
        <v>803562</v>
      </c>
    </row>
    <row r="9" spans="1:16" x14ac:dyDescent="0.25">
      <c r="A9" s="34">
        <v>39114</v>
      </c>
      <c r="B9" s="1">
        <v>8040.4</v>
      </c>
      <c r="C9" s="34">
        <v>39114</v>
      </c>
      <c r="D9" s="1">
        <v>10271</v>
      </c>
      <c r="E9" s="34">
        <v>39114</v>
      </c>
      <c r="F9" s="1">
        <v>3.5</v>
      </c>
      <c r="G9" s="34">
        <v>39114</v>
      </c>
      <c r="H9" s="1">
        <v>-0.62</v>
      </c>
      <c r="I9" s="34">
        <v>39114</v>
      </c>
      <c r="J9" s="1">
        <v>160.87</v>
      </c>
      <c r="K9" s="34">
        <v>39114</v>
      </c>
      <c r="L9" s="1">
        <v>8058.7</v>
      </c>
      <c r="M9" s="34">
        <v>39114</v>
      </c>
      <c r="N9" s="1">
        <v>1135.0999999999999</v>
      </c>
      <c r="O9" s="34">
        <v>39448</v>
      </c>
      <c r="P9" s="1">
        <v>769066</v>
      </c>
    </row>
    <row r="10" spans="1:16" x14ac:dyDescent="0.25">
      <c r="A10" s="34">
        <v>39142</v>
      </c>
      <c r="B10" s="1">
        <v>8053.3</v>
      </c>
      <c r="C10" s="34">
        <v>39142</v>
      </c>
      <c r="D10" s="1">
        <v>12202</v>
      </c>
      <c r="E10" s="34">
        <v>39142</v>
      </c>
      <c r="F10" s="1">
        <v>3.6</v>
      </c>
      <c r="G10" s="34">
        <v>39142</v>
      </c>
      <c r="H10" s="1">
        <v>-0.82</v>
      </c>
      <c r="I10" s="34">
        <v>39142</v>
      </c>
      <c r="J10" s="1">
        <v>160.82</v>
      </c>
      <c r="K10" s="34">
        <v>39142</v>
      </c>
      <c r="L10" s="1">
        <v>8122.9</v>
      </c>
      <c r="M10" s="34">
        <v>39142</v>
      </c>
      <c r="N10" s="1">
        <v>1140.5999999999999</v>
      </c>
      <c r="O10" s="34">
        <v>39814</v>
      </c>
      <c r="P10" s="1">
        <v>721684</v>
      </c>
    </row>
    <row r="11" spans="1:16" x14ac:dyDescent="0.25">
      <c r="A11" s="34">
        <v>39173</v>
      </c>
      <c r="B11" s="1">
        <v>8038.1</v>
      </c>
      <c r="C11" s="34">
        <v>39173</v>
      </c>
      <c r="D11" s="1">
        <v>10469</v>
      </c>
      <c r="E11" s="34">
        <v>39173</v>
      </c>
      <c r="F11" s="1">
        <v>3.6</v>
      </c>
      <c r="G11" s="34">
        <v>39173</v>
      </c>
      <c r="H11" s="1">
        <v>-1.1299999999999999</v>
      </c>
      <c r="I11" s="34">
        <v>39173</v>
      </c>
      <c r="J11" s="1">
        <v>160.66</v>
      </c>
      <c r="K11" s="34">
        <v>39173</v>
      </c>
      <c r="L11" s="1">
        <v>8074.9</v>
      </c>
      <c r="M11" s="34">
        <v>39173</v>
      </c>
      <c r="N11" s="1">
        <v>1139.2</v>
      </c>
      <c r="O11" s="34">
        <v>40179</v>
      </c>
      <c r="P11" s="1">
        <v>721007</v>
      </c>
    </row>
    <row r="12" spans="1:16" x14ac:dyDescent="0.25">
      <c r="A12" s="34">
        <v>39203</v>
      </c>
      <c r="B12" s="1">
        <v>8029.1</v>
      </c>
      <c r="C12" s="34">
        <v>39203</v>
      </c>
      <c r="D12" s="1">
        <v>10857</v>
      </c>
      <c r="E12" s="34">
        <v>39203</v>
      </c>
      <c r="F12" s="1">
        <v>3.7</v>
      </c>
      <c r="G12" s="34">
        <v>39203</v>
      </c>
      <c r="H12" s="1">
        <v>-1.23</v>
      </c>
      <c r="I12" s="34">
        <v>39203</v>
      </c>
      <c r="J12" s="1">
        <v>160.43</v>
      </c>
      <c r="K12" s="34">
        <v>39203</v>
      </c>
      <c r="L12" s="1">
        <v>8069.5</v>
      </c>
      <c r="M12" s="34">
        <v>39203</v>
      </c>
      <c r="N12" s="1">
        <v>1135.5999999999999</v>
      </c>
      <c r="O12" s="34">
        <v>40544</v>
      </c>
      <c r="P12" s="1">
        <v>718174</v>
      </c>
    </row>
    <row r="13" spans="1:16" x14ac:dyDescent="0.25">
      <c r="A13" s="34">
        <v>39234</v>
      </c>
      <c r="B13" s="1">
        <v>8026.9</v>
      </c>
      <c r="C13" s="34">
        <v>39234</v>
      </c>
      <c r="D13" s="1">
        <v>9910</v>
      </c>
      <c r="E13" s="34">
        <v>39234</v>
      </c>
      <c r="F13" s="1">
        <v>3.9</v>
      </c>
      <c r="G13" s="34">
        <v>39234</v>
      </c>
      <c r="H13" s="1">
        <v>-1.51</v>
      </c>
      <c r="I13" s="34">
        <v>39234</v>
      </c>
      <c r="J13" s="1">
        <v>160.12</v>
      </c>
      <c r="K13" s="34">
        <v>39234</v>
      </c>
      <c r="L13" s="1">
        <v>7960.9</v>
      </c>
      <c r="M13" s="34">
        <v>39234</v>
      </c>
      <c r="N13" s="1">
        <v>1041</v>
      </c>
      <c r="O13" s="34">
        <v>40909</v>
      </c>
      <c r="P13" s="1">
        <v>734274</v>
      </c>
    </row>
    <row r="14" spans="1:16" x14ac:dyDescent="0.25">
      <c r="A14" s="34">
        <v>39264</v>
      </c>
      <c r="B14" s="1">
        <v>7995.1</v>
      </c>
      <c r="C14" s="34">
        <v>39264</v>
      </c>
      <c r="D14" s="1">
        <v>8591</v>
      </c>
      <c r="E14" s="34">
        <v>39264</v>
      </c>
      <c r="F14" s="1">
        <v>4</v>
      </c>
      <c r="G14" s="34">
        <v>39264</v>
      </c>
      <c r="H14" s="1">
        <v>-1.46</v>
      </c>
      <c r="I14" s="34">
        <v>39264</v>
      </c>
      <c r="J14" s="1">
        <v>159.78</v>
      </c>
      <c r="K14" s="34">
        <v>39264</v>
      </c>
      <c r="L14" s="1">
        <v>7851.9</v>
      </c>
      <c r="M14" s="34">
        <v>39264</v>
      </c>
      <c r="N14" s="1">
        <v>1041.0999999999999</v>
      </c>
      <c r="O14" s="34">
        <v>41275</v>
      </c>
      <c r="P14" s="1">
        <v>750511</v>
      </c>
    </row>
    <row r="15" spans="1:16" x14ac:dyDescent="0.25">
      <c r="A15" s="34">
        <v>39295</v>
      </c>
      <c r="B15" s="1">
        <v>7983.3</v>
      </c>
      <c r="C15" s="34">
        <v>39295</v>
      </c>
      <c r="D15" s="1">
        <v>8832</v>
      </c>
      <c r="E15" s="34">
        <v>39295</v>
      </c>
      <c r="F15" s="1">
        <v>4.0999999999999996</v>
      </c>
      <c r="G15" s="34">
        <v>39295</v>
      </c>
      <c r="H15" s="1">
        <v>-1.57</v>
      </c>
      <c r="I15" s="34">
        <v>39295</v>
      </c>
      <c r="J15" s="1">
        <v>159.41999999999999</v>
      </c>
      <c r="K15" s="34">
        <v>39295</v>
      </c>
      <c r="L15" s="1">
        <v>7951.3</v>
      </c>
      <c r="M15" s="34">
        <v>39295</v>
      </c>
      <c r="N15" s="1">
        <v>1130.0999999999999</v>
      </c>
    </row>
    <row r="16" spans="1:16" x14ac:dyDescent="0.25">
      <c r="A16" s="34">
        <v>39326</v>
      </c>
      <c r="B16" s="1">
        <v>7965.2</v>
      </c>
      <c r="C16" s="34">
        <v>39326</v>
      </c>
      <c r="D16" s="1">
        <v>6358</v>
      </c>
      <c r="E16" s="34">
        <v>39326</v>
      </c>
      <c r="F16" s="1">
        <v>4.3</v>
      </c>
      <c r="G16" s="34">
        <v>39326</v>
      </c>
      <c r="H16" s="1">
        <v>-1.87</v>
      </c>
      <c r="I16" s="34">
        <v>39326</v>
      </c>
      <c r="J16" s="1">
        <v>159</v>
      </c>
      <c r="K16" s="34">
        <v>39326</v>
      </c>
      <c r="L16" s="1">
        <v>7937.8</v>
      </c>
      <c r="M16" s="34">
        <v>39326</v>
      </c>
      <c r="N16" s="1">
        <v>1138.2</v>
      </c>
    </row>
    <row r="17" spans="1:14" x14ac:dyDescent="0.25">
      <c r="A17" s="34">
        <v>39356</v>
      </c>
      <c r="B17" s="1">
        <v>7947.1</v>
      </c>
      <c r="C17" s="34">
        <v>39356</v>
      </c>
      <c r="D17" s="1">
        <v>6594</v>
      </c>
      <c r="E17" s="34">
        <v>39356</v>
      </c>
      <c r="F17" s="1">
        <v>4.4000000000000004</v>
      </c>
      <c r="G17" s="34">
        <v>39356</v>
      </c>
      <c r="H17" s="1">
        <v>-1.65</v>
      </c>
      <c r="I17" s="34">
        <v>39356</v>
      </c>
      <c r="J17" s="1">
        <v>158.62</v>
      </c>
      <c r="K17" s="34">
        <v>39356</v>
      </c>
      <c r="L17" s="1">
        <v>7927</v>
      </c>
      <c r="M17" s="34">
        <v>39356</v>
      </c>
      <c r="N17" s="1">
        <v>1145.5999999999999</v>
      </c>
    </row>
    <row r="18" spans="1:14" x14ac:dyDescent="0.25">
      <c r="A18" s="34">
        <v>39387</v>
      </c>
      <c r="B18" s="1">
        <v>7942</v>
      </c>
      <c r="C18" s="34">
        <v>39387</v>
      </c>
      <c r="D18" s="1">
        <v>5753</v>
      </c>
      <c r="E18" s="34">
        <v>39387</v>
      </c>
      <c r="F18" s="1">
        <v>4.5</v>
      </c>
      <c r="G18" s="34">
        <v>39387</v>
      </c>
      <c r="H18" s="1">
        <v>-1.75</v>
      </c>
      <c r="I18" s="34">
        <v>39387</v>
      </c>
      <c r="J18" s="1">
        <v>158.24</v>
      </c>
      <c r="K18" s="34">
        <v>39387</v>
      </c>
      <c r="L18" s="1">
        <v>7999.8</v>
      </c>
      <c r="M18" s="34">
        <v>39387</v>
      </c>
      <c r="N18" s="1">
        <v>1151.3</v>
      </c>
    </row>
    <row r="19" spans="1:14" x14ac:dyDescent="0.25">
      <c r="A19" s="34">
        <v>39417</v>
      </c>
      <c r="B19" s="1">
        <v>7931.8</v>
      </c>
      <c r="C19" s="34">
        <v>39417</v>
      </c>
      <c r="D19" s="1">
        <v>5825</v>
      </c>
      <c r="E19" s="34">
        <v>39417</v>
      </c>
      <c r="F19" s="1">
        <v>4.7</v>
      </c>
      <c r="G19" s="34">
        <v>39417</v>
      </c>
      <c r="H19" s="1">
        <v>-2.09</v>
      </c>
      <c r="I19" s="34">
        <v>39417</v>
      </c>
      <c r="J19" s="1">
        <v>157.80000000000001</v>
      </c>
      <c r="K19" s="34">
        <v>39417</v>
      </c>
      <c r="L19" s="1">
        <v>8032.7</v>
      </c>
      <c r="M19" s="34">
        <v>39417</v>
      </c>
      <c r="N19" s="1">
        <v>1149.4000000000001</v>
      </c>
    </row>
    <row r="20" spans="1:14" x14ac:dyDescent="0.25">
      <c r="A20" s="34">
        <v>39448</v>
      </c>
      <c r="B20" s="1">
        <v>7896.2</v>
      </c>
      <c r="C20" s="34">
        <v>39448</v>
      </c>
      <c r="D20" s="1">
        <v>7314</v>
      </c>
      <c r="E20" s="34">
        <v>39448</v>
      </c>
      <c r="F20" s="1">
        <v>4.8</v>
      </c>
      <c r="G20" s="34">
        <v>39448</v>
      </c>
      <c r="H20" s="1">
        <v>-2.14</v>
      </c>
      <c r="I20" s="34">
        <v>39448</v>
      </c>
      <c r="J20" s="1">
        <v>157.29</v>
      </c>
      <c r="K20" s="34">
        <v>39448</v>
      </c>
      <c r="L20" s="1">
        <v>7851.4</v>
      </c>
      <c r="M20" s="34">
        <v>39448</v>
      </c>
      <c r="N20" s="1">
        <v>1140.3</v>
      </c>
    </row>
    <row r="21" spans="1:14" x14ac:dyDescent="0.25">
      <c r="A21" s="34">
        <v>39479</v>
      </c>
      <c r="B21" s="1">
        <v>7889.2</v>
      </c>
      <c r="C21" s="34">
        <v>39479</v>
      </c>
      <c r="D21" s="1">
        <v>5870</v>
      </c>
      <c r="E21" s="34">
        <v>39479</v>
      </c>
      <c r="F21" s="1">
        <v>5</v>
      </c>
      <c r="G21" s="34">
        <v>39479</v>
      </c>
      <c r="H21" s="1">
        <v>-2.56</v>
      </c>
      <c r="I21" s="34">
        <v>39479</v>
      </c>
      <c r="J21" s="1">
        <v>156.66999999999999</v>
      </c>
      <c r="K21" s="34">
        <v>39479</v>
      </c>
      <c r="L21" s="1">
        <v>7907.3</v>
      </c>
      <c r="M21" s="34">
        <v>39479</v>
      </c>
      <c r="N21" s="1">
        <v>1151.8</v>
      </c>
    </row>
    <row r="22" spans="1:14" x14ac:dyDescent="0.25">
      <c r="A22" s="34">
        <v>39508</v>
      </c>
      <c r="B22" s="1">
        <v>7861.3</v>
      </c>
      <c r="C22" s="34">
        <v>39508</v>
      </c>
      <c r="D22" s="1">
        <v>5328</v>
      </c>
      <c r="E22" s="34">
        <v>39508</v>
      </c>
      <c r="F22" s="1">
        <v>5.2</v>
      </c>
      <c r="G22" s="34">
        <v>39508</v>
      </c>
      <c r="H22" s="1">
        <v>-2.86</v>
      </c>
      <c r="I22" s="34">
        <v>39508</v>
      </c>
      <c r="J22" s="1">
        <v>155.9</v>
      </c>
      <c r="K22" s="34">
        <v>39508</v>
      </c>
      <c r="L22" s="1">
        <v>7928.8</v>
      </c>
      <c r="M22" s="34">
        <v>39508</v>
      </c>
      <c r="N22" s="1">
        <v>1149.2</v>
      </c>
    </row>
    <row r="23" spans="1:14" x14ac:dyDescent="0.25">
      <c r="A23" s="34">
        <v>39539</v>
      </c>
      <c r="B23" s="1">
        <v>7808.2</v>
      </c>
      <c r="C23" s="34">
        <v>39539</v>
      </c>
      <c r="D23" s="1">
        <v>6294</v>
      </c>
      <c r="E23" s="34">
        <v>39539</v>
      </c>
      <c r="F23" s="1">
        <v>5.4</v>
      </c>
      <c r="G23" s="34">
        <v>39539</v>
      </c>
      <c r="H23" s="1">
        <v>-3.06</v>
      </c>
      <c r="I23" s="34">
        <v>39539</v>
      </c>
      <c r="J23" s="1">
        <v>155.03</v>
      </c>
      <c r="K23" s="34">
        <v>39539</v>
      </c>
      <c r="L23" s="1">
        <v>7845.1</v>
      </c>
      <c r="M23" s="34">
        <v>39539</v>
      </c>
      <c r="N23" s="1">
        <v>1146.9000000000001</v>
      </c>
    </row>
    <row r="24" spans="1:14" x14ac:dyDescent="0.25">
      <c r="A24" s="34">
        <v>39569</v>
      </c>
      <c r="B24" s="1">
        <v>7773.3</v>
      </c>
      <c r="C24" s="34">
        <v>39569</v>
      </c>
      <c r="D24" s="1">
        <v>5454</v>
      </c>
      <c r="E24" s="34">
        <v>39569</v>
      </c>
      <c r="F24" s="1">
        <v>5.7</v>
      </c>
      <c r="G24" s="34">
        <v>39569</v>
      </c>
      <c r="H24" s="1">
        <v>-3.05</v>
      </c>
      <c r="I24" s="34">
        <v>39569</v>
      </c>
      <c r="J24" s="1">
        <v>154.13999999999999</v>
      </c>
      <c r="K24" s="34">
        <v>39569</v>
      </c>
      <c r="L24" s="1">
        <v>7813.7</v>
      </c>
      <c r="M24" s="34">
        <v>39569</v>
      </c>
      <c r="N24" s="1">
        <v>1140.9000000000001</v>
      </c>
    </row>
    <row r="25" spans="1:14" x14ac:dyDescent="0.25">
      <c r="A25" s="34">
        <v>39600</v>
      </c>
      <c r="B25" s="1">
        <v>7742.7</v>
      </c>
      <c r="C25" s="34">
        <v>39600</v>
      </c>
      <c r="D25" s="1">
        <v>6562</v>
      </c>
      <c r="E25" s="34">
        <v>39600</v>
      </c>
      <c r="F25" s="1">
        <v>6</v>
      </c>
      <c r="G25" s="34">
        <v>39600</v>
      </c>
      <c r="H25" s="1">
        <v>-3</v>
      </c>
      <c r="I25" s="34">
        <v>39600</v>
      </c>
      <c r="J25" s="1">
        <v>153.25</v>
      </c>
      <c r="K25" s="34">
        <v>39600</v>
      </c>
      <c r="L25" s="1">
        <v>7672.5</v>
      </c>
      <c r="M25" s="34">
        <v>39600</v>
      </c>
      <c r="N25" s="1">
        <v>1044.7</v>
      </c>
    </row>
    <row r="26" spans="1:14" x14ac:dyDescent="0.25">
      <c r="A26" s="34">
        <v>39630</v>
      </c>
      <c r="B26" s="1">
        <v>7703.4</v>
      </c>
      <c r="C26" s="34">
        <v>39630</v>
      </c>
      <c r="D26" s="1">
        <v>4887</v>
      </c>
      <c r="E26" s="34">
        <v>39630</v>
      </c>
      <c r="F26" s="1">
        <v>6.4</v>
      </c>
      <c r="G26" s="34">
        <v>39630</v>
      </c>
      <c r="H26" s="1">
        <v>-3.13</v>
      </c>
      <c r="I26" s="34">
        <v>39630</v>
      </c>
      <c r="J26" s="1">
        <v>152.34</v>
      </c>
      <c r="K26" s="34">
        <v>39630</v>
      </c>
      <c r="L26" s="1">
        <v>7562.4</v>
      </c>
      <c r="M26" s="34">
        <v>39630</v>
      </c>
      <c r="N26" s="1">
        <v>1043.8</v>
      </c>
    </row>
    <row r="27" spans="1:14" x14ac:dyDescent="0.25">
      <c r="A27" s="34">
        <v>39661</v>
      </c>
      <c r="B27" s="1">
        <v>7668.4</v>
      </c>
      <c r="C27" s="34">
        <v>39661</v>
      </c>
      <c r="D27" s="1">
        <v>5825</v>
      </c>
      <c r="E27" s="34">
        <v>39661</v>
      </c>
      <c r="F27" s="1">
        <v>6.7</v>
      </c>
      <c r="G27" s="34">
        <v>39661</v>
      </c>
      <c r="H27" s="1">
        <v>-3.1</v>
      </c>
      <c r="I27" s="34">
        <v>39661</v>
      </c>
      <c r="J27" s="1">
        <v>151.44999999999999</v>
      </c>
      <c r="K27" s="34">
        <v>39661</v>
      </c>
      <c r="L27" s="1">
        <v>7636.9</v>
      </c>
      <c r="M27" s="34">
        <v>39661</v>
      </c>
      <c r="N27" s="1">
        <v>1133.0999999999999</v>
      </c>
    </row>
    <row r="28" spans="1:14" x14ac:dyDescent="0.25">
      <c r="A28" s="34">
        <v>39692</v>
      </c>
      <c r="B28" s="1">
        <v>7636.1</v>
      </c>
      <c r="C28" s="34">
        <v>39692</v>
      </c>
      <c r="D28" s="1">
        <v>5245</v>
      </c>
      <c r="E28" s="34">
        <v>39692</v>
      </c>
      <c r="F28" s="1">
        <v>7</v>
      </c>
      <c r="G28" s="34">
        <v>39692</v>
      </c>
      <c r="H28" s="1">
        <v>-3.3</v>
      </c>
      <c r="I28" s="34">
        <v>39692</v>
      </c>
      <c r="J28" s="1">
        <v>150.47999999999999</v>
      </c>
      <c r="K28" s="34">
        <v>39692</v>
      </c>
      <c r="L28" s="1">
        <v>7608.3</v>
      </c>
      <c r="M28" s="34">
        <v>39692</v>
      </c>
      <c r="N28" s="1">
        <v>1142.2</v>
      </c>
    </row>
    <row r="29" spans="1:14" x14ac:dyDescent="0.25">
      <c r="A29" s="34">
        <v>39722</v>
      </c>
      <c r="B29" s="1">
        <v>7581.1</v>
      </c>
      <c r="C29" s="34">
        <v>39722</v>
      </c>
      <c r="D29" s="1">
        <v>3634</v>
      </c>
      <c r="E29" s="34">
        <v>39722</v>
      </c>
      <c r="F29" s="1">
        <v>7.4</v>
      </c>
      <c r="G29" s="34">
        <v>39722</v>
      </c>
      <c r="H29" s="1">
        <v>-3.66</v>
      </c>
      <c r="I29" s="34">
        <v>39722</v>
      </c>
      <c r="J29" s="1">
        <v>149.43</v>
      </c>
      <c r="K29" s="34">
        <v>39722</v>
      </c>
      <c r="L29" s="1">
        <v>7579.6</v>
      </c>
      <c r="M29" s="34">
        <v>39722</v>
      </c>
      <c r="N29" s="1">
        <v>1145.9000000000001</v>
      </c>
    </row>
    <row r="30" spans="1:14" x14ac:dyDescent="0.25">
      <c r="A30" s="34">
        <v>39753</v>
      </c>
      <c r="B30" s="1">
        <v>7533.8</v>
      </c>
      <c r="C30" s="34">
        <v>39753</v>
      </c>
      <c r="D30" s="1">
        <v>3052</v>
      </c>
      <c r="E30" s="34">
        <v>39753</v>
      </c>
      <c r="F30" s="1">
        <v>7.8</v>
      </c>
      <c r="G30" s="34">
        <v>39753</v>
      </c>
      <c r="H30" s="1">
        <v>-4.01</v>
      </c>
      <c r="I30" s="34">
        <v>39753</v>
      </c>
      <c r="J30" s="1">
        <v>148.27000000000001</v>
      </c>
      <c r="K30" s="34">
        <v>39753</v>
      </c>
      <c r="L30" s="1">
        <v>7586.9</v>
      </c>
      <c r="M30" s="34">
        <v>39753</v>
      </c>
      <c r="N30" s="1">
        <v>1144.8</v>
      </c>
    </row>
    <row r="31" spans="1:14" x14ac:dyDescent="0.25">
      <c r="A31" s="34">
        <v>39783</v>
      </c>
      <c r="B31" s="1">
        <v>7486.7</v>
      </c>
      <c r="C31" s="34">
        <v>39783</v>
      </c>
      <c r="D31" s="1">
        <v>3178</v>
      </c>
      <c r="E31" s="34">
        <v>39783</v>
      </c>
      <c r="F31" s="1">
        <v>8.3000000000000007</v>
      </c>
      <c r="G31" s="34">
        <v>39783</v>
      </c>
      <c r="H31" s="1">
        <v>-4.3099999999999996</v>
      </c>
      <c r="I31" s="34">
        <v>39783</v>
      </c>
      <c r="J31" s="1">
        <v>147.05000000000001</v>
      </c>
      <c r="K31" s="34">
        <v>39783</v>
      </c>
      <c r="L31" s="1">
        <v>7586.1</v>
      </c>
      <c r="M31" s="34">
        <v>39783</v>
      </c>
      <c r="N31" s="1">
        <v>1139.5</v>
      </c>
    </row>
    <row r="32" spans="1:14" x14ac:dyDescent="0.25">
      <c r="A32" s="34">
        <v>39814</v>
      </c>
      <c r="B32" s="1">
        <v>7417.2</v>
      </c>
      <c r="C32" s="34">
        <v>39814</v>
      </c>
      <c r="D32" s="1">
        <v>2849</v>
      </c>
      <c r="E32" s="34">
        <v>39814</v>
      </c>
      <c r="F32" s="1">
        <v>8.8000000000000007</v>
      </c>
      <c r="G32" s="34">
        <v>39814</v>
      </c>
      <c r="H32" s="1">
        <v>-4.82</v>
      </c>
      <c r="I32" s="34">
        <v>39814</v>
      </c>
      <c r="J32" s="1">
        <v>145.74</v>
      </c>
      <c r="K32" s="34">
        <v>39814</v>
      </c>
      <c r="L32" s="1">
        <v>7377.7</v>
      </c>
      <c r="M32" s="34">
        <v>39814</v>
      </c>
      <c r="N32" s="1">
        <v>1133.0999999999999</v>
      </c>
    </row>
    <row r="33" spans="1:14" x14ac:dyDescent="0.25">
      <c r="A33" s="34">
        <v>39845</v>
      </c>
      <c r="B33" s="1">
        <v>7360.4</v>
      </c>
      <c r="C33" s="34">
        <v>39845</v>
      </c>
      <c r="D33" s="1">
        <v>3478</v>
      </c>
      <c r="E33" s="34">
        <v>39845</v>
      </c>
      <c r="F33" s="1">
        <v>9.1999999999999993</v>
      </c>
      <c r="G33" s="34">
        <v>39845</v>
      </c>
      <c r="H33" s="1">
        <v>-4.17</v>
      </c>
      <c r="I33" s="34">
        <v>39845</v>
      </c>
      <c r="J33" s="1">
        <v>144.51</v>
      </c>
      <c r="K33" s="34">
        <v>39845</v>
      </c>
      <c r="L33" s="1">
        <v>7377.1</v>
      </c>
      <c r="M33" s="34">
        <v>39845</v>
      </c>
      <c r="N33" s="1">
        <v>1139.2</v>
      </c>
    </row>
    <row r="34" spans="1:14" x14ac:dyDescent="0.25">
      <c r="A34" s="34">
        <v>39873</v>
      </c>
      <c r="B34" s="1">
        <v>7311.8</v>
      </c>
      <c r="C34" s="34">
        <v>39873</v>
      </c>
      <c r="D34" s="1">
        <v>3260</v>
      </c>
      <c r="E34" s="34">
        <v>39873</v>
      </c>
      <c r="F34" s="1">
        <v>9.6</v>
      </c>
      <c r="G34" s="34">
        <v>39873</v>
      </c>
      <c r="H34" s="1">
        <v>-4.05</v>
      </c>
      <c r="I34" s="34">
        <v>39873</v>
      </c>
      <c r="J34" s="1">
        <v>143.38</v>
      </c>
      <c r="K34" s="34">
        <v>39873</v>
      </c>
      <c r="L34" s="1">
        <v>7372.3</v>
      </c>
      <c r="M34" s="34">
        <v>39873</v>
      </c>
      <c r="N34" s="1">
        <v>1136.9000000000001</v>
      </c>
    </row>
    <row r="35" spans="1:14" x14ac:dyDescent="0.25">
      <c r="A35" s="34">
        <v>39904</v>
      </c>
      <c r="B35" s="1">
        <v>7265.3</v>
      </c>
      <c r="C35" s="34">
        <v>39904</v>
      </c>
      <c r="D35" s="1">
        <v>2281</v>
      </c>
      <c r="E35" s="34">
        <v>39904</v>
      </c>
      <c r="F35" s="1">
        <v>10</v>
      </c>
      <c r="G35" s="34">
        <v>39904</v>
      </c>
      <c r="H35" s="1">
        <v>-3.47</v>
      </c>
      <c r="I35" s="34">
        <v>39904</v>
      </c>
      <c r="J35" s="1">
        <v>142.38999999999999</v>
      </c>
      <c r="K35" s="34">
        <v>39904</v>
      </c>
      <c r="L35" s="1">
        <v>7324.4</v>
      </c>
      <c r="M35" s="34">
        <v>39904</v>
      </c>
      <c r="N35" s="1">
        <v>1142.5999999999999</v>
      </c>
    </row>
    <row r="36" spans="1:14" x14ac:dyDescent="0.25">
      <c r="A36" s="34">
        <v>39934</v>
      </c>
      <c r="B36" s="1">
        <v>7244.9</v>
      </c>
      <c r="C36" s="34">
        <v>39934</v>
      </c>
      <c r="D36" s="1">
        <v>2405</v>
      </c>
      <c r="E36" s="34">
        <v>39934</v>
      </c>
      <c r="F36" s="1">
        <v>10.199999999999999</v>
      </c>
      <c r="G36" s="34">
        <v>39934</v>
      </c>
      <c r="H36" s="1">
        <v>-2.48</v>
      </c>
      <c r="I36" s="34">
        <v>39934</v>
      </c>
      <c r="J36" s="1">
        <v>141.6</v>
      </c>
      <c r="K36" s="34">
        <v>39934</v>
      </c>
      <c r="L36" s="1">
        <v>7284.4</v>
      </c>
      <c r="M36" s="34">
        <v>39934</v>
      </c>
      <c r="N36" s="1">
        <v>1130.5</v>
      </c>
    </row>
    <row r="37" spans="1:14" x14ac:dyDescent="0.25">
      <c r="A37" s="34">
        <v>39965</v>
      </c>
      <c r="B37" s="1">
        <v>7221.1</v>
      </c>
      <c r="C37" s="34">
        <v>39965</v>
      </c>
      <c r="D37" s="1">
        <v>3597</v>
      </c>
      <c r="E37" s="34">
        <v>39965</v>
      </c>
      <c r="F37" s="1">
        <v>10.5</v>
      </c>
      <c r="G37" s="34">
        <v>39965</v>
      </c>
      <c r="H37" s="1">
        <v>-2.0299999999999998</v>
      </c>
      <c r="I37" s="34">
        <v>39965</v>
      </c>
      <c r="J37" s="1">
        <v>140.88</v>
      </c>
      <c r="K37" s="34">
        <v>39965</v>
      </c>
      <c r="L37" s="1">
        <v>7152.3</v>
      </c>
      <c r="M37" s="34">
        <v>39965</v>
      </c>
      <c r="N37" s="1">
        <v>1035.4000000000001</v>
      </c>
    </row>
    <row r="38" spans="1:14" x14ac:dyDescent="0.25">
      <c r="A38" s="34">
        <v>39995</v>
      </c>
      <c r="B38" s="1">
        <v>7193.8</v>
      </c>
      <c r="C38" s="34">
        <v>39995</v>
      </c>
      <c r="D38" s="1">
        <v>3026</v>
      </c>
      <c r="E38" s="34">
        <v>39995</v>
      </c>
      <c r="F38" s="1">
        <v>10.7</v>
      </c>
      <c r="G38" s="34">
        <v>39995</v>
      </c>
      <c r="H38" s="1">
        <v>-1.43</v>
      </c>
      <c r="I38" s="34">
        <v>39995</v>
      </c>
      <c r="J38" s="1">
        <v>140.29</v>
      </c>
      <c r="K38" s="34">
        <v>39995</v>
      </c>
      <c r="L38" s="1">
        <v>7063.8</v>
      </c>
      <c r="M38" s="34">
        <v>39995</v>
      </c>
      <c r="N38" s="1">
        <v>1034.2</v>
      </c>
    </row>
    <row r="39" spans="1:14" x14ac:dyDescent="0.25">
      <c r="A39" s="34">
        <v>40026</v>
      </c>
      <c r="B39" s="1">
        <v>7173.8</v>
      </c>
      <c r="C39" s="34">
        <v>40026</v>
      </c>
      <c r="D39" s="1">
        <v>2802</v>
      </c>
      <c r="E39" s="34">
        <v>40026</v>
      </c>
      <c r="F39" s="1">
        <v>10.9</v>
      </c>
      <c r="G39" s="34">
        <v>40026</v>
      </c>
      <c r="H39" s="1">
        <v>-1.1100000000000001</v>
      </c>
      <c r="I39" s="34">
        <v>40026</v>
      </c>
      <c r="J39" s="1">
        <v>139.81</v>
      </c>
      <c r="K39" s="34">
        <v>40026</v>
      </c>
      <c r="L39" s="1">
        <v>7131.1</v>
      </c>
      <c r="M39" s="34">
        <v>40026</v>
      </c>
      <c r="N39" s="1">
        <v>1113.7</v>
      </c>
    </row>
    <row r="40" spans="1:14" x14ac:dyDescent="0.25">
      <c r="A40" s="34">
        <v>40057</v>
      </c>
      <c r="B40" s="1">
        <v>7155</v>
      </c>
      <c r="C40" s="34">
        <v>40057</v>
      </c>
      <c r="D40" s="1">
        <v>3040</v>
      </c>
      <c r="E40" s="34">
        <v>40057</v>
      </c>
      <c r="F40" s="1">
        <v>11</v>
      </c>
      <c r="G40" s="34">
        <v>40057</v>
      </c>
      <c r="H40" s="1">
        <v>-0.43</v>
      </c>
      <c r="I40" s="34">
        <v>40057</v>
      </c>
      <c r="J40" s="1">
        <v>139.46</v>
      </c>
      <c r="K40" s="34">
        <v>40057</v>
      </c>
      <c r="L40" s="1">
        <v>7125.5</v>
      </c>
      <c r="M40" s="34">
        <v>40057</v>
      </c>
      <c r="N40" s="1">
        <v>1123.9000000000001</v>
      </c>
    </row>
    <row r="41" spans="1:14" x14ac:dyDescent="0.25">
      <c r="A41" s="34">
        <v>40087</v>
      </c>
      <c r="B41" s="1">
        <v>7150.5</v>
      </c>
      <c r="C41" s="34">
        <v>40087</v>
      </c>
      <c r="D41" s="1">
        <v>2881</v>
      </c>
      <c r="E41" s="34">
        <v>40087</v>
      </c>
      <c r="F41" s="1">
        <v>11.2</v>
      </c>
      <c r="G41" s="34">
        <v>40087</v>
      </c>
      <c r="H41" s="1">
        <v>-0.34</v>
      </c>
      <c r="I41" s="34">
        <v>40087</v>
      </c>
      <c r="J41" s="1">
        <v>139.19</v>
      </c>
      <c r="K41" s="34">
        <v>40087</v>
      </c>
      <c r="L41" s="1">
        <v>7150.8</v>
      </c>
      <c r="M41" s="34">
        <v>40087</v>
      </c>
      <c r="N41" s="1">
        <v>1128.5999999999999</v>
      </c>
    </row>
    <row r="42" spans="1:14" x14ac:dyDescent="0.25">
      <c r="A42" s="34">
        <v>40118</v>
      </c>
      <c r="B42" s="1">
        <v>7145.4</v>
      </c>
      <c r="C42" s="34">
        <v>40118</v>
      </c>
      <c r="D42" s="1">
        <v>3002</v>
      </c>
      <c r="E42" s="34">
        <v>40118</v>
      </c>
      <c r="F42" s="1">
        <v>11.3</v>
      </c>
      <c r="G42" s="34">
        <v>40118</v>
      </c>
      <c r="H42" s="1">
        <v>-0.1</v>
      </c>
      <c r="I42" s="34">
        <v>40118</v>
      </c>
      <c r="J42" s="1">
        <v>138.97999999999999</v>
      </c>
      <c r="K42" s="34">
        <v>40118</v>
      </c>
      <c r="L42" s="1">
        <v>7204.6</v>
      </c>
      <c r="M42" s="34">
        <v>40118</v>
      </c>
      <c r="N42" s="1">
        <v>1131.8</v>
      </c>
    </row>
    <row r="43" spans="1:14" x14ac:dyDescent="0.25">
      <c r="A43" s="34">
        <v>40148</v>
      </c>
      <c r="B43" s="1">
        <v>7128</v>
      </c>
      <c r="C43" s="34">
        <v>40148</v>
      </c>
      <c r="D43" s="1">
        <v>3495</v>
      </c>
      <c r="E43" s="34">
        <v>40148</v>
      </c>
      <c r="F43" s="1">
        <v>11.4</v>
      </c>
      <c r="G43" s="34">
        <v>40148</v>
      </c>
      <c r="H43" s="1">
        <v>0.02</v>
      </c>
      <c r="I43" s="34">
        <v>40148</v>
      </c>
      <c r="J43" s="1">
        <v>138.83000000000001</v>
      </c>
      <c r="K43" s="34">
        <v>40148</v>
      </c>
      <c r="L43" s="1">
        <v>7224</v>
      </c>
      <c r="M43" s="34">
        <v>40148</v>
      </c>
      <c r="N43" s="1">
        <v>1125.3</v>
      </c>
    </row>
    <row r="44" spans="1:14" x14ac:dyDescent="0.25">
      <c r="A44" s="34">
        <v>40179</v>
      </c>
      <c r="B44" s="1">
        <v>7133.5</v>
      </c>
      <c r="C44" s="34">
        <v>40179</v>
      </c>
      <c r="D44" s="1">
        <v>3818</v>
      </c>
      <c r="E44" s="34">
        <v>40179</v>
      </c>
      <c r="F44" s="1">
        <v>11.4</v>
      </c>
      <c r="G44" s="34">
        <v>40179</v>
      </c>
      <c r="H44" s="1">
        <v>0.34</v>
      </c>
      <c r="I44" s="34">
        <v>40179</v>
      </c>
      <c r="J44" s="1">
        <v>138.75</v>
      </c>
      <c r="K44" s="34">
        <v>40179</v>
      </c>
      <c r="L44" s="1">
        <v>7095.1</v>
      </c>
      <c r="M44" s="34">
        <v>40179</v>
      </c>
      <c r="N44" s="1">
        <v>1121.9000000000001</v>
      </c>
    </row>
    <row r="45" spans="1:14" x14ac:dyDescent="0.25">
      <c r="A45" s="34">
        <v>40210</v>
      </c>
      <c r="B45" s="1">
        <v>7131.2</v>
      </c>
      <c r="C45" s="34">
        <v>40210</v>
      </c>
      <c r="D45" s="1">
        <v>3324</v>
      </c>
      <c r="E45" s="34">
        <v>40210</v>
      </c>
      <c r="F45" s="1">
        <v>11.4</v>
      </c>
      <c r="G45" s="34">
        <v>40210</v>
      </c>
      <c r="H45" s="1">
        <v>0.85</v>
      </c>
      <c r="I45" s="34">
        <v>40210</v>
      </c>
      <c r="J45" s="1">
        <v>138.78</v>
      </c>
      <c r="K45" s="34">
        <v>40210</v>
      </c>
      <c r="L45" s="1">
        <v>7145.5</v>
      </c>
      <c r="M45" s="34">
        <v>40210</v>
      </c>
      <c r="N45" s="1">
        <v>1128</v>
      </c>
    </row>
    <row r="46" spans="1:14" x14ac:dyDescent="0.25">
      <c r="A46" s="34">
        <v>40238</v>
      </c>
      <c r="B46" s="1">
        <v>7135.9</v>
      </c>
      <c r="C46" s="34">
        <v>40238</v>
      </c>
      <c r="D46" s="1">
        <v>4358</v>
      </c>
      <c r="E46" s="34">
        <v>40238</v>
      </c>
      <c r="F46" s="1">
        <v>11.4</v>
      </c>
      <c r="G46" s="34">
        <v>40238</v>
      </c>
      <c r="H46" s="1">
        <v>1.24</v>
      </c>
      <c r="I46" s="34">
        <v>40238</v>
      </c>
      <c r="J46" s="1">
        <v>138.91999999999999</v>
      </c>
      <c r="K46" s="34">
        <v>40238</v>
      </c>
      <c r="L46" s="1">
        <v>7192.7</v>
      </c>
      <c r="M46" s="34">
        <v>40238</v>
      </c>
      <c r="N46" s="1">
        <v>1128.4000000000001</v>
      </c>
    </row>
    <row r="47" spans="1:14" x14ac:dyDescent="0.25">
      <c r="A47" s="34">
        <v>40269</v>
      </c>
      <c r="B47" s="1">
        <v>7151.2</v>
      </c>
      <c r="C47" s="34">
        <v>40269</v>
      </c>
      <c r="D47" s="1">
        <v>3743</v>
      </c>
      <c r="E47" s="34">
        <v>40269</v>
      </c>
      <c r="F47" s="1">
        <v>11.3</v>
      </c>
      <c r="G47" s="34">
        <v>40269</v>
      </c>
      <c r="H47" s="1">
        <v>1.64</v>
      </c>
      <c r="I47" s="34">
        <v>40269</v>
      </c>
      <c r="J47" s="1">
        <v>139.19</v>
      </c>
      <c r="K47" s="34">
        <v>40269</v>
      </c>
      <c r="L47" s="1">
        <v>7213.1</v>
      </c>
      <c r="M47" s="34">
        <v>40269</v>
      </c>
      <c r="N47" s="1">
        <v>1134.0999999999999</v>
      </c>
    </row>
    <row r="48" spans="1:14" x14ac:dyDescent="0.25">
      <c r="A48" s="34">
        <v>40299</v>
      </c>
      <c r="B48" s="1">
        <v>7196.4</v>
      </c>
      <c r="C48" s="34">
        <v>40299</v>
      </c>
      <c r="D48" s="1">
        <v>2964</v>
      </c>
      <c r="E48" s="34">
        <v>40299</v>
      </c>
      <c r="F48" s="1">
        <v>11.3</v>
      </c>
      <c r="G48" s="34">
        <v>40299</v>
      </c>
      <c r="H48" s="1">
        <v>1.17</v>
      </c>
      <c r="I48" s="34">
        <v>40299</v>
      </c>
      <c r="J48" s="1">
        <v>139.44</v>
      </c>
      <c r="K48" s="34">
        <v>40299</v>
      </c>
      <c r="L48" s="1">
        <v>7236.4</v>
      </c>
      <c r="M48" s="34">
        <v>40299</v>
      </c>
      <c r="N48" s="1">
        <v>1161.7</v>
      </c>
    </row>
    <row r="49" spans="1:14" x14ac:dyDescent="0.25">
      <c r="A49" s="34">
        <v>40330</v>
      </c>
      <c r="B49" s="1">
        <v>7184.8</v>
      </c>
      <c r="C49" s="34">
        <v>40330</v>
      </c>
      <c r="D49" s="1">
        <v>3289</v>
      </c>
      <c r="E49" s="34">
        <v>40330</v>
      </c>
      <c r="F49" s="1">
        <v>11.2</v>
      </c>
      <c r="G49" s="34">
        <v>40330</v>
      </c>
      <c r="H49" s="1">
        <v>0.61</v>
      </c>
      <c r="I49" s="34">
        <v>40330</v>
      </c>
      <c r="J49" s="1">
        <v>139.61000000000001</v>
      </c>
      <c r="K49" s="34">
        <v>40330</v>
      </c>
      <c r="L49" s="1">
        <v>7115.1</v>
      </c>
      <c r="M49" s="34">
        <v>40330</v>
      </c>
      <c r="N49" s="1">
        <v>1048</v>
      </c>
    </row>
    <row r="50" spans="1:14" x14ac:dyDescent="0.25">
      <c r="A50" s="34">
        <v>40360</v>
      </c>
      <c r="B50" s="1">
        <v>7185.6</v>
      </c>
      <c r="C50" s="34">
        <v>40360</v>
      </c>
      <c r="D50" s="1">
        <v>2894</v>
      </c>
      <c r="E50" s="34">
        <v>40360</v>
      </c>
      <c r="F50" s="1">
        <v>11.2</v>
      </c>
      <c r="G50" s="34">
        <v>40360</v>
      </c>
      <c r="H50" s="1">
        <v>0.23</v>
      </c>
      <c r="I50" s="34">
        <v>40360</v>
      </c>
      <c r="J50" s="1">
        <v>139.69</v>
      </c>
      <c r="K50" s="34">
        <v>40360</v>
      </c>
      <c r="L50" s="1">
        <v>7057.8</v>
      </c>
      <c r="M50" s="34">
        <v>40360</v>
      </c>
      <c r="N50" s="1">
        <v>1033.3</v>
      </c>
    </row>
    <row r="51" spans="1:14" x14ac:dyDescent="0.25">
      <c r="A51" s="34">
        <v>40391</v>
      </c>
      <c r="B51" s="1">
        <v>7189.1</v>
      </c>
      <c r="C51" s="34">
        <v>40391</v>
      </c>
      <c r="D51" s="1">
        <v>3196</v>
      </c>
      <c r="E51" s="34">
        <v>40391</v>
      </c>
      <c r="F51" s="1">
        <v>11.3</v>
      </c>
      <c r="G51" s="34">
        <v>40391</v>
      </c>
      <c r="H51" s="1">
        <v>0</v>
      </c>
      <c r="I51" s="34">
        <v>40391</v>
      </c>
      <c r="J51" s="1">
        <v>139.71</v>
      </c>
      <c r="K51" s="34">
        <v>40391</v>
      </c>
      <c r="L51" s="1">
        <v>7143.5</v>
      </c>
      <c r="M51" s="34">
        <v>40391</v>
      </c>
      <c r="N51" s="1">
        <v>1112.0999999999999</v>
      </c>
    </row>
    <row r="52" spans="1:14" x14ac:dyDescent="0.25">
      <c r="A52" s="34">
        <v>40422</v>
      </c>
      <c r="B52" s="1">
        <v>7166.5</v>
      </c>
      <c r="C52" s="34">
        <v>40422</v>
      </c>
      <c r="D52" s="1">
        <v>2772</v>
      </c>
      <c r="E52" s="34">
        <v>40422</v>
      </c>
      <c r="F52" s="1">
        <v>11.3</v>
      </c>
      <c r="G52" s="34">
        <v>40422</v>
      </c>
      <c r="H52" s="1">
        <v>0.09</v>
      </c>
      <c r="I52" s="34">
        <v>40422</v>
      </c>
      <c r="J52" s="1">
        <v>139.76</v>
      </c>
      <c r="K52" s="34">
        <v>40422</v>
      </c>
      <c r="L52" s="1">
        <v>7133.2</v>
      </c>
      <c r="M52" s="34">
        <v>40422</v>
      </c>
      <c r="N52" s="1">
        <v>1115.3</v>
      </c>
    </row>
    <row r="53" spans="1:14" x14ac:dyDescent="0.25">
      <c r="A53" s="34">
        <v>40452</v>
      </c>
      <c r="B53" s="1">
        <v>7197</v>
      </c>
      <c r="C53" s="34">
        <v>40452</v>
      </c>
      <c r="D53" s="1">
        <v>2630</v>
      </c>
      <c r="E53" s="34">
        <v>40452</v>
      </c>
      <c r="F53" s="1">
        <v>11.3</v>
      </c>
      <c r="G53" s="34">
        <v>40452</v>
      </c>
      <c r="H53" s="1">
        <v>0.5</v>
      </c>
      <c r="I53" s="34">
        <v>40452</v>
      </c>
      <c r="J53" s="1">
        <v>139.88999999999999</v>
      </c>
      <c r="K53" s="34">
        <v>40452</v>
      </c>
      <c r="L53" s="1">
        <v>7196.8</v>
      </c>
      <c r="M53" s="34">
        <v>40452</v>
      </c>
      <c r="N53" s="1">
        <v>1122.3</v>
      </c>
    </row>
    <row r="54" spans="1:14" x14ac:dyDescent="0.25">
      <c r="A54" s="34">
        <v>40483</v>
      </c>
      <c r="B54" s="1">
        <v>7195.9</v>
      </c>
      <c r="C54" s="34">
        <v>40483</v>
      </c>
      <c r="D54" s="1">
        <v>2710</v>
      </c>
      <c r="E54" s="34">
        <v>40483</v>
      </c>
      <c r="F54" s="1">
        <v>11.2</v>
      </c>
      <c r="G54" s="34">
        <v>40483</v>
      </c>
      <c r="H54" s="1">
        <v>0.64</v>
      </c>
      <c r="I54" s="34">
        <v>40483</v>
      </c>
      <c r="J54" s="1">
        <v>140.04</v>
      </c>
      <c r="K54" s="34">
        <v>40483</v>
      </c>
      <c r="L54" s="1">
        <v>7258.1</v>
      </c>
      <c r="M54" s="34">
        <v>40483</v>
      </c>
      <c r="N54" s="1">
        <v>1125.4000000000001</v>
      </c>
    </row>
    <row r="55" spans="1:14" x14ac:dyDescent="0.25">
      <c r="A55" s="34">
        <v>40513</v>
      </c>
      <c r="B55" s="1">
        <v>7201</v>
      </c>
      <c r="C55" s="34">
        <v>40513</v>
      </c>
      <c r="D55" s="1">
        <v>3038</v>
      </c>
      <c r="E55" s="34">
        <v>40513</v>
      </c>
      <c r="F55" s="1">
        <v>11.1</v>
      </c>
      <c r="G55" s="34">
        <v>40513</v>
      </c>
      <c r="H55" s="1">
        <v>0.8</v>
      </c>
      <c r="I55" s="34">
        <v>40513</v>
      </c>
      <c r="J55" s="1">
        <v>140.22</v>
      </c>
      <c r="K55" s="34">
        <v>40513</v>
      </c>
      <c r="L55" s="1">
        <v>7286.9</v>
      </c>
      <c r="M55" s="34">
        <v>40513</v>
      </c>
      <c r="N55" s="1">
        <v>1117</v>
      </c>
    </row>
    <row r="56" spans="1:14" x14ac:dyDescent="0.25">
      <c r="A56" s="34">
        <v>40544</v>
      </c>
      <c r="B56" s="1">
        <v>7214.2</v>
      </c>
      <c r="C56" s="34">
        <v>40544</v>
      </c>
      <c r="D56" s="1">
        <v>3039</v>
      </c>
      <c r="E56" s="34">
        <v>40544</v>
      </c>
      <c r="F56" s="1">
        <v>10.9</v>
      </c>
      <c r="G56" s="34">
        <v>40544</v>
      </c>
      <c r="H56" s="1">
        <v>0.9</v>
      </c>
      <c r="I56" s="34">
        <v>40544</v>
      </c>
      <c r="J56" s="1">
        <v>140.38999999999999</v>
      </c>
      <c r="K56" s="34">
        <v>40544</v>
      </c>
      <c r="L56" s="1">
        <v>7173.5</v>
      </c>
      <c r="M56" s="34">
        <v>40544</v>
      </c>
      <c r="N56" s="1">
        <v>1114.5999999999999</v>
      </c>
    </row>
    <row r="57" spans="1:14" x14ac:dyDescent="0.25">
      <c r="A57" s="34">
        <v>40575</v>
      </c>
      <c r="B57" s="1">
        <v>7210.9</v>
      </c>
      <c r="C57" s="34">
        <v>40575</v>
      </c>
      <c r="D57" s="1">
        <v>2903</v>
      </c>
      <c r="E57" s="34">
        <v>40575</v>
      </c>
      <c r="F57" s="1">
        <v>10.8</v>
      </c>
      <c r="G57" s="34">
        <v>40575</v>
      </c>
      <c r="H57" s="1">
        <v>0.75</v>
      </c>
      <c r="I57" s="34">
        <v>40575</v>
      </c>
      <c r="J57" s="1">
        <v>140.56</v>
      </c>
      <c r="K57" s="34">
        <v>40575</v>
      </c>
      <c r="L57" s="1">
        <v>7224</v>
      </c>
      <c r="M57" s="34">
        <v>40575</v>
      </c>
      <c r="N57" s="1">
        <v>1124.3</v>
      </c>
    </row>
    <row r="58" spans="1:14" x14ac:dyDescent="0.25">
      <c r="A58" s="34">
        <v>40603</v>
      </c>
      <c r="B58" s="1">
        <v>7216.2</v>
      </c>
      <c r="C58" s="34">
        <v>40603</v>
      </c>
      <c r="D58" s="1">
        <v>4229</v>
      </c>
      <c r="E58" s="34">
        <v>40603</v>
      </c>
      <c r="F58" s="1">
        <v>10.6</v>
      </c>
      <c r="G58" s="34">
        <v>40603</v>
      </c>
      <c r="H58" s="1">
        <v>1.1100000000000001</v>
      </c>
      <c r="I58" s="34">
        <v>40603</v>
      </c>
      <c r="J58" s="1">
        <v>140.75</v>
      </c>
      <c r="K58" s="34">
        <v>40603</v>
      </c>
      <c r="L58" s="1">
        <v>7270.9</v>
      </c>
      <c r="M58" s="34">
        <v>40603</v>
      </c>
      <c r="N58" s="1">
        <v>1122.7</v>
      </c>
    </row>
    <row r="59" spans="1:14" x14ac:dyDescent="0.25">
      <c r="A59" s="34">
        <v>40634</v>
      </c>
      <c r="B59" s="1">
        <v>7242.2</v>
      </c>
      <c r="C59" s="34">
        <v>40634</v>
      </c>
      <c r="D59" s="1">
        <v>3214</v>
      </c>
      <c r="E59" s="34">
        <v>40634</v>
      </c>
      <c r="F59" s="1">
        <v>10.6</v>
      </c>
      <c r="G59" s="34">
        <v>40634</v>
      </c>
      <c r="H59" s="1">
        <v>1</v>
      </c>
      <c r="I59" s="34">
        <v>40634</v>
      </c>
      <c r="J59" s="1">
        <v>140.91999999999999</v>
      </c>
      <c r="K59" s="34">
        <v>40634</v>
      </c>
      <c r="L59" s="1">
        <v>7307.9</v>
      </c>
      <c r="M59" s="34">
        <v>40634</v>
      </c>
      <c r="N59" s="1">
        <v>1122.8</v>
      </c>
    </row>
    <row r="60" spans="1:14" x14ac:dyDescent="0.25">
      <c r="A60" s="34">
        <v>40664</v>
      </c>
      <c r="B60" s="1">
        <v>7237.6</v>
      </c>
      <c r="C60" s="34">
        <v>40664</v>
      </c>
      <c r="D60" s="1">
        <v>3334</v>
      </c>
      <c r="E60" s="34">
        <v>40664</v>
      </c>
      <c r="F60" s="1">
        <v>10.5</v>
      </c>
      <c r="G60" s="34">
        <v>40664</v>
      </c>
      <c r="H60" s="1">
        <v>0.85</v>
      </c>
      <c r="I60" s="34">
        <v>40664</v>
      </c>
      <c r="J60" s="1">
        <v>141.04</v>
      </c>
      <c r="K60" s="34">
        <v>40664</v>
      </c>
      <c r="L60" s="1">
        <v>7277.6</v>
      </c>
      <c r="M60" s="34">
        <v>40664</v>
      </c>
      <c r="N60" s="1">
        <v>1110.5999999999999</v>
      </c>
    </row>
    <row r="61" spans="1:14" x14ac:dyDescent="0.25">
      <c r="A61" s="34">
        <v>40695</v>
      </c>
      <c r="B61" s="1">
        <v>7232.3</v>
      </c>
      <c r="C61" s="34">
        <v>40695</v>
      </c>
      <c r="D61" s="1">
        <v>3872</v>
      </c>
      <c r="E61" s="34">
        <v>40695</v>
      </c>
      <c r="F61" s="1">
        <v>10.5</v>
      </c>
      <c r="G61" s="34">
        <v>40695</v>
      </c>
      <c r="H61" s="1">
        <v>0.78</v>
      </c>
      <c r="I61" s="34">
        <v>40695</v>
      </c>
      <c r="J61" s="1">
        <v>141.13999999999999</v>
      </c>
      <c r="K61" s="34">
        <v>40695</v>
      </c>
      <c r="L61" s="1">
        <v>7163.9</v>
      </c>
      <c r="M61" s="34">
        <v>40695</v>
      </c>
      <c r="N61" s="1">
        <v>1018.4</v>
      </c>
    </row>
    <row r="62" spans="1:14" x14ac:dyDescent="0.25">
      <c r="A62" s="34">
        <v>40725</v>
      </c>
      <c r="B62" s="1">
        <v>7259.6</v>
      </c>
      <c r="C62" s="34">
        <v>40725</v>
      </c>
      <c r="D62" s="1">
        <v>4149</v>
      </c>
      <c r="E62" s="34">
        <v>40725</v>
      </c>
      <c r="F62" s="1">
        <v>10.5</v>
      </c>
      <c r="G62" s="34">
        <v>40725</v>
      </c>
      <c r="H62" s="1">
        <v>1.26</v>
      </c>
      <c r="I62" s="34">
        <v>40725</v>
      </c>
      <c r="J62" s="1">
        <v>141.29</v>
      </c>
      <c r="K62" s="34">
        <v>40725</v>
      </c>
      <c r="L62" s="1">
        <v>7126.6</v>
      </c>
      <c r="M62" s="34">
        <v>40725</v>
      </c>
      <c r="N62" s="1">
        <v>1011.9</v>
      </c>
    </row>
    <row r="63" spans="1:14" x14ac:dyDescent="0.25">
      <c r="A63" s="34">
        <v>40756</v>
      </c>
      <c r="B63" s="1">
        <v>7260.3</v>
      </c>
      <c r="C63" s="34">
        <v>40756</v>
      </c>
      <c r="D63" s="1">
        <v>4173</v>
      </c>
      <c r="E63" s="34">
        <v>40756</v>
      </c>
      <c r="F63" s="1">
        <v>10.3</v>
      </c>
      <c r="G63" s="34">
        <v>40756</v>
      </c>
      <c r="H63" s="1">
        <v>1.67</v>
      </c>
      <c r="I63" s="34">
        <v>40756</v>
      </c>
      <c r="J63" s="1">
        <v>141.52000000000001</v>
      </c>
      <c r="K63" s="34">
        <v>40756</v>
      </c>
      <c r="L63" s="1">
        <v>7212.5</v>
      </c>
      <c r="M63" s="34">
        <v>40756</v>
      </c>
      <c r="N63" s="1">
        <v>1083.5999999999999</v>
      </c>
    </row>
    <row r="64" spans="1:14" x14ac:dyDescent="0.25">
      <c r="A64" s="34">
        <v>40787</v>
      </c>
      <c r="B64" s="1">
        <v>7277.2</v>
      </c>
      <c r="C64" s="34">
        <v>40787</v>
      </c>
      <c r="D64" s="1">
        <v>3541</v>
      </c>
      <c r="E64" s="34">
        <v>40787</v>
      </c>
      <c r="F64" s="1">
        <v>10.199999999999999</v>
      </c>
      <c r="G64" s="34">
        <v>40787</v>
      </c>
      <c r="H64" s="1">
        <v>1.41</v>
      </c>
      <c r="I64" s="34">
        <v>40787</v>
      </c>
      <c r="J64" s="1">
        <v>141.76</v>
      </c>
      <c r="K64" s="34">
        <v>40787</v>
      </c>
      <c r="L64" s="1">
        <v>7238.8</v>
      </c>
      <c r="M64" s="34">
        <v>40787</v>
      </c>
      <c r="N64" s="1">
        <v>1091.9000000000001</v>
      </c>
    </row>
    <row r="65" spans="1:14" x14ac:dyDescent="0.25">
      <c r="A65" s="34">
        <v>40817</v>
      </c>
      <c r="B65" s="1">
        <v>7279.9</v>
      </c>
      <c r="C65" s="34">
        <v>40817</v>
      </c>
      <c r="D65" s="1">
        <v>3418</v>
      </c>
      <c r="E65" s="34">
        <v>40817</v>
      </c>
      <c r="F65" s="1">
        <v>9.9</v>
      </c>
      <c r="G65" s="34">
        <v>40817</v>
      </c>
      <c r="H65" s="1">
        <v>1.37</v>
      </c>
      <c r="I65" s="34">
        <v>40817</v>
      </c>
      <c r="J65" s="1">
        <v>142.01</v>
      </c>
      <c r="K65" s="34">
        <v>40817</v>
      </c>
      <c r="L65" s="1">
        <v>7280.9</v>
      </c>
      <c r="M65" s="34">
        <v>40817</v>
      </c>
      <c r="N65" s="1">
        <v>1107.2</v>
      </c>
    </row>
    <row r="66" spans="1:14" x14ac:dyDescent="0.25">
      <c r="A66" s="34">
        <v>40848</v>
      </c>
      <c r="B66" s="1">
        <v>7292.4</v>
      </c>
      <c r="C66" s="34">
        <v>40848</v>
      </c>
      <c r="D66" s="1">
        <v>3844</v>
      </c>
      <c r="E66" s="34">
        <v>40848</v>
      </c>
      <c r="F66" s="1">
        <v>9.6999999999999993</v>
      </c>
      <c r="G66" s="34">
        <v>40848</v>
      </c>
      <c r="H66" s="1">
        <v>1.42</v>
      </c>
      <c r="I66" s="34">
        <v>40848</v>
      </c>
      <c r="J66" s="1">
        <v>142.27000000000001</v>
      </c>
      <c r="K66" s="34">
        <v>40848</v>
      </c>
      <c r="L66" s="1">
        <v>7356.7</v>
      </c>
      <c r="M66" s="34">
        <v>40848</v>
      </c>
      <c r="N66" s="1">
        <v>1107.4000000000001</v>
      </c>
    </row>
    <row r="67" spans="1:14" x14ac:dyDescent="0.25">
      <c r="A67" s="34">
        <v>40878</v>
      </c>
      <c r="B67" s="1">
        <v>7304.6</v>
      </c>
      <c r="C67" s="34">
        <v>40878</v>
      </c>
      <c r="D67" s="1">
        <v>3961</v>
      </c>
      <c r="E67" s="34">
        <v>40878</v>
      </c>
      <c r="F67" s="1">
        <v>9.5</v>
      </c>
      <c r="G67" s="34">
        <v>40878</v>
      </c>
      <c r="H67" s="1">
        <v>1.47</v>
      </c>
      <c r="I67" s="34">
        <v>40878</v>
      </c>
      <c r="J67" s="1">
        <v>142.56</v>
      </c>
      <c r="K67" s="34">
        <v>40878</v>
      </c>
      <c r="L67" s="1">
        <v>7389.6</v>
      </c>
      <c r="M67" s="34">
        <v>40878</v>
      </c>
      <c r="N67" s="1">
        <v>1101.8</v>
      </c>
    </row>
    <row r="68" spans="1:14" x14ac:dyDescent="0.25">
      <c r="A68" s="34">
        <v>40909</v>
      </c>
      <c r="B68" s="1">
        <v>7324</v>
      </c>
      <c r="C68" s="34">
        <v>40909</v>
      </c>
      <c r="D68" s="1">
        <v>4676</v>
      </c>
      <c r="E68" s="34">
        <v>40909</v>
      </c>
      <c r="F68" s="1">
        <v>9.3000000000000007</v>
      </c>
      <c r="G68" s="34">
        <v>40909</v>
      </c>
      <c r="H68" s="1">
        <v>1.71</v>
      </c>
      <c r="I68" s="34">
        <v>40909</v>
      </c>
      <c r="J68" s="1">
        <v>142.9</v>
      </c>
      <c r="K68" s="34">
        <v>40909</v>
      </c>
      <c r="L68" s="1">
        <v>7283.4</v>
      </c>
      <c r="M68" s="34">
        <v>40909</v>
      </c>
      <c r="N68" s="1">
        <v>1094.7</v>
      </c>
    </row>
    <row r="69" spans="1:14" x14ac:dyDescent="0.25">
      <c r="A69" s="34">
        <v>40940</v>
      </c>
      <c r="B69" s="1">
        <v>7333.8</v>
      </c>
      <c r="C69" s="34">
        <v>40940</v>
      </c>
      <c r="D69" s="1">
        <v>3625</v>
      </c>
      <c r="E69" s="34">
        <v>40940</v>
      </c>
      <c r="F69" s="1">
        <v>9.1</v>
      </c>
      <c r="G69" s="34">
        <v>40940</v>
      </c>
      <c r="H69" s="1">
        <v>1.71</v>
      </c>
      <c r="I69" s="34">
        <v>40940</v>
      </c>
      <c r="J69" s="1">
        <v>143.27000000000001</v>
      </c>
      <c r="K69" s="34">
        <v>40940</v>
      </c>
      <c r="L69" s="1">
        <v>7344.9</v>
      </c>
      <c r="M69" s="34">
        <v>40940</v>
      </c>
      <c r="N69" s="1">
        <v>1106.5</v>
      </c>
    </row>
    <row r="70" spans="1:14" x14ac:dyDescent="0.25">
      <c r="A70" s="34">
        <v>40969</v>
      </c>
      <c r="B70" s="1">
        <v>7349.9</v>
      </c>
      <c r="C70" s="34">
        <v>40969</v>
      </c>
      <c r="D70" s="1">
        <v>5424</v>
      </c>
      <c r="E70" s="34">
        <v>40969</v>
      </c>
      <c r="F70" s="1">
        <v>9</v>
      </c>
      <c r="G70" s="34">
        <v>40969</v>
      </c>
      <c r="H70" s="1">
        <v>1.59</v>
      </c>
      <c r="I70" s="34">
        <v>40969</v>
      </c>
      <c r="J70" s="1">
        <v>143.62</v>
      </c>
      <c r="K70" s="34">
        <v>40969</v>
      </c>
      <c r="L70" s="1">
        <v>7404.8</v>
      </c>
      <c r="M70" s="34">
        <v>40969</v>
      </c>
      <c r="N70" s="1">
        <v>1105.7</v>
      </c>
    </row>
    <row r="71" spans="1:14" x14ac:dyDescent="0.25">
      <c r="A71" s="34">
        <v>41000</v>
      </c>
      <c r="B71" s="1">
        <v>7375.9</v>
      </c>
      <c r="C71" s="34">
        <v>41000</v>
      </c>
      <c r="D71" s="1">
        <v>4544</v>
      </c>
      <c r="E71" s="34">
        <v>41000</v>
      </c>
      <c r="F71" s="1">
        <v>9</v>
      </c>
      <c r="G71" s="34">
        <v>41000</v>
      </c>
      <c r="H71" s="1">
        <v>1.44</v>
      </c>
      <c r="I71" s="34">
        <v>41000</v>
      </c>
      <c r="J71" s="1">
        <v>143.91999999999999</v>
      </c>
      <c r="K71" s="34">
        <v>41000</v>
      </c>
      <c r="L71" s="1">
        <v>7423.9</v>
      </c>
      <c r="M71" s="34">
        <v>41000</v>
      </c>
      <c r="N71" s="1">
        <v>1100.0999999999999</v>
      </c>
    </row>
    <row r="72" spans="1:14" x14ac:dyDescent="0.25">
      <c r="A72" s="34">
        <v>41030</v>
      </c>
      <c r="B72" s="1">
        <v>7374.6</v>
      </c>
      <c r="C72" s="34">
        <v>41030</v>
      </c>
      <c r="D72" s="1">
        <v>5276</v>
      </c>
      <c r="E72" s="34">
        <v>41030</v>
      </c>
      <c r="F72" s="1">
        <v>9</v>
      </c>
      <c r="G72" s="34">
        <v>41030</v>
      </c>
      <c r="H72" s="1">
        <v>1.38</v>
      </c>
      <c r="I72" s="34">
        <v>41030</v>
      </c>
      <c r="J72" s="1">
        <v>144.19</v>
      </c>
      <c r="K72" s="34">
        <v>41030</v>
      </c>
      <c r="L72" s="1">
        <v>7414.4</v>
      </c>
      <c r="M72" s="34">
        <v>41030</v>
      </c>
      <c r="N72" s="1">
        <v>1089.5</v>
      </c>
    </row>
    <row r="73" spans="1:14" x14ac:dyDescent="0.25">
      <c r="A73" s="34">
        <v>41061</v>
      </c>
      <c r="B73" s="1">
        <v>7389.9</v>
      </c>
      <c r="C73" s="34">
        <v>41061</v>
      </c>
      <c r="D73" s="1">
        <v>5267</v>
      </c>
      <c r="E73" s="34">
        <v>41061</v>
      </c>
      <c r="F73" s="1">
        <v>8.9</v>
      </c>
      <c r="G73" s="34">
        <v>41061</v>
      </c>
      <c r="H73" s="1">
        <v>1.49</v>
      </c>
      <c r="I73" s="34">
        <v>41061</v>
      </c>
      <c r="J73" s="1">
        <v>144.47999999999999</v>
      </c>
      <c r="K73" s="34">
        <v>41061</v>
      </c>
      <c r="L73" s="1">
        <v>7320.6</v>
      </c>
      <c r="M73" s="34">
        <v>41061</v>
      </c>
      <c r="N73" s="1">
        <v>1005.2</v>
      </c>
    </row>
    <row r="74" spans="1:14" x14ac:dyDescent="0.25">
      <c r="A74" s="34">
        <v>41091</v>
      </c>
      <c r="B74" s="1">
        <v>7397.2</v>
      </c>
      <c r="C74" s="34">
        <v>41091</v>
      </c>
      <c r="D74" s="1">
        <v>5154</v>
      </c>
      <c r="E74" s="34">
        <v>41091</v>
      </c>
      <c r="F74" s="1">
        <v>8.8000000000000007</v>
      </c>
      <c r="G74" s="34">
        <v>41091</v>
      </c>
      <c r="H74" s="1">
        <v>1.39</v>
      </c>
      <c r="I74" s="34">
        <v>41091</v>
      </c>
      <c r="J74" s="1">
        <v>144.75</v>
      </c>
      <c r="K74" s="34">
        <v>41091</v>
      </c>
      <c r="L74" s="1">
        <v>7265.9</v>
      </c>
      <c r="M74" s="34">
        <v>41091</v>
      </c>
      <c r="N74" s="1">
        <v>999.2</v>
      </c>
    </row>
    <row r="75" spans="1:14" x14ac:dyDescent="0.25">
      <c r="A75" s="34">
        <v>41122</v>
      </c>
      <c r="B75" s="1">
        <v>7405.4</v>
      </c>
      <c r="C75" s="34">
        <v>41122</v>
      </c>
      <c r="D75" s="1">
        <v>6135</v>
      </c>
      <c r="E75" s="34">
        <v>41122</v>
      </c>
      <c r="F75" s="1">
        <v>8.6999999999999993</v>
      </c>
      <c r="G75" s="34">
        <v>41122</v>
      </c>
      <c r="H75" s="1">
        <v>1.53</v>
      </c>
      <c r="I75" s="34">
        <v>41122</v>
      </c>
      <c r="J75" s="1">
        <v>145.07</v>
      </c>
      <c r="K75" s="34">
        <v>41122</v>
      </c>
      <c r="L75" s="1">
        <v>7364.6</v>
      </c>
      <c r="M75" s="34">
        <v>41122</v>
      </c>
      <c r="N75" s="1">
        <v>1075</v>
      </c>
    </row>
    <row r="76" spans="1:14" x14ac:dyDescent="0.25">
      <c r="A76" s="34">
        <v>41153</v>
      </c>
      <c r="B76" s="1">
        <v>7422</v>
      </c>
      <c r="C76" s="34">
        <v>41153</v>
      </c>
      <c r="D76" s="1">
        <v>8063</v>
      </c>
      <c r="E76" s="34">
        <v>41153</v>
      </c>
      <c r="F76" s="1">
        <v>8.5</v>
      </c>
      <c r="G76" s="34">
        <v>41153</v>
      </c>
      <c r="H76" s="1">
        <v>1.83</v>
      </c>
      <c r="I76" s="34">
        <v>41153</v>
      </c>
      <c r="J76" s="1">
        <v>145.44</v>
      </c>
      <c r="K76" s="34">
        <v>41153</v>
      </c>
      <c r="L76" s="1">
        <v>7379.6</v>
      </c>
      <c r="M76" s="34">
        <v>41153</v>
      </c>
      <c r="N76" s="1">
        <v>1085</v>
      </c>
    </row>
    <row r="77" spans="1:14" x14ac:dyDescent="0.25">
      <c r="A77" s="34">
        <v>41183</v>
      </c>
      <c r="B77" s="1">
        <v>7449.9</v>
      </c>
      <c r="C77" s="34">
        <v>41183</v>
      </c>
      <c r="D77" s="1">
        <v>5327</v>
      </c>
      <c r="E77" s="34">
        <v>41183</v>
      </c>
      <c r="F77" s="1">
        <v>8.4</v>
      </c>
      <c r="G77" s="34">
        <v>41183</v>
      </c>
      <c r="H77" s="1">
        <v>2.0099999999999998</v>
      </c>
      <c r="I77" s="34">
        <v>41183</v>
      </c>
      <c r="J77" s="1">
        <v>145.85</v>
      </c>
      <c r="K77" s="34">
        <v>41183</v>
      </c>
      <c r="L77" s="1">
        <v>7451.9</v>
      </c>
      <c r="M77" s="34">
        <v>41183</v>
      </c>
      <c r="N77" s="1">
        <v>1097.7</v>
      </c>
    </row>
    <row r="78" spans="1:14" x14ac:dyDescent="0.25">
      <c r="A78" s="34">
        <v>41214</v>
      </c>
      <c r="B78" s="1">
        <v>7466.9</v>
      </c>
      <c r="C78" s="34">
        <v>41214</v>
      </c>
      <c r="D78" s="1">
        <v>5499</v>
      </c>
      <c r="E78" s="34">
        <v>41214</v>
      </c>
      <c r="F78" s="1">
        <v>8.1999999999999993</v>
      </c>
      <c r="G78" s="34">
        <v>41214</v>
      </c>
      <c r="H78" s="1">
        <v>2</v>
      </c>
      <c r="I78" s="34">
        <v>41214</v>
      </c>
      <c r="J78" s="1">
        <v>146.27000000000001</v>
      </c>
      <c r="K78" s="34">
        <v>41214</v>
      </c>
      <c r="L78" s="1">
        <v>7540.3</v>
      </c>
      <c r="M78" s="34">
        <v>41214</v>
      </c>
      <c r="N78" s="1">
        <v>1100.5</v>
      </c>
    </row>
    <row r="79" spans="1:14" x14ac:dyDescent="0.25">
      <c r="A79" s="34">
        <v>41244</v>
      </c>
      <c r="B79" s="1">
        <v>7470.3</v>
      </c>
      <c r="C79" s="34">
        <v>41244</v>
      </c>
      <c r="D79" s="1">
        <v>4854</v>
      </c>
      <c r="E79" s="34">
        <v>41244</v>
      </c>
      <c r="F79" s="1">
        <v>8.1</v>
      </c>
      <c r="G79" s="34">
        <v>41244</v>
      </c>
      <c r="H79" s="1">
        <v>1.67</v>
      </c>
      <c r="I79" s="34">
        <v>41244</v>
      </c>
      <c r="J79" s="1">
        <v>146.62</v>
      </c>
      <c r="K79" s="34">
        <v>41244</v>
      </c>
      <c r="L79" s="1">
        <v>7565.5</v>
      </c>
      <c r="M79" s="34">
        <v>41244</v>
      </c>
      <c r="N79" s="1">
        <v>1094.5</v>
      </c>
    </row>
    <row r="80" spans="1:14" x14ac:dyDescent="0.25">
      <c r="A80" s="34">
        <v>41275</v>
      </c>
      <c r="B80" s="1">
        <v>7485.2</v>
      </c>
      <c r="C80" s="34">
        <v>41275</v>
      </c>
      <c r="D80" s="1">
        <v>6357</v>
      </c>
      <c r="E80" s="34">
        <v>41275</v>
      </c>
      <c r="F80" s="1">
        <v>8</v>
      </c>
      <c r="G80" s="34">
        <v>41275</v>
      </c>
      <c r="H80" s="1">
        <v>1.48</v>
      </c>
      <c r="I80" s="34">
        <v>41275</v>
      </c>
      <c r="J80" s="1">
        <v>146.93</v>
      </c>
      <c r="K80" s="34">
        <v>41275</v>
      </c>
      <c r="L80" s="1">
        <v>7443.9</v>
      </c>
      <c r="M80" s="34">
        <v>41275</v>
      </c>
      <c r="N80" s="1">
        <v>1090.2</v>
      </c>
    </row>
    <row r="81" spans="1:14" x14ac:dyDescent="0.25">
      <c r="A81" s="34">
        <v>41306</v>
      </c>
      <c r="B81" s="1">
        <v>7507</v>
      </c>
      <c r="C81" s="34">
        <v>41306</v>
      </c>
      <c r="D81" s="1">
        <v>6887</v>
      </c>
      <c r="E81" s="34">
        <v>41306</v>
      </c>
      <c r="F81" s="1">
        <v>7.9</v>
      </c>
      <c r="G81" s="34">
        <v>41306</v>
      </c>
      <c r="H81" s="1">
        <v>1.63</v>
      </c>
      <c r="I81" s="34">
        <v>41306</v>
      </c>
      <c r="J81" s="1">
        <v>147.25</v>
      </c>
      <c r="K81" s="34">
        <v>41306</v>
      </c>
      <c r="L81" s="1">
        <v>7519.6</v>
      </c>
      <c r="M81" s="34">
        <v>41306</v>
      </c>
      <c r="N81" s="1">
        <v>1100.0999999999999</v>
      </c>
    </row>
    <row r="82" spans="1:14" x14ac:dyDescent="0.25">
      <c r="A82" s="34">
        <v>41334</v>
      </c>
      <c r="B82" s="1">
        <v>7517.8</v>
      </c>
      <c r="C82" s="34">
        <v>41334</v>
      </c>
      <c r="D82" s="1">
        <v>7789</v>
      </c>
      <c r="E82" s="34">
        <v>41334</v>
      </c>
      <c r="F82" s="1">
        <v>7.7</v>
      </c>
      <c r="G82" s="34">
        <v>41334</v>
      </c>
      <c r="H82" s="1">
        <v>1.6</v>
      </c>
      <c r="I82" s="34">
        <v>41334</v>
      </c>
      <c r="J82" s="1">
        <v>147.56</v>
      </c>
      <c r="K82" s="34">
        <v>41334</v>
      </c>
      <c r="L82" s="1">
        <v>7573.4</v>
      </c>
      <c r="M82" s="34">
        <v>41334</v>
      </c>
      <c r="N82" s="1">
        <v>1101.4000000000001</v>
      </c>
    </row>
    <row r="83" spans="1:14" x14ac:dyDescent="0.25">
      <c r="A83" s="34">
        <v>41365</v>
      </c>
      <c r="B83" s="1">
        <v>7531.7</v>
      </c>
      <c r="C83" s="34">
        <v>41365</v>
      </c>
      <c r="D83" s="1">
        <v>9457</v>
      </c>
      <c r="E83" s="34">
        <v>41365</v>
      </c>
      <c r="F83" s="1">
        <v>7.6</v>
      </c>
      <c r="G83" s="34">
        <v>41365</v>
      </c>
      <c r="H83" s="1">
        <v>1.6</v>
      </c>
      <c r="I83" s="34">
        <v>41365</v>
      </c>
      <c r="J83" s="1">
        <v>147.88</v>
      </c>
      <c r="K83" s="34">
        <v>41365</v>
      </c>
      <c r="L83" s="1">
        <v>7581.1</v>
      </c>
      <c r="M83" s="34">
        <v>41365</v>
      </c>
      <c r="N83" s="1">
        <v>1099.3</v>
      </c>
    </row>
    <row r="84" spans="1:14" x14ac:dyDescent="0.25">
      <c r="A84" s="34">
        <v>41395</v>
      </c>
      <c r="B84" s="1">
        <v>7543.1</v>
      </c>
      <c r="C84" s="34">
        <v>41395</v>
      </c>
      <c r="D84" s="1">
        <v>9533</v>
      </c>
      <c r="E84" s="34">
        <v>41395</v>
      </c>
      <c r="F84" s="1">
        <v>7.5</v>
      </c>
      <c r="G84" s="34">
        <v>41395</v>
      </c>
      <c r="H84" s="1">
        <v>1.75</v>
      </c>
      <c r="I84" s="34">
        <v>41395</v>
      </c>
      <c r="J84" s="1">
        <v>148.25</v>
      </c>
      <c r="K84" s="34">
        <v>41395</v>
      </c>
      <c r="L84" s="1">
        <v>7582.2</v>
      </c>
      <c r="M84" s="34">
        <v>41395</v>
      </c>
      <c r="N84" s="1">
        <v>1089.2</v>
      </c>
    </row>
    <row r="85" spans="1:14" x14ac:dyDescent="0.25">
      <c r="A85" s="34">
        <v>41426</v>
      </c>
      <c r="B85" s="1">
        <v>7562.5</v>
      </c>
      <c r="C85" s="34">
        <v>41426</v>
      </c>
      <c r="D85" s="1">
        <v>6403</v>
      </c>
      <c r="E85" s="34">
        <v>41426</v>
      </c>
      <c r="F85" s="1">
        <v>7.4</v>
      </c>
      <c r="G85" s="34">
        <v>41426</v>
      </c>
      <c r="H85" s="1">
        <v>1.96</v>
      </c>
      <c r="I85" s="34">
        <v>41426</v>
      </c>
      <c r="J85" s="1">
        <v>148.66</v>
      </c>
      <c r="K85" s="34">
        <v>41426</v>
      </c>
      <c r="L85" s="1">
        <v>7490.2</v>
      </c>
      <c r="M85" s="34">
        <v>41426</v>
      </c>
      <c r="N85" s="1">
        <v>1002.9</v>
      </c>
    </row>
    <row r="86" spans="1:14" x14ac:dyDescent="0.25">
      <c r="A86" s="34">
        <v>41456</v>
      </c>
      <c r="B86" s="1">
        <v>7587.4</v>
      </c>
      <c r="C86" s="34">
        <v>41456</v>
      </c>
      <c r="D86" s="1">
        <v>7248</v>
      </c>
      <c r="E86" s="34">
        <v>41456</v>
      </c>
      <c r="F86" s="1">
        <v>7.3</v>
      </c>
      <c r="G86" s="34">
        <v>41456</v>
      </c>
      <c r="H86" s="1">
        <v>2.0699999999999998</v>
      </c>
      <c r="I86" s="34">
        <v>41456</v>
      </c>
      <c r="J86" s="1">
        <v>149.12</v>
      </c>
      <c r="K86" s="34">
        <v>41456</v>
      </c>
      <c r="L86" s="1">
        <v>7456.4</v>
      </c>
      <c r="M86" s="34">
        <v>41456</v>
      </c>
      <c r="N86" s="1">
        <v>994</v>
      </c>
    </row>
    <row r="87" spans="1:14" x14ac:dyDescent="0.25">
      <c r="A87" s="34">
        <v>41487</v>
      </c>
      <c r="B87" s="1">
        <v>7607.3</v>
      </c>
      <c r="C87" s="34">
        <v>41487</v>
      </c>
      <c r="D87" s="1">
        <v>6645</v>
      </c>
      <c r="E87" s="34">
        <v>41487</v>
      </c>
      <c r="F87" s="1">
        <v>7.1</v>
      </c>
      <c r="G87" s="34">
        <v>41487</v>
      </c>
      <c r="H87" s="1">
        <v>2.09</v>
      </c>
      <c r="I87" s="34">
        <v>41487</v>
      </c>
      <c r="J87" s="1">
        <v>149.6</v>
      </c>
      <c r="K87" s="34">
        <v>41487</v>
      </c>
      <c r="L87" s="1">
        <v>7565.3</v>
      </c>
      <c r="M87" s="34">
        <v>41487</v>
      </c>
      <c r="N87" s="1">
        <v>1071.8</v>
      </c>
    </row>
    <row r="88" spans="1:14" x14ac:dyDescent="0.25">
      <c r="A88" s="34">
        <v>41518</v>
      </c>
      <c r="B88" s="1">
        <v>7621.6</v>
      </c>
      <c r="C88" s="34">
        <v>41518</v>
      </c>
      <c r="D88" s="1">
        <v>6369</v>
      </c>
      <c r="E88" s="34">
        <v>41518</v>
      </c>
      <c r="F88" s="1">
        <v>6.9</v>
      </c>
      <c r="G88" s="34">
        <v>41518</v>
      </c>
      <c r="H88" s="1">
        <v>1.93</v>
      </c>
      <c r="I88" s="34">
        <v>41518</v>
      </c>
      <c r="J88" s="1">
        <v>150.05000000000001</v>
      </c>
      <c r="K88" s="34">
        <v>41518</v>
      </c>
      <c r="L88" s="1">
        <v>7577.2</v>
      </c>
      <c r="M88" s="34">
        <v>41518</v>
      </c>
      <c r="N88" s="1">
        <v>1082.4000000000001</v>
      </c>
    </row>
    <row r="89" spans="1:14" x14ac:dyDescent="0.25">
      <c r="A89" s="34">
        <v>41548</v>
      </c>
      <c r="B89" s="1">
        <v>7650.4</v>
      </c>
      <c r="C89" s="34">
        <v>41548</v>
      </c>
      <c r="D89" s="1">
        <v>7668</v>
      </c>
      <c r="E89" s="34">
        <v>41548</v>
      </c>
      <c r="F89" s="1">
        <v>6.7</v>
      </c>
      <c r="G89" s="34">
        <v>41548</v>
      </c>
      <c r="H89" s="1">
        <v>1.95</v>
      </c>
      <c r="I89" s="34">
        <v>41548</v>
      </c>
      <c r="J89" s="1">
        <v>150.51</v>
      </c>
      <c r="K89" s="34">
        <v>41548</v>
      </c>
      <c r="L89" s="1">
        <v>7657.9</v>
      </c>
      <c r="M89" s="34">
        <v>41548</v>
      </c>
      <c r="N89" s="1">
        <v>1094.8</v>
      </c>
    </row>
    <row r="90" spans="1:14" x14ac:dyDescent="0.25">
      <c r="A90" s="34">
        <v>41579</v>
      </c>
      <c r="B90" s="1">
        <v>7667.1</v>
      </c>
      <c r="C90" s="34">
        <v>41579</v>
      </c>
      <c r="D90" s="1">
        <v>6879</v>
      </c>
      <c r="E90" s="34">
        <v>41579</v>
      </c>
      <c r="F90" s="1">
        <v>6.5</v>
      </c>
      <c r="G90" s="34">
        <v>41579</v>
      </c>
      <c r="H90" s="1">
        <v>1.97</v>
      </c>
      <c r="I90" s="34">
        <v>41579</v>
      </c>
      <c r="J90" s="1">
        <v>150.97999999999999</v>
      </c>
      <c r="K90" s="34">
        <v>41579</v>
      </c>
      <c r="L90" s="1">
        <v>7736.9</v>
      </c>
      <c r="M90" s="34">
        <v>41579</v>
      </c>
      <c r="N90" s="1">
        <v>1099.9000000000001</v>
      </c>
    </row>
    <row r="91" spans="1:14" x14ac:dyDescent="0.25">
      <c r="A91" s="34">
        <v>41609</v>
      </c>
      <c r="B91" s="1">
        <v>7680.6</v>
      </c>
      <c r="C91" s="34">
        <v>41609</v>
      </c>
      <c r="D91" s="1">
        <v>5660</v>
      </c>
      <c r="E91" s="34">
        <v>41609</v>
      </c>
      <c r="F91" s="1">
        <v>6.3</v>
      </c>
      <c r="G91" s="34">
        <v>41609</v>
      </c>
      <c r="H91" s="1">
        <v>2.11</v>
      </c>
      <c r="I91" s="34">
        <v>41609</v>
      </c>
      <c r="J91" s="1">
        <v>151.5</v>
      </c>
      <c r="K91" s="34">
        <v>41609</v>
      </c>
      <c r="L91" s="1">
        <v>7766.7</v>
      </c>
      <c r="M91" s="34">
        <v>41609</v>
      </c>
      <c r="N91" s="1">
        <v>1092.9000000000001</v>
      </c>
    </row>
    <row r="92" spans="1:14" x14ac:dyDescent="0.25">
      <c r="A92" s="34">
        <v>41640</v>
      </c>
      <c r="B92" s="1">
        <v>7685.1</v>
      </c>
      <c r="C92" s="34">
        <v>41640</v>
      </c>
      <c r="D92" s="1">
        <v>7585</v>
      </c>
      <c r="E92" s="34">
        <v>41640</v>
      </c>
      <c r="F92" s="1">
        <v>6.2</v>
      </c>
      <c r="G92" s="34">
        <v>41640</v>
      </c>
      <c r="H92" s="1">
        <v>2.08</v>
      </c>
      <c r="I92" s="34">
        <v>41640</v>
      </c>
      <c r="J92" s="1">
        <v>152.01</v>
      </c>
      <c r="K92" s="34">
        <v>41640</v>
      </c>
      <c r="L92" s="1">
        <v>7665.4</v>
      </c>
      <c r="M92" s="34">
        <v>41640</v>
      </c>
      <c r="N92" s="1">
        <v>1090.2</v>
      </c>
    </row>
    <row r="93" spans="1:14" x14ac:dyDescent="0.25">
      <c r="A93" s="34">
        <v>41671</v>
      </c>
      <c r="B93" s="1">
        <v>7720</v>
      </c>
      <c r="C93" s="34">
        <v>41671</v>
      </c>
      <c r="D93" s="1">
        <v>7796</v>
      </c>
      <c r="E93" s="34">
        <v>41671</v>
      </c>
      <c r="F93" s="1">
        <v>6.2</v>
      </c>
      <c r="G93" s="34">
        <v>41671</v>
      </c>
      <c r="H93" s="1">
        <v>1.69</v>
      </c>
      <c r="I93" s="34">
        <v>41671</v>
      </c>
      <c r="J93" s="1">
        <v>152.46</v>
      </c>
      <c r="K93" s="34">
        <v>41671</v>
      </c>
      <c r="L93" s="1">
        <v>7744</v>
      </c>
      <c r="M93" s="34">
        <v>41671</v>
      </c>
      <c r="N93" s="1">
        <v>1098.4000000000001</v>
      </c>
    </row>
    <row r="94" spans="1:14" x14ac:dyDescent="0.25">
      <c r="A94" s="34">
        <v>41699</v>
      </c>
      <c r="B94" s="1">
        <v>7744.5</v>
      </c>
      <c r="C94" s="34">
        <v>41699</v>
      </c>
      <c r="D94" s="1">
        <v>6019</v>
      </c>
      <c r="E94" s="34">
        <v>41699</v>
      </c>
      <c r="F94" s="1">
        <v>6.3</v>
      </c>
      <c r="G94" s="34">
        <v>41699</v>
      </c>
      <c r="H94" s="1">
        <v>1.37</v>
      </c>
      <c r="I94" s="34">
        <v>41699</v>
      </c>
      <c r="J94" s="1">
        <v>152.82</v>
      </c>
      <c r="K94" s="34">
        <v>41699</v>
      </c>
      <c r="L94" s="1">
        <v>7800.8</v>
      </c>
      <c r="M94" s="34">
        <v>41699</v>
      </c>
      <c r="N94" s="1">
        <v>1101.8</v>
      </c>
    </row>
    <row r="95" spans="1:14" x14ac:dyDescent="0.25">
      <c r="A95" s="34">
        <v>41730</v>
      </c>
      <c r="B95" s="1">
        <v>7779.8</v>
      </c>
      <c r="C95" s="34">
        <v>41730</v>
      </c>
      <c r="D95" s="1">
        <v>7217</v>
      </c>
      <c r="E95" s="34">
        <v>41730</v>
      </c>
      <c r="F95" s="1">
        <v>6.2</v>
      </c>
      <c r="G95" s="34">
        <v>41730</v>
      </c>
      <c r="H95" s="1">
        <v>1.57</v>
      </c>
      <c r="I95" s="34">
        <v>41730</v>
      </c>
      <c r="J95" s="1">
        <v>153.19999999999999</v>
      </c>
      <c r="K95" s="34">
        <v>41730</v>
      </c>
      <c r="L95" s="1">
        <v>7827.5</v>
      </c>
      <c r="M95" s="34">
        <v>41730</v>
      </c>
      <c r="N95" s="1">
        <v>1102</v>
      </c>
    </row>
    <row r="96" spans="1:14" x14ac:dyDescent="0.25">
      <c r="A96" s="34">
        <v>41760</v>
      </c>
      <c r="B96" s="1">
        <v>7762.6</v>
      </c>
      <c r="C96" s="34">
        <v>41760</v>
      </c>
      <c r="D96" s="1">
        <v>6807</v>
      </c>
      <c r="E96" s="34">
        <v>41760</v>
      </c>
      <c r="F96" s="1">
        <v>6.3</v>
      </c>
      <c r="G96" s="34">
        <v>41760</v>
      </c>
      <c r="H96" s="1">
        <v>1.08</v>
      </c>
      <c r="I96" s="34">
        <v>41760</v>
      </c>
      <c r="J96" s="1">
        <v>153.5</v>
      </c>
      <c r="K96" s="34">
        <v>41760</v>
      </c>
      <c r="L96" s="1">
        <v>7801.8</v>
      </c>
      <c r="M96" s="34">
        <v>41760</v>
      </c>
      <c r="N96" s="1">
        <v>1091.5</v>
      </c>
    </row>
    <row r="97" spans="1:14" x14ac:dyDescent="0.25">
      <c r="A97" s="34">
        <v>41791</v>
      </c>
      <c r="B97" s="1">
        <v>7797.5</v>
      </c>
      <c r="C97" s="34">
        <v>41791</v>
      </c>
      <c r="D97" s="1">
        <v>7673</v>
      </c>
      <c r="E97" s="34">
        <v>41791</v>
      </c>
      <c r="F97" s="1">
        <v>6.2</v>
      </c>
      <c r="G97" s="34">
        <v>41791</v>
      </c>
      <c r="H97" s="1">
        <v>1.78</v>
      </c>
      <c r="I97" s="34">
        <v>41791</v>
      </c>
      <c r="J97" s="1">
        <v>153.88999999999999</v>
      </c>
      <c r="K97" s="34">
        <v>41791</v>
      </c>
      <c r="L97" s="1">
        <v>7719.3</v>
      </c>
      <c r="M97" s="34">
        <v>41791</v>
      </c>
      <c r="N97" s="1">
        <v>1003.5</v>
      </c>
    </row>
    <row r="98" spans="1:14" x14ac:dyDescent="0.25">
      <c r="A98" s="34">
        <v>41821</v>
      </c>
      <c r="B98" s="1">
        <v>7795.8</v>
      </c>
      <c r="C98" s="34">
        <v>41821</v>
      </c>
      <c r="D98" s="1">
        <v>7801</v>
      </c>
      <c r="E98" s="34">
        <v>41821</v>
      </c>
      <c r="F98" s="1">
        <v>6.2</v>
      </c>
      <c r="G98" s="34">
        <v>41821</v>
      </c>
      <c r="H98" s="1">
        <v>1.53</v>
      </c>
      <c r="I98" s="34">
        <v>41821</v>
      </c>
      <c r="J98" s="1">
        <v>154.24</v>
      </c>
      <c r="K98" s="34">
        <v>41821</v>
      </c>
      <c r="L98" s="1">
        <v>7674.3</v>
      </c>
      <c r="M98" s="34">
        <v>41821</v>
      </c>
      <c r="N98" s="1">
        <v>993.5</v>
      </c>
    </row>
    <row r="99" spans="1:14" x14ac:dyDescent="0.25">
      <c r="A99" s="34">
        <v>41852</v>
      </c>
      <c r="B99" s="1">
        <v>7813.8</v>
      </c>
      <c r="C99" s="34">
        <v>41852</v>
      </c>
      <c r="D99" s="1">
        <v>6793</v>
      </c>
      <c r="E99" s="34">
        <v>41852</v>
      </c>
      <c r="F99" s="1">
        <v>6.3</v>
      </c>
      <c r="G99" s="34">
        <v>41852</v>
      </c>
      <c r="H99" s="1">
        <v>1.43</v>
      </c>
      <c r="I99" s="34">
        <v>41852</v>
      </c>
      <c r="J99" s="1">
        <v>154.56</v>
      </c>
      <c r="K99" s="34">
        <v>41852</v>
      </c>
      <c r="L99" s="1">
        <v>7763</v>
      </c>
      <c r="M99" s="34">
        <v>41852</v>
      </c>
      <c r="N99" s="1">
        <v>1070.2</v>
      </c>
    </row>
    <row r="100" spans="1:14" x14ac:dyDescent="0.25">
      <c r="A100" s="34">
        <v>41883</v>
      </c>
      <c r="B100" s="1">
        <v>7822.9</v>
      </c>
      <c r="C100" s="34">
        <v>41883</v>
      </c>
      <c r="D100" s="1">
        <v>6110</v>
      </c>
      <c r="E100" s="34">
        <v>41883</v>
      </c>
      <c r="F100" s="1">
        <v>6.1</v>
      </c>
      <c r="G100" s="34">
        <v>41883</v>
      </c>
      <c r="H100" s="1">
        <v>2.0699999999999998</v>
      </c>
      <c r="I100" s="34">
        <v>41883</v>
      </c>
      <c r="J100" s="1">
        <v>155</v>
      </c>
      <c r="K100" s="34">
        <v>41883</v>
      </c>
      <c r="L100" s="1">
        <v>7783.5</v>
      </c>
      <c r="M100" s="34">
        <v>41883</v>
      </c>
      <c r="N100" s="1">
        <v>1081</v>
      </c>
    </row>
    <row r="101" spans="1:14" x14ac:dyDescent="0.25">
      <c r="A101" s="34">
        <v>41913</v>
      </c>
      <c r="B101" s="1">
        <v>7855.1</v>
      </c>
      <c r="C101" s="34">
        <v>41913</v>
      </c>
      <c r="D101" s="1">
        <v>8259</v>
      </c>
      <c r="E101" s="34">
        <v>41913</v>
      </c>
      <c r="F101" s="1">
        <v>6</v>
      </c>
      <c r="G101" s="34">
        <v>41913</v>
      </c>
      <c r="H101" s="1">
        <v>1.95</v>
      </c>
      <c r="I101" s="34">
        <v>41913</v>
      </c>
      <c r="J101" s="1">
        <v>155.47</v>
      </c>
      <c r="K101" s="34">
        <v>41913</v>
      </c>
      <c r="L101" s="1">
        <v>7865.3</v>
      </c>
      <c r="M101" s="34">
        <v>41913</v>
      </c>
      <c r="N101" s="1">
        <v>1097.8</v>
      </c>
    </row>
    <row r="102" spans="1:14" x14ac:dyDescent="0.25">
      <c r="A102" s="34">
        <v>41944</v>
      </c>
      <c r="B102" s="1">
        <v>7898.5</v>
      </c>
      <c r="C102" s="34">
        <v>41944</v>
      </c>
      <c r="D102" s="1">
        <v>5348</v>
      </c>
      <c r="E102" s="34">
        <v>41944</v>
      </c>
      <c r="F102" s="1">
        <v>5.8</v>
      </c>
      <c r="G102" s="34">
        <v>41944</v>
      </c>
      <c r="H102" s="1">
        <v>2.02</v>
      </c>
      <c r="I102" s="34">
        <v>41944</v>
      </c>
      <c r="J102" s="1">
        <v>155.99</v>
      </c>
      <c r="K102" s="34">
        <v>41944</v>
      </c>
      <c r="L102" s="1">
        <v>7961.2</v>
      </c>
      <c r="M102" s="34">
        <v>41944</v>
      </c>
      <c r="N102" s="1">
        <v>1102.0999999999999</v>
      </c>
    </row>
    <row r="103" spans="1:14" x14ac:dyDescent="0.25">
      <c r="A103" s="34">
        <v>41974</v>
      </c>
      <c r="B103" s="1">
        <v>7911.2</v>
      </c>
      <c r="E103" s="34">
        <v>41974</v>
      </c>
      <c r="F103" s="1">
        <v>5.6</v>
      </c>
      <c r="K103" s="34">
        <v>41974</v>
      </c>
      <c r="L103" s="1">
        <v>7999.4</v>
      </c>
      <c r="M103" s="34">
        <v>41974</v>
      </c>
      <c r="N103" s="1">
        <v>1097.7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103"/>
  <sheetViews>
    <sheetView topLeftCell="A79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112</v>
      </c>
      <c r="C1" s="34" t="s">
        <v>113</v>
      </c>
      <c r="E1" s="34" t="s">
        <v>114</v>
      </c>
      <c r="G1" s="34" t="s">
        <v>115</v>
      </c>
      <c r="I1" s="34" t="s">
        <v>116</v>
      </c>
      <c r="K1" s="34" t="str">
        <f>CONCATENATE(LEFT(A1,2), "NAN")</f>
        <v>GANAN</v>
      </c>
      <c r="M1" s="34" t="str">
        <f>CONCATENATE(LEFT(A1,2), "GOVTN")</f>
        <v>GAGOVTN</v>
      </c>
      <c r="O1" s="34" t="str">
        <f>CONCATENATE(LEFT($A$1,2), "RGSP")</f>
        <v>GARGSP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864</v>
      </c>
      <c r="C5" s="35" t="s">
        <v>117</v>
      </c>
      <c r="E5" s="35" t="s">
        <v>118</v>
      </c>
      <c r="G5" s="35" t="s">
        <v>119</v>
      </c>
      <c r="I5" s="35" t="s">
        <v>120</v>
      </c>
      <c r="K5" s="35" t="s">
        <v>864</v>
      </c>
      <c r="M5" s="35" t="s">
        <v>865</v>
      </c>
      <c r="O5" s="35" t="s">
        <v>810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4163.3999999999996</v>
      </c>
      <c r="C8" s="34">
        <v>39083</v>
      </c>
      <c r="D8" s="1">
        <v>6997</v>
      </c>
      <c r="E8" s="34">
        <v>39083</v>
      </c>
      <c r="F8" s="1">
        <v>4.5</v>
      </c>
      <c r="G8" s="34">
        <v>39083</v>
      </c>
      <c r="H8" s="1">
        <v>0.86</v>
      </c>
      <c r="I8" s="34">
        <v>39083</v>
      </c>
      <c r="J8" s="1">
        <v>167.64</v>
      </c>
      <c r="K8" s="34">
        <v>39083</v>
      </c>
      <c r="L8" s="1">
        <v>4116.5</v>
      </c>
      <c r="M8" s="34">
        <v>39083</v>
      </c>
      <c r="N8" s="1">
        <v>687.1</v>
      </c>
      <c r="O8" s="34">
        <v>39083</v>
      </c>
      <c r="P8" s="1">
        <v>426965</v>
      </c>
    </row>
    <row r="9" spans="1:16" x14ac:dyDescent="0.25">
      <c r="A9" s="34">
        <v>39114</v>
      </c>
      <c r="B9" s="1">
        <v>4164.3999999999996</v>
      </c>
      <c r="C9" s="34">
        <v>39114</v>
      </c>
      <c r="D9" s="1">
        <v>6468</v>
      </c>
      <c r="E9" s="34">
        <v>39114</v>
      </c>
      <c r="F9" s="1">
        <v>4.4000000000000004</v>
      </c>
      <c r="G9" s="34">
        <v>39114</v>
      </c>
      <c r="H9" s="1">
        <v>0.65</v>
      </c>
      <c r="I9" s="34">
        <v>39114</v>
      </c>
      <c r="J9" s="1">
        <v>168.05</v>
      </c>
      <c r="K9" s="34">
        <v>39114</v>
      </c>
      <c r="L9" s="1">
        <v>4136.8</v>
      </c>
      <c r="M9" s="34">
        <v>39114</v>
      </c>
      <c r="N9" s="1">
        <v>696</v>
      </c>
      <c r="O9" s="34">
        <v>39448</v>
      </c>
      <c r="P9" s="1">
        <v>417376</v>
      </c>
    </row>
    <row r="10" spans="1:16" x14ac:dyDescent="0.25">
      <c r="A10" s="34">
        <v>39142</v>
      </c>
      <c r="B10" s="1">
        <v>4168.5</v>
      </c>
      <c r="C10" s="34">
        <v>39142</v>
      </c>
      <c r="D10" s="1">
        <v>7370</v>
      </c>
      <c r="E10" s="34">
        <v>39142</v>
      </c>
      <c r="F10" s="1">
        <v>4.4000000000000004</v>
      </c>
      <c r="G10" s="34">
        <v>39142</v>
      </c>
      <c r="H10" s="1">
        <v>0.22</v>
      </c>
      <c r="I10" s="34">
        <v>39142</v>
      </c>
      <c r="J10" s="1">
        <v>168.33</v>
      </c>
      <c r="K10" s="34">
        <v>39142</v>
      </c>
      <c r="L10" s="1">
        <v>4152.6000000000004</v>
      </c>
      <c r="M10" s="34">
        <v>39142</v>
      </c>
      <c r="N10" s="1">
        <v>697.6</v>
      </c>
      <c r="O10" s="34">
        <v>39814</v>
      </c>
      <c r="P10" s="1">
        <v>404045</v>
      </c>
    </row>
    <row r="11" spans="1:16" x14ac:dyDescent="0.25">
      <c r="A11" s="34">
        <v>39173</v>
      </c>
      <c r="B11" s="1">
        <v>4163.3999999999996</v>
      </c>
      <c r="C11" s="34">
        <v>39173</v>
      </c>
      <c r="D11" s="1">
        <v>8121</v>
      </c>
      <c r="E11" s="34">
        <v>39173</v>
      </c>
      <c r="F11" s="1">
        <v>4.4000000000000004</v>
      </c>
      <c r="G11" s="34">
        <v>39173</v>
      </c>
      <c r="H11" s="1">
        <v>0.1</v>
      </c>
      <c r="I11" s="34">
        <v>39173</v>
      </c>
      <c r="J11" s="1">
        <v>168.48</v>
      </c>
      <c r="K11" s="34">
        <v>39173</v>
      </c>
      <c r="L11" s="1">
        <v>4161.7</v>
      </c>
      <c r="M11" s="34">
        <v>39173</v>
      </c>
      <c r="N11" s="1">
        <v>695.6</v>
      </c>
      <c r="O11" s="34">
        <v>40179</v>
      </c>
      <c r="P11" s="1">
        <v>406992</v>
      </c>
    </row>
    <row r="12" spans="1:16" x14ac:dyDescent="0.25">
      <c r="A12" s="34">
        <v>39203</v>
      </c>
      <c r="B12" s="1">
        <v>4160.3999999999996</v>
      </c>
      <c r="C12" s="34">
        <v>39203</v>
      </c>
      <c r="D12" s="1">
        <v>7932</v>
      </c>
      <c r="E12" s="34">
        <v>39203</v>
      </c>
      <c r="F12" s="1">
        <v>4.5</v>
      </c>
      <c r="G12" s="34">
        <v>39203</v>
      </c>
      <c r="H12" s="1">
        <v>0.23</v>
      </c>
      <c r="I12" s="34">
        <v>39203</v>
      </c>
      <c r="J12" s="1">
        <v>168.57</v>
      </c>
      <c r="K12" s="34">
        <v>39203</v>
      </c>
      <c r="L12" s="1">
        <v>4180.3999999999996</v>
      </c>
      <c r="M12" s="34">
        <v>39203</v>
      </c>
      <c r="N12" s="1">
        <v>695.5</v>
      </c>
      <c r="O12" s="34">
        <v>40544</v>
      </c>
      <c r="P12" s="1">
        <v>410811</v>
      </c>
    </row>
    <row r="13" spans="1:16" x14ac:dyDescent="0.25">
      <c r="A13" s="34">
        <v>39234</v>
      </c>
      <c r="B13" s="1">
        <v>4166.5</v>
      </c>
      <c r="C13" s="34">
        <v>39234</v>
      </c>
      <c r="D13" s="1">
        <v>6005</v>
      </c>
      <c r="E13" s="34">
        <v>39234</v>
      </c>
      <c r="F13" s="1">
        <v>4.5</v>
      </c>
      <c r="G13" s="34">
        <v>39234</v>
      </c>
      <c r="H13" s="1">
        <v>0.14000000000000001</v>
      </c>
      <c r="I13" s="34">
        <v>39234</v>
      </c>
      <c r="J13" s="1">
        <v>168.63</v>
      </c>
      <c r="K13" s="34">
        <v>39234</v>
      </c>
      <c r="L13" s="1">
        <v>4169.3999999999996</v>
      </c>
      <c r="M13" s="34">
        <v>39234</v>
      </c>
      <c r="N13" s="1">
        <v>684</v>
      </c>
      <c r="O13" s="34">
        <v>40909</v>
      </c>
      <c r="P13" s="1">
        <v>416927</v>
      </c>
    </row>
    <row r="14" spans="1:16" x14ac:dyDescent="0.25">
      <c r="A14" s="34">
        <v>39264</v>
      </c>
      <c r="B14" s="1">
        <v>4164</v>
      </c>
      <c r="C14" s="34">
        <v>39264</v>
      </c>
      <c r="D14" s="1">
        <v>5090</v>
      </c>
      <c r="E14" s="34">
        <v>39264</v>
      </c>
      <c r="F14" s="1">
        <v>4.7</v>
      </c>
      <c r="G14" s="34">
        <v>39264</v>
      </c>
      <c r="H14" s="1">
        <v>-0.13</v>
      </c>
      <c r="I14" s="34">
        <v>39264</v>
      </c>
      <c r="J14" s="1">
        <v>168.67</v>
      </c>
      <c r="K14" s="34">
        <v>39264</v>
      </c>
      <c r="L14" s="1">
        <v>4138.3</v>
      </c>
      <c r="M14" s="34">
        <v>39264</v>
      </c>
      <c r="N14" s="1">
        <v>659.5</v>
      </c>
      <c r="O14" s="34">
        <v>41275</v>
      </c>
      <c r="P14" s="1">
        <v>424606</v>
      </c>
    </row>
    <row r="15" spans="1:16" x14ac:dyDescent="0.25">
      <c r="A15" s="34">
        <v>39295</v>
      </c>
      <c r="B15" s="1">
        <v>4169.8999999999996</v>
      </c>
      <c r="C15" s="34">
        <v>39295</v>
      </c>
      <c r="D15" s="1">
        <v>5747</v>
      </c>
      <c r="E15" s="34">
        <v>39295</v>
      </c>
      <c r="F15" s="1">
        <v>4.7</v>
      </c>
      <c r="G15" s="34">
        <v>39295</v>
      </c>
      <c r="H15" s="1">
        <v>0.26</v>
      </c>
      <c r="I15" s="34">
        <v>39295</v>
      </c>
      <c r="J15" s="1">
        <v>168.72</v>
      </c>
      <c r="K15" s="34">
        <v>39295</v>
      </c>
      <c r="L15" s="1">
        <v>4182.1000000000004</v>
      </c>
      <c r="M15" s="34">
        <v>39295</v>
      </c>
      <c r="N15" s="1">
        <v>685.9</v>
      </c>
    </row>
    <row r="16" spans="1:16" x14ac:dyDescent="0.25">
      <c r="A16" s="34">
        <v>39326</v>
      </c>
      <c r="B16" s="1">
        <v>4167.3</v>
      </c>
      <c r="C16" s="34">
        <v>39326</v>
      </c>
      <c r="D16" s="1">
        <v>4646</v>
      </c>
      <c r="E16" s="34">
        <v>39326</v>
      </c>
      <c r="F16" s="1">
        <v>4.8</v>
      </c>
      <c r="G16" s="34">
        <v>39326</v>
      </c>
      <c r="H16" s="1">
        <v>-0.35</v>
      </c>
      <c r="I16" s="34">
        <v>39326</v>
      </c>
      <c r="J16" s="1">
        <v>168.76</v>
      </c>
      <c r="K16" s="34">
        <v>39326</v>
      </c>
      <c r="L16" s="1">
        <v>4175.6000000000004</v>
      </c>
      <c r="M16" s="34">
        <v>39326</v>
      </c>
      <c r="N16" s="1">
        <v>696.1</v>
      </c>
    </row>
    <row r="17" spans="1:14" x14ac:dyDescent="0.25">
      <c r="A17" s="34">
        <v>39356</v>
      </c>
      <c r="B17" s="1">
        <v>4168.7</v>
      </c>
      <c r="C17" s="34">
        <v>39356</v>
      </c>
      <c r="D17" s="1">
        <v>4006</v>
      </c>
      <c r="E17" s="34">
        <v>39356</v>
      </c>
      <c r="F17" s="1">
        <v>4.9000000000000004</v>
      </c>
      <c r="G17" s="34">
        <v>39356</v>
      </c>
      <c r="H17" s="1">
        <v>-0.15</v>
      </c>
      <c r="I17" s="34">
        <v>39356</v>
      </c>
      <c r="J17" s="1">
        <v>168.78</v>
      </c>
      <c r="K17" s="34">
        <v>39356</v>
      </c>
      <c r="L17" s="1">
        <v>4184.8</v>
      </c>
      <c r="M17" s="34">
        <v>39356</v>
      </c>
      <c r="N17" s="1">
        <v>703.5</v>
      </c>
    </row>
    <row r="18" spans="1:14" x14ac:dyDescent="0.25">
      <c r="A18" s="34">
        <v>39387</v>
      </c>
      <c r="B18" s="1">
        <v>4170.7</v>
      </c>
      <c r="C18" s="34">
        <v>39387</v>
      </c>
      <c r="D18" s="1">
        <v>3479</v>
      </c>
      <c r="E18" s="34">
        <v>39387</v>
      </c>
      <c r="F18" s="1">
        <v>4.9000000000000004</v>
      </c>
      <c r="G18" s="34">
        <v>39387</v>
      </c>
      <c r="H18" s="1">
        <v>-0.22</v>
      </c>
      <c r="I18" s="34">
        <v>39387</v>
      </c>
      <c r="J18" s="1">
        <v>168.8</v>
      </c>
      <c r="K18" s="34">
        <v>39387</v>
      </c>
      <c r="L18" s="1">
        <v>4205.6000000000004</v>
      </c>
      <c r="M18" s="34">
        <v>39387</v>
      </c>
      <c r="N18" s="1">
        <v>707</v>
      </c>
    </row>
    <row r="19" spans="1:14" x14ac:dyDescent="0.25">
      <c r="A19" s="34">
        <v>39417</v>
      </c>
      <c r="B19" s="1">
        <v>4171.8999999999996</v>
      </c>
      <c r="C19" s="34">
        <v>39417</v>
      </c>
      <c r="D19" s="1">
        <v>2815</v>
      </c>
      <c r="E19" s="34">
        <v>39417</v>
      </c>
      <c r="F19" s="1">
        <v>5.0999999999999996</v>
      </c>
      <c r="G19" s="34">
        <v>39417</v>
      </c>
      <c r="H19" s="1">
        <v>-0.89</v>
      </c>
      <c r="I19" s="34">
        <v>39417</v>
      </c>
      <c r="J19" s="1">
        <v>168.76</v>
      </c>
      <c r="K19" s="34">
        <v>39417</v>
      </c>
      <c r="L19" s="1">
        <v>4202.1000000000004</v>
      </c>
      <c r="M19" s="34">
        <v>39417</v>
      </c>
      <c r="N19" s="1">
        <v>706</v>
      </c>
    </row>
    <row r="20" spans="1:14" x14ac:dyDescent="0.25">
      <c r="A20" s="34">
        <v>39448</v>
      </c>
      <c r="B20" s="1">
        <v>4177.5</v>
      </c>
      <c r="C20" s="34">
        <v>39448</v>
      </c>
      <c r="D20" s="1">
        <v>3465</v>
      </c>
      <c r="E20" s="34">
        <v>39448</v>
      </c>
      <c r="F20" s="1">
        <v>5.2</v>
      </c>
      <c r="G20" s="34">
        <v>39448</v>
      </c>
      <c r="H20" s="1">
        <v>-0.46</v>
      </c>
      <c r="I20" s="34">
        <v>39448</v>
      </c>
      <c r="J20" s="1">
        <v>168.68</v>
      </c>
      <c r="K20" s="34">
        <v>39448</v>
      </c>
      <c r="L20" s="1">
        <v>4132.1000000000004</v>
      </c>
      <c r="M20" s="34">
        <v>39448</v>
      </c>
      <c r="N20" s="1">
        <v>704.6</v>
      </c>
    </row>
    <row r="21" spans="1:14" x14ac:dyDescent="0.25">
      <c r="A21" s="34">
        <v>39479</v>
      </c>
      <c r="B21" s="1">
        <v>4178.5</v>
      </c>
      <c r="C21" s="34">
        <v>39479</v>
      </c>
      <c r="D21" s="1">
        <v>3245</v>
      </c>
      <c r="E21" s="34">
        <v>39479</v>
      </c>
      <c r="F21" s="1">
        <v>5.2</v>
      </c>
      <c r="G21" s="34">
        <v>39479</v>
      </c>
      <c r="H21" s="1">
        <v>-1.1499999999999999</v>
      </c>
      <c r="I21" s="34">
        <v>39479</v>
      </c>
      <c r="J21" s="1">
        <v>168.54</v>
      </c>
      <c r="K21" s="34">
        <v>39479</v>
      </c>
      <c r="L21" s="1">
        <v>4151.3999999999996</v>
      </c>
      <c r="M21" s="34">
        <v>39479</v>
      </c>
      <c r="N21" s="1">
        <v>714.6</v>
      </c>
    </row>
    <row r="22" spans="1:14" x14ac:dyDescent="0.25">
      <c r="A22" s="34">
        <v>39508</v>
      </c>
      <c r="B22" s="1">
        <v>4167.8</v>
      </c>
      <c r="C22" s="34">
        <v>39508</v>
      </c>
      <c r="D22" s="1">
        <v>3018</v>
      </c>
      <c r="E22" s="34">
        <v>39508</v>
      </c>
      <c r="F22" s="1">
        <v>5.4</v>
      </c>
      <c r="G22" s="34">
        <v>39508</v>
      </c>
      <c r="H22" s="1">
        <v>-1.89</v>
      </c>
      <c r="I22" s="34">
        <v>39508</v>
      </c>
      <c r="J22" s="1">
        <v>168.25</v>
      </c>
      <c r="K22" s="34">
        <v>39508</v>
      </c>
      <c r="L22" s="1">
        <v>4152.5</v>
      </c>
      <c r="M22" s="34">
        <v>39508</v>
      </c>
      <c r="N22" s="1">
        <v>716.2</v>
      </c>
    </row>
    <row r="23" spans="1:14" x14ac:dyDescent="0.25">
      <c r="A23" s="34">
        <v>39539</v>
      </c>
      <c r="B23" s="1">
        <v>4159.6000000000004</v>
      </c>
      <c r="C23" s="34">
        <v>39539</v>
      </c>
      <c r="D23" s="1">
        <v>3197</v>
      </c>
      <c r="E23" s="34">
        <v>39539</v>
      </c>
      <c r="F23" s="1">
        <v>5.5</v>
      </c>
      <c r="G23" s="34">
        <v>39539</v>
      </c>
      <c r="H23" s="1">
        <v>-1.66</v>
      </c>
      <c r="I23" s="34">
        <v>39539</v>
      </c>
      <c r="J23" s="1">
        <v>167.83</v>
      </c>
      <c r="K23" s="34">
        <v>39539</v>
      </c>
      <c r="L23" s="1">
        <v>4158.1000000000004</v>
      </c>
      <c r="M23" s="34">
        <v>39539</v>
      </c>
      <c r="N23" s="1">
        <v>714.6</v>
      </c>
    </row>
    <row r="24" spans="1:14" x14ac:dyDescent="0.25">
      <c r="A24" s="34">
        <v>39569</v>
      </c>
      <c r="B24" s="1">
        <v>4153.8999999999996</v>
      </c>
      <c r="C24" s="34">
        <v>39569</v>
      </c>
      <c r="D24" s="1">
        <v>3647</v>
      </c>
      <c r="E24" s="34">
        <v>39569</v>
      </c>
      <c r="F24" s="1">
        <v>5.8</v>
      </c>
      <c r="G24" s="34">
        <v>39569</v>
      </c>
      <c r="H24" s="1">
        <v>-2.1</v>
      </c>
      <c r="I24" s="34">
        <v>39569</v>
      </c>
      <c r="J24" s="1">
        <v>167.3</v>
      </c>
      <c r="K24" s="34">
        <v>39569</v>
      </c>
      <c r="L24" s="1">
        <v>4169.1000000000004</v>
      </c>
      <c r="M24" s="34">
        <v>39569</v>
      </c>
      <c r="N24" s="1">
        <v>715.1</v>
      </c>
    </row>
    <row r="25" spans="1:14" x14ac:dyDescent="0.25">
      <c r="A25" s="34">
        <v>39600</v>
      </c>
      <c r="B25" s="1">
        <v>4141</v>
      </c>
      <c r="C25" s="34">
        <v>39600</v>
      </c>
      <c r="D25" s="1">
        <v>3369</v>
      </c>
      <c r="E25" s="34">
        <v>39600</v>
      </c>
      <c r="F25" s="1">
        <v>6</v>
      </c>
      <c r="G25" s="34">
        <v>39600</v>
      </c>
      <c r="H25" s="1">
        <v>-2.12</v>
      </c>
      <c r="I25" s="34">
        <v>39600</v>
      </c>
      <c r="J25" s="1">
        <v>166.69</v>
      </c>
      <c r="K25" s="34">
        <v>39600</v>
      </c>
      <c r="L25" s="1">
        <v>4141.8</v>
      </c>
      <c r="M25" s="34">
        <v>39600</v>
      </c>
      <c r="N25" s="1">
        <v>702.9</v>
      </c>
    </row>
    <row r="26" spans="1:14" x14ac:dyDescent="0.25">
      <c r="A26" s="34">
        <v>39630</v>
      </c>
      <c r="B26" s="1">
        <v>4127.3</v>
      </c>
      <c r="C26" s="34">
        <v>39630</v>
      </c>
      <c r="D26" s="1">
        <v>2676</v>
      </c>
      <c r="E26" s="34">
        <v>39630</v>
      </c>
      <c r="F26" s="1">
        <v>6.3</v>
      </c>
      <c r="G26" s="34">
        <v>39630</v>
      </c>
      <c r="H26" s="1">
        <v>-2.59</v>
      </c>
      <c r="I26" s="34">
        <v>39630</v>
      </c>
      <c r="J26" s="1">
        <v>166</v>
      </c>
      <c r="K26" s="34">
        <v>39630</v>
      </c>
      <c r="L26" s="1">
        <v>4101.6000000000004</v>
      </c>
      <c r="M26" s="34">
        <v>39630</v>
      </c>
      <c r="N26" s="1">
        <v>681.3</v>
      </c>
    </row>
    <row r="27" spans="1:14" x14ac:dyDescent="0.25">
      <c r="A27" s="34">
        <v>39661</v>
      </c>
      <c r="B27" s="1">
        <v>4115.8</v>
      </c>
      <c r="C27" s="34">
        <v>39661</v>
      </c>
      <c r="D27" s="1">
        <v>2654</v>
      </c>
      <c r="E27" s="34">
        <v>39661</v>
      </c>
      <c r="F27" s="1">
        <v>6.6</v>
      </c>
      <c r="G27" s="34">
        <v>39661</v>
      </c>
      <c r="H27" s="1">
        <v>-2.8</v>
      </c>
      <c r="I27" s="34">
        <v>39661</v>
      </c>
      <c r="J27" s="1">
        <v>165.24</v>
      </c>
      <c r="K27" s="34">
        <v>39661</v>
      </c>
      <c r="L27" s="1">
        <v>4128.8</v>
      </c>
      <c r="M27" s="34">
        <v>39661</v>
      </c>
      <c r="N27" s="1">
        <v>705.5</v>
      </c>
    </row>
    <row r="28" spans="1:14" x14ac:dyDescent="0.25">
      <c r="A28" s="34">
        <v>39692</v>
      </c>
      <c r="B28" s="1">
        <v>4097.2</v>
      </c>
      <c r="C28" s="34">
        <v>39692</v>
      </c>
      <c r="D28" s="1">
        <v>2749</v>
      </c>
      <c r="E28" s="34">
        <v>39692</v>
      </c>
      <c r="F28" s="1">
        <v>6.8</v>
      </c>
      <c r="G28" s="34">
        <v>39692</v>
      </c>
      <c r="H28" s="1">
        <v>-3.38</v>
      </c>
      <c r="I28" s="34">
        <v>39692</v>
      </c>
      <c r="J28" s="1">
        <v>164.36</v>
      </c>
      <c r="K28" s="34">
        <v>39692</v>
      </c>
      <c r="L28" s="1">
        <v>4104.8999999999996</v>
      </c>
      <c r="M28" s="34">
        <v>39692</v>
      </c>
      <c r="N28" s="1">
        <v>710.1</v>
      </c>
    </row>
    <row r="29" spans="1:14" x14ac:dyDescent="0.25">
      <c r="A29" s="34">
        <v>39722</v>
      </c>
      <c r="B29" s="1">
        <v>4076</v>
      </c>
      <c r="C29" s="34">
        <v>39722</v>
      </c>
      <c r="D29" s="1">
        <v>2158</v>
      </c>
      <c r="E29" s="34">
        <v>39722</v>
      </c>
      <c r="F29" s="1">
        <v>7.2</v>
      </c>
      <c r="G29" s="34">
        <v>39722</v>
      </c>
      <c r="H29" s="1">
        <v>-4.51</v>
      </c>
      <c r="I29" s="34">
        <v>39722</v>
      </c>
      <c r="J29" s="1">
        <v>163.29</v>
      </c>
      <c r="K29" s="34">
        <v>39722</v>
      </c>
      <c r="L29" s="1">
        <v>4094.9</v>
      </c>
      <c r="M29" s="34">
        <v>39722</v>
      </c>
      <c r="N29" s="1">
        <v>720.2</v>
      </c>
    </row>
    <row r="30" spans="1:14" x14ac:dyDescent="0.25">
      <c r="A30" s="34">
        <v>39753</v>
      </c>
      <c r="B30" s="1">
        <v>4051.5</v>
      </c>
      <c r="C30" s="34">
        <v>39753</v>
      </c>
      <c r="D30" s="1">
        <v>864</v>
      </c>
      <c r="E30" s="34">
        <v>39753</v>
      </c>
      <c r="F30" s="1">
        <v>7.6</v>
      </c>
      <c r="G30" s="34">
        <v>39753</v>
      </c>
      <c r="H30" s="1">
        <v>-4.78</v>
      </c>
      <c r="I30" s="34">
        <v>39753</v>
      </c>
      <c r="J30" s="1">
        <v>162.06</v>
      </c>
      <c r="K30" s="34">
        <v>39753</v>
      </c>
      <c r="L30" s="1">
        <v>4082.1</v>
      </c>
      <c r="M30" s="34">
        <v>39753</v>
      </c>
      <c r="N30" s="1">
        <v>725</v>
      </c>
    </row>
    <row r="31" spans="1:14" x14ac:dyDescent="0.25">
      <c r="A31" s="34">
        <v>39783</v>
      </c>
      <c r="B31" s="1">
        <v>4031.2</v>
      </c>
      <c r="C31" s="34">
        <v>39783</v>
      </c>
      <c r="D31" s="1">
        <v>1048</v>
      </c>
      <c r="E31" s="34">
        <v>39783</v>
      </c>
      <c r="F31" s="1">
        <v>8.1</v>
      </c>
      <c r="G31" s="34">
        <v>39783</v>
      </c>
      <c r="H31" s="1">
        <v>-4.53</v>
      </c>
      <c r="I31" s="34">
        <v>39783</v>
      </c>
      <c r="J31" s="1">
        <v>160.72999999999999</v>
      </c>
      <c r="K31" s="34">
        <v>39783</v>
      </c>
      <c r="L31" s="1">
        <v>4059.8</v>
      </c>
      <c r="M31" s="34">
        <v>39783</v>
      </c>
      <c r="N31" s="1">
        <v>721.7</v>
      </c>
    </row>
    <row r="32" spans="1:14" x14ac:dyDescent="0.25">
      <c r="A32" s="34">
        <v>39814</v>
      </c>
      <c r="B32" s="1">
        <v>4002.1</v>
      </c>
      <c r="C32" s="34">
        <v>39814</v>
      </c>
      <c r="D32" s="1">
        <v>1107</v>
      </c>
      <c r="E32" s="34">
        <v>39814</v>
      </c>
      <c r="F32" s="1">
        <v>8.5</v>
      </c>
      <c r="G32" s="34">
        <v>39814</v>
      </c>
      <c r="H32" s="1">
        <v>-4.03</v>
      </c>
      <c r="I32" s="34">
        <v>39814</v>
      </c>
      <c r="J32" s="1">
        <v>159.38999999999999</v>
      </c>
      <c r="K32" s="34">
        <v>39814</v>
      </c>
      <c r="L32" s="1">
        <v>3954.9</v>
      </c>
      <c r="M32" s="34">
        <v>39814</v>
      </c>
      <c r="N32" s="1">
        <v>715.9</v>
      </c>
    </row>
    <row r="33" spans="1:14" x14ac:dyDescent="0.25">
      <c r="A33" s="34">
        <v>39845</v>
      </c>
      <c r="B33" s="1">
        <v>3974.1</v>
      </c>
      <c r="C33" s="34">
        <v>39845</v>
      </c>
      <c r="D33" s="1">
        <v>1179</v>
      </c>
      <c r="E33" s="34">
        <v>39845</v>
      </c>
      <c r="F33" s="1">
        <v>8.8000000000000007</v>
      </c>
      <c r="G33" s="34">
        <v>39845</v>
      </c>
      <c r="H33" s="1">
        <v>-3.6</v>
      </c>
      <c r="I33" s="34">
        <v>39845</v>
      </c>
      <c r="J33" s="1">
        <v>158.12</v>
      </c>
      <c r="K33" s="34">
        <v>39845</v>
      </c>
      <c r="L33" s="1">
        <v>3944.2</v>
      </c>
      <c r="M33" s="34">
        <v>39845</v>
      </c>
      <c r="N33" s="1">
        <v>721.8</v>
      </c>
    </row>
    <row r="34" spans="1:14" x14ac:dyDescent="0.25">
      <c r="A34" s="34">
        <v>39873</v>
      </c>
      <c r="B34" s="1">
        <v>3945.5</v>
      </c>
      <c r="C34" s="34">
        <v>39873</v>
      </c>
      <c r="D34" s="1">
        <v>1320</v>
      </c>
      <c r="E34" s="34">
        <v>39873</v>
      </c>
      <c r="F34" s="1">
        <v>9.1</v>
      </c>
      <c r="G34" s="34">
        <v>39873</v>
      </c>
      <c r="H34" s="1">
        <v>-3.61</v>
      </c>
      <c r="I34" s="34">
        <v>39873</v>
      </c>
      <c r="J34" s="1">
        <v>156.94999999999999</v>
      </c>
      <c r="K34" s="34">
        <v>39873</v>
      </c>
      <c r="L34" s="1">
        <v>3930.1</v>
      </c>
      <c r="M34" s="34">
        <v>39873</v>
      </c>
      <c r="N34" s="1">
        <v>722.4</v>
      </c>
    </row>
    <row r="35" spans="1:14" x14ac:dyDescent="0.25">
      <c r="A35" s="34">
        <v>39904</v>
      </c>
      <c r="B35" s="1">
        <v>3925.3</v>
      </c>
      <c r="C35" s="34">
        <v>39904</v>
      </c>
      <c r="D35" s="1">
        <v>1370</v>
      </c>
      <c r="E35" s="34">
        <v>39904</v>
      </c>
      <c r="F35" s="1">
        <v>9.4</v>
      </c>
      <c r="G35" s="34">
        <v>39904</v>
      </c>
      <c r="H35" s="1">
        <v>-3.08</v>
      </c>
      <c r="I35" s="34">
        <v>39904</v>
      </c>
      <c r="J35" s="1">
        <v>155.88999999999999</v>
      </c>
      <c r="K35" s="34">
        <v>39904</v>
      </c>
      <c r="L35" s="1">
        <v>3932.6</v>
      </c>
      <c r="M35" s="34">
        <v>39904</v>
      </c>
      <c r="N35" s="1">
        <v>722.2</v>
      </c>
    </row>
    <row r="36" spans="1:14" x14ac:dyDescent="0.25">
      <c r="A36" s="34">
        <v>39934</v>
      </c>
      <c r="B36" s="1">
        <v>3911.3</v>
      </c>
      <c r="C36" s="34">
        <v>39934</v>
      </c>
      <c r="D36" s="1">
        <v>1562</v>
      </c>
      <c r="E36" s="34">
        <v>39934</v>
      </c>
      <c r="F36" s="1">
        <v>9.6999999999999993</v>
      </c>
      <c r="G36" s="34">
        <v>39934</v>
      </c>
      <c r="H36" s="1">
        <v>-2.31</v>
      </c>
      <c r="I36" s="34">
        <v>39934</v>
      </c>
      <c r="J36" s="1">
        <v>154.94</v>
      </c>
      <c r="K36" s="34">
        <v>39934</v>
      </c>
      <c r="L36" s="1">
        <v>3931.4</v>
      </c>
      <c r="M36" s="34">
        <v>39934</v>
      </c>
      <c r="N36" s="1">
        <v>718.1</v>
      </c>
    </row>
    <row r="37" spans="1:14" x14ac:dyDescent="0.25">
      <c r="A37" s="34">
        <v>39965</v>
      </c>
      <c r="B37" s="1">
        <v>3898.2</v>
      </c>
      <c r="C37" s="34">
        <v>39965</v>
      </c>
      <c r="D37" s="1">
        <v>1824</v>
      </c>
      <c r="E37" s="34">
        <v>39965</v>
      </c>
      <c r="F37" s="1">
        <v>9.9</v>
      </c>
      <c r="G37" s="34">
        <v>39965</v>
      </c>
      <c r="H37" s="1">
        <v>-1.78</v>
      </c>
      <c r="I37" s="34">
        <v>39965</v>
      </c>
      <c r="J37" s="1">
        <v>154.13</v>
      </c>
      <c r="K37" s="34">
        <v>39965</v>
      </c>
      <c r="L37" s="1">
        <v>3899.4</v>
      </c>
      <c r="M37" s="34">
        <v>39965</v>
      </c>
      <c r="N37" s="1">
        <v>702.8</v>
      </c>
    </row>
    <row r="38" spans="1:14" x14ac:dyDescent="0.25">
      <c r="A38" s="34">
        <v>39995</v>
      </c>
      <c r="B38" s="1">
        <v>3878.7</v>
      </c>
      <c r="C38" s="34">
        <v>39995</v>
      </c>
      <c r="D38" s="1">
        <v>1414</v>
      </c>
      <c r="E38" s="34">
        <v>39995</v>
      </c>
      <c r="F38" s="1">
        <v>10</v>
      </c>
      <c r="G38" s="34">
        <v>39995</v>
      </c>
      <c r="H38" s="1">
        <v>-1.54</v>
      </c>
      <c r="I38" s="34">
        <v>39995</v>
      </c>
      <c r="J38" s="1">
        <v>153.44999999999999</v>
      </c>
      <c r="K38" s="34">
        <v>39995</v>
      </c>
      <c r="L38" s="1">
        <v>3860</v>
      </c>
      <c r="M38" s="34">
        <v>39995</v>
      </c>
      <c r="N38" s="1">
        <v>677.9</v>
      </c>
    </row>
    <row r="39" spans="1:14" x14ac:dyDescent="0.25">
      <c r="A39" s="34">
        <v>40026</v>
      </c>
      <c r="B39" s="1">
        <v>3868.7</v>
      </c>
      <c r="C39" s="34">
        <v>40026</v>
      </c>
      <c r="D39" s="1">
        <v>1809</v>
      </c>
      <c r="E39" s="34">
        <v>40026</v>
      </c>
      <c r="F39" s="1">
        <v>10.199999999999999</v>
      </c>
      <c r="G39" s="34">
        <v>40026</v>
      </c>
      <c r="H39" s="1">
        <v>-1.43</v>
      </c>
      <c r="I39" s="34">
        <v>40026</v>
      </c>
      <c r="J39" s="1">
        <v>152.86000000000001</v>
      </c>
      <c r="K39" s="34">
        <v>40026</v>
      </c>
      <c r="L39" s="1">
        <v>3871.6</v>
      </c>
      <c r="M39" s="34">
        <v>40026</v>
      </c>
      <c r="N39" s="1">
        <v>693.9</v>
      </c>
    </row>
    <row r="40" spans="1:14" x14ac:dyDescent="0.25">
      <c r="A40" s="34">
        <v>40057</v>
      </c>
      <c r="B40" s="1">
        <v>3856.1</v>
      </c>
      <c r="C40" s="34">
        <v>40057</v>
      </c>
      <c r="D40" s="1">
        <v>1607</v>
      </c>
      <c r="E40" s="34">
        <v>40057</v>
      </c>
      <c r="F40" s="1">
        <v>10.3</v>
      </c>
      <c r="G40" s="34">
        <v>40057</v>
      </c>
      <c r="H40" s="1">
        <v>-0.49</v>
      </c>
      <c r="I40" s="34">
        <v>40057</v>
      </c>
      <c r="J40" s="1">
        <v>152.38</v>
      </c>
      <c r="K40" s="34">
        <v>40057</v>
      </c>
      <c r="L40" s="1">
        <v>3860.8</v>
      </c>
      <c r="M40" s="34">
        <v>40057</v>
      </c>
      <c r="N40" s="1">
        <v>707.6</v>
      </c>
    </row>
    <row r="41" spans="1:14" x14ac:dyDescent="0.25">
      <c r="A41" s="34">
        <v>40087</v>
      </c>
      <c r="B41" s="1">
        <v>3855.5</v>
      </c>
      <c r="C41" s="34">
        <v>40087</v>
      </c>
      <c r="D41" s="1">
        <v>1328</v>
      </c>
      <c r="E41" s="34">
        <v>40087</v>
      </c>
      <c r="F41" s="1">
        <v>10.4</v>
      </c>
      <c r="G41" s="34">
        <v>40087</v>
      </c>
      <c r="H41" s="1">
        <v>-0.27</v>
      </c>
      <c r="I41" s="34">
        <v>40087</v>
      </c>
      <c r="J41" s="1">
        <v>152.04</v>
      </c>
      <c r="K41" s="34">
        <v>40087</v>
      </c>
      <c r="L41" s="1">
        <v>3869.7</v>
      </c>
      <c r="M41" s="34">
        <v>40087</v>
      </c>
      <c r="N41" s="1">
        <v>707.3</v>
      </c>
    </row>
    <row r="42" spans="1:14" x14ac:dyDescent="0.25">
      <c r="A42" s="34">
        <v>40118</v>
      </c>
      <c r="B42" s="1">
        <v>3851.6</v>
      </c>
      <c r="C42" s="34">
        <v>40118</v>
      </c>
      <c r="D42" s="1">
        <v>1095</v>
      </c>
      <c r="E42" s="34">
        <v>40118</v>
      </c>
      <c r="F42" s="1">
        <v>10.4</v>
      </c>
      <c r="G42" s="34">
        <v>40118</v>
      </c>
      <c r="H42" s="1">
        <v>0.27</v>
      </c>
      <c r="I42" s="34">
        <v>40118</v>
      </c>
      <c r="J42" s="1">
        <v>151.82</v>
      </c>
      <c r="K42" s="34">
        <v>40118</v>
      </c>
      <c r="L42" s="1">
        <v>3882.6</v>
      </c>
      <c r="M42" s="34">
        <v>40118</v>
      </c>
      <c r="N42" s="1">
        <v>708.3</v>
      </c>
    </row>
    <row r="43" spans="1:14" x14ac:dyDescent="0.25">
      <c r="A43" s="34">
        <v>40148</v>
      </c>
      <c r="B43" s="1">
        <v>3844.7</v>
      </c>
      <c r="C43" s="34">
        <v>40148</v>
      </c>
      <c r="D43" s="1">
        <v>1744</v>
      </c>
      <c r="E43" s="34">
        <v>40148</v>
      </c>
      <c r="F43" s="1">
        <v>10.4</v>
      </c>
      <c r="G43" s="34">
        <v>40148</v>
      </c>
      <c r="H43" s="1">
        <v>0.46</v>
      </c>
      <c r="I43" s="34">
        <v>40148</v>
      </c>
      <c r="J43" s="1">
        <v>151.71</v>
      </c>
      <c r="K43" s="34">
        <v>40148</v>
      </c>
      <c r="L43" s="1">
        <v>3873.1</v>
      </c>
      <c r="M43" s="34">
        <v>40148</v>
      </c>
      <c r="N43" s="1">
        <v>705.6</v>
      </c>
    </row>
    <row r="44" spans="1:14" x14ac:dyDescent="0.25">
      <c r="A44" s="34">
        <v>40179</v>
      </c>
      <c r="B44" s="1">
        <v>3843</v>
      </c>
      <c r="C44" s="34">
        <v>40179</v>
      </c>
      <c r="D44" s="1">
        <v>1207</v>
      </c>
      <c r="E44" s="34">
        <v>40179</v>
      </c>
      <c r="F44" s="1">
        <v>10.4</v>
      </c>
      <c r="G44" s="34">
        <v>40179</v>
      </c>
      <c r="H44" s="1">
        <v>0.96</v>
      </c>
      <c r="I44" s="34">
        <v>40179</v>
      </c>
      <c r="J44" s="1">
        <v>151.72</v>
      </c>
      <c r="K44" s="34">
        <v>40179</v>
      </c>
      <c r="L44" s="1">
        <v>3795.8</v>
      </c>
      <c r="M44" s="34">
        <v>40179</v>
      </c>
      <c r="N44" s="1">
        <v>701.6</v>
      </c>
    </row>
    <row r="45" spans="1:14" x14ac:dyDescent="0.25">
      <c r="A45" s="34">
        <v>40210</v>
      </c>
      <c r="B45" s="1">
        <v>3839</v>
      </c>
      <c r="C45" s="34">
        <v>40210</v>
      </c>
      <c r="D45" s="1">
        <v>1338</v>
      </c>
      <c r="E45" s="34">
        <v>40210</v>
      </c>
      <c r="F45" s="1">
        <v>10.3</v>
      </c>
      <c r="G45" s="34">
        <v>40210</v>
      </c>
      <c r="H45" s="1">
        <v>1.71</v>
      </c>
      <c r="I45" s="34">
        <v>40210</v>
      </c>
      <c r="J45" s="1">
        <v>151.88</v>
      </c>
      <c r="K45" s="34">
        <v>40210</v>
      </c>
      <c r="L45" s="1">
        <v>3808.3</v>
      </c>
      <c r="M45" s="34">
        <v>40210</v>
      </c>
      <c r="N45" s="1">
        <v>706.1</v>
      </c>
    </row>
    <row r="46" spans="1:14" x14ac:dyDescent="0.25">
      <c r="A46" s="34">
        <v>40238</v>
      </c>
      <c r="B46" s="1">
        <v>3843.8</v>
      </c>
      <c r="C46" s="34">
        <v>40238</v>
      </c>
      <c r="D46" s="1">
        <v>1790</v>
      </c>
      <c r="E46" s="34">
        <v>40238</v>
      </c>
      <c r="F46" s="1">
        <v>10.199999999999999</v>
      </c>
      <c r="G46" s="34">
        <v>40238</v>
      </c>
      <c r="H46" s="1">
        <v>2.02</v>
      </c>
      <c r="I46" s="34">
        <v>40238</v>
      </c>
      <c r="J46" s="1">
        <v>152.19</v>
      </c>
      <c r="K46" s="34">
        <v>40238</v>
      </c>
      <c r="L46" s="1">
        <v>3828.1</v>
      </c>
      <c r="M46" s="34">
        <v>40238</v>
      </c>
      <c r="N46" s="1">
        <v>708.6</v>
      </c>
    </row>
    <row r="47" spans="1:14" x14ac:dyDescent="0.25">
      <c r="A47" s="34">
        <v>40269</v>
      </c>
      <c r="B47" s="1">
        <v>3849.7</v>
      </c>
      <c r="C47" s="34">
        <v>40269</v>
      </c>
      <c r="D47" s="1">
        <v>1778</v>
      </c>
      <c r="E47" s="34">
        <v>40269</v>
      </c>
      <c r="F47" s="1">
        <v>10</v>
      </c>
      <c r="G47" s="34">
        <v>40269</v>
      </c>
      <c r="H47" s="1">
        <v>1.69</v>
      </c>
      <c r="I47" s="34">
        <v>40269</v>
      </c>
      <c r="J47" s="1">
        <v>152.59</v>
      </c>
      <c r="K47" s="34">
        <v>40269</v>
      </c>
      <c r="L47" s="1">
        <v>3860.1</v>
      </c>
      <c r="M47" s="34">
        <v>40269</v>
      </c>
      <c r="N47" s="1">
        <v>708.7</v>
      </c>
    </row>
    <row r="48" spans="1:14" x14ac:dyDescent="0.25">
      <c r="A48" s="34">
        <v>40299</v>
      </c>
      <c r="B48" s="1">
        <v>3870.5</v>
      </c>
      <c r="C48" s="34">
        <v>40299</v>
      </c>
      <c r="D48" s="1">
        <v>1202</v>
      </c>
      <c r="E48" s="34">
        <v>40299</v>
      </c>
      <c r="F48" s="1">
        <v>10</v>
      </c>
      <c r="G48" s="34">
        <v>40299</v>
      </c>
      <c r="H48" s="1">
        <v>0.83</v>
      </c>
      <c r="I48" s="34">
        <v>40299</v>
      </c>
      <c r="J48" s="1">
        <v>152.96</v>
      </c>
      <c r="K48" s="34">
        <v>40299</v>
      </c>
      <c r="L48" s="1">
        <v>3892.3</v>
      </c>
      <c r="M48" s="34">
        <v>40299</v>
      </c>
      <c r="N48" s="1">
        <v>722.2</v>
      </c>
    </row>
    <row r="49" spans="1:14" x14ac:dyDescent="0.25">
      <c r="A49" s="34">
        <v>40330</v>
      </c>
      <c r="B49" s="1">
        <v>3866.8</v>
      </c>
      <c r="C49" s="34">
        <v>40330</v>
      </c>
      <c r="D49" s="1">
        <v>1554</v>
      </c>
      <c r="E49" s="34">
        <v>40330</v>
      </c>
      <c r="F49" s="1">
        <v>9.9</v>
      </c>
      <c r="G49" s="34">
        <v>40330</v>
      </c>
      <c r="H49" s="1">
        <v>0.74</v>
      </c>
      <c r="I49" s="34">
        <v>40330</v>
      </c>
      <c r="J49" s="1">
        <v>153.26</v>
      </c>
      <c r="K49" s="34">
        <v>40330</v>
      </c>
      <c r="L49" s="1">
        <v>3868.2</v>
      </c>
      <c r="M49" s="34">
        <v>40330</v>
      </c>
      <c r="N49" s="1">
        <v>703.3</v>
      </c>
    </row>
    <row r="50" spans="1:14" x14ac:dyDescent="0.25">
      <c r="A50" s="34">
        <v>40360</v>
      </c>
      <c r="B50" s="1">
        <v>3871.3</v>
      </c>
      <c r="C50" s="34">
        <v>40360</v>
      </c>
      <c r="D50" s="1">
        <v>1690</v>
      </c>
      <c r="E50" s="34">
        <v>40360</v>
      </c>
      <c r="F50" s="1">
        <v>10</v>
      </c>
      <c r="G50" s="34">
        <v>40360</v>
      </c>
      <c r="H50" s="1">
        <v>0.32</v>
      </c>
      <c r="I50" s="34">
        <v>40360</v>
      </c>
      <c r="J50" s="1">
        <v>153.43</v>
      </c>
      <c r="K50" s="34">
        <v>40360</v>
      </c>
      <c r="L50" s="1">
        <v>3853.6</v>
      </c>
      <c r="M50" s="34">
        <v>40360</v>
      </c>
      <c r="N50" s="1">
        <v>678.5</v>
      </c>
    </row>
    <row r="51" spans="1:14" x14ac:dyDescent="0.25">
      <c r="A51" s="34">
        <v>40391</v>
      </c>
      <c r="B51" s="1">
        <v>3867.9</v>
      </c>
      <c r="C51" s="34">
        <v>40391</v>
      </c>
      <c r="D51" s="1">
        <v>1382</v>
      </c>
      <c r="E51" s="34">
        <v>40391</v>
      </c>
      <c r="F51" s="1">
        <v>10.1</v>
      </c>
      <c r="G51" s="34">
        <v>40391</v>
      </c>
      <c r="H51" s="1">
        <v>0.5</v>
      </c>
      <c r="I51" s="34">
        <v>40391</v>
      </c>
      <c r="J51" s="1">
        <v>153.52000000000001</v>
      </c>
      <c r="K51" s="34">
        <v>40391</v>
      </c>
      <c r="L51" s="1">
        <v>3869.3</v>
      </c>
      <c r="M51" s="34">
        <v>40391</v>
      </c>
      <c r="N51" s="1">
        <v>686.2</v>
      </c>
    </row>
    <row r="52" spans="1:14" x14ac:dyDescent="0.25">
      <c r="A52" s="34">
        <v>40422</v>
      </c>
      <c r="B52" s="1">
        <v>3865.1</v>
      </c>
      <c r="C52" s="34">
        <v>40422</v>
      </c>
      <c r="D52" s="1">
        <v>1156</v>
      </c>
      <c r="E52" s="34">
        <v>40422</v>
      </c>
      <c r="F52" s="1">
        <v>10.199999999999999</v>
      </c>
      <c r="G52" s="34">
        <v>40422</v>
      </c>
      <c r="H52" s="1">
        <v>0.85</v>
      </c>
      <c r="I52" s="34">
        <v>40422</v>
      </c>
      <c r="J52" s="1">
        <v>153.61000000000001</v>
      </c>
      <c r="K52" s="34">
        <v>40422</v>
      </c>
      <c r="L52" s="1">
        <v>3860.5</v>
      </c>
      <c r="M52" s="34">
        <v>40422</v>
      </c>
      <c r="N52" s="1">
        <v>690</v>
      </c>
    </row>
    <row r="53" spans="1:14" x14ac:dyDescent="0.25">
      <c r="A53" s="34">
        <v>40452</v>
      </c>
      <c r="B53" s="1">
        <v>3873.9</v>
      </c>
      <c r="C53" s="34">
        <v>40452</v>
      </c>
      <c r="D53" s="1">
        <v>928</v>
      </c>
      <c r="E53" s="34">
        <v>40452</v>
      </c>
      <c r="F53" s="1">
        <v>10.199999999999999</v>
      </c>
      <c r="G53" s="34">
        <v>40452</v>
      </c>
      <c r="H53" s="1">
        <v>0.79</v>
      </c>
      <c r="I53" s="34">
        <v>40452</v>
      </c>
      <c r="J53" s="1">
        <v>153.72999999999999</v>
      </c>
      <c r="K53" s="34">
        <v>40452</v>
      </c>
      <c r="L53" s="1">
        <v>3893.6</v>
      </c>
      <c r="M53" s="34">
        <v>40452</v>
      </c>
      <c r="N53" s="1">
        <v>695.1</v>
      </c>
    </row>
    <row r="54" spans="1:14" x14ac:dyDescent="0.25">
      <c r="A54" s="34">
        <v>40483</v>
      </c>
      <c r="B54" s="1">
        <v>3875.1</v>
      </c>
      <c r="C54" s="34">
        <v>40483</v>
      </c>
      <c r="D54" s="1">
        <v>1029</v>
      </c>
      <c r="E54" s="34">
        <v>40483</v>
      </c>
      <c r="F54" s="1">
        <v>10.3</v>
      </c>
      <c r="G54" s="34">
        <v>40483</v>
      </c>
      <c r="H54" s="1">
        <v>0.76</v>
      </c>
      <c r="I54" s="34">
        <v>40483</v>
      </c>
      <c r="J54" s="1">
        <v>153.87</v>
      </c>
      <c r="K54" s="34">
        <v>40483</v>
      </c>
      <c r="L54" s="1">
        <v>3906.7</v>
      </c>
      <c r="M54" s="34">
        <v>40483</v>
      </c>
      <c r="N54" s="1">
        <v>697.4</v>
      </c>
    </row>
    <row r="55" spans="1:14" x14ac:dyDescent="0.25">
      <c r="A55" s="34">
        <v>40513</v>
      </c>
      <c r="B55" s="1">
        <v>3873.3</v>
      </c>
      <c r="C55" s="34">
        <v>40513</v>
      </c>
      <c r="D55" s="1">
        <v>1240</v>
      </c>
      <c r="E55" s="34">
        <v>40513</v>
      </c>
      <c r="F55" s="1">
        <v>10.199999999999999</v>
      </c>
      <c r="G55" s="34">
        <v>40513</v>
      </c>
      <c r="H55" s="1">
        <v>1.71</v>
      </c>
      <c r="I55" s="34">
        <v>40513</v>
      </c>
      <c r="J55" s="1">
        <v>154.1</v>
      </c>
      <c r="K55" s="34">
        <v>40513</v>
      </c>
      <c r="L55" s="1">
        <v>3897.6</v>
      </c>
      <c r="M55" s="34">
        <v>40513</v>
      </c>
      <c r="N55" s="1">
        <v>694.3</v>
      </c>
    </row>
    <row r="56" spans="1:14" x14ac:dyDescent="0.25">
      <c r="A56" s="34">
        <v>40544</v>
      </c>
      <c r="B56" s="1">
        <v>3851.4</v>
      </c>
      <c r="C56" s="34">
        <v>40544</v>
      </c>
      <c r="D56" s="1">
        <v>1161</v>
      </c>
      <c r="E56" s="34">
        <v>40544</v>
      </c>
      <c r="F56" s="1">
        <v>10.1</v>
      </c>
      <c r="G56" s="34">
        <v>40544</v>
      </c>
      <c r="H56" s="1">
        <v>1.81</v>
      </c>
      <c r="I56" s="34">
        <v>40544</v>
      </c>
      <c r="J56" s="1">
        <v>154.41999999999999</v>
      </c>
      <c r="K56" s="34">
        <v>40544</v>
      </c>
      <c r="L56" s="1">
        <v>3805.6</v>
      </c>
      <c r="M56" s="34">
        <v>40544</v>
      </c>
      <c r="N56" s="1">
        <v>688.5</v>
      </c>
    </row>
    <row r="57" spans="1:14" x14ac:dyDescent="0.25">
      <c r="A57" s="34">
        <v>40575</v>
      </c>
      <c r="B57" s="1">
        <v>3888.6</v>
      </c>
      <c r="C57" s="34">
        <v>40575</v>
      </c>
      <c r="D57" s="1">
        <v>1367</v>
      </c>
      <c r="E57" s="34">
        <v>40575</v>
      </c>
      <c r="F57" s="1">
        <v>9.9</v>
      </c>
      <c r="G57" s="34">
        <v>40575</v>
      </c>
      <c r="H57" s="1">
        <v>2.11</v>
      </c>
      <c r="I57" s="34">
        <v>40575</v>
      </c>
      <c r="J57" s="1">
        <v>154.84</v>
      </c>
      <c r="K57" s="34">
        <v>40575</v>
      </c>
      <c r="L57" s="1">
        <v>3856.9</v>
      </c>
      <c r="M57" s="34">
        <v>40575</v>
      </c>
      <c r="N57" s="1">
        <v>695.2</v>
      </c>
    </row>
    <row r="58" spans="1:14" x14ac:dyDescent="0.25">
      <c r="A58" s="34">
        <v>40603</v>
      </c>
      <c r="B58" s="1">
        <v>3893.5</v>
      </c>
      <c r="C58" s="34">
        <v>40603</v>
      </c>
      <c r="D58" s="1">
        <v>1654</v>
      </c>
      <c r="E58" s="34">
        <v>40603</v>
      </c>
      <c r="F58" s="1">
        <v>9.9</v>
      </c>
      <c r="G58" s="34">
        <v>40603</v>
      </c>
      <c r="H58" s="1">
        <v>0.91</v>
      </c>
      <c r="I58" s="34">
        <v>40603</v>
      </c>
      <c r="J58" s="1">
        <v>155.22999999999999</v>
      </c>
      <c r="K58" s="34">
        <v>40603</v>
      </c>
      <c r="L58" s="1">
        <v>3877.8</v>
      </c>
      <c r="M58" s="34">
        <v>40603</v>
      </c>
      <c r="N58" s="1">
        <v>697.2</v>
      </c>
    </row>
    <row r="59" spans="1:14" x14ac:dyDescent="0.25">
      <c r="A59" s="34">
        <v>40634</v>
      </c>
      <c r="B59" s="1">
        <v>3904.4</v>
      </c>
      <c r="C59" s="34">
        <v>40634</v>
      </c>
      <c r="D59" s="1">
        <v>1361</v>
      </c>
      <c r="E59" s="34">
        <v>40634</v>
      </c>
      <c r="F59" s="1">
        <v>9.8000000000000007</v>
      </c>
      <c r="G59" s="34">
        <v>40634</v>
      </c>
      <c r="H59" s="1">
        <v>0.87</v>
      </c>
      <c r="I59" s="34">
        <v>40634</v>
      </c>
      <c r="J59" s="1">
        <v>155.55000000000001</v>
      </c>
      <c r="K59" s="34">
        <v>40634</v>
      </c>
      <c r="L59" s="1">
        <v>3917.8</v>
      </c>
      <c r="M59" s="34">
        <v>40634</v>
      </c>
      <c r="N59" s="1">
        <v>693.2</v>
      </c>
    </row>
    <row r="60" spans="1:14" x14ac:dyDescent="0.25">
      <c r="A60" s="34">
        <v>40664</v>
      </c>
      <c r="B60" s="1">
        <v>3904.1</v>
      </c>
      <c r="C60" s="34">
        <v>40664</v>
      </c>
      <c r="D60" s="1">
        <v>1791</v>
      </c>
      <c r="E60" s="34">
        <v>40664</v>
      </c>
      <c r="F60" s="1">
        <v>9.9</v>
      </c>
      <c r="G60" s="34">
        <v>40664</v>
      </c>
      <c r="H60" s="1">
        <v>0.3</v>
      </c>
      <c r="I60" s="34">
        <v>40664</v>
      </c>
      <c r="J60" s="1">
        <v>155.74</v>
      </c>
      <c r="K60" s="34">
        <v>40664</v>
      </c>
      <c r="L60" s="1">
        <v>3927.3</v>
      </c>
      <c r="M60" s="34">
        <v>40664</v>
      </c>
      <c r="N60" s="1">
        <v>695</v>
      </c>
    </row>
    <row r="61" spans="1:14" x14ac:dyDescent="0.25">
      <c r="A61" s="34">
        <v>40695</v>
      </c>
      <c r="B61" s="1">
        <v>3902.6</v>
      </c>
      <c r="C61" s="34">
        <v>40695</v>
      </c>
      <c r="D61" s="1">
        <v>1866</v>
      </c>
      <c r="E61" s="34">
        <v>40695</v>
      </c>
      <c r="F61" s="1">
        <v>10</v>
      </c>
      <c r="G61" s="34">
        <v>40695</v>
      </c>
      <c r="H61" s="1">
        <v>0.83</v>
      </c>
      <c r="I61" s="34">
        <v>40695</v>
      </c>
      <c r="J61" s="1">
        <v>155.85</v>
      </c>
      <c r="K61" s="34">
        <v>40695</v>
      </c>
      <c r="L61" s="1">
        <v>3905.5</v>
      </c>
      <c r="M61" s="34">
        <v>40695</v>
      </c>
      <c r="N61" s="1">
        <v>682.6</v>
      </c>
    </row>
    <row r="62" spans="1:14" x14ac:dyDescent="0.25">
      <c r="A62" s="34">
        <v>40725</v>
      </c>
      <c r="B62" s="1">
        <v>3910.2</v>
      </c>
      <c r="C62" s="34">
        <v>40725</v>
      </c>
      <c r="D62" s="1">
        <v>1228</v>
      </c>
      <c r="E62" s="34">
        <v>40725</v>
      </c>
      <c r="F62" s="1">
        <v>10.1</v>
      </c>
      <c r="G62" s="34">
        <v>40725</v>
      </c>
      <c r="H62" s="1">
        <v>1.21</v>
      </c>
      <c r="I62" s="34">
        <v>40725</v>
      </c>
      <c r="J62" s="1">
        <v>155.96</v>
      </c>
      <c r="K62" s="34">
        <v>40725</v>
      </c>
      <c r="L62" s="1">
        <v>3886.5</v>
      </c>
      <c r="M62" s="34">
        <v>40725</v>
      </c>
      <c r="N62" s="1">
        <v>662.4</v>
      </c>
    </row>
    <row r="63" spans="1:14" x14ac:dyDescent="0.25">
      <c r="A63" s="34">
        <v>40756</v>
      </c>
      <c r="B63" s="1">
        <v>3910.8</v>
      </c>
      <c r="C63" s="34">
        <v>40756</v>
      </c>
      <c r="D63" s="1">
        <v>2153</v>
      </c>
      <c r="E63" s="34">
        <v>40756</v>
      </c>
      <c r="F63" s="1">
        <v>10.1</v>
      </c>
      <c r="G63" s="34">
        <v>40756</v>
      </c>
      <c r="H63" s="1">
        <v>1.54</v>
      </c>
      <c r="I63" s="34">
        <v>40756</v>
      </c>
      <c r="J63" s="1">
        <v>156.13999999999999</v>
      </c>
      <c r="K63" s="34">
        <v>40756</v>
      </c>
      <c r="L63" s="1">
        <v>3911.5</v>
      </c>
      <c r="M63" s="34">
        <v>40756</v>
      </c>
      <c r="N63" s="1">
        <v>674.6</v>
      </c>
    </row>
    <row r="64" spans="1:14" x14ac:dyDescent="0.25">
      <c r="A64" s="34">
        <v>40787</v>
      </c>
      <c r="B64" s="1">
        <v>3917.6</v>
      </c>
      <c r="C64" s="34">
        <v>40787</v>
      </c>
      <c r="D64" s="1">
        <v>1471</v>
      </c>
      <c r="E64" s="34">
        <v>40787</v>
      </c>
      <c r="F64" s="1">
        <v>10</v>
      </c>
      <c r="G64" s="34">
        <v>40787</v>
      </c>
      <c r="H64" s="1">
        <v>1.8</v>
      </c>
      <c r="I64" s="34">
        <v>40787</v>
      </c>
      <c r="J64" s="1">
        <v>156.4</v>
      </c>
      <c r="K64" s="34">
        <v>40787</v>
      </c>
      <c r="L64" s="1">
        <v>3910.8</v>
      </c>
      <c r="M64" s="34">
        <v>40787</v>
      </c>
      <c r="N64" s="1">
        <v>685.6</v>
      </c>
    </row>
    <row r="65" spans="1:14" x14ac:dyDescent="0.25">
      <c r="A65" s="34">
        <v>40817</v>
      </c>
      <c r="B65" s="1">
        <v>3911.2</v>
      </c>
      <c r="C65" s="34">
        <v>40817</v>
      </c>
      <c r="D65" s="1">
        <v>1660</v>
      </c>
      <c r="E65" s="34">
        <v>40817</v>
      </c>
      <c r="F65" s="1">
        <v>9.8000000000000007</v>
      </c>
      <c r="G65" s="34">
        <v>40817</v>
      </c>
      <c r="H65" s="1">
        <v>1.6</v>
      </c>
      <c r="I65" s="34">
        <v>40817</v>
      </c>
      <c r="J65" s="1">
        <v>156.74</v>
      </c>
      <c r="K65" s="34">
        <v>40817</v>
      </c>
      <c r="L65" s="1">
        <v>3930.4</v>
      </c>
      <c r="M65" s="34">
        <v>40817</v>
      </c>
      <c r="N65" s="1">
        <v>690.5</v>
      </c>
    </row>
    <row r="66" spans="1:14" x14ac:dyDescent="0.25">
      <c r="A66" s="34">
        <v>40848</v>
      </c>
      <c r="B66" s="1">
        <v>3917.1</v>
      </c>
      <c r="C66" s="34">
        <v>40848</v>
      </c>
      <c r="D66" s="1">
        <v>1499</v>
      </c>
      <c r="E66" s="34">
        <v>40848</v>
      </c>
      <c r="F66" s="1">
        <v>9.6</v>
      </c>
      <c r="G66" s="34">
        <v>40848</v>
      </c>
      <c r="H66" s="1">
        <v>1.65</v>
      </c>
      <c r="I66" s="34">
        <v>40848</v>
      </c>
      <c r="J66" s="1">
        <v>157.12</v>
      </c>
      <c r="K66" s="34">
        <v>40848</v>
      </c>
      <c r="L66" s="1">
        <v>3949.7</v>
      </c>
      <c r="M66" s="34">
        <v>40848</v>
      </c>
      <c r="N66" s="1">
        <v>693.5</v>
      </c>
    </row>
    <row r="67" spans="1:14" x14ac:dyDescent="0.25">
      <c r="A67" s="34">
        <v>40878</v>
      </c>
      <c r="B67" s="1">
        <v>3913.4</v>
      </c>
      <c r="C67" s="34">
        <v>40878</v>
      </c>
      <c r="D67" s="1">
        <v>1142</v>
      </c>
      <c r="E67" s="34">
        <v>40878</v>
      </c>
      <c r="F67" s="1">
        <v>9.5</v>
      </c>
      <c r="G67" s="34">
        <v>40878</v>
      </c>
      <c r="H67" s="1">
        <v>1.72</v>
      </c>
      <c r="I67" s="34">
        <v>40878</v>
      </c>
      <c r="J67" s="1">
        <v>157.53</v>
      </c>
      <c r="K67" s="34">
        <v>40878</v>
      </c>
      <c r="L67" s="1">
        <v>3936.4</v>
      </c>
      <c r="M67" s="34">
        <v>40878</v>
      </c>
      <c r="N67" s="1">
        <v>690.5</v>
      </c>
    </row>
    <row r="68" spans="1:14" x14ac:dyDescent="0.25">
      <c r="A68" s="34">
        <v>40909</v>
      </c>
      <c r="B68" s="1">
        <v>3924.1</v>
      </c>
      <c r="C68" s="34">
        <v>40909</v>
      </c>
      <c r="D68" s="1">
        <v>1676</v>
      </c>
      <c r="E68" s="34">
        <v>40909</v>
      </c>
      <c r="F68" s="1">
        <v>9.3000000000000007</v>
      </c>
      <c r="G68" s="34">
        <v>40909</v>
      </c>
      <c r="H68" s="1">
        <v>2.2999999999999998</v>
      </c>
      <c r="I68" s="34">
        <v>40909</v>
      </c>
      <c r="J68" s="1">
        <v>157.97999999999999</v>
      </c>
      <c r="K68" s="34">
        <v>40909</v>
      </c>
      <c r="L68" s="1">
        <v>3877.5</v>
      </c>
      <c r="M68" s="34">
        <v>40909</v>
      </c>
      <c r="N68" s="1">
        <v>683.6</v>
      </c>
    </row>
    <row r="69" spans="1:14" x14ac:dyDescent="0.25">
      <c r="A69" s="34">
        <v>40940</v>
      </c>
      <c r="B69" s="1">
        <v>3927.7</v>
      </c>
      <c r="C69" s="34">
        <v>40940</v>
      </c>
      <c r="D69" s="1">
        <v>2349</v>
      </c>
      <c r="E69" s="34">
        <v>40940</v>
      </c>
      <c r="F69" s="1">
        <v>9.1999999999999993</v>
      </c>
      <c r="G69" s="34">
        <v>40940</v>
      </c>
      <c r="H69" s="1">
        <v>1.7</v>
      </c>
      <c r="I69" s="34">
        <v>40940</v>
      </c>
      <c r="J69" s="1">
        <v>158.41999999999999</v>
      </c>
      <c r="K69" s="34">
        <v>40940</v>
      </c>
      <c r="L69" s="1">
        <v>3899</v>
      </c>
      <c r="M69" s="34">
        <v>40940</v>
      </c>
      <c r="N69" s="1">
        <v>688.6</v>
      </c>
    </row>
    <row r="70" spans="1:14" x14ac:dyDescent="0.25">
      <c r="A70" s="34">
        <v>40969</v>
      </c>
      <c r="B70" s="1">
        <v>3938</v>
      </c>
      <c r="C70" s="34">
        <v>40969</v>
      </c>
      <c r="D70" s="1">
        <v>1788</v>
      </c>
      <c r="E70" s="34">
        <v>40969</v>
      </c>
      <c r="F70" s="1">
        <v>9.1</v>
      </c>
      <c r="G70" s="34">
        <v>40969</v>
      </c>
      <c r="H70" s="1">
        <v>1.48</v>
      </c>
      <c r="I70" s="34">
        <v>40969</v>
      </c>
      <c r="J70" s="1">
        <v>158.83000000000001</v>
      </c>
      <c r="K70" s="34">
        <v>40969</v>
      </c>
      <c r="L70" s="1">
        <v>3922.3</v>
      </c>
      <c r="M70" s="34">
        <v>40969</v>
      </c>
      <c r="N70" s="1">
        <v>693.8</v>
      </c>
    </row>
    <row r="71" spans="1:14" x14ac:dyDescent="0.25">
      <c r="A71" s="34">
        <v>41000</v>
      </c>
      <c r="B71" s="1">
        <v>3945</v>
      </c>
      <c r="C71" s="34">
        <v>41000</v>
      </c>
      <c r="D71" s="1">
        <v>2218</v>
      </c>
      <c r="E71" s="34">
        <v>41000</v>
      </c>
      <c r="F71" s="1">
        <v>9.1</v>
      </c>
      <c r="G71" s="34">
        <v>41000</v>
      </c>
      <c r="H71" s="1">
        <v>1.28</v>
      </c>
      <c r="I71" s="34">
        <v>41000</v>
      </c>
      <c r="J71" s="1">
        <v>159.16999999999999</v>
      </c>
      <c r="K71" s="34">
        <v>41000</v>
      </c>
      <c r="L71" s="1">
        <v>3956</v>
      </c>
      <c r="M71" s="34">
        <v>41000</v>
      </c>
      <c r="N71" s="1">
        <v>693.9</v>
      </c>
    </row>
    <row r="72" spans="1:14" x14ac:dyDescent="0.25">
      <c r="A72" s="34">
        <v>41030</v>
      </c>
      <c r="B72" s="1">
        <v>3948.6</v>
      </c>
      <c r="C72" s="34">
        <v>41030</v>
      </c>
      <c r="D72" s="1">
        <v>1720</v>
      </c>
      <c r="E72" s="34">
        <v>41030</v>
      </c>
      <c r="F72" s="1">
        <v>9.1</v>
      </c>
      <c r="G72" s="34">
        <v>41030</v>
      </c>
      <c r="H72" s="1">
        <v>1.23</v>
      </c>
      <c r="I72" s="34">
        <v>41030</v>
      </c>
      <c r="J72" s="1">
        <v>159.47</v>
      </c>
      <c r="K72" s="34">
        <v>41030</v>
      </c>
      <c r="L72" s="1">
        <v>3972.8</v>
      </c>
      <c r="M72" s="34">
        <v>41030</v>
      </c>
      <c r="N72" s="1">
        <v>691.8</v>
      </c>
    </row>
    <row r="73" spans="1:14" x14ac:dyDescent="0.25">
      <c r="A73" s="34">
        <v>41061</v>
      </c>
      <c r="B73" s="1">
        <v>3956.3</v>
      </c>
      <c r="C73" s="34">
        <v>41061</v>
      </c>
      <c r="D73" s="1">
        <v>2287</v>
      </c>
      <c r="E73" s="34">
        <v>41061</v>
      </c>
      <c r="F73" s="1">
        <v>9.1</v>
      </c>
      <c r="G73" s="34">
        <v>41061</v>
      </c>
      <c r="H73" s="1">
        <v>1.29</v>
      </c>
      <c r="I73" s="34">
        <v>41061</v>
      </c>
      <c r="J73" s="1">
        <v>159.74</v>
      </c>
      <c r="K73" s="34">
        <v>41061</v>
      </c>
      <c r="L73" s="1">
        <v>3958.4</v>
      </c>
      <c r="M73" s="34">
        <v>41061</v>
      </c>
      <c r="N73" s="1">
        <v>683</v>
      </c>
    </row>
    <row r="74" spans="1:14" x14ac:dyDescent="0.25">
      <c r="A74" s="34">
        <v>41091</v>
      </c>
      <c r="B74" s="1">
        <v>3950.6</v>
      </c>
      <c r="C74" s="34">
        <v>41091</v>
      </c>
      <c r="D74" s="1">
        <v>2006</v>
      </c>
      <c r="E74" s="34">
        <v>41091</v>
      </c>
      <c r="F74" s="1">
        <v>9.1</v>
      </c>
      <c r="G74" s="34">
        <v>41091</v>
      </c>
      <c r="H74" s="1">
        <v>1.6</v>
      </c>
      <c r="I74" s="34">
        <v>41091</v>
      </c>
      <c r="J74" s="1">
        <v>160.04</v>
      </c>
      <c r="K74" s="34">
        <v>41091</v>
      </c>
      <c r="L74" s="1">
        <v>3927.1</v>
      </c>
      <c r="M74" s="34">
        <v>41091</v>
      </c>
      <c r="N74" s="1">
        <v>656.7</v>
      </c>
    </row>
    <row r="75" spans="1:14" x14ac:dyDescent="0.25">
      <c r="A75" s="34">
        <v>41122</v>
      </c>
      <c r="B75" s="1">
        <v>3954.2</v>
      </c>
      <c r="C75" s="34">
        <v>41122</v>
      </c>
      <c r="D75" s="1">
        <v>1946</v>
      </c>
      <c r="E75" s="34">
        <v>41122</v>
      </c>
      <c r="F75" s="1">
        <v>9</v>
      </c>
      <c r="G75" s="34">
        <v>41122</v>
      </c>
      <c r="H75" s="1">
        <v>2.23</v>
      </c>
      <c r="I75" s="34">
        <v>41122</v>
      </c>
      <c r="J75" s="1">
        <v>160.44</v>
      </c>
      <c r="K75" s="34">
        <v>41122</v>
      </c>
      <c r="L75" s="1">
        <v>3962.1</v>
      </c>
      <c r="M75" s="34">
        <v>41122</v>
      </c>
      <c r="N75" s="1">
        <v>674.2</v>
      </c>
    </row>
    <row r="76" spans="1:14" x14ac:dyDescent="0.25">
      <c r="A76" s="34">
        <v>41153</v>
      </c>
      <c r="B76" s="1">
        <v>3957.3</v>
      </c>
      <c r="C76" s="34">
        <v>41153</v>
      </c>
      <c r="D76" s="1">
        <v>2089</v>
      </c>
      <c r="E76" s="34">
        <v>41153</v>
      </c>
      <c r="F76" s="1">
        <v>8.9</v>
      </c>
      <c r="G76" s="34">
        <v>41153</v>
      </c>
      <c r="H76" s="1">
        <v>2.14</v>
      </c>
      <c r="I76" s="34">
        <v>41153</v>
      </c>
      <c r="J76" s="1">
        <v>160.91999999999999</v>
      </c>
      <c r="K76" s="34">
        <v>41153</v>
      </c>
      <c r="L76" s="1">
        <v>3956</v>
      </c>
      <c r="M76" s="34">
        <v>41153</v>
      </c>
      <c r="N76" s="1">
        <v>684.6</v>
      </c>
    </row>
    <row r="77" spans="1:14" x14ac:dyDescent="0.25">
      <c r="A77" s="34">
        <v>41183</v>
      </c>
      <c r="B77" s="1">
        <v>3974.3</v>
      </c>
      <c r="C77" s="34">
        <v>41183</v>
      </c>
      <c r="D77" s="1">
        <v>2419</v>
      </c>
      <c r="E77" s="34">
        <v>41183</v>
      </c>
      <c r="F77" s="1">
        <v>8.8000000000000007</v>
      </c>
      <c r="G77" s="34">
        <v>41183</v>
      </c>
      <c r="H77" s="1">
        <v>2.2799999999999998</v>
      </c>
      <c r="I77" s="34">
        <v>41183</v>
      </c>
      <c r="J77" s="1">
        <v>161.47</v>
      </c>
      <c r="K77" s="34">
        <v>41183</v>
      </c>
      <c r="L77" s="1">
        <v>3993</v>
      </c>
      <c r="M77" s="34">
        <v>41183</v>
      </c>
      <c r="N77" s="1">
        <v>690.8</v>
      </c>
    </row>
    <row r="78" spans="1:14" x14ac:dyDescent="0.25">
      <c r="A78" s="34">
        <v>41214</v>
      </c>
      <c r="B78" s="1">
        <v>3983.8</v>
      </c>
      <c r="C78" s="34">
        <v>41214</v>
      </c>
      <c r="D78" s="1">
        <v>1400</v>
      </c>
      <c r="E78" s="34">
        <v>41214</v>
      </c>
      <c r="F78" s="1">
        <v>8.6999999999999993</v>
      </c>
      <c r="G78" s="34">
        <v>41214</v>
      </c>
      <c r="H78" s="1">
        <v>1.96</v>
      </c>
      <c r="I78" s="34">
        <v>41214</v>
      </c>
      <c r="J78" s="1">
        <v>162.03</v>
      </c>
      <c r="K78" s="34">
        <v>41214</v>
      </c>
      <c r="L78" s="1">
        <v>4023.7</v>
      </c>
      <c r="M78" s="34">
        <v>41214</v>
      </c>
      <c r="N78" s="1">
        <v>696.9</v>
      </c>
    </row>
    <row r="79" spans="1:14" x14ac:dyDescent="0.25">
      <c r="A79" s="34">
        <v>41244</v>
      </c>
      <c r="B79" s="1">
        <v>3986.3</v>
      </c>
      <c r="C79" s="34">
        <v>41244</v>
      </c>
      <c r="D79" s="1">
        <v>2143</v>
      </c>
      <c r="E79" s="34">
        <v>41244</v>
      </c>
      <c r="F79" s="1">
        <v>8.6999999999999993</v>
      </c>
      <c r="G79" s="34">
        <v>41244</v>
      </c>
      <c r="H79" s="1">
        <v>1.79</v>
      </c>
      <c r="I79" s="34">
        <v>41244</v>
      </c>
      <c r="J79" s="1">
        <v>162.56</v>
      </c>
      <c r="K79" s="34">
        <v>41244</v>
      </c>
      <c r="L79" s="1">
        <v>4010.6</v>
      </c>
      <c r="M79" s="34">
        <v>41244</v>
      </c>
      <c r="N79" s="1">
        <v>691.1</v>
      </c>
    </row>
    <row r="80" spans="1:14" x14ac:dyDescent="0.25">
      <c r="A80" s="34">
        <v>41275</v>
      </c>
      <c r="B80" s="1">
        <v>3997.5</v>
      </c>
      <c r="C80" s="34">
        <v>41275</v>
      </c>
      <c r="D80" s="1">
        <v>1780</v>
      </c>
      <c r="E80" s="34">
        <v>41275</v>
      </c>
      <c r="F80" s="1">
        <v>8.6</v>
      </c>
      <c r="G80" s="34">
        <v>41275</v>
      </c>
      <c r="H80" s="1">
        <v>2.2200000000000002</v>
      </c>
      <c r="I80" s="34">
        <v>41275</v>
      </c>
      <c r="J80" s="1">
        <v>163.09</v>
      </c>
      <c r="K80" s="34">
        <v>41275</v>
      </c>
      <c r="L80" s="1">
        <v>3951.2</v>
      </c>
      <c r="M80" s="34">
        <v>41275</v>
      </c>
      <c r="N80" s="1">
        <v>685.5</v>
      </c>
    </row>
    <row r="81" spans="1:14" x14ac:dyDescent="0.25">
      <c r="A81" s="34">
        <v>41306</v>
      </c>
      <c r="B81" s="1">
        <v>4008.1</v>
      </c>
      <c r="C81" s="34">
        <v>41306</v>
      </c>
      <c r="D81" s="1">
        <v>3456</v>
      </c>
      <c r="E81" s="34">
        <v>41306</v>
      </c>
      <c r="F81" s="1">
        <v>8.5</v>
      </c>
      <c r="G81" s="34">
        <v>41306</v>
      </c>
      <c r="H81" s="1">
        <v>1.71</v>
      </c>
      <c r="I81" s="34">
        <v>41306</v>
      </c>
      <c r="J81" s="1">
        <v>163.59</v>
      </c>
      <c r="K81" s="34">
        <v>41306</v>
      </c>
      <c r="L81" s="1">
        <v>3979.7</v>
      </c>
      <c r="M81" s="34">
        <v>41306</v>
      </c>
      <c r="N81" s="1">
        <v>691.6</v>
      </c>
    </row>
    <row r="82" spans="1:14" x14ac:dyDescent="0.25">
      <c r="A82" s="34">
        <v>41334</v>
      </c>
      <c r="B82" s="1">
        <v>4010.7</v>
      </c>
      <c r="C82" s="34">
        <v>41334</v>
      </c>
      <c r="D82" s="1">
        <v>2949</v>
      </c>
      <c r="E82" s="34">
        <v>41334</v>
      </c>
      <c r="F82" s="1">
        <v>8.4</v>
      </c>
      <c r="G82" s="34">
        <v>41334</v>
      </c>
      <c r="H82" s="1">
        <v>1.5</v>
      </c>
      <c r="I82" s="34">
        <v>41334</v>
      </c>
      <c r="J82" s="1">
        <v>164.03</v>
      </c>
      <c r="K82" s="34">
        <v>41334</v>
      </c>
      <c r="L82" s="1">
        <v>3995.2</v>
      </c>
      <c r="M82" s="34">
        <v>41334</v>
      </c>
      <c r="N82" s="1">
        <v>693.1</v>
      </c>
    </row>
    <row r="83" spans="1:14" x14ac:dyDescent="0.25">
      <c r="A83" s="34">
        <v>41365</v>
      </c>
      <c r="B83" s="1">
        <v>4019.2</v>
      </c>
      <c r="C83" s="34">
        <v>41365</v>
      </c>
      <c r="D83" s="1">
        <v>2881</v>
      </c>
      <c r="E83" s="34">
        <v>41365</v>
      </c>
      <c r="F83" s="1">
        <v>8.3000000000000007</v>
      </c>
      <c r="G83" s="34">
        <v>41365</v>
      </c>
      <c r="H83" s="1">
        <v>1.26</v>
      </c>
      <c r="I83" s="34">
        <v>41365</v>
      </c>
      <c r="J83" s="1">
        <v>164.41</v>
      </c>
      <c r="K83" s="34">
        <v>41365</v>
      </c>
      <c r="L83" s="1">
        <v>4032.1</v>
      </c>
      <c r="M83" s="34">
        <v>41365</v>
      </c>
      <c r="N83" s="1">
        <v>693.1</v>
      </c>
    </row>
    <row r="84" spans="1:14" x14ac:dyDescent="0.25">
      <c r="A84" s="34">
        <v>41395</v>
      </c>
      <c r="B84" s="1">
        <v>4021.3</v>
      </c>
      <c r="C84" s="34">
        <v>41395</v>
      </c>
      <c r="D84" s="1">
        <v>3739</v>
      </c>
      <c r="E84" s="34">
        <v>41395</v>
      </c>
      <c r="F84" s="1">
        <v>8.4</v>
      </c>
      <c r="G84" s="34">
        <v>41395</v>
      </c>
      <c r="H84" s="1">
        <v>1.07</v>
      </c>
      <c r="I84" s="34">
        <v>41395</v>
      </c>
      <c r="J84" s="1">
        <v>164.71</v>
      </c>
      <c r="K84" s="34">
        <v>41395</v>
      </c>
      <c r="L84" s="1">
        <v>4044.9</v>
      </c>
      <c r="M84" s="34">
        <v>41395</v>
      </c>
      <c r="N84" s="1">
        <v>688.7</v>
      </c>
    </row>
    <row r="85" spans="1:14" x14ac:dyDescent="0.25">
      <c r="A85" s="34">
        <v>41426</v>
      </c>
      <c r="B85" s="1">
        <v>4027.2</v>
      </c>
      <c r="C85" s="34">
        <v>41426</v>
      </c>
      <c r="D85" s="1">
        <v>3588</v>
      </c>
      <c r="E85" s="34">
        <v>41426</v>
      </c>
      <c r="F85" s="1">
        <v>8.4</v>
      </c>
      <c r="G85" s="34">
        <v>41426</v>
      </c>
      <c r="H85" s="1">
        <v>2.04</v>
      </c>
      <c r="I85" s="34">
        <v>41426</v>
      </c>
      <c r="J85" s="1">
        <v>165.04</v>
      </c>
      <c r="K85" s="34">
        <v>41426</v>
      </c>
      <c r="L85" s="1">
        <v>4027</v>
      </c>
      <c r="M85" s="34">
        <v>41426</v>
      </c>
      <c r="N85" s="1">
        <v>674.4</v>
      </c>
    </row>
    <row r="86" spans="1:14" x14ac:dyDescent="0.25">
      <c r="A86" s="34">
        <v>41456</v>
      </c>
      <c r="B86" s="1">
        <v>4038.2</v>
      </c>
      <c r="C86" s="34">
        <v>41456</v>
      </c>
      <c r="D86" s="1">
        <v>2808</v>
      </c>
      <c r="E86" s="34">
        <v>41456</v>
      </c>
      <c r="F86" s="1">
        <v>8.3000000000000007</v>
      </c>
      <c r="G86" s="34">
        <v>41456</v>
      </c>
      <c r="H86" s="1">
        <v>2.02</v>
      </c>
      <c r="I86" s="34">
        <v>41456</v>
      </c>
      <c r="J86" s="1">
        <v>165.44</v>
      </c>
      <c r="K86" s="34">
        <v>41456</v>
      </c>
      <c r="L86" s="1">
        <v>4015.1</v>
      </c>
      <c r="M86" s="34">
        <v>41456</v>
      </c>
      <c r="N86" s="1">
        <v>653.6</v>
      </c>
    </row>
    <row r="87" spans="1:14" x14ac:dyDescent="0.25">
      <c r="A87" s="34">
        <v>41487</v>
      </c>
      <c r="B87" s="1">
        <v>4045.4</v>
      </c>
      <c r="C87" s="34">
        <v>41487</v>
      </c>
      <c r="D87" s="1">
        <v>2563</v>
      </c>
      <c r="E87" s="34">
        <v>41487</v>
      </c>
      <c r="F87" s="1">
        <v>8.1999999999999993</v>
      </c>
      <c r="G87" s="34">
        <v>41487</v>
      </c>
      <c r="H87" s="1">
        <v>1.86</v>
      </c>
      <c r="I87" s="34">
        <v>41487</v>
      </c>
      <c r="J87" s="1">
        <v>165.9</v>
      </c>
      <c r="K87" s="34">
        <v>41487</v>
      </c>
      <c r="L87" s="1">
        <v>4053.6</v>
      </c>
      <c r="M87" s="34">
        <v>41487</v>
      </c>
      <c r="N87" s="1">
        <v>670</v>
      </c>
    </row>
    <row r="88" spans="1:14" x14ac:dyDescent="0.25">
      <c r="A88" s="34">
        <v>41518</v>
      </c>
      <c r="B88" s="1">
        <v>4051.8</v>
      </c>
      <c r="C88" s="34">
        <v>41518</v>
      </c>
      <c r="D88" s="1">
        <v>2909</v>
      </c>
      <c r="E88" s="34">
        <v>41518</v>
      </c>
      <c r="F88" s="1">
        <v>8</v>
      </c>
      <c r="G88" s="34">
        <v>41518</v>
      </c>
      <c r="H88" s="1">
        <v>2.11</v>
      </c>
      <c r="I88" s="34">
        <v>41518</v>
      </c>
      <c r="J88" s="1">
        <v>166.4</v>
      </c>
      <c r="K88" s="34">
        <v>41518</v>
      </c>
      <c r="L88" s="1">
        <v>4049.2</v>
      </c>
      <c r="M88" s="34">
        <v>41518</v>
      </c>
      <c r="N88" s="1">
        <v>680.8</v>
      </c>
    </row>
    <row r="89" spans="1:14" x14ac:dyDescent="0.25">
      <c r="A89" s="34">
        <v>41548</v>
      </c>
      <c r="B89" s="1">
        <v>4054.5</v>
      </c>
      <c r="C89" s="34">
        <v>41548</v>
      </c>
      <c r="D89" s="1">
        <v>3193</v>
      </c>
      <c r="E89" s="34">
        <v>41548</v>
      </c>
      <c r="F89" s="1">
        <v>7.8</v>
      </c>
      <c r="G89" s="34">
        <v>41548</v>
      </c>
      <c r="H89" s="1">
        <v>2.2200000000000002</v>
      </c>
      <c r="I89" s="34">
        <v>41548</v>
      </c>
      <c r="J89" s="1">
        <v>166.93</v>
      </c>
      <c r="K89" s="34">
        <v>41548</v>
      </c>
      <c r="L89" s="1">
        <v>4070.4</v>
      </c>
      <c r="M89" s="34">
        <v>41548</v>
      </c>
      <c r="N89" s="1">
        <v>683.6</v>
      </c>
    </row>
    <row r="90" spans="1:14" x14ac:dyDescent="0.25">
      <c r="A90" s="34">
        <v>41579</v>
      </c>
      <c r="B90" s="1">
        <v>4067.6</v>
      </c>
      <c r="C90" s="34">
        <v>41579</v>
      </c>
      <c r="D90" s="1">
        <v>2667</v>
      </c>
      <c r="E90" s="34">
        <v>41579</v>
      </c>
      <c r="F90" s="1">
        <v>7.6</v>
      </c>
      <c r="G90" s="34">
        <v>41579</v>
      </c>
      <c r="H90" s="1">
        <v>2.35</v>
      </c>
      <c r="I90" s="34">
        <v>41579</v>
      </c>
      <c r="J90" s="1">
        <v>167.49</v>
      </c>
      <c r="K90" s="34">
        <v>41579</v>
      </c>
      <c r="L90" s="1">
        <v>4093.8</v>
      </c>
      <c r="M90" s="34">
        <v>41579</v>
      </c>
      <c r="N90" s="1">
        <v>684.7</v>
      </c>
    </row>
    <row r="91" spans="1:14" x14ac:dyDescent="0.25">
      <c r="A91" s="34">
        <v>41609</v>
      </c>
      <c r="B91" s="1">
        <v>4072.5</v>
      </c>
      <c r="C91" s="34">
        <v>41609</v>
      </c>
      <c r="D91" s="1">
        <v>2208</v>
      </c>
      <c r="E91" s="34">
        <v>41609</v>
      </c>
      <c r="F91" s="1">
        <v>7.4</v>
      </c>
      <c r="G91" s="34">
        <v>41609</v>
      </c>
      <c r="H91" s="1">
        <v>2.19</v>
      </c>
      <c r="I91" s="34">
        <v>41609</v>
      </c>
      <c r="J91" s="1">
        <v>168.06</v>
      </c>
      <c r="K91" s="34">
        <v>41609</v>
      </c>
      <c r="L91" s="1">
        <v>4088.2</v>
      </c>
      <c r="M91" s="34">
        <v>41609</v>
      </c>
      <c r="N91" s="1">
        <v>681.8</v>
      </c>
    </row>
    <row r="92" spans="1:14" x14ac:dyDescent="0.25">
      <c r="A92" s="34">
        <v>41640</v>
      </c>
      <c r="B92" s="1">
        <v>4069.9</v>
      </c>
      <c r="C92" s="34">
        <v>41640</v>
      </c>
      <c r="D92" s="1">
        <v>1723</v>
      </c>
      <c r="E92" s="34">
        <v>41640</v>
      </c>
      <c r="F92" s="1">
        <v>7.3</v>
      </c>
      <c r="G92" s="34">
        <v>41640</v>
      </c>
      <c r="H92" s="1">
        <v>2.0499999999999998</v>
      </c>
      <c r="I92" s="34">
        <v>41640</v>
      </c>
      <c r="J92" s="1">
        <v>168.64</v>
      </c>
      <c r="K92" s="34">
        <v>41640</v>
      </c>
      <c r="L92" s="1">
        <v>4030.1</v>
      </c>
      <c r="M92" s="34">
        <v>41640</v>
      </c>
      <c r="N92" s="1">
        <v>675.8</v>
      </c>
    </row>
    <row r="93" spans="1:14" x14ac:dyDescent="0.25">
      <c r="A93" s="34">
        <v>41671</v>
      </c>
      <c r="B93" s="1">
        <v>4064.1</v>
      </c>
      <c r="C93" s="34">
        <v>41671</v>
      </c>
      <c r="D93" s="1">
        <v>2910</v>
      </c>
      <c r="E93" s="34">
        <v>41671</v>
      </c>
      <c r="F93" s="1">
        <v>7.1</v>
      </c>
      <c r="G93" s="34">
        <v>41671</v>
      </c>
      <c r="H93" s="1">
        <v>1.89</v>
      </c>
      <c r="I93" s="34">
        <v>41671</v>
      </c>
      <c r="J93" s="1">
        <v>169.22</v>
      </c>
      <c r="K93" s="34">
        <v>41671</v>
      </c>
      <c r="L93" s="1">
        <v>4036.8</v>
      </c>
      <c r="M93" s="34">
        <v>41671</v>
      </c>
      <c r="N93" s="1">
        <v>679.7</v>
      </c>
    </row>
    <row r="94" spans="1:14" x14ac:dyDescent="0.25">
      <c r="A94" s="34">
        <v>41699</v>
      </c>
      <c r="B94" s="1">
        <v>4081</v>
      </c>
      <c r="C94" s="34">
        <v>41699</v>
      </c>
      <c r="D94" s="1">
        <v>3885</v>
      </c>
      <c r="E94" s="34">
        <v>41699</v>
      </c>
      <c r="F94" s="1">
        <v>7</v>
      </c>
      <c r="G94" s="34">
        <v>41699</v>
      </c>
      <c r="H94" s="1">
        <v>1.85</v>
      </c>
      <c r="I94" s="34">
        <v>41699</v>
      </c>
      <c r="J94" s="1">
        <v>169.8</v>
      </c>
      <c r="K94" s="34">
        <v>41699</v>
      </c>
      <c r="L94" s="1">
        <v>4066.5</v>
      </c>
      <c r="M94" s="34">
        <v>41699</v>
      </c>
      <c r="N94" s="1">
        <v>680.7</v>
      </c>
    </row>
    <row r="95" spans="1:14" x14ac:dyDescent="0.25">
      <c r="A95" s="34">
        <v>41730</v>
      </c>
      <c r="B95" s="1">
        <v>4091.5</v>
      </c>
      <c r="C95" s="34">
        <v>41730</v>
      </c>
      <c r="D95" s="1">
        <v>2751</v>
      </c>
      <c r="E95" s="34">
        <v>41730</v>
      </c>
      <c r="F95" s="1">
        <v>6.9</v>
      </c>
      <c r="G95" s="34">
        <v>41730</v>
      </c>
      <c r="H95" s="1">
        <v>1.17</v>
      </c>
      <c r="I95" s="34">
        <v>41730</v>
      </c>
      <c r="J95" s="1">
        <v>170.3</v>
      </c>
      <c r="K95" s="34">
        <v>41730</v>
      </c>
      <c r="L95" s="1">
        <v>4103.7</v>
      </c>
      <c r="M95" s="34">
        <v>41730</v>
      </c>
      <c r="N95" s="1">
        <v>682.9</v>
      </c>
    </row>
    <row r="96" spans="1:14" x14ac:dyDescent="0.25">
      <c r="A96" s="34">
        <v>41760</v>
      </c>
      <c r="B96" s="1">
        <v>4105.3999999999996</v>
      </c>
      <c r="C96" s="34">
        <v>41760</v>
      </c>
      <c r="D96" s="1">
        <v>3600</v>
      </c>
      <c r="E96" s="34">
        <v>41760</v>
      </c>
      <c r="F96" s="1">
        <v>7.2</v>
      </c>
      <c r="G96" s="34">
        <v>41760</v>
      </c>
      <c r="H96" s="1">
        <v>0.99</v>
      </c>
      <c r="I96" s="34">
        <v>41760</v>
      </c>
      <c r="J96" s="1">
        <v>170.68</v>
      </c>
      <c r="K96" s="34">
        <v>41760</v>
      </c>
      <c r="L96" s="1">
        <v>4126.1000000000004</v>
      </c>
      <c r="M96" s="34">
        <v>41760</v>
      </c>
      <c r="N96" s="1">
        <v>681.4</v>
      </c>
    </row>
    <row r="97" spans="1:14" x14ac:dyDescent="0.25">
      <c r="A97" s="34">
        <v>41791</v>
      </c>
      <c r="B97" s="1">
        <v>4098.8999999999996</v>
      </c>
      <c r="C97" s="34">
        <v>41791</v>
      </c>
      <c r="D97" s="1">
        <v>3145</v>
      </c>
      <c r="E97" s="34">
        <v>41791</v>
      </c>
      <c r="F97" s="1">
        <v>7.4</v>
      </c>
      <c r="G97" s="34">
        <v>41791</v>
      </c>
      <c r="H97" s="1">
        <v>1.72</v>
      </c>
      <c r="I97" s="34">
        <v>41791</v>
      </c>
      <c r="J97" s="1">
        <v>171.01</v>
      </c>
      <c r="K97" s="34">
        <v>41791</v>
      </c>
      <c r="L97" s="1">
        <v>4111.2</v>
      </c>
      <c r="M97" s="34">
        <v>41791</v>
      </c>
      <c r="N97" s="1">
        <v>670.8</v>
      </c>
    </row>
    <row r="98" spans="1:14" x14ac:dyDescent="0.25">
      <c r="A98" s="34">
        <v>41821</v>
      </c>
      <c r="B98" s="1">
        <v>4118.3</v>
      </c>
      <c r="C98" s="34">
        <v>41821</v>
      </c>
      <c r="D98" s="1">
        <v>3472</v>
      </c>
      <c r="E98" s="34">
        <v>41821</v>
      </c>
      <c r="F98" s="1">
        <v>7.7</v>
      </c>
      <c r="G98" s="34">
        <v>41821</v>
      </c>
      <c r="H98" s="1">
        <v>1.52</v>
      </c>
      <c r="I98" s="34">
        <v>41821</v>
      </c>
      <c r="J98" s="1">
        <v>171.31</v>
      </c>
      <c r="K98" s="34">
        <v>41821</v>
      </c>
      <c r="L98" s="1">
        <v>4108.2</v>
      </c>
      <c r="M98" s="34">
        <v>41821</v>
      </c>
      <c r="N98" s="1">
        <v>653.70000000000005</v>
      </c>
    </row>
    <row r="99" spans="1:14" x14ac:dyDescent="0.25">
      <c r="A99" s="34">
        <v>41852</v>
      </c>
      <c r="B99" s="1">
        <v>4137.7</v>
      </c>
      <c r="C99" s="34">
        <v>41852</v>
      </c>
      <c r="D99" s="1">
        <v>3392</v>
      </c>
      <c r="E99" s="34">
        <v>41852</v>
      </c>
      <c r="F99" s="1">
        <v>8.1</v>
      </c>
      <c r="G99" s="34">
        <v>41852</v>
      </c>
      <c r="H99" s="1">
        <v>2.54</v>
      </c>
      <c r="I99" s="34">
        <v>41852</v>
      </c>
      <c r="J99" s="1">
        <v>171.7</v>
      </c>
      <c r="K99" s="34">
        <v>41852</v>
      </c>
      <c r="L99" s="1">
        <v>4136.5</v>
      </c>
      <c r="M99" s="34">
        <v>41852</v>
      </c>
      <c r="N99" s="1">
        <v>671.1</v>
      </c>
    </row>
    <row r="100" spans="1:14" x14ac:dyDescent="0.25">
      <c r="A100" s="34">
        <v>41883</v>
      </c>
      <c r="B100" s="1">
        <v>4138.3</v>
      </c>
      <c r="C100" s="34">
        <v>41883</v>
      </c>
      <c r="D100" s="1">
        <v>2455</v>
      </c>
      <c r="E100" s="34">
        <v>41883</v>
      </c>
      <c r="F100" s="1">
        <v>7.9</v>
      </c>
      <c r="G100" s="34">
        <v>41883</v>
      </c>
      <c r="H100" s="1">
        <v>4.43</v>
      </c>
      <c r="I100" s="34">
        <v>41883</v>
      </c>
      <c r="J100" s="1">
        <v>172.38</v>
      </c>
      <c r="K100" s="34">
        <v>41883</v>
      </c>
      <c r="L100" s="1">
        <v>4132.6000000000004</v>
      </c>
      <c r="M100" s="34">
        <v>41883</v>
      </c>
      <c r="N100" s="1">
        <v>680</v>
      </c>
    </row>
    <row r="101" spans="1:14" x14ac:dyDescent="0.25">
      <c r="A101" s="34">
        <v>41913</v>
      </c>
      <c r="B101" s="1">
        <v>4152.7</v>
      </c>
      <c r="C101" s="34">
        <v>41913</v>
      </c>
      <c r="D101" s="1">
        <v>3468</v>
      </c>
      <c r="E101" s="34">
        <v>41913</v>
      </c>
      <c r="F101" s="1">
        <v>7.6</v>
      </c>
      <c r="G101" s="34">
        <v>41913</v>
      </c>
      <c r="H101" s="1">
        <v>3.73</v>
      </c>
      <c r="I101" s="34">
        <v>41913</v>
      </c>
      <c r="J101" s="1">
        <v>173.31</v>
      </c>
      <c r="K101" s="34">
        <v>41913</v>
      </c>
      <c r="L101" s="1">
        <v>4169.2</v>
      </c>
      <c r="M101" s="34">
        <v>41913</v>
      </c>
      <c r="N101" s="1">
        <v>683.2</v>
      </c>
    </row>
    <row r="102" spans="1:14" x14ac:dyDescent="0.25">
      <c r="A102" s="34">
        <v>41944</v>
      </c>
      <c r="B102" s="1">
        <v>4166.7</v>
      </c>
      <c r="C102" s="34">
        <v>41944</v>
      </c>
      <c r="D102" s="1">
        <v>2267</v>
      </c>
      <c r="E102" s="34">
        <v>41944</v>
      </c>
      <c r="F102" s="1">
        <v>7.2</v>
      </c>
      <c r="G102" s="34">
        <v>41944</v>
      </c>
      <c r="H102" s="1">
        <v>3.36</v>
      </c>
      <c r="I102" s="34">
        <v>41944</v>
      </c>
      <c r="J102" s="1">
        <v>174.35</v>
      </c>
      <c r="K102" s="34">
        <v>41944</v>
      </c>
      <c r="L102" s="1">
        <v>4195.5</v>
      </c>
      <c r="M102" s="34">
        <v>41944</v>
      </c>
      <c r="N102" s="1">
        <v>684.9</v>
      </c>
    </row>
    <row r="103" spans="1:14" x14ac:dyDescent="0.25">
      <c r="A103" s="34">
        <v>41974</v>
      </c>
      <c r="B103" s="1">
        <v>4180.8</v>
      </c>
      <c r="E103" s="34">
        <v>41974</v>
      </c>
      <c r="F103" s="1">
        <v>6.9</v>
      </c>
      <c r="K103" s="34">
        <v>41974</v>
      </c>
      <c r="L103" s="1">
        <v>4196.3999999999996</v>
      </c>
      <c r="M103" s="34">
        <v>41974</v>
      </c>
      <c r="N103" s="1">
        <v>683.4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P103"/>
  <sheetViews>
    <sheetView topLeftCell="A82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121</v>
      </c>
      <c r="C1" s="34" t="s">
        <v>122</v>
      </c>
      <c r="E1" s="34" t="s">
        <v>123</v>
      </c>
      <c r="G1" s="34" t="s">
        <v>124</v>
      </c>
      <c r="I1" s="34" t="s">
        <v>125</v>
      </c>
      <c r="K1" s="34" t="str">
        <f>CONCATENATE(LEFT(A1,2), "NAN")</f>
        <v>HINAN</v>
      </c>
      <c r="M1" s="34" t="str">
        <f>CONCATENATE(LEFT(A1,2), "GOVTN")</f>
        <v>HIGOVTN</v>
      </c>
      <c r="O1" s="34" t="str">
        <f>CONCATENATE(LEFT($A$1,2), "RGSP")</f>
        <v>HIRGSP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990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866</v>
      </c>
      <c r="C5" s="35" t="s">
        <v>126</v>
      </c>
      <c r="E5" s="35" t="s">
        <v>127</v>
      </c>
      <c r="G5" s="35" t="s">
        <v>128</v>
      </c>
      <c r="I5" s="35" t="s">
        <v>129</v>
      </c>
      <c r="K5" s="35" t="s">
        <v>866</v>
      </c>
      <c r="M5" s="35" t="s">
        <v>867</v>
      </c>
      <c r="O5" s="35" t="s">
        <v>809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622.70000000000005</v>
      </c>
      <c r="C8" s="34">
        <v>39083</v>
      </c>
      <c r="D8" s="1">
        <v>862</v>
      </c>
      <c r="E8" s="34">
        <v>39083</v>
      </c>
      <c r="F8" s="1">
        <v>2.4</v>
      </c>
      <c r="G8" s="34">
        <v>39083</v>
      </c>
      <c r="H8" s="1">
        <v>-0.14000000000000001</v>
      </c>
      <c r="I8" s="34">
        <v>39083</v>
      </c>
      <c r="J8" s="1">
        <v>113.68</v>
      </c>
      <c r="K8" s="34">
        <v>39083</v>
      </c>
      <c r="L8" s="1">
        <v>615</v>
      </c>
      <c r="M8" s="34">
        <v>39083</v>
      </c>
      <c r="N8" s="1">
        <v>119.9</v>
      </c>
      <c r="O8" s="34">
        <v>39083</v>
      </c>
      <c r="P8" s="1">
        <v>66990</v>
      </c>
    </row>
    <row r="9" spans="1:16" x14ac:dyDescent="0.25">
      <c r="A9" s="34">
        <v>39114</v>
      </c>
      <c r="B9" s="1">
        <v>623.70000000000005</v>
      </c>
      <c r="C9" s="34">
        <v>39114</v>
      </c>
      <c r="D9" s="1">
        <v>690</v>
      </c>
      <c r="E9" s="34">
        <v>39114</v>
      </c>
      <c r="F9" s="1">
        <v>2.4</v>
      </c>
      <c r="G9" s="34">
        <v>39114</v>
      </c>
      <c r="H9" s="1">
        <v>0.06</v>
      </c>
      <c r="I9" s="34">
        <v>39114</v>
      </c>
      <c r="J9" s="1">
        <v>113.86</v>
      </c>
      <c r="K9" s="34">
        <v>39114</v>
      </c>
      <c r="L9" s="1">
        <v>622.9</v>
      </c>
      <c r="M9" s="34">
        <v>39114</v>
      </c>
      <c r="N9" s="1">
        <v>124.2</v>
      </c>
      <c r="O9" s="34">
        <v>39448</v>
      </c>
      <c r="P9" s="1">
        <v>67419</v>
      </c>
    </row>
    <row r="10" spans="1:16" x14ac:dyDescent="0.25">
      <c r="A10" s="34">
        <v>39142</v>
      </c>
      <c r="B10" s="1">
        <v>624.20000000000005</v>
      </c>
      <c r="C10" s="34">
        <v>39142</v>
      </c>
      <c r="D10" s="1">
        <v>587</v>
      </c>
      <c r="E10" s="34">
        <v>39142</v>
      </c>
      <c r="F10" s="1">
        <v>2.5</v>
      </c>
      <c r="G10" s="34">
        <v>39142</v>
      </c>
      <c r="H10" s="1">
        <v>-7.0000000000000007E-2</v>
      </c>
      <c r="I10" s="34">
        <v>39142</v>
      </c>
      <c r="J10" s="1">
        <v>113.76</v>
      </c>
      <c r="K10" s="34">
        <v>39142</v>
      </c>
      <c r="L10" s="1">
        <v>626.5</v>
      </c>
      <c r="M10" s="34">
        <v>39142</v>
      </c>
      <c r="N10" s="1">
        <v>124.9</v>
      </c>
      <c r="O10" s="34">
        <v>39814</v>
      </c>
      <c r="P10" s="1">
        <v>65084</v>
      </c>
    </row>
    <row r="11" spans="1:16" x14ac:dyDescent="0.25">
      <c r="A11" s="34">
        <v>39173</v>
      </c>
      <c r="B11" s="1">
        <v>620.1</v>
      </c>
      <c r="C11" s="34">
        <v>39173</v>
      </c>
      <c r="D11" s="1">
        <v>514</v>
      </c>
      <c r="E11" s="34">
        <v>39173</v>
      </c>
      <c r="F11" s="1">
        <v>2.5</v>
      </c>
      <c r="G11" s="34">
        <v>39173</v>
      </c>
      <c r="H11" s="1">
        <v>-0.01</v>
      </c>
      <c r="I11" s="34">
        <v>39173</v>
      </c>
      <c r="J11" s="1">
        <v>113.91</v>
      </c>
      <c r="K11" s="34">
        <v>39173</v>
      </c>
      <c r="L11" s="1">
        <v>618.5</v>
      </c>
      <c r="M11" s="34">
        <v>39173</v>
      </c>
      <c r="N11" s="1">
        <v>119.9</v>
      </c>
      <c r="O11" s="34">
        <v>40179</v>
      </c>
      <c r="P11" s="1">
        <v>66432</v>
      </c>
    </row>
    <row r="12" spans="1:16" x14ac:dyDescent="0.25">
      <c r="A12" s="34">
        <v>39203</v>
      </c>
      <c r="B12" s="1">
        <v>625.29999999999995</v>
      </c>
      <c r="C12" s="34">
        <v>39203</v>
      </c>
      <c r="D12" s="1">
        <v>622</v>
      </c>
      <c r="E12" s="34">
        <v>39203</v>
      </c>
      <c r="F12" s="1">
        <v>2.6</v>
      </c>
      <c r="G12" s="34">
        <v>39203</v>
      </c>
      <c r="H12" s="1">
        <v>-0.17</v>
      </c>
      <c r="I12" s="34">
        <v>39203</v>
      </c>
      <c r="J12" s="1">
        <v>113.8</v>
      </c>
      <c r="K12" s="34">
        <v>39203</v>
      </c>
      <c r="L12" s="1">
        <v>627.1</v>
      </c>
      <c r="M12" s="34">
        <v>39203</v>
      </c>
      <c r="N12" s="1">
        <v>125.3</v>
      </c>
      <c r="O12" s="34">
        <v>40544</v>
      </c>
      <c r="P12" s="1">
        <v>67660</v>
      </c>
    </row>
    <row r="13" spans="1:16" x14ac:dyDescent="0.25">
      <c r="A13" s="34">
        <v>39234</v>
      </c>
      <c r="B13" s="1">
        <v>627.29999999999995</v>
      </c>
      <c r="C13" s="34">
        <v>39234</v>
      </c>
      <c r="D13" s="1">
        <v>977</v>
      </c>
      <c r="E13" s="34">
        <v>39234</v>
      </c>
      <c r="F13" s="1">
        <v>2.6</v>
      </c>
      <c r="G13" s="34">
        <v>39234</v>
      </c>
      <c r="H13" s="1">
        <v>-7.0000000000000007E-2</v>
      </c>
      <c r="I13" s="34">
        <v>39234</v>
      </c>
      <c r="J13" s="1">
        <v>113.92</v>
      </c>
      <c r="K13" s="34">
        <v>39234</v>
      </c>
      <c r="L13" s="1">
        <v>630.5</v>
      </c>
      <c r="M13" s="34">
        <v>39234</v>
      </c>
      <c r="N13" s="1">
        <v>123.5</v>
      </c>
      <c r="O13" s="34">
        <v>40909</v>
      </c>
      <c r="P13" s="1">
        <v>68825</v>
      </c>
    </row>
    <row r="14" spans="1:16" x14ac:dyDescent="0.25">
      <c r="A14" s="34">
        <v>39264</v>
      </c>
      <c r="B14" s="1">
        <v>625.20000000000005</v>
      </c>
      <c r="C14" s="34">
        <v>39264</v>
      </c>
      <c r="D14" s="1">
        <v>334</v>
      </c>
      <c r="E14" s="34">
        <v>39264</v>
      </c>
      <c r="F14" s="1">
        <v>2.7</v>
      </c>
      <c r="G14" s="34">
        <v>39264</v>
      </c>
      <c r="H14" s="1">
        <v>-0.18</v>
      </c>
      <c r="I14" s="34">
        <v>39264</v>
      </c>
      <c r="J14" s="1">
        <v>113.79</v>
      </c>
      <c r="K14" s="34">
        <v>39264</v>
      </c>
      <c r="L14" s="1">
        <v>618</v>
      </c>
      <c r="M14" s="34">
        <v>39264</v>
      </c>
      <c r="N14" s="1">
        <v>115.4</v>
      </c>
      <c r="O14" s="34">
        <v>41275</v>
      </c>
      <c r="P14" s="1">
        <v>70110</v>
      </c>
    </row>
    <row r="15" spans="1:16" x14ac:dyDescent="0.25">
      <c r="A15" s="34">
        <v>39295</v>
      </c>
      <c r="B15" s="1">
        <v>623.6</v>
      </c>
      <c r="C15" s="34">
        <v>39295</v>
      </c>
      <c r="D15" s="1">
        <v>628</v>
      </c>
      <c r="E15" s="34">
        <v>39295</v>
      </c>
      <c r="F15" s="1">
        <v>2.7</v>
      </c>
      <c r="G15" s="34">
        <v>39295</v>
      </c>
      <c r="H15" s="1">
        <v>-0.02</v>
      </c>
      <c r="I15" s="34">
        <v>39295</v>
      </c>
      <c r="J15" s="1">
        <v>113.88</v>
      </c>
      <c r="K15" s="34">
        <v>39295</v>
      </c>
      <c r="L15" s="1">
        <v>619.70000000000005</v>
      </c>
      <c r="M15" s="34">
        <v>39295</v>
      </c>
      <c r="N15" s="1">
        <v>115.4</v>
      </c>
    </row>
    <row r="16" spans="1:16" x14ac:dyDescent="0.25">
      <c r="A16" s="34">
        <v>39326</v>
      </c>
      <c r="B16" s="1">
        <v>626.29999999999995</v>
      </c>
      <c r="C16" s="34">
        <v>39326</v>
      </c>
      <c r="D16" s="1">
        <v>412</v>
      </c>
      <c r="E16" s="34">
        <v>39326</v>
      </c>
      <c r="F16" s="1">
        <v>2.8</v>
      </c>
      <c r="G16" s="34">
        <v>39326</v>
      </c>
      <c r="H16" s="1">
        <v>-0.13</v>
      </c>
      <c r="I16" s="34">
        <v>39326</v>
      </c>
      <c r="J16" s="1">
        <v>113.78</v>
      </c>
      <c r="K16" s="34">
        <v>39326</v>
      </c>
      <c r="L16" s="1">
        <v>624.6</v>
      </c>
      <c r="M16" s="34">
        <v>39326</v>
      </c>
      <c r="N16" s="1">
        <v>120.9</v>
      </c>
    </row>
    <row r="17" spans="1:14" x14ac:dyDescent="0.25">
      <c r="A17" s="34">
        <v>39356</v>
      </c>
      <c r="B17" s="1">
        <v>626.6</v>
      </c>
      <c r="C17" s="34">
        <v>39356</v>
      </c>
      <c r="D17" s="1">
        <v>447</v>
      </c>
      <c r="E17" s="34">
        <v>39356</v>
      </c>
      <c r="F17" s="1">
        <v>2.9</v>
      </c>
      <c r="G17" s="34">
        <v>39356</v>
      </c>
      <c r="H17" s="1">
        <v>-0.52</v>
      </c>
      <c r="I17" s="34">
        <v>39356</v>
      </c>
      <c r="J17" s="1">
        <v>113.74</v>
      </c>
      <c r="K17" s="34">
        <v>39356</v>
      </c>
      <c r="L17" s="1">
        <v>626.4</v>
      </c>
      <c r="M17" s="34">
        <v>39356</v>
      </c>
      <c r="N17" s="1">
        <v>123.7</v>
      </c>
    </row>
    <row r="18" spans="1:14" x14ac:dyDescent="0.25">
      <c r="A18" s="34">
        <v>39387</v>
      </c>
      <c r="B18" s="1">
        <v>623.29999999999995</v>
      </c>
      <c r="C18" s="34">
        <v>39387</v>
      </c>
      <c r="D18" s="1">
        <v>326</v>
      </c>
      <c r="E18" s="34">
        <v>39387</v>
      </c>
      <c r="F18" s="1">
        <v>3</v>
      </c>
      <c r="G18" s="34">
        <v>39387</v>
      </c>
      <c r="H18" s="1">
        <v>-0.68</v>
      </c>
      <c r="I18" s="34">
        <v>39387</v>
      </c>
      <c r="J18" s="1">
        <v>113.6</v>
      </c>
      <c r="K18" s="34">
        <v>39387</v>
      </c>
      <c r="L18" s="1">
        <v>632.29999999999995</v>
      </c>
      <c r="M18" s="34">
        <v>39387</v>
      </c>
      <c r="N18" s="1">
        <v>125.5</v>
      </c>
    </row>
    <row r="19" spans="1:14" x14ac:dyDescent="0.25">
      <c r="A19" s="34">
        <v>39417</v>
      </c>
      <c r="B19" s="1">
        <v>628</v>
      </c>
      <c r="C19" s="34">
        <v>39417</v>
      </c>
      <c r="D19" s="1">
        <v>367</v>
      </c>
      <c r="E19" s="34">
        <v>39417</v>
      </c>
      <c r="F19" s="1">
        <v>3</v>
      </c>
      <c r="G19" s="34">
        <v>39417</v>
      </c>
      <c r="H19" s="1">
        <v>-0.52</v>
      </c>
      <c r="I19" s="34">
        <v>39417</v>
      </c>
      <c r="J19" s="1">
        <v>113.57</v>
      </c>
      <c r="K19" s="34">
        <v>39417</v>
      </c>
      <c r="L19" s="1">
        <v>637</v>
      </c>
      <c r="M19" s="34">
        <v>39417</v>
      </c>
      <c r="N19" s="1">
        <v>126.6</v>
      </c>
    </row>
    <row r="20" spans="1:14" x14ac:dyDescent="0.25">
      <c r="A20" s="34">
        <v>39448</v>
      </c>
      <c r="B20" s="1">
        <v>626.29999999999995</v>
      </c>
      <c r="C20" s="34">
        <v>39448</v>
      </c>
      <c r="D20" s="1">
        <v>325</v>
      </c>
      <c r="E20" s="34">
        <v>39448</v>
      </c>
      <c r="F20" s="1">
        <v>3</v>
      </c>
      <c r="G20" s="34">
        <v>39448</v>
      </c>
      <c r="H20" s="1">
        <v>-0.28999999999999998</v>
      </c>
      <c r="I20" s="34">
        <v>39448</v>
      </c>
      <c r="J20" s="1">
        <v>113.47</v>
      </c>
      <c r="K20" s="34">
        <v>39448</v>
      </c>
      <c r="L20" s="1">
        <v>619.9</v>
      </c>
      <c r="M20" s="34">
        <v>39448</v>
      </c>
      <c r="N20" s="1">
        <v>121.4</v>
      </c>
    </row>
    <row r="21" spans="1:14" x14ac:dyDescent="0.25">
      <c r="A21" s="34">
        <v>39479</v>
      </c>
      <c r="B21" s="1">
        <v>626.79999999999995</v>
      </c>
      <c r="C21" s="34">
        <v>39479</v>
      </c>
      <c r="D21" s="1">
        <v>384</v>
      </c>
      <c r="E21" s="34">
        <v>39479</v>
      </c>
      <c r="F21" s="1">
        <v>3.1</v>
      </c>
      <c r="G21" s="34">
        <v>39479</v>
      </c>
      <c r="H21" s="1">
        <v>-1.06</v>
      </c>
      <c r="I21" s="34">
        <v>39479</v>
      </c>
      <c r="J21" s="1">
        <v>113.19</v>
      </c>
      <c r="K21" s="34">
        <v>39479</v>
      </c>
      <c r="L21" s="1">
        <v>626.6</v>
      </c>
      <c r="M21" s="34">
        <v>39479</v>
      </c>
      <c r="N21" s="1">
        <v>125.2</v>
      </c>
    </row>
    <row r="22" spans="1:14" x14ac:dyDescent="0.25">
      <c r="A22" s="34">
        <v>39508</v>
      </c>
      <c r="B22" s="1">
        <v>626.5</v>
      </c>
      <c r="C22" s="34">
        <v>39508</v>
      </c>
      <c r="D22" s="1">
        <v>305</v>
      </c>
      <c r="E22" s="34">
        <v>39508</v>
      </c>
      <c r="F22" s="1">
        <v>3.2</v>
      </c>
      <c r="G22" s="34">
        <v>39508</v>
      </c>
      <c r="H22" s="1">
        <v>-1.68</v>
      </c>
      <c r="I22" s="34">
        <v>39508</v>
      </c>
      <c r="J22" s="1">
        <v>112.91</v>
      </c>
      <c r="K22" s="34">
        <v>39508</v>
      </c>
      <c r="L22" s="1">
        <v>629.4</v>
      </c>
      <c r="M22" s="34">
        <v>39508</v>
      </c>
      <c r="N22" s="1">
        <v>127</v>
      </c>
    </row>
    <row r="23" spans="1:14" x14ac:dyDescent="0.25">
      <c r="A23" s="34">
        <v>39539</v>
      </c>
      <c r="B23" s="1">
        <v>625.79999999999995</v>
      </c>
      <c r="C23" s="34">
        <v>39539</v>
      </c>
      <c r="D23" s="1">
        <v>460</v>
      </c>
      <c r="E23" s="34">
        <v>39539</v>
      </c>
      <c r="F23" s="1">
        <v>3.4</v>
      </c>
      <c r="G23" s="34">
        <v>39539</v>
      </c>
      <c r="H23" s="1">
        <v>-2.15</v>
      </c>
      <c r="I23" s="34">
        <v>39539</v>
      </c>
      <c r="J23" s="1">
        <v>112.41</v>
      </c>
      <c r="K23" s="34">
        <v>39539</v>
      </c>
      <c r="L23" s="1">
        <v>620.5</v>
      </c>
      <c r="M23" s="34">
        <v>39539</v>
      </c>
      <c r="N23" s="1">
        <v>121.8</v>
      </c>
    </row>
    <row r="24" spans="1:14" x14ac:dyDescent="0.25">
      <c r="A24" s="34">
        <v>39569</v>
      </c>
      <c r="B24" s="1">
        <v>624.6</v>
      </c>
      <c r="C24" s="34">
        <v>39569</v>
      </c>
      <c r="D24" s="1">
        <v>515</v>
      </c>
      <c r="E24" s="34">
        <v>39569</v>
      </c>
      <c r="F24" s="1">
        <v>3.6</v>
      </c>
      <c r="G24" s="34">
        <v>39569</v>
      </c>
      <c r="H24" s="1">
        <v>-2.34</v>
      </c>
      <c r="I24" s="34">
        <v>39569</v>
      </c>
      <c r="J24" s="1">
        <v>111.98</v>
      </c>
      <c r="K24" s="34">
        <v>39569</v>
      </c>
      <c r="L24" s="1">
        <v>626.6</v>
      </c>
      <c r="M24" s="34">
        <v>39569</v>
      </c>
      <c r="N24" s="1">
        <v>127.9</v>
      </c>
    </row>
    <row r="25" spans="1:14" x14ac:dyDescent="0.25">
      <c r="A25" s="34">
        <v>39600</v>
      </c>
      <c r="B25" s="1">
        <v>622.6</v>
      </c>
      <c r="C25" s="34">
        <v>39600</v>
      </c>
      <c r="D25" s="1">
        <v>516</v>
      </c>
      <c r="E25" s="34">
        <v>39600</v>
      </c>
      <c r="F25" s="1">
        <v>3.9</v>
      </c>
      <c r="G25" s="34">
        <v>39600</v>
      </c>
      <c r="H25" s="1">
        <v>-2.71</v>
      </c>
      <c r="I25" s="34">
        <v>39600</v>
      </c>
      <c r="J25" s="1">
        <v>111.29</v>
      </c>
      <c r="K25" s="34">
        <v>39600</v>
      </c>
      <c r="L25" s="1">
        <v>624.4</v>
      </c>
      <c r="M25" s="34">
        <v>39600</v>
      </c>
      <c r="N25" s="1">
        <v>125.9</v>
      </c>
    </row>
    <row r="26" spans="1:14" x14ac:dyDescent="0.25">
      <c r="A26" s="34">
        <v>39630</v>
      </c>
      <c r="B26" s="1">
        <v>619.9</v>
      </c>
      <c r="C26" s="34">
        <v>39630</v>
      </c>
      <c r="D26" s="1">
        <v>347</v>
      </c>
      <c r="E26" s="34">
        <v>39630</v>
      </c>
      <c r="F26" s="1">
        <v>4.0999999999999996</v>
      </c>
      <c r="G26" s="34">
        <v>39630</v>
      </c>
      <c r="H26" s="1">
        <v>-2.88</v>
      </c>
      <c r="I26" s="34">
        <v>39630</v>
      </c>
      <c r="J26" s="1">
        <v>110.77</v>
      </c>
      <c r="K26" s="34">
        <v>39630</v>
      </c>
      <c r="L26" s="1">
        <v>612.6</v>
      </c>
      <c r="M26" s="34">
        <v>39630</v>
      </c>
      <c r="N26" s="1">
        <v>118.4</v>
      </c>
    </row>
    <row r="27" spans="1:14" x14ac:dyDescent="0.25">
      <c r="A27" s="34">
        <v>39661</v>
      </c>
      <c r="B27" s="1">
        <v>620.1</v>
      </c>
      <c r="C27" s="34">
        <v>39661</v>
      </c>
      <c r="D27" s="1">
        <v>355</v>
      </c>
      <c r="E27" s="34">
        <v>39661</v>
      </c>
      <c r="F27" s="1">
        <v>4.4000000000000004</v>
      </c>
      <c r="G27" s="34">
        <v>39661</v>
      </c>
      <c r="H27" s="1">
        <v>-2.98</v>
      </c>
      <c r="I27" s="34">
        <v>39661</v>
      </c>
      <c r="J27" s="1">
        <v>110.05</v>
      </c>
      <c r="K27" s="34">
        <v>39661</v>
      </c>
      <c r="L27" s="1">
        <v>613.4</v>
      </c>
      <c r="M27" s="34">
        <v>39661</v>
      </c>
      <c r="N27" s="1">
        <v>120.3</v>
      </c>
    </row>
    <row r="28" spans="1:14" x14ac:dyDescent="0.25">
      <c r="A28" s="34">
        <v>39692</v>
      </c>
      <c r="B28" s="1">
        <v>614.20000000000005</v>
      </c>
      <c r="C28" s="34">
        <v>39692</v>
      </c>
      <c r="D28" s="1">
        <v>344</v>
      </c>
      <c r="E28" s="34">
        <v>39692</v>
      </c>
      <c r="F28" s="1">
        <v>4.5999999999999996</v>
      </c>
      <c r="G28" s="34">
        <v>39692</v>
      </c>
      <c r="H28" s="1">
        <v>-3.14</v>
      </c>
      <c r="I28" s="34">
        <v>39692</v>
      </c>
      <c r="J28" s="1">
        <v>109.42</v>
      </c>
      <c r="K28" s="34">
        <v>39692</v>
      </c>
      <c r="L28" s="1">
        <v>613</v>
      </c>
      <c r="M28" s="34">
        <v>39692</v>
      </c>
      <c r="N28" s="1">
        <v>123.3</v>
      </c>
    </row>
    <row r="29" spans="1:14" x14ac:dyDescent="0.25">
      <c r="A29" s="34">
        <v>39722</v>
      </c>
      <c r="B29" s="1">
        <v>610.6</v>
      </c>
      <c r="C29" s="34">
        <v>39722</v>
      </c>
      <c r="D29" s="1">
        <v>179</v>
      </c>
      <c r="E29" s="34">
        <v>39722</v>
      </c>
      <c r="F29" s="1">
        <v>4.9000000000000004</v>
      </c>
      <c r="G29" s="34">
        <v>39722</v>
      </c>
      <c r="H29" s="1">
        <v>-3.27</v>
      </c>
      <c r="I29" s="34">
        <v>39722</v>
      </c>
      <c r="J29" s="1">
        <v>108.65</v>
      </c>
      <c r="K29" s="34">
        <v>39722</v>
      </c>
      <c r="L29" s="1">
        <v>611.5</v>
      </c>
      <c r="M29" s="34">
        <v>39722</v>
      </c>
      <c r="N29" s="1">
        <v>127</v>
      </c>
    </row>
    <row r="30" spans="1:14" x14ac:dyDescent="0.25">
      <c r="A30" s="34">
        <v>39753</v>
      </c>
      <c r="B30" s="1">
        <v>613.5</v>
      </c>
      <c r="C30" s="34">
        <v>39753</v>
      </c>
      <c r="D30" s="1">
        <v>419</v>
      </c>
      <c r="E30" s="34">
        <v>39753</v>
      </c>
      <c r="F30" s="1">
        <v>5.3</v>
      </c>
      <c r="G30" s="34">
        <v>39753</v>
      </c>
      <c r="H30" s="1">
        <v>-3.41</v>
      </c>
      <c r="I30" s="34">
        <v>39753</v>
      </c>
      <c r="J30" s="1">
        <v>107.93</v>
      </c>
      <c r="K30" s="34">
        <v>39753</v>
      </c>
      <c r="L30" s="1">
        <v>618.1</v>
      </c>
      <c r="M30" s="34">
        <v>39753</v>
      </c>
      <c r="N30" s="1">
        <v>133</v>
      </c>
    </row>
    <row r="31" spans="1:14" x14ac:dyDescent="0.25">
      <c r="A31" s="34">
        <v>39783</v>
      </c>
      <c r="B31" s="1">
        <v>605.4</v>
      </c>
      <c r="C31" s="34">
        <v>39783</v>
      </c>
      <c r="D31" s="1">
        <v>212</v>
      </c>
      <c r="E31" s="34">
        <v>39783</v>
      </c>
      <c r="F31" s="1">
        <v>5.7</v>
      </c>
      <c r="G31" s="34">
        <v>39783</v>
      </c>
      <c r="H31" s="1">
        <v>-3.93</v>
      </c>
      <c r="I31" s="34">
        <v>39783</v>
      </c>
      <c r="J31" s="1">
        <v>107.04</v>
      </c>
      <c r="K31" s="34">
        <v>39783</v>
      </c>
      <c r="L31" s="1">
        <v>614.79999999999995</v>
      </c>
      <c r="M31" s="34">
        <v>39783</v>
      </c>
      <c r="N31" s="1">
        <v>128.9</v>
      </c>
    </row>
    <row r="32" spans="1:14" x14ac:dyDescent="0.25">
      <c r="A32" s="34">
        <v>39814</v>
      </c>
      <c r="B32" s="1">
        <v>602.79999999999995</v>
      </c>
      <c r="C32" s="34">
        <v>39814</v>
      </c>
      <c r="D32" s="1">
        <v>355</v>
      </c>
      <c r="E32" s="34">
        <v>39814</v>
      </c>
      <c r="F32" s="1">
        <v>6</v>
      </c>
      <c r="G32" s="34">
        <v>39814</v>
      </c>
      <c r="H32" s="1">
        <v>-3.41</v>
      </c>
      <c r="I32" s="34">
        <v>39814</v>
      </c>
      <c r="J32" s="1">
        <v>106.4</v>
      </c>
      <c r="K32" s="34">
        <v>39814</v>
      </c>
      <c r="L32" s="1">
        <v>597.6</v>
      </c>
      <c r="M32" s="34">
        <v>39814</v>
      </c>
      <c r="N32" s="1">
        <v>125.1</v>
      </c>
    </row>
    <row r="33" spans="1:14" x14ac:dyDescent="0.25">
      <c r="A33" s="34">
        <v>39845</v>
      </c>
      <c r="B33" s="1">
        <v>599.29999999999995</v>
      </c>
      <c r="C33" s="34">
        <v>39845</v>
      </c>
      <c r="D33" s="1">
        <v>254</v>
      </c>
      <c r="E33" s="34">
        <v>39845</v>
      </c>
      <c r="F33" s="1">
        <v>6.4</v>
      </c>
      <c r="G33" s="34">
        <v>39845</v>
      </c>
      <c r="H33" s="1">
        <v>-3.79</v>
      </c>
      <c r="I33" s="34">
        <v>39845</v>
      </c>
      <c r="J33" s="1">
        <v>105.44</v>
      </c>
      <c r="K33" s="34">
        <v>39845</v>
      </c>
      <c r="L33" s="1">
        <v>599.29999999999995</v>
      </c>
      <c r="M33" s="34">
        <v>39845</v>
      </c>
      <c r="N33" s="1">
        <v>127.1</v>
      </c>
    </row>
    <row r="34" spans="1:14" x14ac:dyDescent="0.25">
      <c r="A34" s="34">
        <v>39873</v>
      </c>
      <c r="B34" s="1">
        <v>597.5</v>
      </c>
      <c r="C34" s="34">
        <v>39873</v>
      </c>
      <c r="D34" s="1">
        <v>190</v>
      </c>
      <c r="E34" s="34">
        <v>39873</v>
      </c>
      <c r="F34" s="1">
        <v>6.6</v>
      </c>
      <c r="G34" s="34">
        <v>39873</v>
      </c>
      <c r="H34" s="1">
        <v>-3.53</v>
      </c>
      <c r="I34" s="34">
        <v>39873</v>
      </c>
      <c r="J34" s="1">
        <v>104.84</v>
      </c>
      <c r="K34" s="34">
        <v>39873</v>
      </c>
      <c r="L34" s="1">
        <v>600.6</v>
      </c>
      <c r="M34" s="34">
        <v>39873</v>
      </c>
      <c r="N34" s="1">
        <v>129</v>
      </c>
    </row>
    <row r="35" spans="1:14" x14ac:dyDescent="0.25">
      <c r="A35" s="34">
        <v>39904</v>
      </c>
      <c r="B35" s="1">
        <v>593.79999999999995</v>
      </c>
      <c r="C35" s="34">
        <v>39904</v>
      </c>
      <c r="D35" s="1">
        <v>160</v>
      </c>
      <c r="E35" s="34">
        <v>39904</v>
      </c>
      <c r="F35" s="1">
        <v>6.8</v>
      </c>
      <c r="G35" s="34">
        <v>39904</v>
      </c>
      <c r="H35" s="1">
        <v>-2.84</v>
      </c>
      <c r="I35" s="34">
        <v>39904</v>
      </c>
      <c r="J35" s="1">
        <v>104.11</v>
      </c>
      <c r="K35" s="34">
        <v>39904</v>
      </c>
      <c r="L35" s="1">
        <v>594.79999999999995</v>
      </c>
      <c r="M35" s="34">
        <v>39904</v>
      </c>
      <c r="N35" s="1">
        <v>129</v>
      </c>
    </row>
    <row r="36" spans="1:14" x14ac:dyDescent="0.25">
      <c r="A36" s="34">
        <v>39934</v>
      </c>
      <c r="B36" s="1">
        <v>592.29999999999995</v>
      </c>
      <c r="C36" s="34">
        <v>39934</v>
      </c>
      <c r="D36" s="1">
        <v>137</v>
      </c>
      <c r="E36" s="34">
        <v>39934</v>
      </c>
      <c r="F36" s="1">
        <v>6.9</v>
      </c>
      <c r="G36" s="34">
        <v>39934</v>
      </c>
      <c r="H36" s="1">
        <v>-2.67</v>
      </c>
      <c r="I36" s="34">
        <v>39934</v>
      </c>
      <c r="J36" s="1">
        <v>103.55</v>
      </c>
      <c r="K36" s="34">
        <v>39934</v>
      </c>
      <c r="L36" s="1">
        <v>595</v>
      </c>
      <c r="M36" s="34">
        <v>39934</v>
      </c>
      <c r="N36" s="1">
        <v>130.19999999999999</v>
      </c>
    </row>
    <row r="37" spans="1:14" x14ac:dyDescent="0.25">
      <c r="A37" s="34">
        <v>39965</v>
      </c>
      <c r="B37" s="1">
        <v>592.79999999999995</v>
      </c>
      <c r="C37" s="34">
        <v>39965</v>
      </c>
      <c r="D37" s="1">
        <v>221</v>
      </c>
      <c r="E37" s="34">
        <v>39965</v>
      </c>
      <c r="F37" s="1">
        <v>7</v>
      </c>
      <c r="G37" s="34">
        <v>39965</v>
      </c>
      <c r="H37" s="1">
        <v>-2.12</v>
      </c>
      <c r="I37" s="34">
        <v>39965</v>
      </c>
      <c r="J37" s="1">
        <v>103.03</v>
      </c>
      <c r="K37" s="34">
        <v>39965</v>
      </c>
      <c r="L37" s="1">
        <v>594.29999999999995</v>
      </c>
      <c r="M37" s="34">
        <v>39965</v>
      </c>
      <c r="N37" s="1">
        <v>128</v>
      </c>
    </row>
    <row r="38" spans="1:14" x14ac:dyDescent="0.25">
      <c r="A38" s="34">
        <v>39995</v>
      </c>
      <c r="B38" s="1">
        <v>589.6</v>
      </c>
      <c r="C38" s="34">
        <v>39995</v>
      </c>
      <c r="D38" s="1">
        <v>200</v>
      </c>
      <c r="E38" s="34">
        <v>39995</v>
      </c>
      <c r="F38" s="1">
        <v>7.1</v>
      </c>
      <c r="G38" s="34">
        <v>39995</v>
      </c>
      <c r="H38" s="1">
        <v>-2.2000000000000002</v>
      </c>
      <c r="I38" s="34">
        <v>39995</v>
      </c>
      <c r="J38" s="1">
        <v>102.49</v>
      </c>
      <c r="K38" s="34">
        <v>39995</v>
      </c>
      <c r="L38" s="1">
        <v>583</v>
      </c>
      <c r="M38" s="34">
        <v>39995</v>
      </c>
      <c r="N38" s="1">
        <v>120.2</v>
      </c>
    </row>
    <row r="39" spans="1:14" x14ac:dyDescent="0.25">
      <c r="A39" s="34">
        <v>40026</v>
      </c>
      <c r="B39" s="1">
        <v>588.4</v>
      </c>
      <c r="C39" s="34">
        <v>40026</v>
      </c>
      <c r="D39" s="1">
        <v>235</v>
      </c>
      <c r="E39" s="34">
        <v>40026</v>
      </c>
      <c r="F39" s="1">
        <v>7.1</v>
      </c>
      <c r="G39" s="34">
        <v>40026</v>
      </c>
      <c r="H39" s="1">
        <v>-2.09</v>
      </c>
      <c r="I39" s="34">
        <v>40026</v>
      </c>
      <c r="J39" s="1">
        <v>102.06</v>
      </c>
      <c r="K39" s="34">
        <v>40026</v>
      </c>
      <c r="L39" s="1">
        <v>580.79999999999995</v>
      </c>
      <c r="M39" s="34">
        <v>40026</v>
      </c>
      <c r="N39" s="1">
        <v>118.8</v>
      </c>
    </row>
    <row r="40" spans="1:14" x14ac:dyDescent="0.25">
      <c r="A40" s="34">
        <v>40057</v>
      </c>
      <c r="B40" s="1">
        <v>585.29999999999995</v>
      </c>
      <c r="C40" s="34">
        <v>40057</v>
      </c>
      <c r="D40" s="1">
        <v>255</v>
      </c>
      <c r="E40" s="34">
        <v>40057</v>
      </c>
      <c r="F40" s="1">
        <v>7</v>
      </c>
      <c r="G40" s="34">
        <v>40057</v>
      </c>
      <c r="H40" s="1">
        <v>-1.2</v>
      </c>
      <c r="I40" s="34">
        <v>40057</v>
      </c>
      <c r="J40" s="1">
        <v>101.78</v>
      </c>
      <c r="K40" s="34">
        <v>40057</v>
      </c>
      <c r="L40" s="1">
        <v>584.29999999999995</v>
      </c>
      <c r="M40" s="34">
        <v>40057</v>
      </c>
      <c r="N40" s="1">
        <v>122.4</v>
      </c>
    </row>
    <row r="41" spans="1:14" x14ac:dyDescent="0.25">
      <c r="A41" s="34">
        <v>40087</v>
      </c>
      <c r="B41" s="1">
        <v>585.70000000000005</v>
      </c>
      <c r="C41" s="34">
        <v>40087</v>
      </c>
      <c r="D41" s="1">
        <v>296</v>
      </c>
      <c r="E41" s="34">
        <v>40087</v>
      </c>
      <c r="F41" s="1">
        <v>7</v>
      </c>
      <c r="G41" s="34">
        <v>40087</v>
      </c>
      <c r="H41" s="1">
        <v>-1.01</v>
      </c>
      <c r="I41" s="34">
        <v>40087</v>
      </c>
      <c r="J41" s="1">
        <v>101.45</v>
      </c>
      <c r="K41" s="34">
        <v>40087</v>
      </c>
      <c r="L41" s="1">
        <v>587.1</v>
      </c>
      <c r="M41" s="34">
        <v>40087</v>
      </c>
      <c r="N41" s="1">
        <v>125.4</v>
      </c>
    </row>
    <row r="42" spans="1:14" x14ac:dyDescent="0.25">
      <c r="A42" s="34">
        <v>40118</v>
      </c>
      <c r="B42" s="1">
        <v>584.20000000000005</v>
      </c>
      <c r="C42" s="34">
        <v>40118</v>
      </c>
      <c r="D42" s="1">
        <v>171</v>
      </c>
      <c r="E42" s="34">
        <v>40118</v>
      </c>
      <c r="F42" s="1">
        <v>7</v>
      </c>
      <c r="G42" s="34">
        <v>40118</v>
      </c>
      <c r="H42" s="1">
        <v>-0.99</v>
      </c>
      <c r="I42" s="34">
        <v>40118</v>
      </c>
      <c r="J42" s="1">
        <v>101.24</v>
      </c>
      <c r="K42" s="34">
        <v>40118</v>
      </c>
      <c r="L42" s="1">
        <v>588.6</v>
      </c>
      <c r="M42" s="34">
        <v>40118</v>
      </c>
      <c r="N42" s="1">
        <v>126.2</v>
      </c>
    </row>
    <row r="43" spans="1:14" x14ac:dyDescent="0.25">
      <c r="A43" s="34">
        <v>40148</v>
      </c>
      <c r="B43" s="1">
        <v>583</v>
      </c>
      <c r="C43" s="34">
        <v>40148</v>
      </c>
      <c r="D43" s="1">
        <v>118</v>
      </c>
      <c r="E43" s="34">
        <v>40148</v>
      </c>
      <c r="F43" s="1">
        <v>7</v>
      </c>
      <c r="G43" s="34">
        <v>40148</v>
      </c>
      <c r="H43" s="1">
        <v>-0.91</v>
      </c>
      <c r="I43" s="34">
        <v>40148</v>
      </c>
      <c r="J43" s="1">
        <v>101</v>
      </c>
      <c r="K43" s="34">
        <v>40148</v>
      </c>
      <c r="L43" s="1">
        <v>592.5</v>
      </c>
      <c r="M43" s="34">
        <v>40148</v>
      </c>
      <c r="N43" s="1">
        <v>127</v>
      </c>
    </row>
    <row r="44" spans="1:14" x14ac:dyDescent="0.25">
      <c r="A44" s="34">
        <v>40179</v>
      </c>
      <c r="B44" s="1">
        <v>583.9</v>
      </c>
      <c r="C44" s="34">
        <v>40179</v>
      </c>
      <c r="D44" s="1">
        <v>135</v>
      </c>
      <c r="E44" s="34">
        <v>40179</v>
      </c>
      <c r="F44" s="1">
        <v>6.9</v>
      </c>
      <c r="G44" s="34">
        <v>40179</v>
      </c>
      <c r="H44" s="1">
        <v>-0.09</v>
      </c>
      <c r="I44" s="34">
        <v>40179</v>
      </c>
      <c r="J44" s="1">
        <v>101.01</v>
      </c>
      <c r="K44" s="34">
        <v>40179</v>
      </c>
      <c r="L44" s="1">
        <v>578.9</v>
      </c>
      <c r="M44" s="34">
        <v>40179</v>
      </c>
      <c r="N44" s="1">
        <v>122.3</v>
      </c>
    </row>
    <row r="45" spans="1:14" x14ac:dyDescent="0.25">
      <c r="A45" s="34">
        <v>40210</v>
      </c>
      <c r="B45" s="1">
        <v>583.70000000000005</v>
      </c>
      <c r="C45" s="34">
        <v>40210</v>
      </c>
      <c r="D45" s="1">
        <v>761</v>
      </c>
      <c r="E45" s="34">
        <v>40210</v>
      </c>
      <c r="F45" s="1">
        <v>6.9</v>
      </c>
      <c r="G45" s="34">
        <v>40210</v>
      </c>
      <c r="H45" s="1">
        <v>-0.03</v>
      </c>
      <c r="I45" s="34">
        <v>40210</v>
      </c>
      <c r="J45" s="1">
        <v>100.86</v>
      </c>
      <c r="K45" s="34">
        <v>40210</v>
      </c>
      <c r="L45" s="1">
        <v>583.9</v>
      </c>
      <c r="M45" s="34">
        <v>40210</v>
      </c>
      <c r="N45" s="1">
        <v>125.4</v>
      </c>
    </row>
    <row r="46" spans="1:14" x14ac:dyDescent="0.25">
      <c r="A46" s="34">
        <v>40238</v>
      </c>
      <c r="B46" s="1">
        <v>584.29999999999995</v>
      </c>
      <c r="C46" s="34">
        <v>40238</v>
      </c>
      <c r="D46" s="1">
        <v>456</v>
      </c>
      <c r="E46" s="34">
        <v>40238</v>
      </c>
      <c r="F46" s="1">
        <v>6.8</v>
      </c>
      <c r="G46" s="34">
        <v>40238</v>
      </c>
      <c r="H46" s="1">
        <v>0.34</v>
      </c>
      <c r="I46" s="34">
        <v>40238</v>
      </c>
      <c r="J46" s="1">
        <v>100.99</v>
      </c>
      <c r="K46" s="34">
        <v>40238</v>
      </c>
      <c r="L46" s="1">
        <v>587.6</v>
      </c>
      <c r="M46" s="34">
        <v>40238</v>
      </c>
      <c r="N46" s="1">
        <v>127.6</v>
      </c>
    </row>
    <row r="47" spans="1:14" x14ac:dyDescent="0.25">
      <c r="A47" s="34">
        <v>40269</v>
      </c>
      <c r="B47" s="1">
        <v>585.29999999999995</v>
      </c>
      <c r="C47" s="34">
        <v>40269</v>
      </c>
      <c r="D47" s="1">
        <v>195</v>
      </c>
      <c r="E47" s="34">
        <v>40269</v>
      </c>
      <c r="F47" s="1">
        <v>6.8</v>
      </c>
      <c r="G47" s="34">
        <v>40269</v>
      </c>
      <c r="H47" s="1">
        <v>0.5</v>
      </c>
      <c r="I47" s="34">
        <v>40269</v>
      </c>
      <c r="J47" s="1">
        <v>100.93</v>
      </c>
      <c r="K47" s="34">
        <v>40269</v>
      </c>
      <c r="L47" s="1">
        <v>586.70000000000005</v>
      </c>
      <c r="M47" s="34">
        <v>40269</v>
      </c>
      <c r="N47" s="1">
        <v>127.6</v>
      </c>
    </row>
    <row r="48" spans="1:14" x14ac:dyDescent="0.25">
      <c r="A48" s="34">
        <v>40299</v>
      </c>
      <c r="B48" s="1">
        <v>587.29999999999995</v>
      </c>
      <c r="C48" s="34">
        <v>40299</v>
      </c>
      <c r="D48" s="1">
        <v>456</v>
      </c>
      <c r="E48" s="34">
        <v>40299</v>
      </c>
      <c r="F48" s="1">
        <v>6.7</v>
      </c>
      <c r="G48" s="34">
        <v>40299</v>
      </c>
      <c r="H48" s="1">
        <v>0.55000000000000004</v>
      </c>
      <c r="I48" s="34">
        <v>40299</v>
      </c>
      <c r="J48" s="1">
        <v>101.09</v>
      </c>
      <c r="K48" s="34">
        <v>40299</v>
      </c>
      <c r="L48" s="1">
        <v>589.9</v>
      </c>
      <c r="M48" s="34">
        <v>40299</v>
      </c>
      <c r="N48" s="1">
        <v>129.80000000000001</v>
      </c>
    </row>
    <row r="49" spans="1:14" x14ac:dyDescent="0.25">
      <c r="A49" s="34">
        <v>40330</v>
      </c>
      <c r="B49" s="1">
        <v>585.29999999999995</v>
      </c>
      <c r="C49" s="34">
        <v>40330</v>
      </c>
      <c r="D49" s="1">
        <v>165</v>
      </c>
      <c r="E49" s="34">
        <v>40330</v>
      </c>
      <c r="F49" s="1">
        <v>6.7</v>
      </c>
      <c r="G49" s="34">
        <v>40330</v>
      </c>
      <c r="H49" s="1">
        <v>0.34</v>
      </c>
      <c r="I49" s="34">
        <v>40330</v>
      </c>
      <c r="J49" s="1">
        <v>101.03</v>
      </c>
      <c r="K49" s="34">
        <v>40330</v>
      </c>
      <c r="L49" s="1">
        <v>586.20000000000005</v>
      </c>
      <c r="M49" s="34">
        <v>40330</v>
      </c>
      <c r="N49" s="1">
        <v>126.1</v>
      </c>
    </row>
    <row r="50" spans="1:14" x14ac:dyDescent="0.25">
      <c r="A50" s="34">
        <v>40360</v>
      </c>
      <c r="B50" s="1">
        <v>587.5</v>
      </c>
      <c r="C50" s="34">
        <v>40360</v>
      </c>
      <c r="D50" s="1">
        <v>144</v>
      </c>
      <c r="E50" s="34">
        <v>40360</v>
      </c>
      <c r="F50" s="1">
        <v>6.7</v>
      </c>
      <c r="G50" s="34">
        <v>40360</v>
      </c>
      <c r="H50" s="1">
        <v>0.16</v>
      </c>
      <c r="I50" s="34">
        <v>40360</v>
      </c>
      <c r="J50" s="1">
        <v>101.11</v>
      </c>
      <c r="K50" s="34">
        <v>40360</v>
      </c>
      <c r="L50" s="1">
        <v>581.1</v>
      </c>
      <c r="M50" s="34">
        <v>40360</v>
      </c>
      <c r="N50" s="1">
        <v>121</v>
      </c>
    </row>
    <row r="51" spans="1:14" x14ac:dyDescent="0.25">
      <c r="A51" s="34">
        <v>40391</v>
      </c>
      <c r="B51" s="1">
        <v>585.4</v>
      </c>
      <c r="C51" s="34">
        <v>40391</v>
      </c>
      <c r="D51" s="1">
        <v>306</v>
      </c>
      <c r="E51" s="34">
        <v>40391</v>
      </c>
      <c r="F51" s="1">
        <v>6.7</v>
      </c>
      <c r="G51" s="34">
        <v>40391</v>
      </c>
      <c r="H51" s="1">
        <v>0.34</v>
      </c>
      <c r="I51" s="34">
        <v>40391</v>
      </c>
      <c r="J51" s="1">
        <v>101.12</v>
      </c>
      <c r="K51" s="34">
        <v>40391</v>
      </c>
      <c r="L51" s="1">
        <v>577.70000000000005</v>
      </c>
      <c r="M51" s="34">
        <v>40391</v>
      </c>
      <c r="N51" s="1">
        <v>116.5</v>
      </c>
    </row>
    <row r="52" spans="1:14" x14ac:dyDescent="0.25">
      <c r="A52" s="34">
        <v>40422</v>
      </c>
      <c r="B52" s="1">
        <v>587.29999999999995</v>
      </c>
      <c r="C52" s="34">
        <v>40422</v>
      </c>
      <c r="D52" s="1">
        <v>281</v>
      </c>
      <c r="E52" s="34">
        <v>40422</v>
      </c>
      <c r="F52" s="1">
        <v>6.7</v>
      </c>
      <c r="G52" s="34">
        <v>40422</v>
      </c>
      <c r="H52" s="1">
        <v>0.6</v>
      </c>
      <c r="I52" s="34">
        <v>40422</v>
      </c>
      <c r="J52" s="1">
        <v>101.22</v>
      </c>
      <c r="K52" s="34">
        <v>40422</v>
      </c>
      <c r="L52" s="1">
        <v>584.79999999999995</v>
      </c>
      <c r="M52" s="34">
        <v>40422</v>
      </c>
      <c r="N52" s="1">
        <v>122.3</v>
      </c>
    </row>
    <row r="53" spans="1:14" x14ac:dyDescent="0.25">
      <c r="A53" s="34">
        <v>40452</v>
      </c>
      <c r="B53" s="1">
        <v>589.1</v>
      </c>
      <c r="C53" s="34">
        <v>40452</v>
      </c>
      <c r="D53" s="1">
        <v>174</v>
      </c>
      <c r="E53" s="34">
        <v>40452</v>
      </c>
      <c r="F53" s="1">
        <v>6.7</v>
      </c>
      <c r="G53" s="34">
        <v>40452</v>
      </c>
      <c r="H53" s="1">
        <v>0.57999999999999996</v>
      </c>
      <c r="I53" s="34">
        <v>40452</v>
      </c>
      <c r="J53" s="1">
        <v>101.28</v>
      </c>
      <c r="K53" s="34">
        <v>40452</v>
      </c>
      <c r="L53" s="1">
        <v>589.6</v>
      </c>
      <c r="M53" s="34">
        <v>40452</v>
      </c>
      <c r="N53" s="1">
        <v>125.3</v>
      </c>
    </row>
    <row r="54" spans="1:14" x14ac:dyDescent="0.25">
      <c r="A54" s="34">
        <v>40483</v>
      </c>
      <c r="B54" s="1">
        <v>592.5</v>
      </c>
      <c r="C54" s="34">
        <v>40483</v>
      </c>
      <c r="D54" s="1">
        <v>165</v>
      </c>
      <c r="E54" s="34">
        <v>40483</v>
      </c>
      <c r="F54" s="1">
        <v>6.6</v>
      </c>
      <c r="G54" s="34">
        <v>40483</v>
      </c>
      <c r="H54" s="1">
        <v>0.78</v>
      </c>
      <c r="I54" s="34">
        <v>40483</v>
      </c>
      <c r="J54" s="1">
        <v>101.47</v>
      </c>
      <c r="K54" s="34">
        <v>40483</v>
      </c>
      <c r="L54" s="1">
        <v>597.29999999999995</v>
      </c>
      <c r="M54" s="34">
        <v>40483</v>
      </c>
      <c r="N54" s="1">
        <v>130.69999999999999</v>
      </c>
    </row>
    <row r="55" spans="1:14" x14ac:dyDescent="0.25">
      <c r="A55" s="34">
        <v>40513</v>
      </c>
      <c r="B55" s="1">
        <v>589.9</v>
      </c>
      <c r="C55" s="34">
        <v>40513</v>
      </c>
      <c r="D55" s="1">
        <v>168</v>
      </c>
      <c r="E55" s="34">
        <v>40513</v>
      </c>
      <c r="F55" s="1">
        <v>6.6</v>
      </c>
      <c r="G55" s="34">
        <v>40513</v>
      </c>
      <c r="H55" s="1">
        <v>0.61</v>
      </c>
      <c r="I55" s="34">
        <v>40513</v>
      </c>
      <c r="J55" s="1">
        <v>101.5</v>
      </c>
      <c r="K55" s="34">
        <v>40513</v>
      </c>
      <c r="L55" s="1">
        <v>599.20000000000005</v>
      </c>
      <c r="M55" s="34">
        <v>40513</v>
      </c>
      <c r="N55" s="1">
        <v>127.6</v>
      </c>
    </row>
    <row r="56" spans="1:14" x14ac:dyDescent="0.25">
      <c r="A56" s="34">
        <v>40544</v>
      </c>
      <c r="B56" s="1">
        <v>588.79999999999995</v>
      </c>
      <c r="C56" s="34">
        <v>40544</v>
      </c>
      <c r="D56" s="1">
        <v>116</v>
      </c>
      <c r="E56" s="34">
        <v>40544</v>
      </c>
      <c r="F56" s="1">
        <v>6.5</v>
      </c>
      <c r="G56" s="34">
        <v>40544</v>
      </c>
      <c r="H56" s="1">
        <v>0.47</v>
      </c>
      <c r="I56" s="34">
        <v>40544</v>
      </c>
      <c r="J56" s="1">
        <v>101.63</v>
      </c>
      <c r="K56" s="34">
        <v>40544</v>
      </c>
      <c r="L56" s="1">
        <v>580.70000000000005</v>
      </c>
      <c r="M56" s="34">
        <v>40544</v>
      </c>
      <c r="N56" s="1">
        <v>120.2</v>
      </c>
    </row>
    <row r="57" spans="1:14" x14ac:dyDescent="0.25">
      <c r="A57" s="34">
        <v>40575</v>
      </c>
      <c r="B57" s="1">
        <v>591.29999999999995</v>
      </c>
      <c r="C57" s="34">
        <v>40575</v>
      </c>
      <c r="D57" s="1">
        <v>197</v>
      </c>
      <c r="E57" s="34">
        <v>40575</v>
      </c>
      <c r="F57" s="1">
        <v>6.4</v>
      </c>
      <c r="G57" s="34">
        <v>40575</v>
      </c>
      <c r="H57" s="1">
        <v>0.95</v>
      </c>
      <c r="I57" s="34">
        <v>40575</v>
      </c>
      <c r="J57" s="1">
        <v>101.79</v>
      </c>
      <c r="K57" s="34">
        <v>40575</v>
      </c>
      <c r="L57" s="1">
        <v>592.1</v>
      </c>
      <c r="M57" s="34">
        <v>40575</v>
      </c>
      <c r="N57" s="1">
        <v>126.9</v>
      </c>
    </row>
    <row r="58" spans="1:14" x14ac:dyDescent="0.25">
      <c r="A58" s="34">
        <v>40603</v>
      </c>
      <c r="B58" s="1">
        <v>592.6</v>
      </c>
      <c r="C58" s="34">
        <v>40603</v>
      </c>
      <c r="D58" s="1">
        <v>140</v>
      </c>
      <c r="E58" s="34">
        <v>40603</v>
      </c>
      <c r="F58" s="1">
        <v>6.4</v>
      </c>
      <c r="G58" s="34">
        <v>40603</v>
      </c>
      <c r="H58" s="1">
        <v>0.69</v>
      </c>
      <c r="I58" s="34">
        <v>40603</v>
      </c>
      <c r="J58" s="1">
        <v>101.84</v>
      </c>
      <c r="K58" s="34">
        <v>40603</v>
      </c>
      <c r="L58" s="1">
        <v>595.79999999999995</v>
      </c>
      <c r="M58" s="34">
        <v>40603</v>
      </c>
      <c r="N58" s="1">
        <v>127.7</v>
      </c>
    </row>
    <row r="59" spans="1:14" x14ac:dyDescent="0.25">
      <c r="A59" s="34">
        <v>40634</v>
      </c>
      <c r="B59" s="1">
        <v>590.79999999999995</v>
      </c>
      <c r="C59" s="34">
        <v>40634</v>
      </c>
      <c r="D59" s="1">
        <v>331</v>
      </c>
      <c r="E59" s="34">
        <v>40634</v>
      </c>
      <c r="F59" s="1">
        <v>6.4</v>
      </c>
      <c r="G59" s="34">
        <v>40634</v>
      </c>
      <c r="H59" s="1">
        <v>0.15</v>
      </c>
      <c r="I59" s="34">
        <v>40634</v>
      </c>
      <c r="J59" s="1">
        <v>101.88</v>
      </c>
      <c r="K59" s="34">
        <v>40634</v>
      </c>
      <c r="L59" s="1">
        <v>592.70000000000005</v>
      </c>
      <c r="M59" s="34">
        <v>40634</v>
      </c>
      <c r="N59" s="1">
        <v>127.2</v>
      </c>
    </row>
    <row r="60" spans="1:14" x14ac:dyDescent="0.25">
      <c r="A60" s="34">
        <v>40664</v>
      </c>
      <c r="B60" s="1">
        <v>590.6</v>
      </c>
      <c r="C60" s="34">
        <v>40664</v>
      </c>
      <c r="D60" s="1">
        <v>196</v>
      </c>
      <c r="E60" s="34">
        <v>40664</v>
      </c>
      <c r="F60" s="1">
        <v>6.4</v>
      </c>
      <c r="G60" s="34">
        <v>40664</v>
      </c>
      <c r="H60" s="1">
        <v>0.28999999999999998</v>
      </c>
      <c r="I60" s="34">
        <v>40664</v>
      </c>
      <c r="J60" s="1">
        <v>101.93</v>
      </c>
      <c r="K60" s="34">
        <v>40664</v>
      </c>
      <c r="L60" s="1">
        <v>593.4</v>
      </c>
      <c r="M60" s="34">
        <v>40664</v>
      </c>
      <c r="N60" s="1">
        <v>128.19999999999999</v>
      </c>
    </row>
    <row r="61" spans="1:14" x14ac:dyDescent="0.25">
      <c r="A61" s="34">
        <v>40695</v>
      </c>
      <c r="B61" s="1">
        <v>589.9</v>
      </c>
      <c r="C61" s="34">
        <v>40695</v>
      </c>
      <c r="D61" s="1">
        <v>422</v>
      </c>
      <c r="E61" s="34">
        <v>40695</v>
      </c>
      <c r="F61" s="1">
        <v>6.5</v>
      </c>
      <c r="G61" s="34">
        <v>40695</v>
      </c>
      <c r="H61" s="1">
        <v>0.32</v>
      </c>
      <c r="I61" s="34">
        <v>40695</v>
      </c>
      <c r="J61" s="1">
        <v>101.95</v>
      </c>
      <c r="K61" s="34">
        <v>40695</v>
      </c>
      <c r="L61" s="1">
        <v>591.20000000000005</v>
      </c>
      <c r="M61" s="34">
        <v>40695</v>
      </c>
      <c r="N61" s="1">
        <v>125.4</v>
      </c>
    </row>
    <row r="62" spans="1:14" x14ac:dyDescent="0.25">
      <c r="A62" s="34">
        <v>40725</v>
      </c>
      <c r="B62" s="1">
        <v>594.4</v>
      </c>
      <c r="C62" s="34">
        <v>40725</v>
      </c>
      <c r="D62" s="1">
        <v>178</v>
      </c>
      <c r="E62" s="34">
        <v>40725</v>
      </c>
      <c r="F62" s="1">
        <v>6.6</v>
      </c>
      <c r="G62" s="34">
        <v>40725</v>
      </c>
      <c r="H62" s="1">
        <v>0.53</v>
      </c>
      <c r="I62" s="34">
        <v>40725</v>
      </c>
      <c r="J62" s="1">
        <v>102.03</v>
      </c>
      <c r="K62" s="34">
        <v>40725</v>
      </c>
      <c r="L62" s="1">
        <v>587.5</v>
      </c>
      <c r="M62" s="34">
        <v>40725</v>
      </c>
      <c r="N62" s="1">
        <v>119.6</v>
      </c>
    </row>
    <row r="63" spans="1:14" x14ac:dyDescent="0.25">
      <c r="A63" s="34">
        <v>40756</v>
      </c>
      <c r="B63" s="1">
        <v>592.9</v>
      </c>
      <c r="C63" s="34">
        <v>40756</v>
      </c>
      <c r="D63" s="1">
        <v>248</v>
      </c>
      <c r="E63" s="34">
        <v>40756</v>
      </c>
      <c r="F63" s="1">
        <v>6.6</v>
      </c>
      <c r="G63" s="34">
        <v>40756</v>
      </c>
      <c r="H63" s="1">
        <v>0.94</v>
      </c>
      <c r="I63" s="34">
        <v>40756</v>
      </c>
      <c r="J63" s="1">
        <v>102.19</v>
      </c>
      <c r="K63" s="34">
        <v>40756</v>
      </c>
      <c r="L63" s="1">
        <v>584.79999999999995</v>
      </c>
      <c r="M63" s="34">
        <v>40756</v>
      </c>
      <c r="N63" s="1">
        <v>115.5</v>
      </c>
    </row>
    <row r="64" spans="1:14" x14ac:dyDescent="0.25">
      <c r="A64" s="34">
        <v>40787</v>
      </c>
      <c r="B64" s="1">
        <v>596.29999999999995</v>
      </c>
      <c r="C64" s="34">
        <v>40787</v>
      </c>
      <c r="D64" s="1">
        <v>721</v>
      </c>
      <c r="E64" s="34">
        <v>40787</v>
      </c>
      <c r="F64" s="1">
        <v>6.6</v>
      </c>
      <c r="G64" s="34">
        <v>40787</v>
      </c>
      <c r="H64" s="1">
        <v>1.1599999999999999</v>
      </c>
      <c r="I64" s="34">
        <v>40787</v>
      </c>
      <c r="J64" s="1">
        <v>102.34</v>
      </c>
      <c r="K64" s="34">
        <v>40787</v>
      </c>
      <c r="L64" s="1">
        <v>593.9</v>
      </c>
      <c r="M64" s="34">
        <v>40787</v>
      </c>
      <c r="N64" s="1">
        <v>122.5</v>
      </c>
    </row>
    <row r="65" spans="1:14" x14ac:dyDescent="0.25">
      <c r="A65" s="34">
        <v>40817</v>
      </c>
      <c r="B65" s="1">
        <v>596.29999999999995</v>
      </c>
      <c r="C65" s="34">
        <v>40817</v>
      </c>
      <c r="D65" s="1">
        <v>178</v>
      </c>
      <c r="E65" s="34">
        <v>40817</v>
      </c>
      <c r="F65" s="1">
        <v>6.5</v>
      </c>
      <c r="G65" s="34">
        <v>40817</v>
      </c>
      <c r="H65" s="1">
        <v>1.28</v>
      </c>
      <c r="I65" s="34">
        <v>40817</v>
      </c>
      <c r="J65" s="1">
        <v>102.55</v>
      </c>
      <c r="K65" s="34">
        <v>40817</v>
      </c>
      <c r="L65" s="1">
        <v>597.1</v>
      </c>
      <c r="M65" s="34">
        <v>40817</v>
      </c>
      <c r="N65" s="1">
        <v>125.9</v>
      </c>
    </row>
    <row r="66" spans="1:14" x14ac:dyDescent="0.25">
      <c r="A66" s="34">
        <v>40848</v>
      </c>
      <c r="B66" s="1">
        <v>598</v>
      </c>
      <c r="C66" s="34">
        <v>40848</v>
      </c>
      <c r="D66" s="1">
        <v>384</v>
      </c>
      <c r="E66" s="34">
        <v>40848</v>
      </c>
      <c r="F66" s="1">
        <v>6.4</v>
      </c>
      <c r="G66" s="34">
        <v>40848</v>
      </c>
      <c r="H66" s="1">
        <v>1.36</v>
      </c>
      <c r="I66" s="34">
        <v>40848</v>
      </c>
      <c r="J66" s="1">
        <v>102.77</v>
      </c>
      <c r="K66" s="34">
        <v>40848</v>
      </c>
      <c r="L66" s="1">
        <v>603.1</v>
      </c>
      <c r="M66" s="34">
        <v>40848</v>
      </c>
      <c r="N66" s="1">
        <v>127.4</v>
      </c>
    </row>
    <row r="67" spans="1:14" x14ac:dyDescent="0.25">
      <c r="A67" s="34">
        <v>40878</v>
      </c>
      <c r="B67" s="1">
        <v>598.79999999999995</v>
      </c>
      <c r="C67" s="34">
        <v>40878</v>
      </c>
      <c r="D67" s="1">
        <v>229</v>
      </c>
      <c r="E67" s="34">
        <v>40878</v>
      </c>
      <c r="F67" s="1">
        <v>6.4</v>
      </c>
      <c r="G67" s="34">
        <v>40878</v>
      </c>
      <c r="H67" s="1">
        <v>1.31</v>
      </c>
      <c r="I67" s="34">
        <v>40878</v>
      </c>
      <c r="J67" s="1">
        <v>102.97</v>
      </c>
      <c r="K67" s="34">
        <v>40878</v>
      </c>
      <c r="L67" s="1">
        <v>608.4</v>
      </c>
      <c r="M67" s="34">
        <v>40878</v>
      </c>
      <c r="N67" s="1">
        <v>128.1</v>
      </c>
    </row>
    <row r="68" spans="1:14" x14ac:dyDescent="0.25">
      <c r="A68" s="34">
        <v>40909</v>
      </c>
      <c r="B68" s="1">
        <v>592.9</v>
      </c>
      <c r="C68" s="34">
        <v>40909</v>
      </c>
      <c r="D68" s="1">
        <v>209</v>
      </c>
      <c r="E68" s="34">
        <v>40909</v>
      </c>
      <c r="F68" s="1">
        <v>6.3</v>
      </c>
      <c r="G68" s="34">
        <v>40909</v>
      </c>
      <c r="H68" s="1">
        <v>1.55</v>
      </c>
      <c r="I68" s="34">
        <v>40909</v>
      </c>
      <c r="J68" s="1">
        <v>103.26</v>
      </c>
      <c r="K68" s="34">
        <v>40909</v>
      </c>
      <c r="L68" s="1">
        <v>584.70000000000005</v>
      </c>
      <c r="M68" s="34">
        <v>40909</v>
      </c>
      <c r="N68" s="1">
        <v>115.1</v>
      </c>
    </row>
    <row r="69" spans="1:14" x14ac:dyDescent="0.25">
      <c r="A69" s="34">
        <v>40940</v>
      </c>
      <c r="B69" s="1">
        <v>599.29999999999995</v>
      </c>
      <c r="C69" s="34">
        <v>40940</v>
      </c>
      <c r="D69" s="1">
        <v>96</v>
      </c>
      <c r="E69" s="34">
        <v>40940</v>
      </c>
      <c r="F69" s="1">
        <v>6.2</v>
      </c>
      <c r="G69" s="34">
        <v>40940</v>
      </c>
      <c r="H69" s="1">
        <v>1.89</v>
      </c>
      <c r="I69" s="34">
        <v>40940</v>
      </c>
      <c r="J69" s="1">
        <v>103.56</v>
      </c>
      <c r="K69" s="34">
        <v>40940</v>
      </c>
      <c r="L69" s="1">
        <v>600.29999999999995</v>
      </c>
      <c r="M69" s="34">
        <v>40940</v>
      </c>
      <c r="N69" s="1">
        <v>127.5</v>
      </c>
    </row>
    <row r="70" spans="1:14" x14ac:dyDescent="0.25">
      <c r="A70" s="34">
        <v>40969</v>
      </c>
      <c r="B70" s="1">
        <v>599.5</v>
      </c>
      <c r="C70" s="34">
        <v>40969</v>
      </c>
      <c r="D70" s="1">
        <v>366</v>
      </c>
      <c r="E70" s="34">
        <v>40969</v>
      </c>
      <c r="F70" s="1">
        <v>6.1</v>
      </c>
      <c r="G70" s="34">
        <v>40969</v>
      </c>
      <c r="H70" s="1">
        <v>1.84</v>
      </c>
      <c r="I70" s="34">
        <v>40969</v>
      </c>
      <c r="J70" s="1">
        <v>103.86</v>
      </c>
      <c r="K70" s="34">
        <v>40969</v>
      </c>
      <c r="L70" s="1">
        <v>602.9</v>
      </c>
      <c r="M70" s="34">
        <v>40969</v>
      </c>
      <c r="N70" s="1">
        <v>128.30000000000001</v>
      </c>
    </row>
    <row r="71" spans="1:14" x14ac:dyDescent="0.25">
      <c r="A71" s="34">
        <v>41000</v>
      </c>
      <c r="B71" s="1">
        <v>606.70000000000005</v>
      </c>
      <c r="C71" s="34">
        <v>41000</v>
      </c>
      <c r="D71" s="1">
        <v>390</v>
      </c>
      <c r="E71" s="34">
        <v>41000</v>
      </c>
      <c r="F71" s="1">
        <v>6</v>
      </c>
      <c r="G71" s="34">
        <v>41000</v>
      </c>
      <c r="H71" s="1">
        <v>2.11</v>
      </c>
      <c r="I71" s="34">
        <v>41000</v>
      </c>
      <c r="J71" s="1">
        <v>104.26</v>
      </c>
      <c r="K71" s="34">
        <v>41000</v>
      </c>
      <c r="L71" s="1">
        <v>604.20000000000005</v>
      </c>
      <c r="M71" s="34">
        <v>41000</v>
      </c>
      <c r="N71" s="1">
        <v>128.4</v>
      </c>
    </row>
    <row r="72" spans="1:14" x14ac:dyDescent="0.25">
      <c r="A72" s="34">
        <v>41030</v>
      </c>
      <c r="B72" s="1">
        <v>604.70000000000005</v>
      </c>
      <c r="C72" s="34">
        <v>41030</v>
      </c>
      <c r="D72" s="1">
        <v>176</v>
      </c>
      <c r="E72" s="34">
        <v>41030</v>
      </c>
      <c r="F72" s="1">
        <v>6</v>
      </c>
      <c r="G72" s="34">
        <v>41030</v>
      </c>
      <c r="H72" s="1">
        <v>1.81</v>
      </c>
      <c r="I72" s="34">
        <v>41030</v>
      </c>
      <c r="J72" s="1">
        <v>104.51</v>
      </c>
      <c r="K72" s="34">
        <v>41030</v>
      </c>
      <c r="L72" s="1">
        <v>607.4</v>
      </c>
      <c r="M72" s="34">
        <v>41030</v>
      </c>
      <c r="N72" s="1">
        <v>129</v>
      </c>
    </row>
    <row r="73" spans="1:14" x14ac:dyDescent="0.25">
      <c r="A73" s="34">
        <v>41061</v>
      </c>
      <c r="B73" s="1">
        <v>605.1</v>
      </c>
      <c r="C73" s="34">
        <v>41061</v>
      </c>
      <c r="D73" s="1">
        <v>496</v>
      </c>
      <c r="E73" s="34">
        <v>41061</v>
      </c>
      <c r="F73" s="1">
        <v>5.9</v>
      </c>
      <c r="G73" s="34">
        <v>41061</v>
      </c>
      <c r="H73" s="1">
        <v>1.59</v>
      </c>
      <c r="I73" s="34">
        <v>41061</v>
      </c>
      <c r="J73" s="1">
        <v>104.84</v>
      </c>
      <c r="K73" s="34">
        <v>41061</v>
      </c>
      <c r="L73" s="1">
        <v>606.1</v>
      </c>
      <c r="M73" s="34">
        <v>41061</v>
      </c>
      <c r="N73" s="1">
        <v>125.9</v>
      </c>
    </row>
    <row r="74" spans="1:14" x14ac:dyDescent="0.25">
      <c r="A74" s="34">
        <v>41091</v>
      </c>
      <c r="B74" s="1">
        <v>606</v>
      </c>
      <c r="C74" s="34">
        <v>41091</v>
      </c>
      <c r="D74" s="1">
        <v>270</v>
      </c>
      <c r="E74" s="34">
        <v>41091</v>
      </c>
      <c r="F74" s="1">
        <v>5.7</v>
      </c>
      <c r="G74" s="34">
        <v>41091</v>
      </c>
      <c r="H74" s="1">
        <v>2.15</v>
      </c>
      <c r="I74" s="34">
        <v>41091</v>
      </c>
      <c r="J74" s="1">
        <v>105.23</v>
      </c>
      <c r="K74" s="34">
        <v>41091</v>
      </c>
      <c r="L74" s="1">
        <v>599.20000000000005</v>
      </c>
      <c r="M74" s="34">
        <v>41091</v>
      </c>
      <c r="N74" s="1">
        <v>118.7</v>
      </c>
    </row>
    <row r="75" spans="1:14" x14ac:dyDescent="0.25">
      <c r="A75" s="34">
        <v>41122</v>
      </c>
      <c r="B75" s="1">
        <v>615.1</v>
      </c>
      <c r="C75" s="34">
        <v>41122</v>
      </c>
      <c r="D75" s="1">
        <v>179</v>
      </c>
      <c r="E75" s="34">
        <v>41122</v>
      </c>
      <c r="F75" s="1">
        <v>5.6</v>
      </c>
      <c r="G75" s="34">
        <v>41122</v>
      </c>
      <c r="H75" s="1">
        <v>1.74</v>
      </c>
      <c r="I75" s="34">
        <v>41122</v>
      </c>
      <c r="J75" s="1">
        <v>105.46</v>
      </c>
      <c r="K75" s="34">
        <v>41122</v>
      </c>
      <c r="L75" s="1">
        <v>605.6</v>
      </c>
      <c r="M75" s="34">
        <v>41122</v>
      </c>
      <c r="N75" s="1">
        <v>122.5</v>
      </c>
    </row>
    <row r="76" spans="1:14" x14ac:dyDescent="0.25">
      <c r="A76" s="34">
        <v>41153</v>
      </c>
      <c r="B76" s="1">
        <v>609.1</v>
      </c>
      <c r="C76" s="34">
        <v>41153</v>
      </c>
      <c r="D76" s="1">
        <v>228</v>
      </c>
      <c r="E76" s="34">
        <v>41153</v>
      </c>
      <c r="F76" s="1">
        <v>5.4</v>
      </c>
      <c r="G76" s="34">
        <v>41153</v>
      </c>
      <c r="H76" s="1">
        <v>1.51</v>
      </c>
      <c r="I76" s="34">
        <v>41153</v>
      </c>
      <c r="J76" s="1">
        <v>105.81</v>
      </c>
      <c r="K76" s="34">
        <v>41153</v>
      </c>
      <c r="L76" s="1">
        <v>607.5</v>
      </c>
      <c r="M76" s="34">
        <v>41153</v>
      </c>
      <c r="N76" s="1">
        <v>123.7</v>
      </c>
    </row>
    <row r="77" spans="1:14" x14ac:dyDescent="0.25">
      <c r="A77" s="34">
        <v>41183</v>
      </c>
      <c r="B77" s="1">
        <v>610.79999999999995</v>
      </c>
      <c r="C77" s="34">
        <v>41183</v>
      </c>
      <c r="D77" s="1">
        <v>437</v>
      </c>
      <c r="E77" s="34">
        <v>41183</v>
      </c>
      <c r="F77" s="1">
        <v>5.2</v>
      </c>
      <c r="G77" s="34">
        <v>41183</v>
      </c>
      <c r="H77" s="1">
        <v>1.86</v>
      </c>
      <c r="I77" s="34">
        <v>41183</v>
      </c>
      <c r="J77" s="1">
        <v>106.12</v>
      </c>
      <c r="K77" s="34">
        <v>41183</v>
      </c>
      <c r="L77" s="1">
        <v>611.70000000000005</v>
      </c>
      <c r="M77" s="34">
        <v>41183</v>
      </c>
      <c r="N77" s="1">
        <v>126.5</v>
      </c>
    </row>
    <row r="78" spans="1:14" x14ac:dyDescent="0.25">
      <c r="A78" s="34">
        <v>41214</v>
      </c>
      <c r="B78" s="1">
        <v>613.4</v>
      </c>
      <c r="C78" s="34">
        <v>41214</v>
      </c>
      <c r="D78" s="1">
        <v>159</v>
      </c>
      <c r="E78" s="34">
        <v>41214</v>
      </c>
      <c r="F78" s="1">
        <v>5.0999999999999996</v>
      </c>
      <c r="G78" s="34">
        <v>41214</v>
      </c>
      <c r="H78" s="1">
        <v>1.63</v>
      </c>
      <c r="I78" s="34">
        <v>41214</v>
      </c>
      <c r="J78" s="1">
        <v>106.41</v>
      </c>
      <c r="K78" s="34">
        <v>41214</v>
      </c>
      <c r="L78" s="1">
        <v>623.1</v>
      </c>
      <c r="M78" s="34">
        <v>41214</v>
      </c>
      <c r="N78" s="1">
        <v>132</v>
      </c>
    </row>
    <row r="79" spans="1:14" x14ac:dyDescent="0.25">
      <c r="A79" s="34">
        <v>41244</v>
      </c>
      <c r="B79" s="1">
        <v>612.9</v>
      </c>
      <c r="C79" s="34">
        <v>41244</v>
      </c>
      <c r="D79" s="1">
        <v>404</v>
      </c>
      <c r="E79" s="34">
        <v>41244</v>
      </c>
      <c r="F79" s="1">
        <v>5</v>
      </c>
      <c r="G79" s="34">
        <v>41244</v>
      </c>
      <c r="H79" s="1">
        <v>1.1100000000000001</v>
      </c>
      <c r="I79" s="34">
        <v>41244</v>
      </c>
      <c r="J79" s="1">
        <v>106.61</v>
      </c>
      <c r="K79" s="34">
        <v>41244</v>
      </c>
      <c r="L79" s="1">
        <v>622.70000000000005</v>
      </c>
      <c r="M79" s="34">
        <v>41244</v>
      </c>
      <c r="N79" s="1">
        <v>128.9</v>
      </c>
    </row>
    <row r="80" spans="1:14" x14ac:dyDescent="0.25">
      <c r="A80" s="34">
        <v>41275</v>
      </c>
      <c r="B80" s="1">
        <v>608.79999999999995</v>
      </c>
      <c r="C80" s="34">
        <v>41275</v>
      </c>
      <c r="D80" s="1">
        <v>462</v>
      </c>
      <c r="E80" s="34">
        <v>41275</v>
      </c>
      <c r="F80" s="1">
        <v>4.9000000000000004</v>
      </c>
      <c r="G80" s="34">
        <v>41275</v>
      </c>
      <c r="H80" s="1">
        <v>1.22</v>
      </c>
      <c r="I80" s="34">
        <v>41275</v>
      </c>
      <c r="J80" s="1">
        <v>106.88</v>
      </c>
      <c r="K80" s="34">
        <v>41275</v>
      </c>
      <c r="L80" s="1">
        <v>600.1</v>
      </c>
      <c r="M80" s="34">
        <v>41275</v>
      </c>
      <c r="N80" s="1">
        <v>115.6</v>
      </c>
    </row>
    <row r="81" spans="1:14" x14ac:dyDescent="0.25">
      <c r="A81" s="34">
        <v>41306</v>
      </c>
      <c r="B81" s="1">
        <v>614.6</v>
      </c>
      <c r="C81" s="34">
        <v>41306</v>
      </c>
      <c r="D81" s="1">
        <v>200</v>
      </c>
      <c r="E81" s="34">
        <v>41306</v>
      </c>
      <c r="F81" s="1">
        <v>4.9000000000000004</v>
      </c>
      <c r="G81" s="34">
        <v>41306</v>
      </c>
      <c r="H81" s="1">
        <v>0.77</v>
      </c>
      <c r="I81" s="34">
        <v>41306</v>
      </c>
      <c r="J81" s="1">
        <v>106.96</v>
      </c>
      <c r="K81" s="34">
        <v>41306</v>
      </c>
      <c r="L81" s="1">
        <v>615.79999999999995</v>
      </c>
      <c r="M81" s="34">
        <v>41306</v>
      </c>
      <c r="N81" s="1">
        <v>128</v>
      </c>
    </row>
    <row r="82" spans="1:14" x14ac:dyDescent="0.25">
      <c r="A82" s="34">
        <v>41334</v>
      </c>
      <c r="B82" s="1">
        <v>615.5</v>
      </c>
      <c r="C82" s="34">
        <v>41334</v>
      </c>
      <c r="D82" s="1">
        <v>343</v>
      </c>
      <c r="E82" s="34">
        <v>41334</v>
      </c>
      <c r="F82" s="1">
        <v>4.8</v>
      </c>
      <c r="G82" s="34">
        <v>41334</v>
      </c>
      <c r="H82" s="1">
        <v>0.96</v>
      </c>
      <c r="I82" s="34">
        <v>41334</v>
      </c>
      <c r="J82" s="1">
        <v>107.25</v>
      </c>
      <c r="K82" s="34">
        <v>41334</v>
      </c>
      <c r="L82" s="1">
        <v>618.70000000000005</v>
      </c>
      <c r="M82" s="34">
        <v>41334</v>
      </c>
      <c r="N82" s="1">
        <v>128.4</v>
      </c>
    </row>
    <row r="83" spans="1:14" x14ac:dyDescent="0.25">
      <c r="A83" s="34">
        <v>41365</v>
      </c>
      <c r="B83" s="1">
        <v>617.5</v>
      </c>
      <c r="C83" s="34">
        <v>41365</v>
      </c>
      <c r="D83" s="1">
        <v>228</v>
      </c>
      <c r="E83" s="34">
        <v>41365</v>
      </c>
      <c r="F83" s="1">
        <v>4.8</v>
      </c>
      <c r="G83" s="34">
        <v>41365</v>
      </c>
      <c r="H83" s="1">
        <v>0.69</v>
      </c>
      <c r="I83" s="34">
        <v>41365</v>
      </c>
      <c r="J83" s="1">
        <v>107.24</v>
      </c>
      <c r="K83" s="34">
        <v>41365</v>
      </c>
      <c r="L83" s="1">
        <v>615.1</v>
      </c>
      <c r="M83" s="34">
        <v>41365</v>
      </c>
      <c r="N83" s="1">
        <v>125.4</v>
      </c>
    </row>
    <row r="84" spans="1:14" x14ac:dyDescent="0.25">
      <c r="A84" s="34">
        <v>41395</v>
      </c>
      <c r="B84" s="1">
        <v>616.70000000000005</v>
      </c>
      <c r="C84" s="34">
        <v>41395</v>
      </c>
      <c r="D84" s="1">
        <v>231</v>
      </c>
      <c r="E84" s="34">
        <v>41395</v>
      </c>
      <c r="F84" s="1">
        <v>4.7</v>
      </c>
      <c r="G84" s="34">
        <v>41395</v>
      </c>
      <c r="H84" s="1">
        <v>0.92</v>
      </c>
      <c r="I84" s="34">
        <v>41395</v>
      </c>
      <c r="J84" s="1">
        <v>107.52</v>
      </c>
      <c r="K84" s="34">
        <v>41395</v>
      </c>
      <c r="L84" s="1">
        <v>619.6</v>
      </c>
      <c r="M84" s="34">
        <v>41395</v>
      </c>
      <c r="N84" s="1">
        <v>129.19999999999999</v>
      </c>
    </row>
    <row r="85" spans="1:14" x14ac:dyDescent="0.25">
      <c r="A85" s="34">
        <v>41426</v>
      </c>
      <c r="B85" s="1">
        <v>617</v>
      </c>
      <c r="C85" s="34">
        <v>41426</v>
      </c>
      <c r="D85" s="1">
        <v>208</v>
      </c>
      <c r="E85" s="34">
        <v>41426</v>
      </c>
      <c r="F85" s="1">
        <v>4.7</v>
      </c>
      <c r="G85" s="34">
        <v>41426</v>
      </c>
      <c r="H85" s="1">
        <v>0.87</v>
      </c>
      <c r="I85" s="34">
        <v>41426</v>
      </c>
      <c r="J85" s="1">
        <v>107.54</v>
      </c>
      <c r="K85" s="34">
        <v>41426</v>
      </c>
      <c r="L85" s="1">
        <v>616.5</v>
      </c>
      <c r="M85" s="34">
        <v>41426</v>
      </c>
      <c r="N85" s="1">
        <v>124.9</v>
      </c>
    </row>
    <row r="86" spans="1:14" x14ac:dyDescent="0.25">
      <c r="A86" s="34">
        <v>41456</v>
      </c>
      <c r="B86" s="1">
        <v>619.20000000000005</v>
      </c>
      <c r="C86" s="34">
        <v>41456</v>
      </c>
      <c r="D86" s="1">
        <v>219</v>
      </c>
      <c r="E86" s="34">
        <v>41456</v>
      </c>
      <c r="F86" s="1">
        <v>4.7</v>
      </c>
      <c r="G86" s="34">
        <v>41456</v>
      </c>
      <c r="H86" s="1">
        <v>0.72</v>
      </c>
      <c r="I86" s="34">
        <v>41456</v>
      </c>
      <c r="J86" s="1">
        <v>107.75</v>
      </c>
      <c r="K86" s="34">
        <v>41456</v>
      </c>
      <c r="L86" s="1">
        <v>612.20000000000005</v>
      </c>
      <c r="M86" s="34">
        <v>41456</v>
      </c>
      <c r="N86" s="1">
        <v>118.8</v>
      </c>
    </row>
    <row r="87" spans="1:14" x14ac:dyDescent="0.25">
      <c r="A87" s="34">
        <v>41487</v>
      </c>
      <c r="B87" s="1">
        <v>618.9</v>
      </c>
      <c r="C87" s="34">
        <v>41487</v>
      </c>
      <c r="D87" s="1">
        <v>231</v>
      </c>
      <c r="E87" s="34">
        <v>41487</v>
      </c>
      <c r="F87" s="1">
        <v>4.8</v>
      </c>
      <c r="G87" s="34">
        <v>41487</v>
      </c>
      <c r="H87" s="1">
        <v>0.34</v>
      </c>
      <c r="I87" s="34">
        <v>41487</v>
      </c>
      <c r="J87" s="1">
        <v>107.7</v>
      </c>
      <c r="K87" s="34">
        <v>41487</v>
      </c>
      <c r="L87" s="1">
        <v>609.9</v>
      </c>
      <c r="M87" s="34">
        <v>41487</v>
      </c>
      <c r="N87" s="1">
        <v>115.9</v>
      </c>
    </row>
    <row r="88" spans="1:14" x14ac:dyDescent="0.25">
      <c r="A88" s="34">
        <v>41518</v>
      </c>
      <c r="B88" s="1">
        <v>619.29999999999995</v>
      </c>
      <c r="C88" s="34">
        <v>41518</v>
      </c>
      <c r="D88" s="1">
        <v>859</v>
      </c>
      <c r="E88" s="34">
        <v>41518</v>
      </c>
      <c r="F88" s="1">
        <v>4.7</v>
      </c>
      <c r="G88" s="34">
        <v>41518</v>
      </c>
      <c r="H88" s="1">
        <v>0.9</v>
      </c>
      <c r="I88" s="34">
        <v>41518</v>
      </c>
      <c r="J88" s="1">
        <v>107.98</v>
      </c>
      <c r="K88" s="34">
        <v>41518</v>
      </c>
      <c r="L88" s="1">
        <v>617.70000000000005</v>
      </c>
      <c r="M88" s="34">
        <v>41518</v>
      </c>
      <c r="N88" s="1">
        <v>123.8</v>
      </c>
    </row>
    <row r="89" spans="1:14" x14ac:dyDescent="0.25">
      <c r="A89" s="34">
        <v>41548</v>
      </c>
      <c r="B89" s="1">
        <v>620.1</v>
      </c>
      <c r="C89" s="34">
        <v>41548</v>
      </c>
      <c r="D89" s="1">
        <v>367</v>
      </c>
      <c r="E89" s="34">
        <v>41548</v>
      </c>
      <c r="F89" s="1">
        <v>4.7</v>
      </c>
      <c r="G89" s="34">
        <v>41548</v>
      </c>
      <c r="H89" s="1">
        <v>1.19</v>
      </c>
      <c r="I89" s="34">
        <v>41548</v>
      </c>
      <c r="J89" s="1">
        <v>108.04</v>
      </c>
      <c r="K89" s="34">
        <v>41548</v>
      </c>
      <c r="L89" s="1">
        <v>621.70000000000005</v>
      </c>
      <c r="M89" s="34">
        <v>41548</v>
      </c>
      <c r="N89" s="1">
        <v>126.5</v>
      </c>
    </row>
    <row r="90" spans="1:14" x14ac:dyDescent="0.25">
      <c r="A90" s="34">
        <v>41579</v>
      </c>
      <c r="B90" s="1">
        <v>622.29999999999995</v>
      </c>
      <c r="C90" s="34">
        <v>41579</v>
      </c>
      <c r="D90" s="1">
        <v>218</v>
      </c>
      <c r="E90" s="34">
        <v>41579</v>
      </c>
      <c r="F90" s="1">
        <v>4.7</v>
      </c>
      <c r="G90" s="34">
        <v>41579</v>
      </c>
      <c r="H90" s="1">
        <v>0.93</v>
      </c>
      <c r="I90" s="34">
        <v>41579</v>
      </c>
      <c r="J90" s="1">
        <v>108.23</v>
      </c>
      <c r="K90" s="34">
        <v>41579</v>
      </c>
      <c r="L90" s="1">
        <v>632.20000000000005</v>
      </c>
      <c r="M90" s="34">
        <v>41579</v>
      </c>
      <c r="N90" s="1">
        <v>131.9</v>
      </c>
    </row>
    <row r="91" spans="1:14" x14ac:dyDescent="0.25">
      <c r="A91" s="34">
        <v>41609</v>
      </c>
      <c r="B91" s="1">
        <v>623.4</v>
      </c>
      <c r="C91" s="34">
        <v>41609</v>
      </c>
      <c r="D91" s="1">
        <v>315</v>
      </c>
      <c r="E91" s="34">
        <v>41609</v>
      </c>
      <c r="F91" s="1">
        <v>4.7</v>
      </c>
      <c r="G91" s="34">
        <v>41609</v>
      </c>
      <c r="H91" s="1">
        <v>0.68</v>
      </c>
      <c r="I91" s="34">
        <v>41609</v>
      </c>
      <c r="J91" s="1">
        <v>108.27</v>
      </c>
      <c r="K91" s="34">
        <v>41609</v>
      </c>
      <c r="L91" s="1">
        <v>632</v>
      </c>
      <c r="M91" s="34">
        <v>41609</v>
      </c>
      <c r="N91" s="1">
        <v>129.19999999999999</v>
      </c>
    </row>
    <row r="92" spans="1:14" x14ac:dyDescent="0.25">
      <c r="A92" s="34">
        <v>41640</v>
      </c>
      <c r="B92" s="1">
        <v>621.29999999999995</v>
      </c>
      <c r="C92" s="34">
        <v>41640</v>
      </c>
      <c r="D92" s="1">
        <v>140</v>
      </c>
      <c r="E92" s="34">
        <v>41640</v>
      </c>
      <c r="F92" s="1">
        <v>4.5999999999999996</v>
      </c>
      <c r="G92" s="34">
        <v>41640</v>
      </c>
      <c r="H92" s="1">
        <v>0.79</v>
      </c>
      <c r="I92" s="34">
        <v>41640</v>
      </c>
      <c r="J92" s="1">
        <v>108.47</v>
      </c>
      <c r="K92" s="34">
        <v>41640</v>
      </c>
      <c r="L92" s="1">
        <v>616.20000000000005</v>
      </c>
      <c r="M92" s="34">
        <v>41640</v>
      </c>
      <c r="N92" s="1">
        <v>125</v>
      </c>
    </row>
    <row r="93" spans="1:14" x14ac:dyDescent="0.25">
      <c r="A93" s="34">
        <v>41671</v>
      </c>
      <c r="B93" s="1">
        <v>620.1</v>
      </c>
      <c r="C93" s="34">
        <v>41671</v>
      </c>
      <c r="D93" s="1">
        <v>163</v>
      </c>
      <c r="E93" s="34">
        <v>41671</v>
      </c>
      <c r="F93" s="1">
        <v>4.5999999999999996</v>
      </c>
      <c r="G93" s="34">
        <v>41671</v>
      </c>
      <c r="H93" s="1">
        <v>0.52</v>
      </c>
      <c r="I93" s="34">
        <v>41671</v>
      </c>
      <c r="J93" s="1">
        <v>108.48</v>
      </c>
      <c r="K93" s="34">
        <v>41671</v>
      </c>
      <c r="L93" s="1">
        <v>620.20000000000005</v>
      </c>
      <c r="M93" s="34">
        <v>41671</v>
      </c>
      <c r="N93" s="1">
        <v>128.4</v>
      </c>
    </row>
    <row r="94" spans="1:14" x14ac:dyDescent="0.25">
      <c r="A94" s="34">
        <v>41699</v>
      </c>
      <c r="B94" s="1">
        <v>620.20000000000005</v>
      </c>
      <c r="C94" s="34">
        <v>41699</v>
      </c>
      <c r="D94" s="1">
        <v>148</v>
      </c>
      <c r="E94" s="34">
        <v>41699</v>
      </c>
      <c r="F94" s="1">
        <v>4.5</v>
      </c>
      <c r="G94" s="34">
        <v>41699</v>
      </c>
      <c r="H94" s="1">
        <v>0.49</v>
      </c>
      <c r="I94" s="34">
        <v>41699</v>
      </c>
      <c r="J94" s="1">
        <v>108.63</v>
      </c>
      <c r="K94" s="34">
        <v>41699</v>
      </c>
      <c r="L94" s="1">
        <v>623.1</v>
      </c>
      <c r="M94" s="34">
        <v>41699</v>
      </c>
      <c r="N94" s="1">
        <v>128.9</v>
      </c>
    </row>
    <row r="95" spans="1:14" x14ac:dyDescent="0.25">
      <c r="A95" s="34">
        <v>41730</v>
      </c>
      <c r="B95" s="1">
        <v>622.5</v>
      </c>
      <c r="C95" s="34">
        <v>41730</v>
      </c>
      <c r="D95" s="1">
        <v>256</v>
      </c>
      <c r="E95" s="34">
        <v>41730</v>
      </c>
      <c r="F95" s="1">
        <v>4.4000000000000004</v>
      </c>
      <c r="G95" s="34">
        <v>41730</v>
      </c>
      <c r="H95" s="1">
        <v>1.05</v>
      </c>
      <c r="I95" s="34">
        <v>41730</v>
      </c>
      <c r="J95" s="1">
        <v>108.81</v>
      </c>
      <c r="K95" s="34">
        <v>41730</v>
      </c>
      <c r="L95" s="1">
        <v>622.5</v>
      </c>
      <c r="M95" s="34">
        <v>41730</v>
      </c>
      <c r="N95" s="1">
        <v>128</v>
      </c>
    </row>
    <row r="96" spans="1:14" x14ac:dyDescent="0.25">
      <c r="A96" s="34">
        <v>41760</v>
      </c>
      <c r="B96" s="1">
        <v>624.1</v>
      </c>
      <c r="C96" s="34">
        <v>41760</v>
      </c>
      <c r="D96" s="1">
        <v>197</v>
      </c>
      <c r="E96" s="34">
        <v>41760</v>
      </c>
      <c r="F96" s="1">
        <v>4.4000000000000004</v>
      </c>
      <c r="G96" s="34">
        <v>41760</v>
      </c>
      <c r="H96" s="1">
        <v>0.86</v>
      </c>
      <c r="I96" s="34">
        <v>41760</v>
      </c>
      <c r="J96" s="1">
        <v>108.92</v>
      </c>
      <c r="K96" s="34">
        <v>41760</v>
      </c>
      <c r="L96" s="1">
        <v>625.20000000000005</v>
      </c>
      <c r="M96" s="34">
        <v>41760</v>
      </c>
      <c r="N96" s="1">
        <v>129.30000000000001</v>
      </c>
    </row>
    <row r="97" spans="1:14" x14ac:dyDescent="0.25">
      <c r="A97" s="34">
        <v>41791</v>
      </c>
      <c r="B97" s="1">
        <v>623.1</v>
      </c>
      <c r="C97" s="34">
        <v>41791</v>
      </c>
      <c r="D97" s="1">
        <v>317</v>
      </c>
      <c r="E97" s="34">
        <v>41791</v>
      </c>
      <c r="F97" s="1">
        <v>4.4000000000000004</v>
      </c>
      <c r="G97" s="34">
        <v>41791</v>
      </c>
      <c r="H97" s="1">
        <v>0.92</v>
      </c>
      <c r="I97" s="34">
        <v>41791</v>
      </c>
      <c r="J97" s="1">
        <v>109.11</v>
      </c>
      <c r="K97" s="34">
        <v>41791</v>
      </c>
      <c r="L97" s="1">
        <v>622.20000000000005</v>
      </c>
      <c r="M97" s="34">
        <v>41791</v>
      </c>
      <c r="N97" s="1">
        <v>125.5</v>
      </c>
    </row>
    <row r="98" spans="1:14" x14ac:dyDescent="0.25">
      <c r="A98" s="34">
        <v>41821</v>
      </c>
      <c r="B98" s="1">
        <v>624.1</v>
      </c>
      <c r="C98" s="34">
        <v>41821</v>
      </c>
      <c r="D98" s="1">
        <v>279</v>
      </c>
      <c r="E98" s="34">
        <v>41821</v>
      </c>
      <c r="F98" s="1">
        <v>4.4000000000000004</v>
      </c>
      <c r="G98" s="34">
        <v>41821</v>
      </c>
      <c r="H98" s="1">
        <v>1</v>
      </c>
      <c r="I98" s="34">
        <v>41821</v>
      </c>
      <c r="J98" s="1">
        <v>109.27</v>
      </c>
      <c r="K98" s="34">
        <v>41821</v>
      </c>
      <c r="L98" s="1">
        <v>617.1</v>
      </c>
      <c r="M98" s="34">
        <v>41821</v>
      </c>
      <c r="N98" s="1">
        <v>118.8</v>
      </c>
    </row>
    <row r="99" spans="1:14" x14ac:dyDescent="0.25">
      <c r="A99" s="34">
        <v>41852</v>
      </c>
      <c r="B99" s="1">
        <v>626.29999999999995</v>
      </c>
      <c r="C99" s="34">
        <v>41852</v>
      </c>
      <c r="D99" s="1">
        <v>217</v>
      </c>
      <c r="E99" s="34">
        <v>41852</v>
      </c>
      <c r="F99" s="1">
        <v>4.3</v>
      </c>
      <c r="G99" s="34">
        <v>41852</v>
      </c>
      <c r="H99" s="1">
        <v>1.53</v>
      </c>
      <c r="I99" s="34">
        <v>41852</v>
      </c>
      <c r="J99" s="1">
        <v>109.61</v>
      </c>
      <c r="K99" s="34">
        <v>41852</v>
      </c>
      <c r="L99" s="1">
        <v>619.70000000000005</v>
      </c>
      <c r="M99" s="34">
        <v>41852</v>
      </c>
      <c r="N99" s="1">
        <v>120</v>
      </c>
    </row>
    <row r="100" spans="1:14" x14ac:dyDescent="0.25">
      <c r="A100" s="34">
        <v>41883</v>
      </c>
      <c r="B100" s="1">
        <v>628.70000000000005</v>
      </c>
      <c r="C100" s="34">
        <v>41883</v>
      </c>
      <c r="D100" s="1">
        <v>122</v>
      </c>
      <c r="E100" s="34">
        <v>41883</v>
      </c>
      <c r="F100" s="1">
        <v>4.2</v>
      </c>
      <c r="G100" s="34">
        <v>41883</v>
      </c>
      <c r="H100" s="1">
        <v>1.63</v>
      </c>
      <c r="I100" s="34">
        <v>41883</v>
      </c>
      <c r="J100" s="1">
        <v>109.83</v>
      </c>
      <c r="K100" s="34">
        <v>41883</v>
      </c>
      <c r="L100" s="1">
        <v>626.5</v>
      </c>
      <c r="M100" s="34">
        <v>41883</v>
      </c>
      <c r="N100" s="1">
        <v>124.3</v>
      </c>
    </row>
    <row r="101" spans="1:14" x14ac:dyDescent="0.25">
      <c r="A101" s="34">
        <v>41913</v>
      </c>
      <c r="B101" s="1">
        <v>626.6</v>
      </c>
      <c r="C101" s="34">
        <v>41913</v>
      </c>
      <c r="D101" s="1">
        <v>228</v>
      </c>
      <c r="E101" s="34">
        <v>41913</v>
      </c>
      <c r="F101" s="1">
        <v>4.0999999999999996</v>
      </c>
      <c r="G101" s="34">
        <v>41913</v>
      </c>
      <c r="H101" s="1">
        <v>1.07</v>
      </c>
      <c r="I101" s="34">
        <v>41913</v>
      </c>
      <c r="J101" s="1">
        <v>110.06</v>
      </c>
      <c r="K101" s="34">
        <v>41913</v>
      </c>
      <c r="L101" s="1">
        <v>629.29999999999995</v>
      </c>
      <c r="M101" s="34">
        <v>41913</v>
      </c>
      <c r="N101" s="1">
        <v>126.7</v>
      </c>
    </row>
    <row r="102" spans="1:14" x14ac:dyDescent="0.25">
      <c r="A102" s="34">
        <v>41944</v>
      </c>
      <c r="B102" s="1">
        <v>632.20000000000005</v>
      </c>
      <c r="C102" s="34">
        <v>41944</v>
      </c>
      <c r="D102" s="1">
        <v>279</v>
      </c>
      <c r="E102" s="34">
        <v>41944</v>
      </c>
      <c r="F102" s="1">
        <v>4</v>
      </c>
      <c r="G102" s="34">
        <v>41944</v>
      </c>
      <c r="H102" s="1">
        <v>0.98</v>
      </c>
      <c r="I102" s="34">
        <v>41944</v>
      </c>
      <c r="J102" s="1">
        <v>110.28</v>
      </c>
      <c r="K102" s="34">
        <v>41944</v>
      </c>
      <c r="L102" s="1">
        <v>638.5</v>
      </c>
      <c r="M102" s="34">
        <v>41944</v>
      </c>
      <c r="N102" s="1">
        <v>131</v>
      </c>
    </row>
    <row r="103" spans="1:14" x14ac:dyDescent="0.25">
      <c r="A103" s="34">
        <v>41974</v>
      </c>
      <c r="B103" s="1">
        <v>632.4</v>
      </c>
      <c r="E103" s="34">
        <v>41974</v>
      </c>
      <c r="F103" s="1">
        <v>4</v>
      </c>
      <c r="K103" s="34">
        <v>41974</v>
      </c>
      <c r="L103" s="1">
        <v>641.4</v>
      </c>
      <c r="M103" s="34">
        <v>41974</v>
      </c>
      <c r="N103" s="1">
        <v>132.1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103"/>
  <sheetViews>
    <sheetView topLeftCell="A79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130</v>
      </c>
      <c r="C1" s="34" t="s">
        <v>131</v>
      </c>
      <c r="E1" s="34" t="s">
        <v>132</v>
      </c>
      <c r="G1" s="34" t="s">
        <v>133</v>
      </c>
      <c r="I1" s="34" t="s">
        <v>134</v>
      </c>
      <c r="K1" s="34" t="str">
        <f>CONCATENATE(LEFT(A1,2), "NAN")</f>
        <v>IANAN</v>
      </c>
      <c r="M1" s="34" t="str">
        <f>CONCATENATE(LEFT(A1,2), "GOVTN")</f>
        <v>IAGOVTN</v>
      </c>
      <c r="O1" s="34" t="str">
        <f>CONCATENATE(LEFT($A$1,2), "RGSP")</f>
        <v>IARGSP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868</v>
      </c>
      <c r="C5" s="35" t="s">
        <v>135</v>
      </c>
      <c r="E5" s="35" t="s">
        <v>136</v>
      </c>
      <c r="G5" s="35" t="s">
        <v>137</v>
      </c>
      <c r="I5" s="35" t="s">
        <v>138</v>
      </c>
      <c r="K5" s="35" t="s">
        <v>868</v>
      </c>
      <c r="M5" s="35" t="s">
        <v>869</v>
      </c>
      <c r="O5" s="35" t="s">
        <v>808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1514</v>
      </c>
      <c r="C8" s="34">
        <v>39083</v>
      </c>
      <c r="D8" s="1">
        <v>482</v>
      </c>
      <c r="E8" s="34">
        <v>39083</v>
      </c>
      <c r="F8" s="1">
        <v>3.7</v>
      </c>
      <c r="G8" s="34">
        <v>39083</v>
      </c>
      <c r="H8" s="1">
        <v>1.1499999999999999</v>
      </c>
      <c r="I8" s="34">
        <v>39083</v>
      </c>
      <c r="J8" s="1">
        <v>139.24</v>
      </c>
      <c r="K8" s="34">
        <v>39083</v>
      </c>
      <c r="L8" s="1">
        <v>1482.6</v>
      </c>
      <c r="M8" s="34">
        <v>39083</v>
      </c>
      <c r="N8" s="1">
        <v>247.6</v>
      </c>
      <c r="O8" s="34">
        <v>39083</v>
      </c>
      <c r="P8" s="1">
        <v>142103</v>
      </c>
    </row>
    <row r="9" spans="1:16" x14ac:dyDescent="0.25">
      <c r="A9" s="34">
        <v>39114</v>
      </c>
      <c r="B9" s="1">
        <v>1514</v>
      </c>
      <c r="C9" s="34">
        <v>39114</v>
      </c>
      <c r="D9" s="1">
        <v>348</v>
      </c>
      <c r="E9" s="34">
        <v>39114</v>
      </c>
      <c r="F9" s="1">
        <v>3.6</v>
      </c>
      <c r="G9" s="34">
        <v>39114</v>
      </c>
      <c r="H9" s="1">
        <v>0.69</v>
      </c>
      <c r="I9" s="34">
        <v>39114</v>
      </c>
      <c r="J9" s="1">
        <v>139.4</v>
      </c>
      <c r="K9" s="34">
        <v>39114</v>
      </c>
      <c r="L9" s="1">
        <v>1485.7</v>
      </c>
      <c r="M9" s="34">
        <v>39114</v>
      </c>
      <c r="N9" s="1">
        <v>253.7</v>
      </c>
      <c r="O9" s="34">
        <v>39448</v>
      </c>
      <c r="P9" s="1">
        <v>138130</v>
      </c>
    </row>
    <row r="10" spans="1:16" x14ac:dyDescent="0.25">
      <c r="A10" s="34">
        <v>39142</v>
      </c>
      <c r="B10" s="1">
        <v>1513.2</v>
      </c>
      <c r="C10" s="34">
        <v>39142</v>
      </c>
      <c r="D10" s="1">
        <v>1186</v>
      </c>
      <c r="E10" s="34">
        <v>39142</v>
      </c>
      <c r="F10" s="1">
        <v>3.6</v>
      </c>
      <c r="G10" s="34">
        <v>39142</v>
      </c>
      <c r="H10" s="1">
        <v>0.57999999999999996</v>
      </c>
      <c r="I10" s="34">
        <v>39142</v>
      </c>
      <c r="J10" s="1">
        <v>139.61000000000001</v>
      </c>
      <c r="K10" s="34">
        <v>39142</v>
      </c>
      <c r="L10" s="1">
        <v>1496.4</v>
      </c>
      <c r="M10" s="34">
        <v>39142</v>
      </c>
      <c r="N10" s="1">
        <v>253.6</v>
      </c>
      <c r="O10" s="34">
        <v>39814</v>
      </c>
      <c r="P10" s="1">
        <v>136511</v>
      </c>
    </row>
    <row r="11" spans="1:16" x14ac:dyDescent="0.25">
      <c r="A11" s="34">
        <v>39173</v>
      </c>
      <c r="B11" s="1">
        <v>1514.8</v>
      </c>
      <c r="C11" s="34">
        <v>39173</v>
      </c>
      <c r="D11" s="1">
        <v>1223</v>
      </c>
      <c r="E11" s="34">
        <v>39173</v>
      </c>
      <c r="F11" s="1">
        <v>3.7</v>
      </c>
      <c r="G11" s="34">
        <v>39173</v>
      </c>
      <c r="H11" s="1">
        <v>0.56999999999999995</v>
      </c>
      <c r="I11" s="34">
        <v>39173</v>
      </c>
      <c r="J11" s="1">
        <v>139.74</v>
      </c>
      <c r="K11" s="34">
        <v>39173</v>
      </c>
      <c r="L11" s="1">
        <v>1517.8</v>
      </c>
      <c r="M11" s="34">
        <v>39173</v>
      </c>
      <c r="N11" s="1">
        <v>254</v>
      </c>
      <c r="O11" s="34">
        <v>40179</v>
      </c>
      <c r="P11" s="1">
        <v>140473</v>
      </c>
    </row>
    <row r="12" spans="1:16" x14ac:dyDescent="0.25">
      <c r="A12" s="34">
        <v>39203</v>
      </c>
      <c r="B12" s="1">
        <v>1517.2</v>
      </c>
      <c r="C12" s="34">
        <v>39203</v>
      </c>
      <c r="D12" s="1">
        <v>1170</v>
      </c>
      <c r="E12" s="34">
        <v>39203</v>
      </c>
      <c r="F12" s="1">
        <v>3.7</v>
      </c>
      <c r="G12" s="34">
        <v>39203</v>
      </c>
      <c r="H12" s="1">
        <v>0.68</v>
      </c>
      <c r="I12" s="34">
        <v>39203</v>
      </c>
      <c r="J12" s="1">
        <v>140</v>
      </c>
      <c r="K12" s="34">
        <v>39203</v>
      </c>
      <c r="L12" s="1">
        <v>1534.1</v>
      </c>
      <c r="M12" s="34">
        <v>39203</v>
      </c>
      <c r="N12" s="1">
        <v>256.5</v>
      </c>
      <c r="O12" s="34">
        <v>40544</v>
      </c>
      <c r="P12" s="1">
        <v>142760</v>
      </c>
    </row>
    <row r="13" spans="1:16" x14ac:dyDescent="0.25">
      <c r="A13" s="34">
        <v>39234</v>
      </c>
      <c r="B13" s="1">
        <v>1521.9</v>
      </c>
      <c r="C13" s="34">
        <v>39234</v>
      </c>
      <c r="D13" s="1">
        <v>1190</v>
      </c>
      <c r="E13" s="34">
        <v>39234</v>
      </c>
      <c r="F13" s="1">
        <v>3.8</v>
      </c>
      <c r="G13" s="34">
        <v>39234</v>
      </c>
      <c r="H13" s="1">
        <v>0.66</v>
      </c>
      <c r="I13" s="34">
        <v>39234</v>
      </c>
      <c r="J13" s="1">
        <v>140.18</v>
      </c>
      <c r="K13" s="34">
        <v>39234</v>
      </c>
      <c r="L13" s="1">
        <v>1542.2</v>
      </c>
      <c r="M13" s="34">
        <v>39234</v>
      </c>
      <c r="N13" s="1">
        <v>253.5</v>
      </c>
      <c r="O13" s="34">
        <v>40909</v>
      </c>
      <c r="P13" s="1">
        <v>146336</v>
      </c>
    </row>
    <row r="14" spans="1:16" x14ac:dyDescent="0.25">
      <c r="A14" s="34">
        <v>39264</v>
      </c>
      <c r="B14" s="1">
        <v>1520</v>
      </c>
      <c r="C14" s="34">
        <v>39264</v>
      </c>
      <c r="D14" s="1">
        <v>1164</v>
      </c>
      <c r="E14" s="34">
        <v>39264</v>
      </c>
      <c r="F14" s="1">
        <v>3.8</v>
      </c>
      <c r="G14" s="34">
        <v>39264</v>
      </c>
      <c r="H14" s="1">
        <v>0.69</v>
      </c>
      <c r="I14" s="34">
        <v>39264</v>
      </c>
      <c r="J14" s="1">
        <v>140.35</v>
      </c>
      <c r="K14" s="34">
        <v>39264</v>
      </c>
      <c r="L14" s="1">
        <v>1508.5</v>
      </c>
      <c r="M14" s="34">
        <v>39264</v>
      </c>
      <c r="N14" s="1">
        <v>228.6</v>
      </c>
      <c r="O14" s="34">
        <v>41275</v>
      </c>
      <c r="P14" s="1">
        <v>150512</v>
      </c>
    </row>
    <row r="15" spans="1:16" x14ac:dyDescent="0.25">
      <c r="A15" s="34">
        <v>39295</v>
      </c>
      <c r="B15" s="1">
        <v>1519.7</v>
      </c>
      <c r="C15" s="34">
        <v>39295</v>
      </c>
      <c r="D15" s="1">
        <v>855</v>
      </c>
      <c r="E15" s="34">
        <v>39295</v>
      </c>
      <c r="F15" s="1">
        <v>3.8</v>
      </c>
      <c r="G15" s="34">
        <v>39295</v>
      </c>
      <c r="H15" s="1">
        <v>0.61</v>
      </c>
      <c r="I15" s="34">
        <v>39295</v>
      </c>
      <c r="J15" s="1">
        <v>140.51</v>
      </c>
      <c r="K15" s="34">
        <v>39295</v>
      </c>
      <c r="L15" s="1">
        <v>1508.8</v>
      </c>
      <c r="M15" s="34">
        <v>39295</v>
      </c>
      <c r="N15" s="1">
        <v>228.5</v>
      </c>
    </row>
    <row r="16" spans="1:16" x14ac:dyDescent="0.25">
      <c r="A16" s="34">
        <v>39326</v>
      </c>
      <c r="B16" s="1">
        <v>1519.6</v>
      </c>
      <c r="C16" s="34">
        <v>39326</v>
      </c>
      <c r="D16" s="1">
        <v>1060</v>
      </c>
      <c r="E16" s="34">
        <v>39326</v>
      </c>
      <c r="F16" s="1">
        <v>3.9</v>
      </c>
      <c r="G16" s="34">
        <v>39326</v>
      </c>
      <c r="H16" s="1">
        <v>0.54</v>
      </c>
      <c r="I16" s="34">
        <v>39326</v>
      </c>
      <c r="J16" s="1">
        <v>140.6</v>
      </c>
      <c r="K16" s="34">
        <v>39326</v>
      </c>
      <c r="L16" s="1">
        <v>1529.3</v>
      </c>
      <c r="M16" s="34">
        <v>39326</v>
      </c>
      <c r="N16" s="1">
        <v>250.3</v>
      </c>
    </row>
    <row r="17" spans="1:14" x14ac:dyDescent="0.25">
      <c r="A17" s="34">
        <v>39356</v>
      </c>
      <c r="B17" s="1">
        <v>1522.3</v>
      </c>
      <c r="C17" s="34">
        <v>39356</v>
      </c>
      <c r="D17" s="1">
        <v>926</v>
      </c>
      <c r="E17" s="34">
        <v>39356</v>
      </c>
      <c r="F17" s="1">
        <v>3.8</v>
      </c>
      <c r="G17" s="34">
        <v>39356</v>
      </c>
      <c r="H17" s="1">
        <v>0.64</v>
      </c>
      <c r="I17" s="34">
        <v>39356</v>
      </c>
      <c r="J17" s="1">
        <v>140.80000000000001</v>
      </c>
      <c r="K17" s="34">
        <v>39356</v>
      </c>
      <c r="L17" s="1">
        <v>1538.6</v>
      </c>
      <c r="M17" s="34">
        <v>39356</v>
      </c>
      <c r="N17" s="1">
        <v>256.89999999999998</v>
      </c>
    </row>
    <row r="18" spans="1:14" x14ac:dyDescent="0.25">
      <c r="A18" s="34">
        <v>39387</v>
      </c>
      <c r="B18" s="1">
        <v>1526.5</v>
      </c>
      <c r="C18" s="34">
        <v>39387</v>
      </c>
      <c r="D18" s="1">
        <v>753</v>
      </c>
      <c r="E18" s="34">
        <v>39387</v>
      </c>
      <c r="F18" s="1">
        <v>3.8</v>
      </c>
      <c r="G18" s="34">
        <v>39387</v>
      </c>
      <c r="H18" s="1">
        <v>0.8</v>
      </c>
      <c r="I18" s="34">
        <v>39387</v>
      </c>
      <c r="J18" s="1">
        <v>140.99</v>
      </c>
      <c r="K18" s="34">
        <v>39387</v>
      </c>
      <c r="L18" s="1">
        <v>1545.9</v>
      </c>
      <c r="M18" s="34">
        <v>39387</v>
      </c>
      <c r="N18" s="1">
        <v>258.10000000000002</v>
      </c>
    </row>
    <row r="19" spans="1:14" x14ac:dyDescent="0.25">
      <c r="A19" s="34">
        <v>39417</v>
      </c>
      <c r="B19" s="1">
        <v>1524.9</v>
      </c>
      <c r="C19" s="34">
        <v>39417</v>
      </c>
      <c r="D19" s="1">
        <v>376</v>
      </c>
      <c r="E19" s="34">
        <v>39417</v>
      </c>
      <c r="F19" s="1">
        <v>3.9</v>
      </c>
      <c r="G19" s="34">
        <v>39417</v>
      </c>
      <c r="H19" s="1">
        <v>0.54</v>
      </c>
      <c r="I19" s="34">
        <v>39417</v>
      </c>
      <c r="J19" s="1">
        <v>141.1</v>
      </c>
      <c r="K19" s="34">
        <v>39417</v>
      </c>
      <c r="L19" s="1">
        <v>1538.9</v>
      </c>
      <c r="M19" s="34">
        <v>39417</v>
      </c>
      <c r="N19" s="1">
        <v>257.10000000000002</v>
      </c>
    </row>
    <row r="20" spans="1:14" x14ac:dyDescent="0.25">
      <c r="A20" s="34">
        <v>39448</v>
      </c>
      <c r="B20" s="1">
        <v>1528</v>
      </c>
      <c r="C20" s="34">
        <v>39448</v>
      </c>
      <c r="D20" s="1">
        <v>504</v>
      </c>
      <c r="E20" s="34">
        <v>39448</v>
      </c>
      <c r="F20" s="1">
        <v>3.8</v>
      </c>
      <c r="G20" s="34">
        <v>39448</v>
      </c>
      <c r="H20" s="1">
        <v>0.78</v>
      </c>
      <c r="I20" s="34">
        <v>39448</v>
      </c>
      <c r="J20" s="1">
        <v>141.38999999999999</v>
      </c>
      <c r="K20" s="34">
        <v>39448</v>
      </c>
      <c r="L20" s="1">
        <v>1496.1</v>
      </c>
      <c r="M20" s="34">
        <v>39448</v>
      </c>
      <c r="N20" s="1">
        <v>249.9</v>
      </c>
    </row>
    <row r="21" spans="1:14" x14ac:dyDescent="0.25">
      <c r="A21" s="34">
        <v>39479</v>
      </c>
      <c r="B21" s="1">
        <v>1528</v>
      </c>
      <c r="C21" s="34">
        <v>39479</v>
      </c>
      <c r="D21" s="1">
        <v>277</v>
      </c>
      <c r="E21" s="34">
        <v>39479</v>
      </c>
      <c r="F21" s="1">
        <v>3.8</v>
      </c>
      <c r="G21" s="34">
        <v>39479</v>
      </c>
      <c r="H21" s="1">
        <v>0.3</v>
      </c>
      <c r="I21" s="34">
        <v>39479</v>
      </c>
      <c r="J21" s="1">
        <v>141.36000000000001</v>
      </c>
      <c r="K21" s="34">
        <v>39479</v>
      </c>
      <c r="L21" s="1">
        <v>1499.9</v>
      </c>
      <c r="M21" s="34">
        <v>39479</v>
      </c>
      <c r="N21" s="1">
        <v>255.9</v>
      </c>
    </row>
    <row r="22" spans="1:14" x14ac:dyDescent="0.25">
      <c r="A22" s="34">
        <v>39508</v>
      </c>
      <c r="B22" s="1">
        <v>1527</v>
      </c>
      <c r="C22" s="34">
        <v>39508</v>
      </c>
      <c r="D22" s="1">
        <v>630</v>
      </c>
      <c r="E22" s="34">
        <v>39508</v>
      </c>
      <c r="F22" s="1">
        <v>3.8</v>
      </c>
      <c r="G22" s="34">
        <v>39508</v>
      </c>
      <c r="H22" s="1">
        <v>-0.09</v>
      </c>
      <c r="I22" s="34">
        <v>39508</v>
      </c>
      <c r="J22" s="1">
        <v>141.43</v>
      </c>
      <c r="K22" s="34">
        <v>39508</v>
      </c>
      <c r="L22" s="1">
        <v>1509.6</v>
      </c>
      <c r="M22" s="34">
        <v>39508</v>
      </c>
      <c r="N22" s="1">
        <v>257</v>
      </c>
    </row>
    <row r="23" spans="1:14" x14ac:dyDescent="0.25">
      <c r="A23" s="34">
        <v>39539</v>
      </c>
      <c r="B23" s="1">
        <v>1527.1</v>
      </c>
      <c r="C23" s="34">
        <v>39539</v>
      </c>
      <c r="D23" s="1">
        <v>848</v>
      </c>
      <c r="E23" s="34">
        <v>39539</v>
      </c>
      <c r="F23" s="1">
        <v>3.8</v>
      </c>
      <c r="G23" s="34">
        <v>39539</v>
      </c>
      <c r="H23" s="1">
        <v>-0.2</v>
      </c>
      <c r="I23" s="34">
        <v>39539</v>
      </c>
      <c r="J23" s="1">
        <v>141.31</v>
      </c>
      <c r="K23" s="34">
        <v>39539</v>
      </c>
      <c r="L23" s="1">
        <v>1529.6</v>
      </c>
      <c r="M23" s="34">
        <v>39539</v>
      </c>
      <c r="N23" s="1">
        <v>257.2</v>
      </c>
    </row>
    <row r="24" spans="1:14" x14ac:dyDescent="0.25">
      <c r="A24" s="34">
        <v>39569</v>
      </c>
      <c r="B24" s="1">
        <v>1528</v>
      </c>
      <c r="C24" s="34">
        <v>39569</v>
      </c>
      <c r="D24" s="1">
        <v>839</v>
      </c>
      <c r="E24" s="34">
        <v>39569</v>
      </c>
      <c r="F24" s="1">
        <v>4</v>
      </c>
      <c r="G24" s="34">
        <v>39569</v>
      </c>
      <c r="H24" s="1">
        <v>0.28000000000000003</v>
      </c>
      <c r="I24" s="34">
        <v>39569</v>
      </c>
      <c r="J24" s="1">
        <v>141.41999999999999</v>
      </c>
      <c r="K24" s="34">
        <v>39569</v>
      </c>
      <c r="L24" s="1">
        <v>1546.6</v>
      </c>
      <c r="M24" s="34">
        <v>39569</v>
      </c>
      <c r="N24" s="1">
        <v>260.5</v>
      </c>
    </row>
    <row r="25" spans="1:14" x14ac:dyDescent="0.25">
      <c r="A25" s="34">
        <v>39600</v>
      </c>
      <c r="B25" s="1">
        <v>1526.4</v>
      </c>
      <c r="C25" s="34">
        <v>39600</v>
      </c>
      <c r="D25" s="1">
        <v>729</v>
      </c>
      <c r="E25" s="34">
        <v>39600</v>
      </c>
      <c r="F25" s="1">
        <v>4.0999999999999996</v>
      </c>
      <c r="G25" s="34">
        <v>39600</v>
      </c>
      <c r="H25" s="1">
        <v>-0.14000000000000001</v>
      </c>
      <c r="I25" s="34">
        <v>39600</v>
      </c>
      <c r="J25" s="1">
        <v>141.24</v>
      </c>
      <c r="K25" s="34">
        <v>39600</v>
      </c>
      <c r="L25" s="1">
        <v>1544.7</v>
      </c>
      <c r="M25" s="34">
        <v>39600</v>
      </c>
      <c r="N25" s="1">
        <v>256.10000000000002</v>
      </c>
    </row>
    <row r="26" spans="1:14" x14ac:dyDescent="0.25">
      <c r="A26" s="34">
        <v>39630</v>
      </c>
      <c r="B26" s="1">
        <v>1526.8</v>
      </c>
      <c r="C26" s="34">
        <v>39630</v>
      </c>
      <c r="D26" s="1">
        <v>629</v>
      </c>
      <c r="E26" s="34">
        <v>39630</v>
      </c>
      <c r="F26" s="1">
        <v>4.2</v>
      </c>
      <c r="G26" s="34">
        <v>39630</v>
      </c>
      <c r="H26" s="1">
        <v>-0.28999999999999998</v>
      </c>
      <c r="I26" s="34">
        <v>39630</v>
      </c>
      <c r="J26" s="1">
        <v>141.19999999999999</v>
      </c>
      <c r="K26" s="34">
        <v>39630</v>
      </c>
      <c r="L26" s="1">
        <v>1515.3</v>
      </c>
      <c r="M26" s="34">
        <v>39630</v>
      </c>
      <c r="N26" s="1">
        <v>231.3</v>
      </c>
    </row>
    <row r="27" spans="1:14" x14ac:dyDescent="0.25">
      <c r="A27" s="34">
        <v>39661</v>
      </c>
      <c r="B27" s="1">
        <v>1525.6</v>
      </c>
      <c r="C27" s="34">
        <v>39661</v>
      </c>
      <c r="D27" s="1">
        <v>663</v>
      </c>
      <c r="E27" s="34">
        <v>39661</v>
      </c>
      <c r="F27" s="1">
        <v>4.3</v>
      </c>
      <c r="G27" s="34">
        <v>39661</v>
      </c>
      <c r="H27" s="1">
        <v>-0.08</v>
      </c>
      <c r="I27" s="34">
        <v>39661</v>
      </c>
      <c r="J27" s="1">
        <v>141.11000000000001</v>
      </c>
      <c r="K27" s="34">
        <v>39661</v>
      </c>
      <c r="L27" s="1">
        <v>1514.8</v>
      </c>
      <c r="M27" s="34">
        <v>39661</v>
      </c>
      <c r="N27" s="1">
        <v>231</v>
      </c>
    </row>
    <row r="28" spans="1:14" x14ac:dyDescent="0.25">
      <c r="A28" s="34">
        <v>39692</v>
      </c>
      <c r="B28" s="1">
        <v>1525.2</v>
      </c>
      <c r="C28" s="34">
        <v>39692</v>
      </c>
      <c r="D28" s="1">
        <v>729</v>
      </c>
      <c r="E28" s="34">
        <v>39692</v>
      </c>
      <c r="F28" s="1">
        <v>4.2</v>
      </c>
      <c r="G28" s="34">
        <v>39692</v>
      </c>
      <c r="H28" s="1">
        <v>-0.13</v>
      </c>
      <c r="I28" s="34">
        <v>39692</v>
      </c>
      <c r="J28" s="1">
        <v>140.97999999999999</v>
      </c>
      <c r="K28" s="34">
        <v>39692</v>
      </c>
      <c r="L28" s="1">
        <v>1534.4</v>
      </c>
      <c r="M28" s="34">
        <v>39692</v>
      </c>
      <c r="N28" s="1">
        <v>254.7</v>
      </c>
    </row>
    <row r="29" spans="1:14" x14ac:dyDescent="0.25">
      <c r="A29" s="34">
        <v>39722</v>
      </c>
      <c r="B29" s="1">
        <v>1521.6</v>
      </c>
      <c r="C29" s="34">
        <v>39722</v>
      </c>
      <c r="D29" s="1">
        <v>1056</v>
      </c>
      <c r="E29" s="34">
        <v>39722</v>
      </c>
      <c r="F29" s="1">
        <v>4.2</v>
      </c>
      <c r="G29" s="34">
        <v>39722</v>
      </c>
      <c r="H29" s="1">
        <v>-0.6</v>
      </c>
      <c r="I29" s="34">
        <v>39722</v>
      </c>
      <c r="J29" s="1">
        <v>140.78</v>
      </c>
      <c r="K29" s="34">
        <v>39722</v>
      </c>
      <c r="L29" s="1">
        <v>1540.8</v>
      </c>
      <c r="M29" s="34">
        <v>39722</v>
      </c>
      <c r="N29" s="1">
        <v>260.3</v>
      </c>
    </row>
    <row r="30" spans="1:14" x14ac:dyDescent="0.25">
      <c r="A30" s="34">
        <v>39753</v>
      </c>
      <c r="B30" s="1">
        <v>1516.3</v>
      </c>
      <c r="C30" s="34">
        <v>39753</v>
      </c>
      <c r="D30" s="1">
        <v>538</v>
      </c>
      <c r="E30" s="34">
        <v>39753</v>
      </c>
      <c r="F30" s="1">
        <v>4.2</v>
      </c>
      <c r="G30" s="34">
        <v>39753</v>
      </c>
      <c r="H30" s="1">
        <v>-1.38</v>
      </c>
      <c r="I30" s="34">
        <v>39753</v>
      </c>
      <c r="J30" s="1">
        <v>140.18</v>
      </c>
      <c r="K30" s="34">
        <v>39753</v>
      </c>
      <c r="L30" s="1">
        <v>1535.6</v>
      </c>
      <c r="M30" s="34">
        <v>39753</v>
      </c>
      <c r="N30" s="1">
        <v>261.3</v>
      </c>
    </row>
    <row r="31" spans="1:14" x14ac:dyDescent="0.25">
      <c r="A31" s="34">
        <v>39783</v>
      </c>
      <c r="B31" s="1">
        <v>1511</v>
      </c>
      <c r="C31" s="34">
        <v>39783</v>
      </c>
      <c r="D31" s="1">
        <v>254</v>
      </c>
      <c r="E31" s="34">
        <v>39783</v>
      </c>
      <c r="F31" s="1">
        <v>4.2</v>
      </c>
      <c r="G31" s="34">
        <v>39783</v>
      </c>
      <c r="H31" s="1">
        <v>-1.61</v>
      </c>
      <c r="I31" s="34">
        <v>39783</v>
      </c>
      <c r="J31" s="1">
        <v>139.66999999999999</v>
      </c>
      <c r="K31" s="34">
        <v>39783</v>
      </c>
      <c r="L31" s="1">
        <v>1525.3</v>
      </c>
      <c r="M31" s="34">
        <v>39783</v>
      </c>
      <c r="N31" s="1">
        <v>260.10000000000002</v>
      </c>
    </row>
    <row r="32" spans="1:14" x14ac:dyDescent="0.25">
      <c r="A32" s="34">
        <v>39814</v>
      </c>
      <c r="B32" s="1">
        <v>1502.9</v>
      </c>
      <c r="C32" s="34">
        <v>39814</v>
      </c>
      <c r="D32" s="1">
        <v>138</v>
      </c>
      <c r="E32" s="34">
        <v>39814</v>
      </c>
      <c r="F32" s="1">
        <v>6.2</v>
      </c>
      <c r="G32" s="34">
        <v>39814</v>
      </c>
      <c r="H32" s="1">
        <v>-2.52</v>
      </c>
      <c r="I32" s="34">
        <v>39814</v>
      </c>
      <c r="J32" s="1">
        <v>138.63999999999999</v>
      </c>
      <c r="K32" s="34">
        <v>39814</v>
      </c>
      <c r="L32" s="1">
        <v>1471.7</v>
      </c>
      <c r="M32" s="34">
        <v>39814</v>
      </c>
      <c r="N32" s="1">
        <v>253.1</v>
      </c>
    </row>
    <row r="33" spans="1:14" x14ac:dyDescent="0.25">
      <c r="A33" s="34">
        <v>39845</v>
      </c>
      <c r="B33" s="1">
        <v>1499.6</v>
      </c>
      <c r="C33" s="34">
        <v>39845</v>
      </c>
      <c r="D33" s="1">
        <v>183</v>
      </c>
      <c r="E33" s="34">
        <v>39845</v>
      </c>
      <c r="F33" s="1">
        <v>6.2</v>
      </c>
      <c r="G33" s="34">
        <v>39845</v>
      </c>
      <c r="H33" s="1">
        <v>-2.38</v>
      </c>
      <c r="I33" s="34">
        <v>39845</v>
      </c>
      <c r="J33" s="1">
        <v>138.07</v>
      </c>
      <c r="K33" s="34">
        <v>39845</v>
      </c>
      <c r="L33" s="1">
        <v>1472</v>
      </c>
      <c r="M33" s="34">
        <v>39845</v>
      </c>
      <c r="N33" s="1">
        <v>258.7</v>
      </c>
    </row>
    <row r="34" spans="1:14" x14ac:dyDescent="0.25">
      <c r="A34" s="34">
        <v>39873</v>
      </c>
      <c r="B34" s="1">
        <v>1490.7</v>
      </c>
      <c r="C34" s="34">
        <v>39873</v>
      </c>
      <c r="D34" s="1">
        <v>415</v>
      </c>
      <c r="E34" s="34">
        <v>39873</v>
      </c>
      <c r="F34" s="1">
        <v>6.2</v>
      </c>
      <c r="G34" s="34">
        <v>39873</v>
      </c>
      <c r="H34" s="1">
        <v>-2.2000000000000002</v>
      </c>
      <c r="I34" s="34">
        <v>39873</v>
      </c>
      <c r="J34" s="1">
        <v>137.29</v>
      </c>
      <c r="K34" s="34">
        <v>39873</v>
      </c>
      <c r="L34" s="1">
        <v>1473</v>
      </c>
      <c r="M34" s="34">
        <v>39873</v>
      </c>
      <c r="N34" s="1">
        <v>259.7</v>
      </c>
    </row>
    <row r="35" spans="1:14" x14ac:dyDescent="0.25">
      <c r="A35" s="34">
        <v>39904</v>
      </c>
      <c r="B35" s="1">
        <v>1482.3</v>
      </c>
      <c r="C35" s="34">
        <v>39904</v>
      </c>
      <c r="D35" s="1">
        <v>555</v>
      </c>
      <c r="E35" s="34">
        <v>39904</v>
      </c>
      <c r="F35" s="1">
        <v>6</v>
      </c>
      <c r="G35" s="34">
        <v>39904</v>
      </c>
      <c r="H35" s="1">
        <v>-1.67</v>
      </c>
      <c r="I35" s="34">
        <v>39904</v>
      </c>
      <c r="J35" s="1">
        <v>136.80000000000001</v>
      </c>
      <c r="K35" s="34">
        <v>39904</v>
      </c>
      <c r="L35" s="1">
        <v>1488.5</v>
      </c>
      <c r="M35" s="34">
        <v>39904</v>
      </c>
      <c r="N35" s="1">
        <v>261.10000000000002</v>
      </c>
    </row>
    <row r="36" spans="1:14" x14ac:dyDescent="0.25">
      <c r="A36" s="34">
        <v>39934</v>
      </c>
      <c r="B36" s="1">
        <v>1480.9</v>
      </c>
      <c r="C36" s="34">
        <v>39934</v>
      </c>
      <c r="D36" s="1">
        <v>617</v>
      </c>
      <c r="E36" s="34">
        <v>39934</v>
      </c>
      <c r="F36" s="1">
        <v>6.1</v>
      </c>
      <c r="G36" s="34">
        <v>39934</v>
      </c>
      <c r="H36" s="1">
        <v>-1.21</v>
      </c>
      <c r="I36" s="34">
        <v>39934</v>
      </c>
      <c r="J36" s="1">
        <v>136.34</v>
      </c>
      <c r="K36" s="34">
        <v>39934</v>
      </c>
      <c r="L36" s="1">
        <v>1497.8</v>
      </c>
      <c r="M36" s="34">
        <v>39934</v>
      </c>
      <c r="N36" s="1">
        <v>263.10000000000002</v>
      </c>
    </row>
    <row r="37" spans="1:14" x14ac:dyDescent="0.25">
      <c r="A37" s="34">
        <v>39965</v>
      </c>
      <c r="B37" s="1">
        <v>1476.2</v>
      </c>
      <c r="C37" s="34">
        <v>39965</v>
      </c>
      <c r="D37" s="1">
        <v>801</v>
      </c>
      <c r="E37" s="34">
        <v>39965</v>
      </c>
      <c r="F37" s="1">
        <v>6.2</v>
      </c>
      <c r="G37" s="34">
        <v>39965</v>
      </c>
      <c r="H37" s="1">
        <v>-0.77</v>
      </c>
      <c r="I37" s="34">
        <v>39965</v>
      </c>
      <c r="J37" s="1">
        <v>135.97</v>
      </c>
      <c r="K37" s="34">
        <v>39965</v>
      </c>
      <c r="L37" s="1">
        <v>1493.6</v>
      </c>
      <c r="M37" s="34">
        <v>39965</v>
      </c>
      <c r="N37" s="1">
        <v>257.8</v>
      </c>
    </row>
    <row r="38" spans="1:14" x14ac:dyDescent="0.25">
      <c r="A38" s="34">
        <v>39995</v>
      </c>
      <c r="B38" s="1">
        <v>1470.5</v>
      </c>
      <c r="C38" s="34">
        <v>39995</v>
      </c>
      <c r="D38" s="1">
        <v>764</v>
      </c>
      <c r="E38" s="34">
        <v>39995</v>
      </c>
      <c r="F38" s="1">
        <v>6.3</v>
      </c>
      <c r="G38" s="34">
        <v>39995</v>
      </c>
      <c r="H38" s="1">
        <v>-0.42</v>
      </c>
      <c r="I38" s="34">
        <v>39995</v>
      </c>
      <c r="J38" s="1">
        <v>135.66999999999999</v>
      </c>
      <c r="K38" s="34">
        <v>39995</v>
      </c>
      <c r="L38" s="1">
        <v>1460.6</v>
      </c>
      <c r="M38" s="34">
        <v>39995</v>
      </c>
      <c r="N38" s="1">
        <v>234.3</v>
      </c>
    </row>
    <row r="39" spans="1:14" x14ac:dyDescent="0.25">
      <c r="A39" s="34">
        <v>40026</v>
      </c>
      <c r="B39" s="1">
        <v>1471.6</v>
      </c>
      <c r="C39" s="34">
        <v>40026</v>
      </c>
      <c r="D39" s="1">
        <v>593</v>
      </c>
      <c r="E39" s="34">
        <v>40026</v>
      </c>
      <c r="F39" s="1">
        <v>6.4</v>
      </c>
      <c r="G39" s="34">
        <v>40026</v>
      </c>
      <c r="H39" s="1">
        <v>-0.14000000000000001</v>
      </c>
      <c r="I39" s="34">
        <v>40026</v>
      </c>
      <c r="J39" s="1">
        <v>135.44999999999999</v>
      </c>
      <c r="K39" s="34">
        <v>40026</v>
      </c>
      <c r="L39" s="1">
        <v>1461.3</v>
      </c>
      <c r="M39" s="34">
        <v>40026</v>
      </c>
      <c r="N39" s="1">
        <v>234.2</v>
      </c>
    </row>
    <row r="40" spans="1:14" x14ac:dyDescent="0.25">
      <c r="A40" s="34">
        <v>40057</v>
      </c>
      <c r="B40" s="1">
        <v>1471.6</v>
      </c>
      <c r="C40" s="34">
        <v>40057</v>
      </c>
      <c r="D40" s="1">
        <v>894</v>
      </c>
      <c r="E40" s="34">
        <v>40057</v>
      </c>
      <c r="F40" s="1">
        <v>6.3</v>
      </c>
      <c r="G40" s="34">
        <v>40057</v>
      </c>
      <c r="H40" s="1">
        <v>0.13</v>
      </c>
      <c r="I40" s="34">
        <v>40057</v>
      </c>
      <c r="J40" s="1">
        <v>135.30000000000001</v>
      </c>
      <c r="K40" s="34">
        <v>40057</v>
      </c>
      <c r="L40" s="1">
        <v>1479.2</v>
      </c>
      <c r="M40" s="34">
        <v>40057</v>
      </c>
      <c r="N40" s="1">
        <v>254.4</v>
      </c>
    </row>
    <row r="41" spans="1:14" x14ac:dyDescent="0.25">
      <c r="A41" s="34">
        <v>40087</v>
      </c>
      <c r="B41" s="1">
        <v>1468</v>
      </c>
      <c r="C41" s="34">
        <v>40087</v>
      </c>
      <c r="D41" s="1">
        <v>1047</v>
      </c>
      <c r="E41" s="34">
        <v>40087</v>
      </c>
      <c r="F41" s="1">
        <v>6.4</v>
      </c>
      <c r="G41" s="34">
        <v>40087</v>
      </c>
      <c r="H41" s="1">
        <v>0.2</v>
      </c>
      <c r="I41" s="34">
        <v>40087</v>
      </c>
      <c r="J41" s="1">
        <v>135.19999999999999</v>
      </c>
      <c r="K41" s="34">
        <v>40087</v>
      </c>
      <c r="L41" s="1">
        <v>1487.2</v>
      </c>
      <c r="M41" s="34">
        <v>40087</v>
      </c>
      <c r="N41" s="1">
        <v>260.7</v>
      </c>
    </row>
    <row r="42" spans="1:14" x14ac:dyDescent="0.25">
      <c r="A42" s="34">
        <v>40118</v>
      </c>
      <c r="B42" s="1">
        <v>1467.3</v>
      </c>
      <c r="C42" s="34">
        <v>40118</v>
      </c>
      <c r="D42" s="1">
        <v>591</v>
      </c>
      <c r="E42" s="34">
        <v>40118</v>
      </c>
      <c r="F42" s="1">
        <v>6.3</v>
      </c>
      <c r="G42" s="34">
        <v>40118</v>
      </c>
      <c r="H42" s="1">
        <v>0.11</v>
      </c>
      <c r="I42" s="34">
        <v>40118</v>
      </c>
      <c r="J42" s="1">
        <v>135.12</v>
      </c>
      <c r="K42" s="34">
        <v>40118</v>
      </c>
      <c r="L42" s="1">
        <v>1486.8</v>
      </c>
      <c r="M42" s="34">
        <v>40118</v>
      </c>
      <c r="N42" s="1">
        <v>261.39999999999998</v>
      </c>
    </row>
    <row r="43" spans="1:14" x14ac:dyDescent="0.25">
      <c r="A43" s="34">
        <v>40148</v>
      </c>
      <c r="B43" s="1">
        <v>1462.8</v>
      </c>
      <c r="C43" s="34">
        <v>40148</v>
      </c>
      <c r="D43" s="1">
        <v>467</v>
      </c>
      <c r="E43" s="34">
        <v>40148</v>
      </c>
      <c r="F43" s="1">
        <v>6.3</v>
      </c>
      <c r="G43" s="34">
        <v>40148</v>
      </c>
      <c r="H43" s="1">
        <v>-0.08</v>
      </c>
      <c r="I43" s="34">
        <v>40148</v>
      </c>
      <c r="J43" s="1">
        <v>134.97999999999999</v>
      </c>
      <c r="K43" s="34">
        <v>40148</v>
      </c>
      <c r="L43" s="1">
        <v>1476.8</v>
      </c>
      <c r="M43" s="34">
        <v>40148</v>
      </c>
      <c r="N43" s="1">
        <v>259.2</v>
      </c>
    </row>
    <row r="44" spans="1:14" x14ac:dyDescent="0.25">
      <c r="A44" s="34">
        <v>40179</v>
      </c>
      <c r="B44" s="1">
        <v>1463.6</v>
      </c>
      <c r="C44" s="34">
        <v>40179</v>
      </c>
      <c r="D44" s="1">
        <v>195</v>
      </c>
      <c r="E44" s="34">
        <v>40179</v>
      </c>
      <c r="F44" s="1">
        <v>6.4</v>
      </c>
      <c r="G44" s="34">
        <v>40179</v>
      </c>
      <c r="H44" s="1">
        <v>0.42</v>
      </c>
      <c r="I44" s="34">
        <v>40179</v>
      </c>
      <c r="J44" s="1">
        <v>135.08000000000001</v>
      </c>
      <c r="K44" s="34">
        <v>40179</v>
      </c>
      <c r="L44" s="1">
        <v>1432.2</v>
      </c>
      <c r="M44" s="34">
        <v>40179</v>
      </c>
      <c r="N44" s="1">
        <v>250.3</v>
      </c>
    </row>
    <row r="45" spans="1:14" x14ac:dyDescent="0.25">
      <c r="A45" s="34">
        <v>40210</v>
      </c>
      <c r="B45" s="1">
        <v>1464.6</v>
      </c>
      <c r="C45" s="34">
        <v>40210</v>
      </c>
      <c r="D45" s="1">
        <v>350</v>
      </c>
      <c r="E45" s="34">
        <v>40210</v>
      </c>
      <c r="F45" s="1">
        <v>6.3</v>
      </c>
      <c r="G45" s="34">
        <v>40210</v>
      </c>
      <c r="H45" s="1">
        <v>0.8</v>
      </c>
      <c r="I45" s="34">
        <v>40210</v>
      </c>
      <c r="J45" s="1">
        <v>135.21</v>
      </c>
      <c r="K45" s="34">
        <v>40210</v>
      </c>
      <c r="L45" s="1">
        <v>1437.4</v>
      </c>
      <c r="M45" s="34">
        <v>40210</v>
      </c>
      <c r="N45" s="1">
        <v>255.9</v>
      </c>
    </row>
    <row r="46" spans="1:14" x14ac:dyDescent="0.25">
      <c r="A46" s="34">
        <v>40238</v>
      </c>
      <c r="B46" s="1">
        <v>1467.3</v>
      </c>
      <c r="C46" s="34">
        <v>40238</v>
      </c>
      <c r="D46" s="1">
        <v>820</v>
      </c>
      <c r="E46" s="34">
        <v>40238</v>
      </c>
      <c r="F46" s="1">
        <v>6.3</v>
      </c>
      <c r="G46" s="34">
        <v>40238</v>
      </c>
      <c r="H46" s="1">
        <v>1.19</v>
      </c>
      <c r="I46" s="34">
        <v>40238</v>
      </c>
      <c r="J46" s="1">
        <v>135.51</v>
      </c>
      <c r="K46" s="34">
        <v>40238</v>
      </c>
      <c r="L46" s="1">
        <v>1449.8</v>
      </c>
      <c r="M46" s="34">
        <v>40238</v>
      </c>
      <c r="N46" s="1">
        <v>258.3</v>
      </c>
    </row>
    <row r="47" spans="1:14" x14ac:dyDescent="0.25">
      <c r="A47" s="34">
        <v>40269</v>
      </c>
      <c r="B47" s="1">
        <v>1470.8</v>
      </c>
      <c r="C47" s="34">
        <v>40269</v>
      </c>
      <c r="D47" s="1">
        <v>872</v>
      </c>
      <c r="E47" s="34">
        <v>40269</v>
      </c>
      <c r="F47" s="1">
        <v>6.3</v>
      </c>
      <c r="G47" s="34">
        <v>40269</v>
      </c>
      <c r="H47" s="1">
        <v>1.1299999999999999</v>
      </c>
      <c r="I47" s="34">
        <v>40269</v>
      </c>
      <c r="J47" s="1">
        <v>135.75</v>
      </c>
      <c r="K47" s="34">
        <v>40269</v>
      </c>
      <c r="L47" s="1">
        <v>1477</v>
      </c>
      <c r="M47" s="34">
        <v>40269</v>
      </c>
      <c r="N47" s="1">
        <v>258.39999999999998</v>
      </c>
    </row>
    <row r="48" spans="1:14" x14ac:dyDescent="0.25">
      <c r="A48" s="34">
        <v>40299</v>
      </c>
      <c r="B48" s="1">
        <v>1472.3</v>
      </c>
      <c r="C48" s="34">
        <v>40299</v>
      </c>
      <c r="D48" s="1">
        <v>681</v>
      </c>
      <c r="E48" s="34">
        <v>40299</v>
      </c>
      <c r="F48" s="1">
        <v>6.3</v>
      </c>
      <c r="G48" s="34">
        <v>40299</v>
      </c>
      <c r="H48" s="1">
        <v>1.37</v>
      </c>
      <c r="I48" s="34">
        <v>40299</v>
      </c>
      <c r="J48" s="1">
        <v>136.04</v>
      </c>
      <c r="K48" s="34">
        <v>40299</v>
      </c>
      <c r="L48" s="1">
        <v>1489</v>
      </c>
      <c r="M48" s="34">
        <v>40299</v>
      </c>
      <c r="N48" s="1">
        <v>263.39999999999998</v>
      </c>
    </row>
    <row r="49" spans="1:14" x14ac:dyDescent="0.25">
      <c r="A49" s="34">
        <v>40330</v>
      </c>
      <c r="B49" s="1">
        <v>1470.2</v>
      </c>
      <c r="C49" s="34">
        <v>40330</v>
      </c>
      <c r="D49" s="1">
        <v>795</v>
      </c>
      <c r="E49" s="34">
        <v>40330</v>
      </c>
      <c r="F49" s="1">
        <v>6.2</v>
      </c>
      <c r="G49" s="34">
        <v>40330</v>
      </c>
      <c r="H49" s="1">
        <v>0.79</v>
      </c>
      <c r="I49" s="34">
        <v>40330</v>
      </c>
      <c r="J49" s="1">
        <v>136.12</v>
      </c>
      <c r="K49" s="34">
        <v>40330</v>
      </c>
      <c r="L49" s="1">
        <v>1486.4</v>
      </c>
      <c r="M49" s="34">
        <v>40330</v>
      </c>
      <c r="N49" s="1">
        <v>257.7</v>
      </c>
    </row>
    <row r="50" spans="1:14" x14ac:dyDescent="0.25">
      <c r="A50" s="34">
        <v>40360</v>
      </c>
      <c r="B50" s="1">
        <v>1466.3</v>
      </c>
      <c r="C50" s="34">
        <v>40360</v>
      </c>
      <c r="D50" s="1">
        <v>667</v>
      </c>
      <c r="E50" s="34">
        <v>40360</v>
      </c>
      <c r="F50" s="1">
        <v>6.4</v>
      </c>
      <c r="G50" s="34">
        <v>40360</v>
      </c>
      <c r="H50" s="1">
        <v>0.48</v>
      </c>
      <c r="I50" s="34">
        <v>40360</v>
      </c>
      <c r="J50" s="1">
        <v>136.15</v>
      </c>
      <c r="K50" s="34">
        <v>40360</v>
      </c>
      <c r="L50" s="1">
        <v>1457.4</v>
      </c>
      <c r="M50" s="34">
        <v>40360</v>
      </c>
      <c r="N50" s="1">
        <v>232.8</v>
      </c>
    </row>
    <row r="51" spans="1:14" x14ac:dyDescent="0.25">
      <c r="A51" s="34">
        <v>40391</v>
      </c>
      <c r="B51" s="1">
        <v>1465.3</v>
      </c>
      <c r="C51" s="34">
        <v>40391</v>
      </c>
      <c r="D51" s="1">
        <v>525</v>
      </c>
      <c r="E51" s="34">
        <v>40391</v>
      </c>
      <c r="F51" s="1">
        <v>6.4</v>
      </c>
      <c r="G51" s="34">
        <v>40391</v>
      </c>
      <c r="H51" s="1">
        <v>0.28999999999999998</v>
      </c>
      <c r="I51" s="34">
        <v>40391</v>
      </c>
      <c r="J51" s="1">
        <v>136.19</v>
      </c>
      <c r="K51" s="34">
        <v>40391</v>
      </c>
      <c r="L51" s="1">
        <v>1455.7</v>
      </c>
      <c r="M51" s="34">
        <v>40391</v>
      </c>
      <c r="N51" s="1">
        <v>232</v>
      </c>
    </row>
    <row r="52" spans="1:14" x14ac:dyDescent="0.25">
      <c r="A52" s="34">
        <v>40422</v>
      </c>
      <c r="B52" s="1">
        <v>1466.3</v>
      </c>
      <c r="C52" s="34">
        <v>40422</v>
      </c>
      <c r="D52" s="1">
        <v>692</v>
      </c>
      <c r="E52" s="34">
        <v>40422</v>
      </c>
      <c r="F52" s="1">
        <v>6.3</v>
      </c>
      <c r="G52" s="34">
        <v>40422</v>
      </c>
      <c r="H52" s="1">
        <v>0.94</v>
      </c>
      <c r="I52" s="34">
        <v>40422</v>
      </c>
      <c r="J52" s="1">
        <v>136.47999999999999</v>
      </c>
      <c r="K52" s="34">
        <v>40422</v>
      </c>
      <c r="L52" s="1">
        <v>1474.3</v>
      </c>
      <c r="M52" s="34">
        <v>40422</v>
      </c>
      <c r="N52" s="1">
        <v>251.3</v>
      </c>
    </row>
    <row r="53" spans="1:14" x14ac:dyDescent="0.25">
      <c r="A53" s="34">
        <v>40452</v>
      </c>
      <c r="B53" s="1">
        <v>1473.2</v>
      </c>
      <c r="C53" s="34">
        <v>40452</v>
      </c>
      <c r="D53" s="1">
        <v>668</v>
      </c>
      <c r="E53" s="34">
        <v>40452</v>
      </c>
      <c r="F53" s="1">
        <v>6.3</v>
      </c>
      <c r="G53" s="34">
        <v>40452</v>
      </c>
      <c r="H53" s="1">
        <v>1.22</v>
      </c>
      <c r="I53" s="34">
        <v>40452</v>
      </c>
      <c r="J53" s="1">
        <v>136.77000000000001</v>
      </c>
      <c r="K53" s="34">
        <v>40452</v>
      </c>
      <c r="L53" s="1">
        <v>1490.6</v>
      </c>
      <c r="M53" s="34">
        <v>40452</v>
      </c>
      <c r="N53" s="1">
        <v>258.10000000000002</v>
      </c>
    </row>
    <row r="54" spans="1:14" x14ac:dyDescent="0.25">
      <c r="A54" s="34">
        <v>40483</v>
      </c>
      <c r="B54" s="1">
        <v>1474.4</v>
      </c>
      <c r="C54" s="34">
        <v>40483</v>
      </c>
      <c r="D54" s="1">
        <v>734</v>
      </c>
      <c r="E54" s="34">
        <v>40483</v>
      </c>
      <c r="F54" s="1">
        <v>6.3</v>
      </c>
      <c r="G54" s="34">
        <v>40483</v>
      </c>
      <c r="H54" s="1">
        <v>1.1100000000000001</v>
      </c>
      <c r="I54" s="34">
        <v>40483</v>
      </c>
      <c r="J54" s="1">
        <v>137</v>
      </c>
      <c r="K54" s="34">
        <v>40483</v>
      </c>
      <c r="L54" s="1">
        <v>1494</v>
      </c>
      <c r="M54" s="34">
        <v>40483</v>
      </c>
      <c r="N54" s="1">
        <v>260.39999999999998</v>
      </c>
    </row>
    <row r="55" spans="1:14" x14ac:dyDescent="0.25">
      <c r="A55" s="34">
        <v>40513</v>
      </c>
      <c r="B55" s="1">
        <v>1474.9</v>
      </c>
      <c r="C55" s="34">
        <v>40513</v>
      </c>
      <c r="D55" s="1">
        <v>508</v>
      </c>
      <c r="E55" s="34">
        <v>40513</v>
      </c>
      <c r="F55" s="1">
        <v>6.2</v>
      </c>
      <c r="G55" s="34">
        <v>40513</v>
      </c>
      <c r="H55" s="1">
        <v>0.82</v>
      </c>
      <c r="I55" s="34">
        <v>40513</v>
      </c>
      <c r="J55" s="1">
        <v>137.19</v>
      </c>
      <c r="K55" s="34">
        <v>40513</v>
      </c>
      <c r="L55" s="1">
        <v>1487.7</v>
      </c>
      <c r="M55" s="34">
        <v>40513</v>
      </c>
      <c r="N55" s="1">
        <v>258.7</v>
      </c>
    </row>
    <row r="56" spans="1:14" x14ac:dyDescent="0.25">
      <c r="A56" s="34">
        <v>40544</v>
      </c>
      <c r="B56" s="1">
        <v>1476.2</v>
      </c>
      <c r="C56" s="34">
        <v>40544</v>
      </c>
      <c r="D56" s="1">
        <v>173</v>
      </c>
      <c r="E56" s="34">
        <v>40544</v>
      </c>
      <c r="F56" s="1">
        <v>6.1</v>
      </c>
      <c r="G56" s="34">
        <v>40544</v>
      </c>
      <c r="H56" s="1">
        <v>0.97</v>
      </c>
      <c r="I56" s="34">
        <v>40544</v>
      </c>
      <c r="J56" s="1">
        <v>137.4</v>
      </c>
      <c r="K56" s="34">
        <v>40544</v>
      </c>
      <c r="L56" s="1">
        <v>1443.8</v>
      </c>
      <c r="M56" s="34">
        <v>40544</v>
      </c>
      <c r="N56" s="1">
        <v>249.6</v>
      </c>
    </row>
    <row r="57" spans="1:14" x14ac:dyDescent="0.25">
      <c r="A57" s="34">
        <v>40575</v>
      </c>
      <c r="B57" s="1">
        <v>1477.3</v>
      </c>
      <c r="C57" s="34">
        <v>40575</v>
      </c>
      <c r="D57" s="1">
        <v>216</v>
      </c>
      <c r="E57" s="34">
        <v>40575</v>
      </c>
      <c r="F57" s="1">
        <v>6</v>
      </c>
      <c r="G57" s="34">
        <v>40575</v>
      </c>
      <c r="H57" s="1">
        <v>0.86</v>
      </c>
      <c r="I57" s="34">
        <v>40575</v>
      </c>
      <c r="J57" s="1">
        <v>137.61000000000001</v>
      </c>
      <c r="K57" s="34">
        <v>40575</v>
      </c>
      <c r="L57" s="1">
        <v>1449.9</v>
      </c>
      <c r="M57" s="34">
        <v>40575</v>
      </c>
      <c r="N57" s="1">
        <v>255.5</v>
      </c>
    </row>
    <row r="58" spans="1:14" x14ac:dyDescent="0.25">
      <c r="A58" s="34">
        <v>40603</v>
      </c>
      <c r="B58" s="1">
        <v>1478.7</v>
      </c>
      <c r="C58" s="34">
        <v>40603</v>
      </c>
      <c r="D58" s="1">
        <v>723</v>
      </c>
      <c r="E58" s="34">
        <v>40603</v>
      </c>
      <c r="F58" s="1">
        <v>5.9</v>
      </c>
      <c r="G58" s="34">
        <v>40603</v>
      </c>
      <c r="H58" s="1">
        <v>1.03</v>
      </c>
      <c r="I58" s="34">
        <v>40603</v>
      </c>
      <c r="J58" s="1">
        <v>137.83000000000001</v>
      </c>
      <c r="K58" s="34">
        <v>40603</v>
      </c>
      <c r="L58" s="1">
        <v>1460.9</v>
      </c>
      <c r="M58" s="34">
        <v>40603</v>
      </c>
      <c r="N58" s="1">
        <v>256.5</v>
      </c>
    </row>
    <row r="59" spans="1:14" x14ac:dyDescent="0.25">
      <c r="A59" s="34">
        <v>40634</v>
      </c>
      <c r="B59" s="1">
        <v>1483.3</v>
      </c>
      <c r="C59" s="34">
        <v>40634</v>
      </c>
      <c r="D59" s="1">
        <v>1101</v>
      </c>
      <c r="E59" s="34">
        <v>40634</v>
      </c>
      <c r="F59" s="1">
        <v>5.9</v>
      </c>
      <c r="G59" s="34">
        <v>40634</v>
      </c>
      <c r="H59" s="1">
        <v>1.04</v>
      </c>
      <c r="I59" s="34">
        <v>40634</v>
      </c>
      <c r="J59" s="1">
        <v>138.07</v>
      </c>
      <c r="K59" s="34">
        <v>40634</v>
      </c>
      <c r="L59" s="1">
        <v>1489.1</v>
      </c>
      <c r="M59" s="34">
        <v>40634</v>
      </c>
      <c r="N59" s="1">
        <v>257.89999999999998</v>
      </c>
    </row>
    <row r="60" spans="1:14" x14ac:dyDescent="0.25">
      <c r="A60" s="34">
        <v>40664</v>
      </c>
      <c r="B60" s="1">
        <v>1484</v>
      </c>
      <c r="C60" s="34">
        <v>40664</v>
      </c>
      <c r="D60" s="1">
        <v>691</v>
      </c>
      <c r="E60" s="34">
        <v>40664</v>
      </c>
      <c r="F60" s="1">
        <v>5.9</v>
      </c>
      <c r="G60" s="34">
        <v>40664</v>
      </c>
      <c r="H60" s="1">
        <v>1.21</v>
      </c>
      <c r="I60" s="34">
        <v>40664</v>
      </c>
      <c r="J60" s="1">
        <v>138.38</v>
      </c>
      <c r="K60" s="34">
        <v>40664</v>
      </c>
      <c r="L60" s="1">
        <v>1500.4</v>
      </c>
      <c r="M60" s="34">
        <v>40664</v>
      </c>
      <c r="N60" s="1">
        <v>259.3</v>
      </c>
    </row>
    <row r="61" spans="1:14" x14ac:dyDescent="0.25">
      <c r="A61" s="34">
        <v>40695</v>
      </c>
      <c r="B61" s="1">
        <v>1482.3</v>
      </c>
      <c r="C61" s="34">
        <v>40695</v>
      </c>
      <c r="D61" s="1">
        <v>768</v>
      </c>
      <c r="E61" s="34">
        <v>40695</v>
      </c>
      <c r="F61" s="1">
        <v>6</v>
      </c>
      <c r="G61" s="34">
        <v>40695</v>
      </c>
      <c r="H61" s="1">
        <v>1.05</v>
      </c>
      <c r="I61" s="34">
        <v>40695</v>
      </c>
      <c r="J61" s="1">
        <v>138.57</v>
      </c>
      <c r="K61" s="34">
        <v>40695</v>
      </c>
      <c r="L61" s="1">
        <v>1499.8</v>
      </c>
      <c r="M61" s="34">
        <v>40695</v>
      </c>
      <c r="N61" s="1">
        <v>255.3</v>
      </c>
    </row>
    <row r="62" spans="1:14" x14ac:dyDescent="0.25">
      <c r="A62" s="34">
        <v>40725</v>
      </c>
      <c r="B62" s="1">
        <v>1488.1</v>
      </c>
      <c r="C62" s="34">
        <v>40725</v>
      </c>
      <c r="D62" s="1">
        <v>559</v>
      </c>
      <c r="E62" s="34">
        <v>40725</v>
      </c>
      <c r="F62" s="1">
        <v>5.9</v>
      </c>
      <c r="G62" s="34">
        <v>40725</v>
      </c>
      <c r="H62" s="1">
        <v>1.3</v>
      </c>
      <c r="I62" s="34">
        <v>40725</v>
      </c>
      <c r="J62" s="1">
        <v>139</v>
      </c>
      <c r="K62" s="34">
        <v>40725</v>
      </c>
      <c r="L62" s="1">
        <v>1477.7</v>
      </c>
      <c r="M62" s="34">
        <v>40725</v>
      </c>
      <c r="N62" s="1">
        <v>235.9</v>
      </c>
    </row>
    <row r="63" spans="1:14" x14ac:dyDescent="0.25">
      <c r="A63" s="34">
        <v>40756</v>
      </c>
      <c r="B63" s="1">
        <v>1488.4</v>
      </c>
      <c r="C63" s="34">
        <v>40756</v>
      </c>
      <c r="D63" s="1">
        <v>925</v>
      </c>
      <c r="E63" s="34">
        <v>40756</v>
      </c>
      <c r="F63" s="1">
        <v>6</v>
      </c>
      <c r="G63" s="34">
        <v>40756</v>
      </c>
      <c r="H63" s="1">
        <v>1.57</v>
      </c>
      <c r="I63" s="34">
        <v>40756</v>
      </c>
      <c r="J63" s="1">
        <v>139.28</v>
      </c>
      <c r="K63" s="34">
        <v>40756</v>
      </c>
      <c r="L63" s="1">
        <v>1479.8</v>
      </c>
      <c r="M63" s="34">
        <v>40756</v>
      </c>
      <c r="N63" s="1">
        <v>236.2</v>
      </c>
    </row>
    <row r="64" spans="1:14" x14ac:dyDescent="0.25">
      <c r="A64" s="34">
        <v>40787</v>
      </c>
      <c r="B64" s="1">
        <v>1493.2</v>
      </c>
      <c r="C64" s="34">
        <v>40787</v>
      </c>
      <c r="D64" s="1">
        <v>652</v>
      </c>
      <c r="E64" s="34">
        <v>40787</v>
      </c>
      <c r="F64" s="1">
        <v>5.8</v>
      </c>
      <c r="G64" s="34">
        <v>40787</v>
      </c>
      <c r="H64" s="1">
        <v>1.73</v>
      </c>
      <c r="I64" s="34">
        <v>40787</v>
      </c>
      <c r="J64" s="1">
        <v>139.72</v>
      </c>
      <c r="K64" s="34">
        <v>40787</v>
      </c>
      <c r="L64" s="1">
        <v>1501.5</v>
      </c>
      <c r="M64" s="34">
        <v>40787</v>
      </c>
      <c r="N64" s="1">
        <v>254</v>
      </c>
    </row>
    <row r="65" spans="1:14" x14ac:dyDescent="0.25">
      <c r="A65" s="34">
        <v>40817</v>
      </c>
      <c r="B65" s="1">
        <v>1492.7</v>
      </c>
      <c r="C65" s="34">
        <v>40817</v>
      </c>
      <c r="D65" s="1">
        <v>657</v>
      </c>
      <c r="E65" s="34">
        <v>40817</v>
      </c>
      <c r="F65" s="1">
        <v>5.7</v>
      </c>
      <c r="G65" s="34">
        <v>40817</v>
      </c>
      <c r="H65" s="1">
        <v>1.35</v>
      </c>
      <c r="I65" s="34">
        <v>40817</v>
      </c>
      <c r="J65" s="1">
        <v>139.88</v>
      </c>
      <c r="K65" s="34">
        <v>40817</v>
      </c>
      <c r="L65" s="1">
        <v>1509.7</v>
      </c>
      <c r="M65" s="34">
        <v>40817</v>
      </c>
      <c r="N65" s="1">
        <v>257.89999999999998</v>
      </c>
    </row>
    <row r="66" spans="1:14" x14ac:dyDescent="0.25">
      <c r="A66" s="34">
        <v>40848</v>
      </c>
      <c r="B66" s="1">
        <v>1494.2</v>
      </c>
      <c r="C66" s="34">
        <v>40848</v>
      </c>
      <c r="D66" s="1">
        <v>579</v>
      </c>
      <c r="E66" s="34">
        <v>40848</v>
      </c>
      <c r="F66" s="1">
        <v>5.5</v>
      </c>
      <c r="G66" s="34">
        <v>40848</v>
      </c>
      <c r="H66" s="1">
        <v>1.41</v>
      </c>
      <c r="I66" s="34">
        <v>40848</v>
      </c>
      <c r="J66" s="1">
        <v>140.31</v>
      </c>
      <c r="K66" s="34">
        <v>40848</v>
      </c>
      <c r="L66" s="1">
        <v>1513.5</v>
      </c>
      <c r="M66" s="34">
        <v>40848</v>
      </c>
      <c r="N66" s="1">
        <v>258.8</v>
      </c>
    </row>
    <row r="67" spans="1:14" x14ac:dyDescent="0.25">
      <c r="A67" s="34">
        <v>40878</v>
      </c>
      <c r="B67" s="1">
        <v>1495.7</v>
      </c>
      <c r="C67" s="34">
        <v>40878</v>
      </c>
      <c r="D67" s="1">
        <v>504</v>
      </c>
      <c r="E67" s="34">
        <v>40878</v>
      </c>
      <c r="F67" s="1">
        <v>5.5</v>
      </c>
      <c r="G67" s="34">
        <v>40878</v>
      </c>
      <c r="H67" s="1">
        <v>1.67</v>
      </c>
      <c r="I67" s="34">
        <v>40878</v>
      </c>
      <c r="J67" s="1">
        <v>140.69999999999999</v>
      </c>
      <c r="K67" s="34">
        <v>40878</v>
      </c>
      <c r="L67" s="1">
        <v>1507.8</v>
      </c>
      <c r="M67" s="34">
        <v>40878</v>
      </c>
      <c r="N67" s="1">
        <v>258.3</v>
      </c>
    </row>
    <row r="68" spans="1:14" x14ac:dyDescent="0.25">
      <c r="A68" s="34">
        <v>40909</v>
      </c>
      <c r="B68" s="1">
        <v>1500.3</v>
      </c>
      <c r="C68" s="34">
        <v>40909</v>
      </c>
      <c r="D68" s="1">
        <v>272</v>
      </c>
      <c r="E68" s="34">
        <v>40909</v>
      </c>
      <c r="F68" s="1">
        <v>5.3</v>
      </c>
      <c r="G68" s="34">
        <v>40909</v>
      </c>
      <c r="H68" s="1">
        <v>1.81</v>
      </c>
      <c r="I68" s="34">
        <v>40909</v>
      </c>
      <c r="J68" s="1">
        <v>141.16</v>
      </c>
      <c r="K68" s="34">
        <v>40909</v>
      </c>
      <c r="L68" s="1">
        <v>1467.4</v>
      </c>
      <c r="M68" s="34">
        <v>40909</v>
      </c>
      <c r="N68" s="1">
        <v>251.8</v>
      </c>
    </row>
    <row r="69" spans="1:14" x14ac:dyDescent="0.25">
      <c r="A69" s="34">
        <v>40940</v>
      </c>
      <c r="B69" s="1">
        <v>1502.8</v>
      </c>
      <c r="C69" s="34">
        <v>40940</v>
      </c>
      <c r="D69" s="1">
        <v>365</v>
      </c>
      <c r="E69" s="34">
        <v>40940</v>
      </c>
      <c r="F69" s="1">
        <v>5.4</v>
      </c>
      <c r="G69" s="34">
        <v>40940</v>
      </c>
      <c r="H69" s="1">
        <v>1.62</v>
      </c>
      <c r="I69" s="34">
        <v>40940</v>
      </c>
      <c r="J69" s="1">
        <v>141.51</v>
      </c>
      <c r="K69" s="34">
        <v>40940</v>
      </c>
      <c r="L69" s="1">
        <v>1474.6</v>
      </c>
      <c r="M69" s="34">
        <v>40940</v>
      </c>
      <c r="N69" s="1">
        <v>256.2</v>
      </c>
    </row>
    <row r="70" spans="1:14" x14ac:dyDescent="0.25">
      <c r="A70" s="34">
        <v>40969</v>
      </c>
      <c r="B70" s="1">
        <v>1507.5</v>
      </c>
      <c r="C70" s="34">
        <v>40969</v>
      </c>
      <c r="D70" s="1">
        <v>805</v>
      </c>
      <c r="E70" s="34">
        <v>40969</v>
      </c>
      <c r="F70" s="1">
        <v>5.3</v>
      </c>
      <c r="G70" s="34">
        <v>40969</v>
      </c>
      <c r="H70" s="1">
        <v>1.8</v>
      </c>
      <c r="I70" s="34">
        <v>40969</v>
      </c>
      <c r="J70" s="1">
        <v>141.99</v>
      </c>
      <c r="K70" s="34">
        <v>40969</v>
      </c>
      <c r="L70" s="1">
        <v>1488.9</v>
      </c>
      <c r="M70" s="34">
        <v>40969</v>
      </c>
      <c r="N70" s="1">
        <v>256.8</v>
      </c>
    </row>
    <row r="71" spans="1:14" x14ac:dyDescent="0.25">
      <c r="A71" s="34">
        <v>41000</v>
      </c>
      <c r="B71" s="1">
        <v>1509.4</v>
      </c>
      <c r="C71" s="34">
        <v>41000</v>
      </c>
      <c r="D71" s="1">
        <v>815</v>
      </c>
      <c r="E71" s="34">
        <v>41000</v>
      </c>
      <c r="F71" s="1">
        <v>5.2</v>
      </c>
      <c r="G71" s="34">
        <v>41000</v>
      </c>
      <c r="H71" s="1">
        <v>1.49</v>
      </c>
      <c r="I71" s="34">
        <v>41000</v>
      </c>
      <c r="J71" s="1">
        <v>142.24</v>
      </c>
      <c r="K71" s="34">
        <v>41000</v>
      </c>
      <c r="L71" s="1">
        <v>1511</v>
      </c>
      <c r="M71" s="34">
        <v>41000</v>
      </c>
      <c r="N71" s="1">
        <v>258.39999999999998</v>
      </c>
    </row>
    <row r="72" spans="1:14" x14ac:dyDescent="0.25">
      <c r="A72" s="34">
        <v>41030</v>
      </c>
      <c r="B72" s="1">
        <v>1508.2</v>
      </c>
      <c r="C72" s="34">
        <v>41030</v>
      </c>
      <c r="D72" s="1">
        <v>1153</v>
      </c>
      <c r="E72" s="34">
        <v>41030</v>
      </c>
      <c r="F72" s="1">
        <v>5.3</v>
      </c>
      <c r="G72" s="34">
        <v>41030</v>
      </c>
      <c r="H72" s="1">
        <v>1.18</v>
      </c>
      <c r="I72" s="34">
        <v>41030</v>
      </c>
      <c r="J72" s="1">
        <v>142.43</v>
      </c>
      <c r="K72" s="34">
        <v>41030</v>
      </c>
      <c r="L72" s="1">
        <v>1524.2</v>
      </c>
      <c r="M72" s="34">
        <v>41030</v>
      </c>
      <c r="N72" s="1">
        <v>259.89999999999998</v>
      </c>
    </row>
    <row r="73" spans="1:14" x14ac:dyDescent="0.25">
      <c r="A73" s="34">
        <v>41061</v>
      </c>
      <c r="B73" s="1">
        <v>1506.5</v>
      </c>
      <c r="C73" s="34">
        <v>41061</v>
      </c>
      <c r="D73" s="1">
        <v>857</v>
      </c>
      <c r="E73" s="34">
        <v>41061</v>
      </c>
      <c r="F73" s="1">
        <v>5.3</v>
      </c>
      <c r="G73" s="34">
        <v>41061</v>
      </c>
      <c r="H73" s="1">
        <v>1.1399999999999999</v>
      </c>
      <c r="I73" s="34">
        <v>41061</v>
      </c>
      <c r="J73" s="1">
        <v>142.65</v>
      </c>
      <c r="K73" s="34">
        <v>41061</v>
      </c>
      <c r="L73" s="1">
        <v>1524.1</v>
      </c>
      <c r="M73" s="34">
        <v>41061</v>
      </c>
      <c r="N73" s="1">
        <v>254.4</v>
      </c>
    </row>
    <row r="74" spans="1:14" x14ac:dyDescent="0.25">
      <c r="A74" s="34">
        <v>41091</v>
      </c>
      <c r="B74" s="1">
        <v>1509.1</v>
      </c>
      <c r="C74" s="34">
        <v>41091</v>
      </c>
      <c r="D74" s="1">
        <v>836</v>
      </c>
      <c r="E74" s="34">
        <v>41091</v>
      </c>
      <c r="F74" s="1">
        <v>5.4</v>
      </c>
      <c r="G74" s="34">
        <v>41091</v>
      </c>
      <c r="H74" s="1">
        <v>1.1299999999999999</v>
      </c>
      <c r="I74" s="34">
        <v>41091</v>
      </c>
      <c r="J74" s="1">
        <v>142.86000000000001</v>
      </c>
      <c r="K74" s="34">
        <v>41091</v>
      </c>
      <c r="L74" s="1">
        <v>1500.4</v>
      </c>
      <c r="M74" s="34">
        <v>41091</v>
      </c>
      <c r="N74" s="1">
        <v>234.6</v>
      </c>
    </row>
    <row r="75" spans="1:14" x14ac:dyDescent="0.25">
      <c r="A75" s="34">
        <v>41122</v>
      </c>
      <c r="B75" s="1">
        <v>1511.6</v>
      </c>
      <c r="C75" s="34">
        <v>41122</v>
      </c>
      <c r="D75" s="1">
        <v>1156</v>
      </c>
      <c r="E75" s="34">
        <v>41122</v>
      </c>
      <c r="F75" s="1">
        <v>5.3</v>
      </c>
      <c r="G75" s="34">
        <v>41122</v>
      </c>
      <c r="H75" s="1">
        <v>0.95</v>
      </c>
      <c r="I75" s="34">
        <v>41122</v>
      </c>
      <c r="J75" s="1">
        <v>143.05000000000001</v>
      </c>
      <c r="K75" s="34">
        <v>41122</v>
      </c>
      <c r="L75" s="1">
        <v>1505.3</v>
      </c>
      <c r="M75" s="34">
        <v>41122</v>
      </c>
      <c r="N75" s="1">
        <v>239.4</v>
      </c>
    </row>
    <row r="76" spans="1:14" x14ac:dyDescent="0.25">
      <c r="A76" s="34">
        <v>41153</v>
      </c>
      <c r="B76" s="1">
        <v>1511.6</v>
      </c>
      <c r="C76" s="34">
        <v>41153</v>
      </c>
      <c r="D76" s="1">
        <v>1037</v>
      </c>
      <c r="E76" s="34">
        <v>41153</v>
      </c>
      <c r="F76" s="1">
        <v>4.9000000000000004</v>
      </c>
      <c r="G76" s="34">
        <v>41153</v>
      </c>
      <c r="H76" s="1">
        <v>1.18</v>
      </c>
      <c r="I76" s="34">
        <v>41153</v>
      </c>
      <c r="J76" s="1">
        <v>143.37</v>
      </c>
      <c r="K76" s="34">
        <v>41153</v>
      </c>
      <c r="L76" s="1">
        <v>1519.8</v>
      </c>
      <c r="M76" s="34">
        <v>41153</v>
      </c>
      <c r="N76" s="1">
        <v>254.4</v>
      </c>
    </row>
    <row r="77" spans="1:14" x14ac:dyDescent="0.25">
      <c r="A77" s="34">
        <v>41183</v>
      </c>
      <c r="B77" s="1">
        <v>1512.3</v>
      </c>
      <c r="C77" s="34">
        <v>41183</v>
      </c>
      <c r="D77" s="1">
        <v>1163</v>
      </c>
      <c r="E77" s="34">
        <v>41183</v>
      </c>
      <c r="F77" s="1">
        <v>5</v>
      </c>
      <c r="G77" s="34">
        <v>41183</v>
      </c>
      <c r="H77" s="1">
        <v>0.96</v>
      </c>
      <c r="I77" s="34">
        <v>41183</v>
      </c>
      <c r="J77" s="1">
        <v>143.47999999999999</v>
      </c>
      <c r="K77" s="34">
        <v>41183</v>
      </c>
      <c r="L77" s="1">
        <v>1528.8</v>
      </c>
      <c r="M77" s="34">
        <v>41183</v>
      </c>
      <c r="N77" s="1">
        <v>258.3</v>
      </c>
    </row>
    <row r="78" spans="1:14" x14ac:dyDescent="0.25">
      <c r="A78" s="34">
        <v>41214</v>
      </c>
      <c r="B78" s="1">
        <v>1513.7</v>
      </c>
      <c r="C78" s="34">
        <v>41214</v>
      </c>
      <c r="D78" s="1">
        <v>945</v>
      </c>
      <c r="E78" s="34">
        <v>41214</v>
      </c>
      <c r="F78" s="1">
        <v>4.8</v>
      </c>
      <c r="G78" s="34">
        <v>41214</v>
      </c>
      <c r="H78" s="1">
        <v>1.29</v>
      </c>
      <c r="I78" s="34">
        <v>41214</v>
      </c>
      <c r="J78" s="1">
        <v>143.88</v>
      </c>
      <c r="K78" s="34">
        <v>41214</v>
      </c>
      <c r="L78" s="1">
        <v>1533.8</v>
      </c>
      <c r="M78" s="34">
        <v>41214</v>
      </c>
      <c r="N78" s="1">
        <v>259.8</v>
      </c>
    </row>
    <row r="79" spans="1:14" x14ac:dyDescent="0.25">
      <c r="A79" s="34">
        <v>41244</v>
      </c>
      <c r="B79" s="1">
        <v>1514.8</v>
      </c>
      <c r="C79" s="34">
        <v>41244</v>
      </c>
      <c r="D79" s="1">
        <v>472</v>
      </c>
      <c r="E79" s="34">
        <v>41244</v>
      </c>
      <c r="F79" s="1">
        <v>5</v>
      </c>
      <c r="G79" s="34">
        <v>41244</v>
      </c>
      <c r="H79" s="1">
        <v>1.49</v>
      </c>
      <c r="I79" s="34">
        <v>41244</v>
      </c>
      <c r="J79" s="1">
        <v>144.18</v>
      </c>
      <c r="K79" s="34">
        <v>41244</v>
      </c>
      <c r="L79" s="1">
        <v>1527.4</v>
      </c>
      <c r="M79" s="34">
        <v>41244</v>
      </c>
      <c r="N79" s="1">
        <v>259.2</v>
      </c>
    </row>
    <row r="80" spans="1:14" x14ac:dyDescent="0.25">
      <c r="A80" s="34">
        <v>41275</v>
      </c>
      <c r="B80" s="1">
        <v>1517.4</v>
      </c>
      <c r="C80" s="34">
        <v>41275</v>
      </c>
      <c r="D80" s="1">
        <v>331</v>
      </c>
      <c r="E80" s="34">
        <v>41275</v>
      </c>
      <c r="F80" s="1">
        <v>5</v>
      </c>
      <c r="G80" s="34">
        <v>41275</v>
      </c>
      <c r="H80" s="1">
        <v>1.41</v>
      </c>
      <c r="I80" s="34">
        <v>41275</v>
      </c>
      <c r="J80" s="1">
        <v>144.54</v>
      </c>
      <c r="K80" s="34">
        <v>41275</v>
      </c>
      <c r="L80" s="1">
        <v>1484.2</v>
      </c>
      <c r="M80" s="34">
        <v>41275</v>
      </c>
      <c r="N80" s="1">
        <v>250.2</v>
      </c>
    </row>
    <row r="81" spans="1:14" x14ac:dyDescent="0.25">
      <c r="A81" s="34">
        <v>41306</v>
      </c>
      <c r="B81" s="1">
        <v>1521.4</v>
      </c>
      <c r="C81" s="34">
        <v>41306</v>
      </c>
      <c r="D81" s="1">
        <v>437</v>
      </c>
      <c r="E81" s="34">
        <v>41306</v>
      </c>
      <c r="F81" s="1">
        <v>4.9000000000000004</v>
      </c>
      <c r="G81" s="34">
        <v>41306</v>
      </c>
      <c r="H81" s="1">
        <v>1.28</v>
      </c>
      <c r="I81" s="34">
        <v>41306</v>
      </c>
      <c r="J81" s="1">
        <v>144.80000000000001</v>
      </c>
      <c r="K81" s="34">
        <v>41306</v>
      </c>
      <c r="L81" s="1">
        <v>1493.3</v>
      </c>
      <c r="M81" s="34">
        <v>41306</v>
      </c>
      <c r="N81" s="1">
        <v>256.5</v>
      </c>
    </row>
    <row r="82" spans="1:14" x14ac:dyDescent="0.25">
      <c r="A82" s="34">
        <v>41334</v>
      </c>
      <c r="B82" s="1">
        <v>1520.8</v>
      </c>
      <c r="C82" s="34">
        <v>41334</v>
      </c>
      <c r="D82" s="1">
        <v>712</v>
      </c>
      <c r="E82" s="34">
        <v>41334</v>
      </c>
      <c r="F82" s="1">
        <v>4.8</v>
      </c>
      <c r="G82" s="34">
        <v>41334</v>
      </c>
      <c r="H82" s="1">
        <v>1.1499999999999999</v>
      </c>
      <c r="I82" s="34">
        <v>41334</v>
      </c>
      <c r="J82" s="1">
        <v>145.1</v>
      </c>
      <c r="K82" s="34">
        <v>41334</v>
      </c>
      <c r="L82" s="1">
        <v>1501.6</v>
      </c>
      <c r="M82" s="34">
        <v>41334</v>
      </c>
      <c r="N82" s="1">
        <v>257</v>
      </c>
    </row>
    <row r="83" spans="1:14" x14ac:dyDescent="0.25">
      <c r="A83" s="34">
        <v>41365</v>
      </c>
      <c r="B83" s="1">
        <v>1520.4</v>
      </c>
      <c r="C83" s="34">
        <v>41365</v>
      </c>
      <c r="D83" s="1">
        <v>1005</v>
      </c>
      <c r="E83" s="34">
        <v>41365</v>
      </c>
      <c r="F83" s="1">
        <v>4.7</v>
      </c>
      <c r="G83" s="34">
        <v>41365</v>
      </c>
      <c r="H83" s="1">
        <v>1.43</v>
      </c>
      <c r="I83" s="34">
        <v>41365</v>
      </c>
      <c r="J83" s="1">
        <v>145.43</v>
      </c>
      <c r="K83" s="34">
        <v>41365</v>
      </c>
      <c r="L83" s="1">
        <v>1521.2</v>
      </c>
      <c r="M83" s="34">
        <v>41365</v>
      </c>
      <c r="N83" s="1">
        <v>257.60000000000002</v>
      </c>
    </row>
    <row r="84" spans="1:14" x14ac:dyDescent="0.25">
      <c r="A84" s="34">
        <v>41395</v>
      </c>
      <c r="B84" s="1">
        <v>1523.4</v>
      </c>
      <c r="C84" s="34">
        <v>41395</v>
      </c>
      <c r="D84" s="1">
        <v>1111</v>
      </c>
      <c r="E84" s="34">
        <v>41395</v>
      </c>
      <c r="F84" s="1">
        <v>4.8</v>
      </c>
      <c r="G84" s="34">
        <v>41395</v>
      </c>
      <c r="H84" s="1">
        <v>1.22</v>
      </c>
      <c r="I84" s="34">
        <v>41395</v>
      </c>
      <c r="J84" s="1">
        <v>145.71</v>
      </c>
      <c r="K84" s="34">
        <v>41395</v>
      </c>
      <c r="L84" s="1">
        <v>1540.1</v>
      </c>
      <c r="M84" s="34">
        <v>41395</v>
      </c>
      <c r="N84" s="1">
        <v>260.60000000000002</v>
      </c>
    </row>
    <row r="85" spans="1:14" x14ac:dyDescent="0.25">
      <c r="A85" s="34">
        <v>41426</v>
      </c>
      <c r="B85" s="1">
        <v>1527.5</v>
      </c>
      <c r="C85" s="34">
        <v>41426</v>
      </c>
      <c r="D85" s="1">
        <v>779</v>
      </c>
      <c r="E85" s="34">
        <v>41426</v>
      </c>
      <c r="F85" s="1">
        <v>4.8</v>
      </c>
      <c r="G85" s="34">
        <v>41426</v>
      </c>
      <c r="H85" s="1">
        <v>1.53</v>
      </c>
      <c r="I85" s="34">
        <v>41426</v>
      </c>
      <c r="J85" s="1">
        <v>146.19</v>
      </c>
      <c r="K85" s="34">
        <v>41426</v>
      </c>
      <c r="L85" s="1">
        <v>1543.8</v>
      </c>
      <c r="M85" s="34">
        <v>41426</v>
      </c>
      <c r="N85" s="1">
        <v>256.3</v>
      </c>
    </row>
    <row r="86" spans="1:14" x14ac:dyDescent="0.25">
      <c r="A86" s="34">
        <v>41456</v>
      </c>
      <c r="B86" s="1">
        <v>1533.7</v>
      </c>
      <c r="C86" s="34">
        <v>41456</v>
      </c>
      <c r="D86" s="1">
        <v>1136</v>
      </c>
      <c r="E86" s="34">
        <v>41456</v>
      </c>
      <c r="F86" s="1">
        <v>4.8</v>
      </c>
      <c r="G86" s="34">
        <v>41456</v>
      </c>
      <c r="H86" s="1">
        <v>1.62</v>
      </c>
      <c r="I86" s="34">
        <v>41456</v>
      </c>
      <c r="J86" s="1">
        <v>146.58000000000001</v>
      </c>
      <c r="K86" s="34">
        <v>41456</v>
      </c>
      <c r="L86" s="1">
        <v>1526</v>
      </c>
      <c r="M86" s="34">
        <v>41456</v>
      </c>
      <c r="N86" s="1">
        <v>238.8</v>
      </c>
    </row>
    <row r="87" spans="1:14" x14ac:dyDescent="0.25">
      <c r="A87" s="34">
        <v>41487</v>
      </c>
      <c r="B87" s="1">
        <v>1535.5</v>
      </c>
      <c r="C87" s="34">
        <v>41487</v>
      </c>
      <c r="D87" s="1">
        <v>1235</v>
      </c>
      <c r="E87" s="34">
        <v>41487</v>
      </c>
      <c r="F87" s="1">
        <v>4.7</v>
      </c>
      <c r="G87" s="34">
        <v>41487</v>
      </c>
      <c r="H87" s="1">
        <v>1.77</v>
      </c>
      <c r="I87" s="34">
        <v>41487</v>
      </c>
      <c r="J87" s="1">
        <v>147.05000000000001</v>
      </c>
      <c r="K87" s="34">
        <v>41487</v>
      </c>
      <c r="L87" s="1">
        <v>1530.4</v>
      </c>
      <c r="M87" s="34">
        <v>41487</v>
      </c>
      <c r="N87" s="1">
        <v>241.5</v>
      </c>
    </row>
    <row r="88" spans="1:14" x14ac:dyDescent="0.25">
      <c r="A88" s="34">
        <v>41518</v>
      </c>
      <c r="B88" s="1">
        <v>1534.1</v>
      </c>
      <c r="C88" s="34">
        <v>41518</v>
      </c>
      <c r="D88" s="1">
        <v>898</v>
      </c>
      <c r="E88" s="34">
        <v>41518</v>
      </c>
      <c r="F88" s="1">
        <v>4.5</v>
      </c>
      <c r="G88" s="34">
        <v>41518</v>
      </c>
      <c r="H88" s="1">
        <v>1.75</v>
      </c>
      <c r="I88" s="34">
        <v>41518</v>
      </c>
      <c r="J88" s="1">
        <v>147.44999999999999</v>
      </c>
      <c r="K88" s="34">
        <v>41518</v>
      </c>
      <c r="L88" s="1">
        <v>1543</v>
      </c>
      <c r="M88" s="34">
        <v>41518</v>
      </c>
      <c r="N88" s="1">
        <v>257.2</v>
      </c>
    </row>
    <row r="89" spans="1:14" x14ac:dyDescent="0.25">
      <c r="A89" s="34">
        <v>41548</v>
      </c>
      <c r="B89" s="1">
        <v>1541.5</v>
      </c>
      <c r="C89" s="34">
        <v>41548</v>
      </c>
      <c r="D89" s="1">
        <v>1747</v>
      </c>
      <c r="E89" s="34">
        <v>41548</v>
      </c>
      <c r="F89" s="1">
        <v>4.4000000000000004</v>
      </c>
      <c r="G89" s="34">
        <v>41548</v>
      </c>
      <c r="H89" s="1">
        <v>1.8</v>
      </c>
      <c r="I89" s="34">
        <v>41548</v>
      </c>
      <c r="J89" s="1">
        <v>147.9</v>
      </c>
      <c r="K89" s="34">
        <v>41548</v>
      </c>
      <c r="L89" s="1">
        <v>1560.8</v>
      </c>
      <c r="M89" s="34">
        <v>41548</v>
      </c>
      <c r="N89" s="1">
        <v>263.5</v>
      </c>
    </row>
    <row r="90" spans="1:14" x14ac:dyDescent="0.25">
      <c r="A90" s="34">
        <v>41579</v>
      </c>
      <c r="B90" s="1">
        <v>1543</v>
      </c>
      <c r="C90" s="34">
        <v>41579</v>
      </c>
      <c r="D90" s="1">
        <v>1036</v>
      </c>
      <c r="E90" s="34">
        <v>41579</v>
      </c>
      <c r="F90" s="1">
        <v>4.2</v>
      </c>
      <c r="G90" s="34">
        <v>41579</v>
      </c>
      <c r="H90" s="1">
        <v>1.31</v>
      </c>
      <c r="I90" s="34">
        <v>41579</v>
      </c>
      <c r="J90" s="1">
        <v>148.1</v>
      </c>
      <c r="K90" s="34">
        <v>41579</v>
      </c>
      <c r="L90" s="1">
        <v>1561.8</v>
      </c>
      <c r="M90" s="34">
        <v>41579</v>
      </c>
      <c r="N90" s="1">
        <v>265</v>
      </c>
    </row>
    <row r="91" spans="1:14" x14ac:dyDescent="0.25">
      <c r="A91" s="34">
        <v>41609</v>
      </c>
      <c r="B91" s="1">
        <v>1544.2</v>
      </c>
      <c r="C91" s="34">
        <v>41609</v>
      </c>
      <c r="D91" s="1">
        <v>370</v>
      </c>
      <c r="E91" s="34">
        <v>41609</v>
      </c>
      <c r="F91" s="1">
        <v>4.2</v>
      </c>
      <c r="G91" s="34">
        <v>41609</v>
      </c>
      <c r="H91" s="1">
        <v>1.05</v>
      </c>
      <c r="I91" s="34">
        <v>41609</v>
      </c>
      <c r="J91" s="1">
        <v>148.38</v>
      </c>
      <c r="K91" s="34">
        <v>41609</v>
      </c>
      <c r="L91" s="1">
        <v>1549.3</v>
      </c>
      <c r="M91" s="34">
        <v>41609</v>
      </c>
      <c r="N91" s="1">
        <v>263.10000000000002</v>
      </c>
    </row>
    <row r="92" spans="1:14" x14ac:dyDescent="0.25">
      <c r="A92" s="34">
        <v>41640</v>
      </c>
      <c r="B92" s="1">
        <v>1537.6</v>
      </c>
      <c r="C92" s="34">
        <v>41640</v>
      </c>
      <c r="D92" s="1">
        <v>309</v>
      </c>
      <c r="E92" s="34">
        <v>41640</v>
      </c>
      <c r="F92" s="1">
        <v>4.3</v>
      </c>
      <c r="G92" s="34">
        <v>41640</v>
      </c>
      <c r="H92" s="1">
        <v>0.87</v>
      </c>
      <c r="I92" s="34">
        <v>41640</v>
      </c>
      <c r="J92" s="1">
        <v>148.54</v>
      </c>
      <c r="K92" s="34">
        <v>41640</v>
      </c>
      <c r="L92" s="1">
        <v>1506</v>
      </c>
      <c r="M92" s="34">
        <v>41640</v>
      </c>
      <c r="N92" s="1">
        <v>254.1</v>
      </c>
    </row>
    <row r="93" spans="1:14" x14ac:dyDescent="0.25">
      <c r="A93" s="34">
        <v>41671</v>
      </c>
      <c r="B93" s="1">
        <v>1539.8</v>
      </c>
      <c r="C93" s="34">
        <v>41671</v>
      </c>
      <c r="D93" s="1">
        <v>296</v>
      </c>
      <c r="E93" s="34">
        <v>41671</v>
      </c>
      <c r="F93" s="1">
        <v>4.4000000000000004</v>
      </c>
      <c r="G93" s="34">
        <v>41671</v>
      </c>
      <c r="H93" s="1">
        <v>1.1100000000000001</v>
      </c>
      <c r="I93" s="34">
        <v>41671</v>
      </c>
      <c r="J93" s="1">
        <v>148.80000000000001</v>
      </c>
      <c r="K93" s="34">
        <v>41671</v>
      </c>
      <c r="L93" s="1">
        <v>1516.7</v>
      </c>
      <c r="M93" s="34">
        <v>41671</v>
      </c>
      <c r="N93" s="1">
        <v>261.2</v>
      </c>
    </row>
    <row r="94" spans="1:14" x14ac:dyDescent="0.25">
      <c r="A94" s="34">
        <v>41699</v>
      </c>
      <c r="B94" s="1">
        <v>1538.8</v>
      </c>
      <c r="C94" s="34">
        <v>41699</v>
      </c>
      <c r="D94" s="1">
        <v>792</v>
      </c>
      <c r="E94" s="34">
        <v>41699</v>
      </c>
      <c r="F94" s="1">
        <v>4.5</v>
      </c>
      <c r="G94" s="34">
        <v>41699</v>
      </c>
      <c r="H94" s="1">
        <v>0.96</v>
      </c>
      <c r="I94" s="34">
        <v>41699</v>
      </c>
      <c r="J94" s="1">
        <v>148.99</v>
      </c>
      <c r="K94" s="34">
        <v>41699</v>
      </c>
      <c r="L94" s="1">
        <v>1523.2</v>
      </c>
      <c r="M94" s="34">
        <v>41699</v>
      </c>
      <c r="N94" s="1">
        <v>262.3</v>
      </c>
    </row>
    <row r="95" spans="1:14" x14ac:dyDescent="0.25">
      <c r="A95" s="34">
        <v>41730</v>
      </c>
      <c r="B95" s="1">
        <v>1542.5</v>
      </c>
      <c r="C95" s="34">
        <v>41730</v>
      </c>
      <c r="D95" s="1">
        <v>1496</v>
      </c>
      <c r="E95" s="34">
        <v>41730</v>
      </c>
      <c r="F95" s="1">
        <v>4.3</v>
      </c>
      <c r="G95" s="34">
        <v>41730</v>
      </c>
      <c r="H95" s="1">
        <v>1.28</v>
      </c>
      <c r="I95" s="34">
        <v>41730</v>
      </c>
      <c r="J95" s="1">
        <v>149.36000000000001</v>
      </c>
      <c r="K95" s="34">
        <v>41730</v>
      </c>
      <c r="L95" s="1">
        <v>1548.8</v>
      </c>
      <c r="M95" s="34">
        <v>41730</v>
      </c>
      <c r="N95" s="1">
        <v>263</v>
      </c>
    </row>
    <row r="96" spans="1:14" x14ac:dyDescent="0.25">
      <c r="A96" s="34">
        <v>41760</v>
      </c>
      <c r="B96" s="1">
        <v>1546.5</v>
      </c>
      <c r="C96" s="34">
        <v>41760</v>
      </c>
      <c r="D96" s="1">
        <v>873</v>
      </c>
      <c r="E96" s="34">
        <v>41760</v>
      </c>
      <c r="F96" s="1">
        <v>4.4000000000000004</v>
      </c>
      <c r="G96" s="34">
        <v>41760</v>
      </c>
      <c r="H96" s="1">
        <v>1.28</v>
      </c>
      <c r="I96" s="34">
        <v>41760</v>
      </c>
      <c r="J96" s="1">
        <v>149.71</v>
      </c>
      <c r="K96" s="34">
        <v>41760</v>
      </c>
      <c r="L96" s="1">
        <v>1565.8</v>
      </c>
      <c r="M96" s="34">
        <v>41760</v>
      </c>
      <c r="N96" s="1">
        <v>263.7</v>
      </c>
    </row>
    <row r="97" spans="1:14" x14ac:dyDescent="0.25">
      <c r="A97" s="34">
        <v>41791</v>
      </c>
      <c r="B97" s="1">
        <v>1550.2</v>
      </c>
      <c r="C97" s="34">
        <v>41791</v>
      </c>
      <c r="D97" s="1">
        <v>1084</v>
      </c>
      <c r="E97" s="34">
        <v>41791</v>
      </c>
      <c r="F97" s="1">
        <v>4.4000000000000004</v>
      </c>
      <c r="G97" s="34">
        <v>41791</v>
      </c>
      <c r="H97" s="1">
        <v>1.1499999999999999</v>
      </c>
      <c r="I97" s="34">
        <v>41791</v>
      </c>
      <c r="J97" s="1">
        <v>149.91999999999999</v>
      </c>
      <c r="K97" s="34">
        <v>41791</v>
      </c>
      <c r="L97" s="1">
        <v>1565.6</v>
      </c>
      <c r="M97" s="34">
        <v>41791</v>
      </c>
      <c r="N97" s="1">
        <v>258.2</v>
      </c>
    </row>
    <row r="98" spans="1:14" x14ac:dyDescent="0.25">
      <c r="A98" s="34">
        <v>41821</v>
      </c>
      <c r="B98" s="1">
        <v>1553.3</v>
      </c>
      <c r="C98" s="34">
        <v>41821</v>
      </c>
      <c r="D98" s="1">
        <v>954</v>
      </c>
      <c r="E98" s="34">
        <v>41821</v>
      </c>
      <c r="F98" s="1">
        <v>4.5</v>
      </c>
      <c r="G98" s="34">
        <v>41821</v>
      </c>
      <c r="H98" s="1">
        <v>1.1399999999999999</v>
      </c>
      <c r="I98" s="34">
        <v>41821</v>
      </c>
      <c r="J98" s="1">
        <v>150.26</v>
      </c>
      <c r="K98" s="34">
        <v>41821</v>
      </c>
      <c r="L98" s="1">
        <v>1544.2</v>
      </c>
      <c r="M98" s="34">
        <v>41821</v>
      </c>
      <c r="N98" s="1">
        <v>240.4</v>
      </c>
    </row>
    <row r="99" spans="1:14" x14ac:dyDescent="0.25">
      <c r="A99" s="34">
        <v>41852</v>
      </c>
      <c r="B99" s="1">
        <v>1554.9</v>
      </c>
      <c r="C99" s="34">
        <v>41852</v>
      </c>
      <c r="D99" s="1">
        <v>962</v>
      </c>
      <c r="E99" s="34">
        <v>41852</v>
      </c>
      <c r="F99" s="1">
        <v>4.5</v>
      </c>
      <c r="G99" s="34">
        <v>41852</v>
      </c>
      <c r="H99" s="1">
        <v>1.07</v>
      </c>
      <c r="I99" s="34">
        <v>41852</v>
      </c>
      <c r="J99" s="1">
        <v>150.44</v>
      </c>
      <c r="K99" s="34">
        <v>41852</v>
      </c>
      <c r="L99" s="1">
        <v>1544.1</v>
      </c>
      <c r="M99" s="34">
        <v>41852</v>
      </c>
      <c r="N99" s="1">
        <v>245.1</v>
      </c>
    </row>
    <row r="100" spans="1:14" x14ac:dyDescent="0.25">
      <c r="A100" s="34">
        <v>41883</v>
      </c>
      <c r="B100" s="1">
        <v>1557.1</v>
      </c>
      <c r="C100" s="34">
        <v>41883</v>
      </c>
      <c r="D100" s="1">
        <v>1509</v>
      </c>
      <c r="E100" s="34">
        <v>41883</v>
      </c>
      <c r="F100" s="1">
        <v>4.5999999999999996</v>
      </c>
      <c r="G100" s="34">
        <v>41883</v>
      </c>
      <c r="H100" s="1">
        <v>0.76</v>
      </c>
      <c r="I100" s="34">
        <v>41883</v>
      </c>
      <c r="J100" s="1">
        <v>150.56</v>
      </c>
      <c r="K100" s="34">
        <v>41883</v>
      </c>
      <c r="L100" s="1">
        <v>1561</v>
      </c>
      <c r="M100" s="34">
        <v>41883</v>
      </c>
      <c r="N100" s="1">
        <v>265</v>
      </c>
    </row>
    <row r="101" spans="1:14" x14ac:dyDescent="0.25">
      <c r="A101" s="34">
        <v>41913</v>
      </c>
      <c r="B101" s="1">
        <v>1556.9</v>
      </c>
      <c r="C101" s="34">
        <v>41913</v>
      </c>
      <c r="D101" s="1">
        <v>1133</v>
      </c>
      <c r="E101" s="34">
        <v>41913</v>
      </c>
      <c r="F101" s="1">
        <v>4.5</v>
      </c>
      <c r="G101" s="34">
        <v>41913</v>
      </c>
      <c r="H101" s="1">
        <v>1.35</v>
      </c>
      <c r="I101" s="34">
        <v>41913</v>
      </c>
      <c r="J101" s="1">
        <v>150.99</v>
      </c>
      <c r="K101" s="34">
        <v>41913</v>
      </c>
      <c r="L101" s="1">
        <v>1576.6</v>
      </c>
      <c r="M101" s="34">
        <v>41913</v>
      </c>
      <c r="N101" s="1">
        <v>269.39999999999998</v>
      </c>
    </row>
    <row r="102" spans="1:14" x14ac:dyDescent="0.25">
      <c r="A102" s="34">
        <v>41944</v>
      </c>
      <c r="B102" s="1">
        <v>1558.5</v>
      </c>
      <c r="C102" s="34">
        <v>41944</v>
      </c>
      <c r="D102" s="1">
        <v>783</v>
      </c>
      <c r="E102" s="34">
        <v>41944</v>
      </c>
      <c r="F102" s="1">
        <v>4.3</v>
      </c>
      <c r="G102" s="34">
        <v>41944</v>
      </c>
      <c r="H102" s="1">
        <v>1.36</v>
      </c>
      <c r="I102" s="34">
        <v>41944</v>
      </c>
      <c r="J102" s="1">
        <v>151.22</v>
      </c>
      <c r="K102" s="34">
        <v>41944</v>
      </c>
      <c r="L102" s="1">
        <v>1579.1</v>
      </c>
      <c r="M102" s="34">
        <v>41944</v>
      </c>
      <c r="N102" s="1">
        <v>271.10000000000002</v>
      </c>
    </row>
    <row r="103" spans="1:14" x14ac:dyDescent="0.25">
      <c r="A103" s="34">
        <v>41974</v>
      </c>
      <c r="B103" s="1">
        <v>1560.6</v>
      </c>
      <c r="E103" s="34">
        <v>41974</v>
      </c>
      <c r="F103" s="1">
        <v>4.0999999999999996</v>
      </c>
      <c r="K103" s="34">
        <v>41974</v>
      </c>
      <c r="L103" s="1">
        <v>1565.5</v>
      </c>
      <c r="M103" s="34">
        <v>41974</v>
      </c>
      <c r="N103" s="1">
        <v>268.39999999999998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103"/>
  <sheetViews>
    <sheetView topLeftCell="A76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139</v>
      </c>
      <c r="C1" s="34" t="s">
        <v>140</v>
      </c>
      <c r="E1" s="34" t="s">
        <v>141</v>
      </c>
      <c r="G1" s="34" t="s">
        <v>142</v>
      </c>
      <c r="I1" s="34" t="s">
        <v>143</v>
      </c>
      <c r="K1" s="34" t="str">
        <f>CONCATENATE(LEFT(A1,2), "NAN")</f>
        <v>IDNAN</v>
      </c>
      <c r="M1" s="34" t="str">
        <f>CONCATENATE(LEFT(A1,2), "GOVTN")</f>
        <v>IDGOVTN</v>
      </c>
      <c r="O1" s="34" t="str">
        <f>CONCATENATE(LEFT($A$1,2), "RGSP")</f>
        <v>IDRGSP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870</v>
      </c>
      <c r="C5" s="35" t="s">
        <v>144</v>
      </c>
      <c r="E5" s="35" t="s">
        <v>145</v>
      </c>
      <c r="G5" s="35" t="s">
        <v>146</v>
      </c>
      <c r="I5" s="35" t="s">
        <v>147</v>
      </c>
      <c r="K5" s="35" t="s">
        <v>870</v>
      </c>
      <c r="M5" s="35" t="s">
        <v>871</v>
      </c>
      <c r="O5" s="35" t="s">
        <v>807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649</v>
      </c>
      <c r="C8" s="34">
        <v>39083</v>
      </c>
      <c r="D8" s="1">
        <v>971</v>
      </c>
      <c r="E8" s="34">
        <v>39083</v>
      </c>
      <c r="F8" s="1">
        <v>2.7</v>
      </c>
      <c r="G8" s="34">
        <v>39083</v>
      </c>
      <c r="H8" s="1">
        <v>1.39</v>
      </c>
      <c r="I8" s="34">
        <v>39083</v>
      </c>
      <c r="J8" s="1">
        <v>209.33</v>
      </c>
      <c r="K8" s="34">
        <v>39083</v>
      </c>
      <c r="L8" s="1">
        <v>628.20000000000005</v>
      </c>
      <c r="M8" s="34">
        <v>39083</v>
      </c>
      <c r="N8" s="1">
        <v>113.1</v>
      </c>
      <c r="O8" s="34">
        <v>39083</v>
      </c>
      <c r="P8" s="1">
        <v>56418</v>
      </c>
    </row>
    <row r="9" spans="1:16" x14ac:dyDescent="0.25">
      <c r="A9" s="34">
        <v>39114</v>
      </c>
      <c r="B9" s="1">
        <v>651.20000000000005</v>
      </c>
      <c r="C9" s="34">
        <v>39114</v>
      </c>
      <c r="D9" s="1">
        <v>855</v>
      </c>
      <c r="E9" s="34">
        <v>39114</v>
      </c>
      <c r="F9" s="1">
        <v>2.7</v>
      </c>
      <c r="G9" s="34">
        <v>39114</v>
      </c>
      <c r="H9" s="1">
        <v>0.9</v>
      </c>
      <c r="I9" s="34">
        <v>39114</v>
      </c>
      <c r="J9" s="1">
        <v>210.07</v>
      </c>
      <c r="K9" s="34">
        <v>39114</v>
      </c>
      <c r="L9" s="1">
        <v>635.5</v>
      </c>
      <c r="M9" s="34">
        <v>39114</v>
      </c>
      <c r="N9" s="1">
        <v>116.8</v>
      </c>
      <c r="O9" s="34">
        <v>39448</v>
      </c>
      <c r="P9" s="1">
        <v>56338</v>
      </c>
    </row>
    <row r="10" spans="1:16" x14ac:dyDescent="0.25">
      <c r="A10" s="34">
        <v>39142</v>
      </c>
      <c r="B10" s="1">
        <v>653.5</v>
      </c>
      <c r="C10" s="34">
        <v>39142</v>
      </c>
      <c r="D10" s="1">
        <v>1613</v>
      </c>
      <c r="E10" s="34">
        <v>39142</v>
      </c>
      <c r="F10" s="1">
        <v>2.7</v>
      </c>
      <c r="G10" s="34">
        <v>39142</v>
      </c>
      <c r="H10" s="1">
        <v>0.23</v>
      </c>
      <c r="I10" s="34">
        <v>39142</v>
      </c>
      <c r="J10" s="1">
        <v>210.61</v>
      </c>
      <c r="K10" s="34">
        <v>39142</v>
      </c>
      <c r="L10" s="1">
        <v>642.29999999999995</v>
      </c>
      <c r="M10" s="34">
        <v>39142</v>
      </c>
      <c r="N10" s="1">
        <v>117.2</v>
      </c>
      <c r="O10" s="34">
        <v>39814</v>
      </c>
      <c r="P10" s="1">
        <v>54063</v>
      </c>
    </row>
    <row r="11" spans="1:16" x14ac:dyDescent="0.25">
      <c r="A11" s="34">
        <v>39173</v>
      </c>
      <c r="B11" s="1">
        <v>654.20000000000005</v>
      </c>
      <c r="C11" s="34">
        <v>39173</v>
      </c>
      <c r="D11" s="1">
        <v>1111</v>
      </c>
      <c r="E11" s="34">
        <v>39173</v>
      </c>
      <c r="F11" s="1">
        <v>2.8</v>
      </c>
      <c r="G11" s="34">
        <v>39173</v>
      </c>
      <c r="H11" s="1">
        <v>-0.02</v>
      </c>
      <c r="I11" s="34">
        <v>39173</v>
      </c>
      <c r="J11" s="1">
        <v>210.94</v>
      </c>
      <c r="K11" s="34">
        <v>39173</v>
      </c>
      <c r="L11" s="1">
        <v>649.79999999999995</v>
      </c>
      <c r="M11" s="34">
        <v>39173</v>
      </c>
      <c r="N11" s="1">
        <v>118.2</v>
      </c>
      <c r="O11" s="34">
        <v>40179</v>
      </c>
      <c r="P11" s="1">
        <v>54702</v>
      </c>
    </row>
    <row r="12" spans="1:16" x14ac:dyDescent="0.25">
      <c r="A12" s="34">
        <v>39203</v>
      </c>
      <c r="B12" s="1">
        <v>655.8</v>
      </c>
      <c r="C12" s="34">
        <v>39203</v>
      </c>
      <c r="D12" s="1">
        <v>1448</v>
      </c>
      <c r="E12" s="34">
        <v>39203</v>
      </c>
      <c r="F12" s="1">
        <v>2.8</v>
      </c>
      <c r="G12" s="34">
        <v>39203</v>
      </c>
      <c r="H12" s="1">
        <v>0.15</v>
      </c>
      <c r="I12" s="34">
        <v>39203</v>
      </c>
      <c r="J12" s="1">
        <v>211.12</v>
      </c>
      <c r="K12" s="34">
        <v>39203</v>
      </c>
      <c r="L12" s="1">
        <v>659.6</v>
      </c>
      <c r="M12" s="34">
        <v>39203</v>
      </c>
      <c r="N12" s="1">
        <v>119.2</v>
      </c>
      <c r="O12" s="34">
        <v>40544</v>
      </c>
      <c r="P12" s="1">
        <v>54781</v>
      </c>
    </row>
    <row r="13" spans="1:16" x14ac:dyDescent="0.25">
      <c r="A13" s="34">
        <v>39234</v>
      </c>
      <c r="B13" s="1">
        <v>657.5</v>
      </c>
      <c r="C13" s="34">
        <v>39234</v>
      </c>
      <c r="D13" s="1">
        <v>1341</v>
      </c>
      <c r="E13" s="34">
        <v>39234</v>
      </c>
      <c r="F13" s="1">
        <v>2.9</v>
      </c>
      <c r="G13" s="34">
        <v>39234</v>
      </c>
      <c r="H13" s="1">
        <v>-0.6</v>
      </c>
      <c r="I13" s="34">
        <v>39234</v>
      </c>
      <c r="J13" s="1">
        <v>211.16</v>
      </c>
      <c r="K13" s="34">
        <v>39234</v>
      </c>
      <c r="L13" s="1">
        <v>668.7</v>
      </c>
      <c r="M13" s="34">
        <v>39234</v>
      </c>
      <c r="N13" s="1">
        <v>117.9</v>
      </c>
      <c r="O13" s="34">
        <v>40909</v>
      </c>
      <c r="P13" s="1">
        <v>54792</v>
      </c>
    </row>
    <row r="14" spans="1:16" x14ac:dyDescent="0.25">
      <c r="A14" s="34">
        <v>39264</v>
      </c>
      <c r="B14" s="1">
        <v>656</v>
      </c>
      <c r="C14" s="34">
        <v>39264</v>
      </c>
      <c r="D14" s="1">
        <v>1453</v>
      </c>
      <c r="E14" s="34">
        <v>39264</v>
      </c>
      <c r="F14" s="1">
        <v>2.9</v>
      </c>
      <c r="G14" s="34">
        <v>39264</v>
      </c>
      <c r="H14" s="1">
        <v>-0.68</v>
      </c>
      <c r="I14" s="34">
        <v>39264</v>
      </c>
      <c r="J14" s="1">
        <v>211.07</v>
      </c>
      <c r="K14" s="34">
        <v>39264</v>
      </c>
      <c r="L14" s="1">
        <v>661.6</v>
      </c>
      <c r="M14" s="34">
        <v>39264</v>
      </c>
      <c r="N14" s="1">
        <v>110.6</v>
      </c>
      <c r="O14" s="34">
        <v>41275</v>
      </c>
      <c r="P14" s="1">
        <v>57029</v>
      </c>
    </row>
    <row r="15" spans="1:16" x14ac:dyDescent="0.25">
      <c r="A15" s="34">
        <v>39295</v>
      </c>
      <c r="B15" s="1">
        <v>656.8</v>
      </c>
      <c r="C15" s="34">
        <v>39295</v>
      </c>
      <c r="D15" s="1">
        <v>1062</v>
      </c>
      <c r="E15" s="34">
        <v>39295</v>
      </c>
      <c r="F15" s="1">
        <v>3</v>
      </c>
      <c r="G15" s="34">
        <v>39295</v>
      </c>
      <c r="H15" s="1">
        <v>-1.07</v>
      </c>
      <c r="I15" s="34">
        <v>39295</v>
      </c>
      <c r="J15" s="1">
        <v>210.86</v>
      </c>
      <c r="K15" s="34">
        <v>39295</v>
      </c>
      <c r="L15" s="1">
        <v>665.3</v>
      </c>
      <c r="M15" s="34">
        <v>39295</v>
      </c>
      <c r="N15" s="1">
        <v>111.8</v>
      </c>
    </row>
    <row r="16" spans="1:16" x14ac:dyDescent="0.25">
      <c r="A16" s="34">
        <v>39326</v>
      </c>
      <c r="B16" s="1">
        <v>655.6</v>
      </c>
      <c r="C16" s="34">
        <v>39326</v>
      </c>
      <c r="D16" s="1">
        <v>883</v>
      </c>
      <c r="E16" s="34">
        <v>39326</v>
      </c>
      <c r="F16" s="1">
        <v>3.1</v>
      </c>
      <c r="G16" s="34">
        <v>39326</v>
      </c>
      <c r="H16" s="1">
        <v>-1.1299999999999999</v>
      </c>
      <c r="I16" s="34">
        <v>39326</v>
      </c>
      <c r="J16" s="1">
        <v>210.55</v>
      </c>
      <c r="K16" s="34">
        <v>39326</v>
      </c>
      <c r="L16" s="1">
        <v>666.9</v>
      </c>
      <c r="M16" s="34">
        <v>39326</v>
      </c>
      <c r="N16" s="1">
        <v>119.1</v>
      </c>
    </row>
    <row r="17" spans="1:14" x14ac:dyDescent="0.25">
      <c r="A17" s="34">
        <v>39356</v>
      </c>
      <c r="B17" s="1">
        <v>654.4</v>
      </c>
      <c r="C17" s="34">
        <v>39356</v>
      </c>
      <c r="D17" s="1">
        <v>767</v>
      </c>
      <c r="E17" s="34">
        <v>39356</v>
      </c>
      <c r="F17" s="1">
        <v>3.2</v>
      </c>
      <c r="G17" s="34">
        <v>39356</v>
      </c>
      <c r="H17" s="1">
        <v>-1</v>
      </c>
      <c r="I17" s="34">
        <v>39356</v>
      </c>
      <c r="J17" s="1">
        <v>210.19</v>
      </c>
      <c r="K17" s="34">
        <v>39356</v>
      </c>
      <c r="L17" s="1">
        <v>661.6</v>
      </c>
      <c r="M17" s="34">
        <v>39356</v>
      </c>
      <c r="N17" s="1">
        <v>119.5</v>
      </c>
    </row>
    <row r="18" spans="1:14" x14ac:dyDescent="0.25">
      <c r="A18" s="34">
        <v>39387</v>
      </c>
      <c r="B18" s="1">
        <v>656.9</v>
      </c>
      <c r="C18" s="34">
        <v>39387</v>
      </c>
      <c r="D18" s="1">
        <v>690</v>
      </c>
      <c r="E18" s="34">
        <v>39387</v>
      </c>
      <c r="F18" s="1">
        <v>3.3</v>
      </c>
      <c r="G18" s="34">
        <v>39387</v>
      </c>
      <c r="H18" s="1">
        <v>-1.59</v>
      </c>
      <c r="I18" s="34">
        <v>39387</v>
      </c>
      <c r="J18" s="1">
        <v>209.78</v>
      </c>
      <c r="K18" s="34">
        <v>39387</v>
      </c>
      <c r="L18" s="1">
        <v>661.3</v>
      </c>
      <c r="M18" s="34">
        <v>39387</v>
      </c>
      <c r="N18" s="1">
        <v>119</v>
      </c>
    </row>
    <row r="19" spans="1:14" x14ac:dyDescent="0.25">
      <c r="A19" s="34">
        <v>39417</v>
      </c>
      <c r="B19" s="1">
        <v>656.5</v>
      </c>
      <c r="C19" s="34">
        <v>39417</v>
      </c>
      <c r="D19" s="1">
        <v>655</v>
      </c>
      <c r="E19" s="34">
        <v>39417</v>
      </c>
      <c r="F19" s="1">
        <v>3.4</v>
      </c>
      <c r="G19" s="34">
        <v>39417</v>
      </c>
      <c r="H19" s="1">
        <v>-2.37</v>
      </c>
      <c r="I19" s="34">
        <v>39417</v>
      </c>
      <c r="J19" s="1">
        <v>209.24</v>
      </c>
      <c r="K19" s="34">
        <v>39417</v>
      </c>
      <c r="L19" s="1">
        <v>658.3</v>
      </c>
      <c r="M19" s="34">
        <v>39417</v>
      </c>
      <c r="N19" s="1">
        <v>118.7</v>
      </c>
    </row>
    <row r="20" spans="1:14" x14ac:dyDescent="0.25">
      <c r="A20" s="34">
        <v>39448</v>
      </c>
      <c r="B20" s="1">
        <v>654.4</v>
      </c>
      <c r="C20" s="34">
        <v>39448</v>
      </c>
      <c r="D20" s="1">
        <v>456</v>
      </c>
      <c r="E20" s="34">
        <v>39448</v>
      </c>
      <c r="F20" s="1">
        <v>3.6</v>
      </c>
      <c r="G20" s="34">
        <v>39448</v>
      </c>
      <c r="H20" s="1">
        <v>-2.59</v>
      </c>
      <c r="I20" s="34">
        <v>39448</v>
      </c>
      <c r="J20" s="1">
        <v>208.56</v>
      </c>
      <c r="K20" s="34">
        <v>39448</v>
      </c>
      <c r="L20" s="1">
        <v>633.29999999999995</v>
      </c>
      <c r="M20" s="34">
        <v>39448</v>
      </c>
      <c r="N20" s="1">
        <v>115.4</v>
      </c>
    </row>
    <row r="21" spans="1:14" x14ac:dyDescent="0.25">
      <c r="A21" s="34">
        <v>39479</v>
      </c>
      <c r="B21" s="1">
        <v>655.29999999999995</v>
      </c>
      <c r="C21" s="34">
        <v>39479</v>
      </c>
      <c r="D21" s="1">
        <v>484</v>
      </c>
      <c r="E21" s="34">
        <v>39479</v>
      </c>
      <c r="F21" s="1">
        <v>3.8</v>
      </c>
      <c r="G21" s="34">
        <v>39479</v>
      </c>
      <c r="H21" s="1">
        <v>-2.3199999999999998</v>
      </c>
      <c r="I21" s="34">
        <v>39479</v>
      </c>
      <c r="J21" s="1">
        <v>207.78</v>
      </c>
      <c r="K21" s="34">
        <v>39479</v>
      </c>
      <c r="L21" s="1">
        <v>639.4</v>
      </c>
      <c r="M21" s="34">
        <v>39479</v>
      </c>
      <c r="N21" s="1">
        <v>119.5</v>
      </c>
    </row>
    <row r="22" spans="1:14" x14ac:dyDescent="0.25">
      <c r="A22" s="34">
        <v>39508</v>
      </c>
      <c r="B22" s="1">
        <v>655.5</v>
      </c>
      <c r="C22" s="34">
        <v>39508</v>
      </c>
      <c r="D22" s="1">
        <v>708</v>
      </c>
      <c r="E22" s="34">
        <v>39508</v>
      </c>
      <c r="F22" s="1">
        <v>3.9</v>
      </c>
      <c r="G22" s="34">
        <v>39508</v>
      </c>
      <c r="H22" s="1">
        <v>-2.96</v>
      </c>
      <c r="I22" s="34">
        <v>39508</v>
      </c>
      <c r="J22" s="1">
        <v>206.9</v>
      </c>
      <c r="K22" s="34">
        <v>39508</v>
      </c>
      <c r="L22" s="1">
        <v>643.6</v>
      </c>
      <c r="M22" s="34">
        <v>39508</v>
      </c>
      <c r="N22" s="1">
        <v>120.1</v>
      </c>
    </row>
    <row r="23" spans="1:14" x14ac:dyDescent="0.25">
      <c r="A23" s="34">
        <v>39539</v>
      </c>
      <c r="B23" s="1">
        <v>654.6</v>
      </c>
      <c r="C23" s="34">
        <v>39539</v>
      </c>
      <c r="D23" s="1">
        <v>798</v>
      </c>
      <c r="E23" s="34">
        <v>39539</v>
      </c>
      <c r="F23" s="1">
        <v>4.2</v>
      </c>
      <c r="G23" s="34">
        <v>39539</v>
      </c>
      <c r="H23" s="1">
        <v>-3.65</v>
      </c>
      <c r="I23" s="34">
        <v>39539</v>
      </c>
      <c r="J23" s="1">
        <v>205.86</v>
      </c>
      <c r="K23" s="34">
        <v>39539</v>
      </c>
      <c r="L23" s="1">
        <v>649.29999999999995</v>
      </c>
      <c r="M23" s="34">
        <v>39539</v>
      </c>
      <c r="N23" s="1">
        <v>120.4</v>
      </c>
    </row>
    <row r="24" spans="1:14" x14ac:dyDescent="0.25">
      <c r="A24" s="34">
        <v>39569</v>
      </c>
      <c r="B24" s="1">
        <v>654.79999999999995</v>
      </c>
      <c r="C24" s="34">
        <v>39569</v>
      </c>
      <c r="D24" s="1">
        <v>797</v>
      </c>
      <c r="E24" s="34">
        <v>39569</v>
      </c>
      <c r="F24" s="1">
        <v>4.4000000000000004</v>
      </c>
      <c r="G24" s="34">
        <v>39569</v>
      </c>
      <c r="H24" s="1">
        <v>-3.21</v>
      </c>
      <c r="I24" s="34">
        <v>39569</v>
      </c>
      <c r="J24" s="1">
        <v>204.69</v>
      </c>
      <c r="K24" s="34">
        <v>39569</v>
      </c>
      <c r="L24" s="1">
        <v>657.7</v>
      </c>
      <c r="M24" s="34">
        <v>39569</v>
      </c>
      <c r="N24" s="1">
        <v>121.7</v>
      </c>
    </row>
    <row r="25" spans="1:14" x14ac:dyDescent="0.25">
      <c r="A25" s="34">
        <v>39600</v>
      </c>
      <c r="B25" s="1">
        <v>653.20000000000005</v>
      </c>
      <c r="C25" s="34">
        <v>39600</v>
      </c>
      <c r="D25" s="1">
        <v>1002</v>
      </c>
      <c r="E25" s="34">
        <v>39600</v>
      </c>
      <c r="F25" s="1">
        <v>4.7</v>
      </c>
      <c r="G25" s="34">
        <v>39600</v>
      </c>
      <c r="H25" s="1">
        <v>-3.79</v>
      </c>
      <c r="I25" s="34">
        <v>39600</v>
      </c>
      <c r="J25" s="1">
        <v>203.41</v>
      </c>
      <c r="K25" s="34">
        <v>39600</v>
      </c>
      <c r="L25" s="1">
        <v>663</v>
      </c>
      <c r="M25" s="34">
        <v>39600</v>
      </c>
      <c r="N25" s="1">
        <v>120.2</v>
      </c>
    </row>
    <row r="26" spans="1:14" x14ac:dyDescent="0.25">
      <c r="A26" s="34">
        <v>39630</v>
      </c>
      <c r="B26" s="1">
        <v>653.4</v>
      </c>
      <c r="C26" s="34">
        <v>39630</v>
      </c>
      <c r="D26" s="1">
        <v>610</v>
      </c>
      <c r="E26" s="34">
        <v>39630</v>
      </c>
      <c r="F26" s="1">
        <v>4.9000000000000004</v>
      </c>
      <c r="G26" s="34">
        <v>39630</v>
      </c>
      <c r="H26" s="1">
        <v>-4.22</v>
      </c>
      <c r="I26" s="34">
        <v>39630</v>
      </c>
      <c r="J26" s="1">
        <v>202</v>
      </c>
      <c r="K26" s="34">
        <v>39630</v>
      </c>
      <c r="L26" s="1">
        <v>659.6</v>
      </c>
      <c r="M26" s="34">
        <v>39630</v>
      </c>
      <c r="N26" s="1">
        <v>113.8</v>
      </c>
    </row>
    <row r="27" spans="1:14" x14ac:dyDescent="0.25">
      <c r="A27" s="34">
        <v>39661</v>
      </c>
      <c r="B27" s="1">
        <v>650.70000000000005</v>
      </c>
      <c r="C27" s="34">
        <v>39661</v>
      </c>
      <c r="D27" s="1">
        <v>605</v>
      </c>
      <c r="E27" s="34">
        <v>39661</v>
      </c>
      <c r="F27" s="1">
        <v>5.2</v>
      </c>
      <c r="G27" s="34">
        <v>39661</v>
      </c>
      <c r="H27" s="1">
        <v>-5.05</v>
      </c>
      <c r="I27" s="34">
        <v>39661</v>
      </c>
      <c r="J27" s="1">
        <v>200.42</v>
      </c>
      <c r="K27" s="34">
        <v>39661</v>
      </c>
      <c r="L27" s="1">
        <v>659.4</v>
      </c>
      <c r="M27" s="34">
        <v>39661</v>
      </c>
      <c r="N27" s="1">
        <v>114.2</v>
      </c>
    </row>
    <row r="28" spans="1:14" x14ac:dyDescent="0.25">
      <c r="A28" s="34">
        <v>39692</v>
      </c>
      <c r="B28" s="1">
        <v>647.5</v>
      </c>
      <c r="C28" s="34">
        <v>39692</v>
      </c>
      <c r="D28" s="1">
        <v>647</v>
      </c>
      <c r="E28" s="34">
        <v>39692</v>
      </c>
      <c r="F28" s="1">
        <v>5.4</v>
      </c>
      <c r="G28" s="34">
        <v>39692</v>
      </c>
      <c r="H28" s="1">
        <v>-5.21</v>
      </c>
      <c r="I28" s="34">
        <v>39692</v>
      </c>
      <c r="J28" s="1">
        <v>198.67</v>
      </c>
      <c r="K28" s="34">
        <v>39692</v>
      </c>
      <c r="L28" s="1">
        <v>659</v>
      </c>
      <c r="M28" s="34">
        <v>39692</v>
      </c>
      <c r="N28" s="1">
        <v>120.6</v>
      </c>
    </row>
    <row r="29" spans="1:14" x14ac:dyDescent="0.25">
      <c r="A29" s="34">
        <v>39722</v>
      </c>
      <c r="B29" s="1">
        <v>640</v>
      </c>
      <c r="C29" s="34">
        <v>39722</v>
      </c>
      <c r="D29" s="1">
        <v>384</v>
      </c>
      <c r="E29" s="34">
        <v>39722</v>
      </c>
      <c r="F29" s="1">
        <v>5.7</v>
      </c>
      <c r="G29" s="34">
        <v>39722</v>
      </c>
      <c r="H29" s="1">
        <v>-5.62</v>
      </c>
      <c r="I29" s="34">
        <v>39722</v>
      </c>
      <c r="J29" s="1">
        <v>196.78</v>
      </c>
      <c r="K29" s="34">
        <v>39722</v>
      </c>
      <c r="L29" s="1">
        <v>648.70000000000005</v>
      </c>
      <c r="M29" s="34">
        <v>39722</v>
      </c>
      <c r="N29" s="1">
        <v>121.5</v>
      </c>
    </row>
    <row r="30" spans="1:14" x14ac:dyDescent="0.25">
      <c r="A30" s="34">
        <v>39753</v>
      </c>
      <c r="B30" s="1">
        <v>635</v>
      </c>
      <c r="C30" s="34">
        <v>39753</v>
      </c>
      <c r="D30" s="1">
        <v>257</v>
      </c>
      <c r="E30" s="34">
        <v>39753</v>
      </c>
      <c r="F30" s="1">
        <v>5.9</v>
      </c>
      <c r="G30" s="34">
        <v>39753</v>
      </c>
      <c r="H30" s="1">
        <v>-5.18</v>
      </c>
      <c r="I30" s="34">
        <v>39753</v>
      </c>
      <c r="J30" s="1">
        <v>194.81</v>
      </c>
      <c r="K30" s="34">
        <v>39753</v>
      </c>
      <c r="L30" s="1">
        <v>639.1</v>
      </c>
      <c r="M30" s="34">
        <v>39753</v>
      </c>
      <c r="N30" s="1">
        <v>121.5</v>
      </c>
    </row>
    <row r="31" spans="1:14" x14ac:dyDescent="0.25">
      <c r="A31" s="34">
        <v>39783</v>
      </c>
      <c r="B31" s="1">
        <v>631.6</v>
      </c>
      <c r="C31" s="34">
        <v>39783</v>
      </c>
      <c r="D31" s="1">
        <v>267</v>
      </c>
      <c r="E31" s="34">
        <v>39783</v>
      </c>
      <c r="F31" s="1">
        <v>6.1</v>
      </c>
      <c r="G31" s="34">
        <v>39783</v>
      </c>
      <c r="H31" s="1">
        <v>-5.28</v>
      </c>
      <c r="I31" s="34">
        <v>39783</v>
      </c>
      <c r="J31" s="1">
        <v>192.83</v>
      </c>
      <c r="K31" s="34">
        <v>39783</v>
      </c>
      <c r="L31" s="1">
        <v>633.6</v>
      </c>
      <c r="M31" s="34">
        <v>39783</v>
      </c>
      <c r="N31" s="1">
        <v>121.1</v>
      </c>
    </row>
    <row r="32" spans="1:14" x14ac:dyDescent="0.25">
      <c r="A32" s="34">
        <v>39814</v>
      </c>
      <c r="B32" s="1">
        <v>625.6</v>
      </c>
      <c r="C32" s="34">
        <v>39814</v>
      </c>
      <c r="D32" s="1">
        <v>503</v>
      </c>
      <c r="E32" s="34">
        <v>39814</v>
      </c>
      <c r="F32" s="1">
        <v>6.3</v>
      </c>
      <c r="G32" s="34">
        <v>39814</v>
      </c>
      <c r="H32" s="1">
        <v>-5.62</v>
      </c>
      <c r="I32" s="34">
        <v>39814</v>
      </c>
      <c r="J32" s="1">
        <v>190.84</v>
      </c>
      <c r="K32" s="34">
        <v>39814</v>
      </c>
      <c r="L32" s="1">
        <v>606.70000000000005</v>
      </c>
      <c r="M32" s="34">
        <v>39814</v>
      </c>
      <c r="N32" s="1">
        <v>117.7</v>
      </c>
    </row>
    <row r="33" spans="1:14" x14ac:dyDescent="0.25">
      <c r="A33" s="34">
        <v>39845</v>
      </c>
      <c r="B33" s="1">
        <v>619.70000000000005</v>
      </c>
      <c r="C33" s="34">
        <v>39845</v>
      </c>
      <c r="D33" s="1">
        <v>206</v>
      </c>
      <c r="E33" s="34">
        <v>39845</v>
      </c>
      <c r="F33" s="1">
        <v>6.5</v>
      </c>
      <c r="G33" s="34">
        <v>39845</v>
      </c>
      <c r="H33" s="1">
        <v>-5.17</v>
      </c>
      <c r="I33" s="34">
        <v>39845</v>
      </c>
      <c r="J33" s="1">
        <v>188.85</v>
      </c>
      <c r="K33" s="34">
        <v>39845</v>
      </c>
      <c r="L33" s="1">
        <v>605.5</v>
      </c>
      <c r="M33" s="34">
        <v>39845</v>
      </c>
      <c r="N33" s="1">
        <v>119.6</v>
      </c>
    </row>
    <row r="34" spans="1:14" x14ac:dyDescent="0.25">
      <c r="A34" s="34">
        <v>39873</v>
      </c>
      <c r="B34" s="1">
        <v>615</v>
      </c>
      <c r="C34" s="34">
        <v>39873</v>
      </c>
      <c r="D34" s="1">
        <v>320</v>
      </c>
      <c r="E34" s="34">
        <v>39873</v>
      </c>
      <c r="F34" s="1">
        <v>6.7</v>
      </c>
      <c r="G34" s="34">
        <v>39873</v>
      </c>
      <c r="H34" s="1">
        <v>-4.66</v>
      </c>
      <c r="I34" s="34">
        <v>39873</v>
      </c>
      <c r="J34" s="1">
        <v>186.93</v>
      </c>
      <c r="K34" s="34">
        <v>39873</v>
      </c>
      <c r="L34" s="1">
        <v>604.1</v>
      </c>
      <c r="M34" s="34">
        <v>39873</v>
      </c>
      <c r="N34" s="1">
        <v>121.1</v>
      </c>
    </row>
    <row r="35" spans="1:14" x14ac:dyDescent="0.25">
      <c r="A35" s="34">
        <v>39904</v>
      </c>
      <c r="B35" s="1">
        <v>610.6</v>
      </c>
      <c r="C35" s="34">
        <v>39904</v>
      </c>
      <c r="D35" s="1">
        <v>450</v>
      </c>
      <c r="E35" s="34">
        <v>39904</v>
      </c>
      <c r="F35" s="1">
        <v>6.9</v>
      </c>
      <c r="G35" s="34">
        <v>39904</v>
      </c>
      <c r="H35" s="1">
        <v>-4.24</v>
      </c>
      <c r="I35" s="34">
        <v>39904</v>
      </c>
      <c r="J35" s="1">
        <v>185.12</v>
      </c>
      <c r="K35" s="34">
        <v>39904</v>
      </c>
      <c r="L35" s="1">
        <v>607.79999999999995</v>
      </c>
      <c r="M35" s="34">
        <v>39904</v>
      </c>
      <c r="N35" s="1">
        <v>123.5</v>
      </c>
    </row>
    <row r="36" spans="1:14" x14ac:dyDescent="0.25">
      <c r="A36" s="34">
        <v>39934</v>
      </c>
      <c r="B36" s="1">
        <v>608.9</v>
      </c>
      <c r="C36" s="34">
        <v>39934</v>
      </c>
      <c r="D36" s="1">
        <v>402</v>
      </c>
      <c r="E36" s="34">
        <v>39934</v>
      </c>
      <c r="F36" s="1">
        <v>7.2</v>
      </c>
      <c r="G36" s="34">
        <v>39934</v>
      </c>
      <c r="H36" s="1">
        <v>-3.59</v>
      </c>
      <c r="I36" s="34">
        <v>39934</v>
      </c>
      <c r="J36" s="1">
        <v>183.45</v>
      </c>
      <c r="K36" s="34">
        <v>39934</v>
      </c>
      <c r="L36" s="1">
        <v>612.79999999999995</v>
      </c>
      <c r="M36" s="34">
        <v>39934</v>
      </c>
      <c r="N36" s="1">
        <v>122.9</v>
      </c>
    </row>
    <row r="37" spans="1:14" x14ac:dyDescent="0.25">
      <c r="A37" s="34">
        <v>39965</v>
      </c>
      <c r="B37" s="1">
        <v>609.4</v>
      </c>
      <c r="C37" s="34">
        <v>39965</v>
      </c>
      <c r="D37" s="1">
        <v>590</v>
      </c>
      <c r="E37" s="34">
        <v>39965</v>
      </c>
      <c r="F37" s="1">
        <v>7.4</v>
      </c>
      <c r="G37" s="34">
        <v>39965</v>
      </c>
      <c r="H37" s="1">
        <v>-2.72</v>
      </c>
      <c r="I37" s="34">
        <v>39965</v>
      </c>
      <c r="J37" s="1">
        <v>182</v>
      </c>
      <c r="K37" s="34">
        <v>39965</v>
      </c>
      <c r="L37" s="1">
        <v>618.1</v>
      </c>
      <c r="M37" s="34">
        <v>39965</v>
      </c>
      <c r="N37" s="1">
        <v>121.9</v>
      </c>
    </row>
    <row r="38" spans="1:14" x14ac:dyDescent="0.25">
      <c r="A38" s="34">
        <v>39995</v>
      </c>
      <c r="B38" s="1">
        <v>605.70000000000005</v>
      </c>
      <c r="C38" s="34">
        <v>39995</v>
      </c>
      <c r="D38" s="1">
        <v>677</v>
      </c>
      <c r="E38" s="34">
        <v>39995</v>
      </c>
      <c r="F38" s="1">
        <v>7.6</v>
      </c>
      <c r="G38" s="34">
        <v>39995</v>
      </c>
      <c r="H38" s="1">
        <v>-2.7</v>
      </c>
      <c r="I38" s="34">
        <v>39995</v>
      </c>
      <c r="J38" s="1">
        <v>180.74</v>
      </c>
      <c r="K38" s="34">
        <v>39995</v>
      </c>
      <c r="L38" s="1">
        <v>610.9</v>
      </c>
      <c r="M38" s="34">
        <v>39995</v>
      </c>
      <c r="N38" s="1">
        <v>112.5</v>
      </c>
    </row>
    <row r="39" spans="1:14" x14ac:dyDescent="0.25">
      <c r="A39" s="34">
        <v>40026</v>
      </c>
      <c r="B39" s="1">
        <v>605</v>
      </c>
      <c r="C39" s="34">
        <v>40026</v>
      </c>
      <c r="D39" s="1">
        <v>623</v>
      </c>
      <c r="E39" s="34">
        <v>40026</v>
      </c>
      <c r="F39" s="1">
        <v>7.9</v>
      </c>
      <c r="G39" s="34">
        <v>40026</v>
      </c>
      <c r="H39" s="1">
        <v>-1.47</v>
      </c>
      <c r="I39" s="34">
        <v>40026</v>
      </c>
      <c r="J39" s="1">
        <v>179.7</v>
      </c>
      <c r="K39" s="34">
        <v>40026</v>
      </c>
      <c r="L39" s="1">
        <v>611</v>
      </c>
      <c r="M39" s="34">
        <v>40026</v>
      </c>
      <c r="N39" s="1">
        <v>112.9</v>
      </c>
    </row>
    <row r="40" spans="1:14" x14ac:dyDescent="0.25">
      <c r="A40" s="34">
        <v>40057</v>
      </c>
      <c r="B40" s="1">
        <v>603.4</v>
      </c>
      <c r="C40" s="34">
        <v>40057</v>
      </c>
      <c r="D40" s="1">
        <v>489</v>
      </c>
      <c r="E40" s="34">
        <v>40057</v>
      </c>
      <c r="F40" s="1">
        <v>8</v>
      </c>
      <c r="G40" s="34">
        <v>40057</v>
      </c>
      <c r="H40" s="1">
        <v>-0.52</v>
      </c>
      <c r="I40" s="34">
        <v>40057</v>
      </c>
      <c r="J40" s="1">
        <v>178.9</v>
      </c>
      <c r="K40" s="34">
        <v>40057</v>
      </c>
      <c r="L40" s="1">
        <v>614.20000000000005</v>
      </c>
      <c r="M40" s="34">
        <v>40057</v>
      </c>
      <c r="N40" s="1">
        <v>118.6</v>
      </c>
    </row>
    <row r="41" spans="1:14" x14ac:dyDescent="0.25">
      <c r="A41" s="34">
        <v>40087</v>
      </c>
      <c r="B41" s="1">
        <v>605</v>
      </c>
      <c r="C41" s="34">
        <v>40087</v>
      </c>
      <c r="D41" s="1">
        <v>364</v>
      </c>
      <c r="E41" s="34">
        <v>40087</v>
      </c>
      <c r="F41" s="1">
        <v>8.1999999999999993</v>
      </c>
      <c r="G41" s="34">
        <v>40087</v>
      </c>
      <c r="H41" s="1">
        <v>-0.93</v>
      </c>
      <c r="I41" s="34">
        <v>40087</v>
      </c>
      <c r="J41" s="1">
        <v>178.31</v>
      </c>
      <c r="K41" s="34">
        <v>40087</v>
      </c>
      <c r="L41" s="1">
        <v>612.9</v>
      </c>
      <c r="M41" s="34">
        <v>40087</v>
      </c>
      <c r="N41" s="1">
        <v>121.4</v>
      </c>
    </row>
    <row r="42" spans="1:14" x14ac:dyDescent="0.25">
      <c r="A42" s="34">
        <v>40118</v>
      </c>
      <c r="B42" s="1">
        <v>604.5</v>
      </c>
      <c r="C42" s="34">
        <v>40118</v>
      </c>
      <c r="D42" s="1">
        <v>363</v>
      </c>
      <c r="E42" s="34">
        <v>40118</v>
      </c>
      <c r="F42" s="1">
        <v>8.3000000000000007</v>
      </c>
      <c r="G42" s="34">
        <v>40118</v>
      </c>
      <c r="H42" s="1">
        <v>-0.24</v>
      </c>
      <c r="I42" s="34">
        <v>40118</v>
      </c>
      <c r="J42" s="1">
        <v>177.87</v>
      </c>
      <c r="K42" s="34">
        <v>40118</v>
      </c>
      <c r="L42" s="1">
        <v>608.70000000000005</v>
      </c>
      <c r="M42" s="34">
        <v>40118</v>
      </c>
      <c r="N42" s="1">
        <v>121</v>
      </c>
    </row>
    <row r="43" spans="1:14" x14ac:dyDescent="0.25">
      <c r="A43" s="34">
        <v>40148</v>
      </c>
      <c r="B43" s="1">
        <v>603.70000000000005</v>
      </c>
      <c r="C43" s="34">
        <v>40148</v>
      </c>
      <c r="D43" s="1">
        <v>294</v>
      </c>
      <c r="E43" s="34">
        <v>40148</v>
      </c>
      <c r="F43" s="1">
        <v>8.4</v>
      </c>
      <c r="G43" s="34">
        <v>40148</v>
      </c>
      <c r="H43" s="1">
        <v>0.21</v>
      </c>
      <c r="I43" s="34">
        <v>40148</v>
      </c>
      <c r="J43" s="1">
        <v>177.58</v>
      </c>
      <c r="K43" s="34">
        <v>40148</v>
      </c>
      <c r="L43" s="1">
        <v>605.5</v>
      </c>
      <c r="M43" s="34">
        <v>40148</v>
      </c>
      <c r="N43" s="1">
        <v>120.5</v>
      </c>
    </row>
    <row r="44" spans="1:14" x14ac:dyDescent="0.25">
      <c r="A44" s="34">
        <v>40179</v>
      </c>
      <c r="B44" s="1">
        <v>600</v>
      </c>
      <c r="C44" s="34">
        <v>40179</v>
      </c>
      <c r="D44" s="1">
        <v>354</v>
      </c>
      <c r="E44" s="34">
        <v>40179</v>
      </c>
      <c r="F44" s="1">
        <v>8.5</v>
      </c>
      <c r="G44" s="34">
        <v>40179</v>
      </c>
      <c r="H44" s="1">
        <v>0.61</v>
      </c>
      <c r="I44" s="34">
        <v>40179</v>
      </c>
      <c r="J44" s="1">
        <v>177.41</v>
      </c>
      <c r="K44" s="34">
        <v>40179</v>
      </c>
      <c r="L44" s="1">
        <v>581.70000000000005</v>
      </c>
      <c r="M44" s="34">
        <v>40179</v>
      </c>
      <c r="N44" s="1">
        <v>114.9</v>
      </c>
    </row>
    <row r="45" spans="1:14" x14ac:dyDescent="0.25">
      <c r="A45" s="34">
        <v>40210</v>
      </c>
      <c r="B45" s="1">
        <v>601.29999999999995</v>
      </c>
      <c r="C45" s="34">
        <v>40210</v>
      </c>
      <c r="D45" s="1">
        <v>357</v>
      </c>
      <c r="E45" s="34">
        <v>40210</v>
      </c>
      <c r="F45" s="1">
        <v>8.5</v>
      </c>
      <c r="G45" s="34">
        <v>40210</v>
      </c>
      <c r="H45" s="1">
        <v>0.94</v>
      </c>
      <c r="I45" s="34">
        <v>40210</v>
      </c>
      <c r="J45" s="1">
        <v>177.38</v>
      </c>
      <c r="K45" s="34">
        <v>40210</v>
      </c>
      <c r="L45" s="1">
        <v>587.29999999999995</v>
      </c>
      <c r="M45" s="34">
        <v>40210</v>
      </c>
      <c r="N45" s="1">
        <v>119.7</v>
      </c>
    </row>
    <row r="46" spans="1:14" x14ac:dyDescent="0.25">
      <c r="A46" s="34">
        <v>40238</v>
      </c>
      <c r="B46" s="1">
        <v>602.6</v>
      </c>
      <c r="C46" s="34">
        <v>40238</v>
      </c>
      <c r="D46" s="1">
        <v>590</v>
      </c>
      <c r="E46" s="34">
        <v>40238</v>
      </c>
      <c r="F46" s="1">
        <v>8.6</v>
      </c>
      <c r="G46" s="34">
        <v>40238</v>
      </c>
      <c r="H46" s="1">
        <v>0.62</v>
      </c>
      <c r="I46" s="34">
        <v>40238</v>
      </c>
      <c r="J46" s="1">
        <v>177.43</v>
      </c>
      <c r="K46" s="34">
        <v>40238</v>
      </c>
      <c r="L46" s="1">
        <v>591.9</v>
      </c>
      <c r="M46" s="34">
        <v>40238</v>
      </c>
      <c r="N46" s="1">
        <v>120.7</v>
      </c>
    </row>
    <row r="47" spans="1:14" x14ac:dyDescent="0.25">
      <c r="A47" s="34">
        <v>40269</v>
      </c>
      <c r="B47" s="1">
        <v>603.5</v>
      </c>
      <c r="C47" s="34">
        <v>40269</v>
      </c>
      <c r="D47" s="1">
        <v>542</v>
      </c>
      <c r="E47" s="34">
        <v>40269</v>
      </c>
      <c r="F47" s="1">
        <v>8.6</v>
      </c>
      <c r="G47" s="34">
        <v>40269</v>
      </c>
      <c r="H47" s="1">
        <v>0.78</v>
      </c>
      <c r="I47" s="34">
        <v>40269</v>
      </c>
      <c r="J47" s="1">
        <v>177.54</v>
      </c>
      <c r="K47" s="34">
        <v>40269</v>
      </c>
      <c r="L47" s="1">
        <v>600.6</v>
      </c>
      <c r="M47" s="34">
        <v>40269</v>
      </c>
      <c r="N47" s="1">
        <v>122.1</v>
      </c>
    </row>
    <row r="48" spans="1:14" x14ac:dyDescent="0.25">
      <c r="A48" s="34">
        <v>40299</v>
      </c>
      <c r="B48" s="1">
        <v>606.20000000000005</v>
      </c>
      <c r="C48" s="34">
        <v>40299</v>
      </c>
      <c r="D48" s="1">
        <v>418</v>
      </c>
      <c r="E48" s="34">
        <v>40299</v>
      </c>
      <c r="F48" s="1">
        <v>8.6</v>
      </c>
      <c r="G48" s="34">
        <v>40299</v>
      </c>
      <c r="H48" s="1">
        <v>-0.01</v>
      </c>
      <c r="I48" s="34">
        <v>40299</v>
      </c>
      <c r="J48" s="1">
        <v>177.61</v>
      </c>
      <c r="K48" s="34">
        <v>40299</v>
      </c>
      <c r="L48" s="1">
        <v>610.1</v>
      </c>
      <c r="M48" s="34">
        <v>40299</v>
      </c>
      <c r="N48" s="1">
        <v>125.6</v>
      </c>
    </row>
    <row r="49" spans="1:14" x14ac:dyDescent="0.25">
      <c r="A49" s="34">
        <v>40330</v>
      </c>
      <c r="B49" s="1">
        <v>602.79999999999995</v>
      </c>
      <c r="C49" s="34">
        <v>40330</v>
      </c>
      <c r="D49" s="1">
        <v>553</v>
      </c>
      <c r="E49" s="34">
        <v>40330</v>
      </c>
      <c r="F49" s="1">
        <v>8.6999999999999993</v>
      </c>
      <c r="G49" s="34">
        <v>40330</v>
      </c>
      <c r="H49" s="1">
        <v>-0.21</v>
      </c>
      <c r="I49" s="34">
        <v>40330</v>
      </c>
      <c r="J49" s="1">
        <v>177.62</v>
      </c>
      <c r="K49" s="34">
        <v>40330</v>
      </c>
      <c r="L49" s="1">
        <v>610.5</v>
      </c>
      <c r="M49" s="34">
        <v>40330</v>
      </c>
      <c r="N49" s="1">
        <v>120.2</v>
      </c>
    </row>
    <row r="50" spans="1:14" x14ac:dyDescent="0.25">
      <c r="A50" s="34">
        <v>40360</v>
      </c>
      <c r="B50" s="1">
        <v>603.9</v>
      </c>
      <c r="C50" s="34">
        <v>40360</v>
      </c>
      <c r="D50" s="1">
        <v>317</v>
      </c>
      <c r="E50" s="34">
        <v>40360</v>
      </c>
      <c r="F50" s="1">
        <v>8.6999999999999993</v>
      </c>
      <c r="G50" s="34">
        <v>40360</v>
      </c>
      <c r="H50" s="1">
        <v>0.39</v>
      </c>
      <c r="I50" s="34">
        <v>40360</v>
      </c>
      <c r="J50" s="1">
        <v>177.6</v>
      </c>
      <c r="K50" s="34">
        <v>40360</v>
      </c>
      <c r="L50" s="1">
        <v>608.9</v>
      </c>
      <c r="M50" s="34">
        <v>40360</v>
      </c>
      <c r="N50" s="1">
        <v>112.4</v>
      </c>
    </row>
    <row r="51" spans="1:14" x14ac:dyDescent="0.25">
      <c r="A51" s="34">
        <v>40391</v>
      </c>
      <c r="B51" s="1">
        <v>604.5</v>
      </c>
      <c r="C51" s="34">
        <v>40391</v>
      </c>
      <c r="D51" s="1">
        <v>265</v>
      </c>
      <c r="E51" s="34">
        <v>40391</v>
      </c>
      <c r="F51" s="1">
        <v>8.8000000000000007</v>
      </c>
      <c r="G51" s="34">
        <v>40391</v>
      </c>
      <c r="H51" s="1">
        <v>7.0000000000000007E-2</v>
      </c>
      <c r="I51" s="34">
        <v>40391</v>
      </c>
      <c r="J51" s="1">
        <v>177.59</v>
      </c>
      <c r="K51" s="34">
        <v>40391</v>
      </c>
      <c r="L51" s="1">
        <v>610.20000000000005</v>
      </c>
      <c r="M51" s="34">
        <v>40391</v>
      </c>
      <c r="N51" s="1">
        <v>112.5</v>
      </c>
    </row>
    <row r="52" spans="1:14" x14ac:dyDescent="0.25">
      <c r="A52" s="34">
        <v>40422</v>
      </c>
      <c r="B52" s="1">
        <v>602.29999999999995</v>
      </c>
      <c r="C52" s="34">
        <v>40422</v>
      </c>
      <c r="D52" s="1">
        <v>297</v>
      </c>
      <c r="E52" s="34">
        <v>40422</v>
      </c>
      <c r="F52" s="1">
        <v>8.8000000000000007</v>
      </c>
      <c r="G52" s="34">
        <v>40422</v>
      </c>
      <c r="H52" s="1">
        <v>0.59</v>
      </c>
      <c r="I52" s="34">
        <v>40422</v>
      </c>
      <c r="J52" s="1">
        <v>177.62</v>
      </c>
      <c r="K52" s="34">
        <v>40422</v>
      </c>
      <c r="L52" s="1">
        <v>612.6</v>
      </c>
      <c r="M52" s="34">
        <v>40422</v>
      </c>
      <c r="N52" s="1">
        <v>118.2</v>
      </c>
    </row>
    <row r="53" spans="1:14" x14ac:dyDescent="0.25">
      <c r="A53" s="34">
        <v>40452</v>
      </c>
      <c r="B53" s="1">
        <v>605.20000000000005</v>
      </c>
      <c r="C53" s="34">
        <v>40452</v>
      </c>
      <c r="D53" s="1">
        <v>292</v>
      </c>
      <c r="E53" s="34">
        <v>40452</v>
      </c>
      <c r="F53" s="1">
        <v>8.8000000000000007</v>
      </c>
      <c r="G53" s="34">
        <v>40452</v>
      </c>
      <c r="H53" s="1">
        <v>0.83</v>
      </c>
      <c r="I53" s="34">
        <v>40452</v>
      </c>
      <c r="J53" s="1">
        <v>177.72</v>
      </c>
      <c r="K53" s="34">
        <v>40452</v>
      </c>
      <c r="L53" s="1">
        <v>613.4</v>
      </c>
      <c r="M53" s="34">
        <v>40452</v>
      </c>
      <c r="N53" s="1">
        <v>119.7</v>
      </c>
    </row>
    <row r="54" spans="1:14" x14ac:dyDescent="0.25">
      <c r="A54" s="34">
        <v>40483</v>
      </c>
      <c r="B54" s="1">
        <v>605.6</v>
      </c>
      <c r="C54" s="34">
        <v>40483</v>
      </c>
      <c r="D54" s="1">
        <v>446</v>
      </c>
      <c r="E54" s="34">
        <v>40483</v>
      </c>
      <c r="F54" s="1">
        <v>8.8000000000000007</v>
      </c>
      <c r="G54" s="34">
        <v>40483</v>
      </c>
      <c r="H54" s="1">
        <v>0.96</v>
      </c>
      <c r="I54" s="34">
        <v>40483</v>
      </c>
      <c r="J54" s="1">
        <v>177.9</v>
      </c>
      <c r="K54" s="34">
        <v>40483</v>
      </c>
      <c r="L54" s="1">
        <v>610.1</v>
      </c>
      <c r="M54" s="34">
        <v>40483</v>
      </c>
      <c r="N54" s="1">
        <v>118.7</v>
      </c>
    </row>
    <row r="55" spans="1:14" x14ac:dyDescent="0.25">
      <c r="A55" s="34">
        <v>40513</v>
      </c>
      <c r="B55" s="1">
        <v>605.1</v>
      </c>
      <c r="C55" s="34">
        <v>40513</v>
      </c>
      <c r="D55" s="1">
        <v>168</v>
      </c>
      <c r="E55" s="34">
        <v>40513</v>
      </c>
      <c r="F55" s="1">
        <v>8.6999999999999993</v>
      </c>
      <c r="G55" s="34">
        <v>40513</v>
      </c>
      <c r="H55" s="1">
        <v>1.29</v>
      </c>
      <c r="I55" s="34">
        <v>40513</v>
      </c>
      <c r="J55" s="1">
        <v>178.16</v>
      </c>
      <c r="K55" s="34">
        <v>40513</v>
      </c>
      <c r="L55" s="1">
        <v>606.1</v>
      </c>
      <c r="M55" s="34">
        <v>40513</v>
      </c>
      <c r="N55" s="1">
        <v>118.6</v>
      </c>
    </row>
    <row r="56" spans="1:14" x14ac:dyDescent="0.25">
      <c r="A56" s="34">
        <v>40544</v>
      </c>
      <c r="B56" s="1">
        <v>606.29999999999995</v>
      </c>
      <c r="C56" s="34">
        <v>40544</v>
      </c>
      <c r="D56" s="1">
        <v>173</v>
      </c>
      <c r="E56" s="34">
        <v>40544</v>
      </c>
      <c r="F56" s="1">
        <v>8.6</v>
      </c>
      <c r="G56" s="34">
        <v>40544</v>
      </c>
      <c r="H56" s="1">
        <v>0.71</v>
      </c>
      <c r="I56" s="34">
        <v>40544</v>
      </c>
      <c r="J56" s="1">
        <v>178.44</v>
      </c>
      <c r="K56" s="34">
        <v>40544</v>
      </c>
      <c r="L56" s="1">
        <v>585.9</v>
      </c>
      <c r="M56" s="34">
        <v>40544</v>
      </c>
      <c r="N56" s="1">
        <v>113.1</v>
      </c>
    </row>
    <row r="57" spans="1:14" x14ac:dyDescent="0.25">
      <c r="A57" s="34">
        <v>40575</v>
      </c>
      <c r="B57" s="1">
        <v>606.6</v>
      </c>
      <c r="C57" s="34">
        <v>40575</v>
      </c>
      <c r="D57" s="1">
        <v>259</v>
      </c>
      <c r="E57" s="34">
        <v>40575</v>
      </c>
      <c r="F57" s="1">
        <v>8.5</v>
      </c>
      <c r="G57" s="34">
        <v>40575</v>
      </c>
      <c r="H57" s="1">
        <v>0.32</v>
      </c>
      <c r="I57" s="34">
        <v>40575</v>
      </c>
      <c r="J57" s="1">
        <v>178.67</v>
      </c>
      <c r="K57" s="34">
        <v>40575</v>
      </c>
      <c r="L57" s="1">
        <v>592.6</v>
      </c>
      <c r="M57" s="34">
        <v>40575</v>
      </c>
      <c r="N57" s="1">
        <v>118.7</v>
      </c>
    </row>
    <row r="58" spans="1:14" x14ac:dyDescent="0.25">
      <c r="A58" s="34">
        <v>40603</v>
      </c>
      <c r="B58" s="1">
        <v>605.6</v>
      </c>
      <c r="C58" s="34">
        <v>40603</v>
      </c>
      <c r="D58" s="1">
        <v>292</v>
      </c>
      <c r="E58" s="34">
        <v>40603</v>
      </c>
      <c r="F58" s="1">
        <v>8.5</v>
      </c>
      <c r="G58" s="34">
        <v>40603</v>
      </c>
      <c r="H58" s="1">
        <v>0.1</v>
      </c>
      <c r="I58" s="34">
        <v>40603</v>
      </c>
      <c r="J58" s="1">
        <v>178.78</v>
      </c>
      <c r="K58" s="34">
        <v>40603</v>
      </c>
      <c r="L58" s="1">
        <v>595.20000000000005</v>
      </c>
      <c r="M58" s="34">
        <v>40603</v>
      </c>
      <c r="N58" s="1">
        <v>119.2</v>
      </c>
    </row>
    <row r="59" spans="1:14" x14ac:dyDescent="0.25">
      <c r="A59" s="34">
        <v>40634</v>
      </c>
      <c r="B59" s="1">
        <v>608.20000000000005</v>
      </c>
      <c r="C59" s="34">
        <v>40634</v>
      </c>
      <c r="D59" s="1">
        <v>323</v>
      </c>
      <c r="E59" s="34">
        <v>40634</v>
      </c>
      <c r="F59" s="1">
        <v>8.5</v>
      </c>
      <c r="G59" s="34">
        <v>40634</v>
      </c>
      <c r="H59" s="1">
        <v>0.28999999999999998</v>
      </c>
      <c r="I59" s="34">
        <v>40634</v>
      </c>
      <c r="J59" s="1">
        <v>178.81</v>
      </c>
      <c r="K59" s="34">
        <v>40634</v>
      </c>
      <c r="L59" s="1">
        <v>605.79999999999995</v>
      </c>
      <c r="M59" s="34">
        <v>40634</v>
      </c>
      <c r="N59" s="1">
        <v>120</v>
      </c>
    </row>
    <row r="60" spans="1:14" x14ac:dyDescent="0.25">
      <c r="A60" s="34">
        <v>40664</v>
      </c>
      <c r="B60" s="1">
        <v>608.5</v>
      </c>
      <c r="C60" s="34">
        <v>40664</v>
      </c>
      <c r="D60" s="1">
        <v>400</v>
      </c>
      <c r="E60" s="34">
        <v>40664</v>
      </c>
      <c r="F60" s="1">
        <v>8.5</v>
      </c>
      <c r="G60" s="34">
        <v>40664</v>
      </c>
      <c r="H60" s="1">
        <v>0.25</v>
      </c>
      <c r="I60" s="34">
        <v>40664</v>
      </c>
      <c r="J60" s="1">
        <v>178.81</v>
      </c>
      <c r="K60" s="34">
        <v>40664</v>
      </c>
      <c r="L60" s="1">
        <v>612.6</v>
      </c>
      <c r="M60" s="34">
        <v>40664</v>
      </c>
      <c r="N60" s="1">
        <v>121.2</v>
      </c>
    </row>
    <row r="61" spans="1:14" x14ac:dyDescent="0.25">
      <c r="A61" s="34">
        <v>40695</v>
      </c>
      <c r="B61" s="1">
        <v>608.29999999999995</v>
      </c>
      <c r="C61" s="34">
        <v>40695</v>
      </c>
      <c r="D61" s="1">
        <v>469</v>
      </c>
      <c r="E61" s="34">
        <v>40695</v>
      </c>
      <c r="F61" s="1">
        <v>8.5</v>
      </c>
      <c r="G61" s="34">
        <v>40695</v>
      </c>
      <c r="H61" s="1">
        <v>0.79</v>
      </c>
      <c r="I61" s="34">
        <v>40695</v>
      </c>
      <c r="J61" s="1">
        <v>178.84</v>
      </c>
      <c r="K61" s="34">
        <v>40695</v>
      </c>
      <c r="L61" s="1">
        <v>616.1</v>
      </c>
      <c r="M61" s="34">
        <v>40695</v>
      </c>
      <c r="N61" s="1">
        <v>117.2</v>
      </c>
    </row>
    <row r="62" spans="1:14" x14ac:dyDescent="0.25">
      <c r="A62" s="34">
        <v>40725</v>
      </c>
      <c r="B62" s="1">
        <v>611.70000000000005</v>
      </c>
      <c r="C62" s="34">
        <v>40725</v>
      </c>
      <c r="D62" s="1">
        <v>434</v>
      </c>
      <c r="E62" s="34">
        <v>40725</v>
      </c>
      <c r="F62" s="1">
        <v>8.5</v>
      </c>
      <c r="G62" s="34">
        <v>40725</v>
      </c>
      <c r="H62" s="1">
        <v>1.44</v>
      </c>
      <c r="I62" s="34">
        <v>40725</v>
      </c>
      <c r="J62" s="1">
        <v>178.97</v>
      </c>
      <c r="K62" s="34">
        <v>40725</v>
      </c>
      <c r="L62" s="1">
        <v>616.79999999999995</v>
      </c>
      <c r="M62" s="34">
        <v>40725</v>
      </c>
      <c r="N62" s="1">
        <v>111.1</v>
      </c>
    </row>
    <row r="63" spans="1:14" x14ac:dyDescent="0.25">
      <c r="A63" s="34">
        <v>40756</v>
      </c>
      <c r="B63" s="1">
        <v>613.1</v>
      </c>
      <c r="C63" s="34">
        <v>40756</v>
      </c>
      <c r="D63" s="1">
        <v>452</v>
      </c>
      <c r="E63" s="34">
        <v>40756</v>
      </c>
      <c r="F63" s="1">
        <v>8.5</v>
      </c>
      <c r="G63" s="34">
        <v>40756</v>
      </c>
      <c r="H63" s="1">
        <v>2.29</v>
      </c>
      <c r="I63" s="34">
        <v>40756</v>
      </c>
      <c r="J63" s="1">
        <v>179.24</v>
      </c>
      <c r="K63" s="34">
        <v>40756</v>
      </c>
      <c r="L63" s="1">
        <v>618.29999999999995</v>
      </c>
      <c r="M63" s="34">
        <v>40756</v>
      </c>
      <c r="N63" s="1">
        <v>111.2</v>
      </c>
    </row>
    <row r="64" spans="1:14" x14ac:dyDescent="0.25">
      <c r="A64" s="34">
        <v>40787</v>
      </c>
      <c r="B64" s="1">
        <v>613.79999999999995</v>
      </c>
      <c r="C64" s="34">
        <v>40787</v>
      </c>
      <c r="D64" s="1">
        <v>487</v>
      </c>
      <c r="E64" s="34">
        <v>40787</v>
      </c>
      <c r="F64" s="1">
        <v>8.3000000000000007</v>
      </c>
      <c r="G64" s="34">
        <v>40787</v>
      </c>
      <c r="H64" s="1">
        <v>2.88</v>
      </c>
      <c r="I64" s="34">
        <v>40787</v>
      </c>
      <c r="J64" s="1">
        <v>179.7</v>
      </c>
      <c r="K64" s="34">
        <v>40787</v>
      </c>
      <c r="L64" s="1">
        <v>624</v>
      </c>
      <c r="M64" s="34">
        <v>40787</v>
      </c>
      <c r="N64" s="1">
        <v>117.6</v>
      </c>
    </row>
    <row r="65" spans="1:14" x14ac:dyDescent="0.25">
      <c r="A65" s="34">
        <v>40817</v>
      </c>
      <c r="B65" s="1">
        <v>613.70000000000005</v>
      </c>
      <c r="C65" s="34">
        <v>40817</v>
      </c>
      <c r="D65" s="1">
        <v>342</v>
      </c>
      <c r="E65" s="34">
        <v>40817</v>
      </c>
      <c r="F65" s="1">
        <v>8.1999999999999993</v>
      </c>
      <c r="G65" s="34">
        <v>40817</v>
      </c>
      <c r="H65" s="1">
        <v>2.14</v>
      </c>
      <c r="I65" s="34">
        <v>40817</v>
      </c>
      <c r="J65" s="1">
        <v>180.27</v>
      </c>
      <c r="K65" s="34">
        <v>40817</v>
      </c>
      <c r="L65" s="1">
        <v>621.9</v>
      </c>
      <c r="M65" s="34">
        <v>40817</v>
      </c>
      <c r="N65" s="1">
        <v>119.2</v>
      </c>
    </row>
    <row r="66" spans="1:14" x14ac:dyDescent="0.25">
      <c r="A66" s="34">
        <v>40848</v>
      </c>
      <c r="B66" s="1">
        <v>616.70000000000005</v>
      </c>
      <c r="C66" s="34">
        <v>40848</v>
      </c>
      <c r="D66" s="1">
        <v>335</v>
      </c>
      <c r="E66" s="34">
        <v>40848</v>
      </c>
      <c r="F66" s="1">
        <v>8</v>
      </c>
      <c r="G66" s="34">
        <v>40848</v>
      </c>
      <c r="H66" s="1">
        <v>2.71</v>
      </c>
      <c r="I66" s="34">
        <v>40848</v>
      </c>
      <c r="J66" s="1">
        <v>180.91</v>
      </c>
      <c r="K66" s="34">
        <v>40848</v>
      </c>
      <c r="L66" s="1">
        <v>621.1</v>
      </c>
      <c r="M66" s="34">
        <v>40848</v>
      </c>
      <c r="N66" s="1">
        <v>118.8</v>
      </c>
    </row>
    <row r="67" spans="1:14" x14ac:dyDescent="0.25">
      <c r="A67" s="34">
        <v>40878</v>
      </c>
      <c r="B67" s="1">
        <v>617.79999999999995</v>
      </c>
      <c r="C67" s="34">
        <v>40878</v>
      </c>
      <c r="D67" s="1">
        <v>235</v>
      </c>
      <c r="E67" s="34">
        <v>40878</v>
      </c>
      <c r="F67" s="1">
        <v>7.8</v>
      </c>
      <c r="G67" s="34">
        <v>40878</v>
      </c>
      <c r="H67" s="1">
        <v>1.73</v>
      </c>
      <c r="I67" s="34">
        <v>40878</v>
      </c>
      <c r="J67" s="1">
        <v>181.53</v>
      </c>
      <c r="K67" s="34">
        <v>40878</v>
      </c>
      <c r="L67" s="1">
        <v>618.9</v>
      </c>
      <c r="M67" s="34">
        <v>40878</v>
      </c>
      <c r="N67" s="1">
        <v>118.8</v>
      </c>
    </row>
    <row r="68" spans="1:14" x14ac:dyDescent="0.25">
      <c r="A68" s="34">
        <v>40909</v>
      </c>
      <c r="B68" s="1">
        <v>617.1</v>
      </c>
      <c r="C68" s="34">
        <v>40909</v>
      </c>
      <c r="D68" s="1">
        <v>322</v>
      </c>
      <c r="E68" s="34">
        <v>40909</v>
      </c>
      <c r="F68" s="1">
        <v>7.7</v>
      </c>
      <c r="G68" s="34">
        <v>40909</v>
      </c>
      <c r="H68" s="1">
        <v>1.1100000000000001</v>
      </c>
      <c r="I68" s="34">
        <v>40909</v>
      </c>
      <c r="J68" s="1">
        <v>182.05</v>
      </c>
      <c r="K68" s="34">
        <v>40909</v>
      </c>
      <c r="L68" s="1">
        <v>596.79999999999995</v>
      </c>
      <c r="M68" s="34">
        <v>40909</v>
      </c>
      <c r="N68" s="1">
        <v>113.3</v>
      </c>
    </row>
    <row r="69" spans="1:14" x14ac:dyDescent="0.25">
      <c r="A69" s="34">
        <v>40940</v>
      </c>
      <c r="B69" s="1">
        <v>618</v>
      </c>
      <c r="C69" s="34">
        <v>40940</v>
      </c>
      <c r="D69" s="1">
        <v>357</v>
      </c>
      <c r="E69" s="34">
        <v>40940</v>
      </c>
      <c r="F69" s="1">
        <v>7.6</v>
      </c>
      <c r="G69" s="34">
        <v>40940</v>
      </c>
      <c r="H69" s="1">
        <v>1.4</v>
      </c>
      <c r="I69" s="34">
        <v>40940</v>
      </c>
      <c r="J69" s="1">
        <v>182.46</v>
      </c>
      <c r="K69" s="34">
        <v>40940</v>
      </c>
      <c r="L69" s="1">
        <v>603</v>
      </c>
      <c r="M69" s="34">
        <v>40940</v>
      </c>
      <c r="N69" s="1">
        <v>117.8</v>
      </c>
    </row>
    <row r="70" spans="1:14" x14ac:dyDescent="0.25">
      <c r="A70" s="34">
        <v>40969</v>
      </c>
      <c r="B70" s="1">
        <v>618.70000000000005</v>
      </c>
      <c r="C70" s="34">
        <v>40969</v>
      </c>
      <c r="D70" s="1">
        <v>488</v>
      </c>
      <c r="E70" s="34">
        <v>40969</v>
      </c>
      <c r="F70" s="1">
        <v>7.5</v>
      </c>
      <c r="G70" s="34">
        <v>40969</v>
      </c>
      <c r="H70" s="1">
        <v>0.93</v>
      </c>
      <c r="I70" s="34">
        <v>40969</v>
      </c>
      <c r="J70" s="1">
        <v>182.77</v>
      </c>
      <c r="K70" s="34">
        <v>40969</v>
      </c>
      <c r="L70" s="1">
        <v>608.29999999999995</v>
      </c>
      <c r="M70" s="34">
        <v>40969</v>
      </c>
      <c r="N70" s="1">
        <v>118.2</v>
      </c>
    </row>
    <row r="71" spans="1:14" x14ac:dyDescent="0.25">
      <c r="A71" s="34">
        <v>41000</v>
      </c>
      <c r="B71" s="1">
        <v>618.1</v>
      </c>
      <c r="C71" s="34">
        <v>41000</v>
      </c>
      <c r="D71" s="1">
        <v>654</v>
      </c>
      <c r="E71" s="34">
        <v>41000</v>
      </c>
      <c r="F71" s="1">
        <v>7.5</v>
      </c>
      <c r="G71" s="34">
        <v>41000</v>
      </c>
      <c r="H71" s="1">
        <v>0.81</v>
      </c>
      <c r="I71" s="34">
        <v>41000</v>
      </c>
      <c r="J71" s="1">
        <v>183.01</v>
      </c>
      <c r="K71" s="34">
        <v>41000</v>
      </c>
      <c r="L71" s="1">
        <v>613.79999999999995</v>
      </c>
      <c r="M71" s="34">
        <v>41000</v>
      </c>
      <c r="N71" s="1">
        <v>119.2</v>
      </c>
    </row>
    <row r="72" spans="1:14" x14ac:dyDescent="0.25">
      <c r="A72" s="34">
        <v>41030</v>
      </c>
      <c r="B72" s="1">
        <v>620.1</v>
      </c>
      <c r="C72" s="34">
        <v>41030</v>
      </c>
      <c r="D72" s="1">
        <v>741</v>
      </c>
      <c r="E72" s="34">
        <v>41030</v>
      </c>
      <c r="F72" s="1">
        <v>7.5</v>
      </c>
      <c r="G72" s="34">
        <v>41030</v>
      </c>
      <c r="H72" s="1">
        <v>1.85</v>
      </c>
      <c r="I72" s="34">
        <v>41030</v>
      </c>
      <c r="J72" s="1">
        <v>183.26</v>
      </c>
      <c r="K72" s="34">
        <v>41030</v>
      </c>
      <c r="L72" s="1">
        <v>624.70000000000005</v>
      </c>
      <c r="M72" s="34">
        <v>41030</v>
      </c>
      <c r="N72" s="1">
        <v>120.8</v>
      </c>
    </row>
    <row r="73" spans="1:14" x14ac:dyDescent="0.25">
      <c r="A73" s="34">
        <v>41061</v>
      </c>
      <c r="B73" s="1">
        <v>620.6</v>
      </c>
      <c r="C73" s="34">
        <v>41061</v>
      </c>
      <c r="D73" s="1">
        <v>619</v>
      </c>
      <c r="E73" s="34">
        <v>41061</v>
      </c>
      <c r="F73" s="1">
        <v>7.4</v>
      </c>
      <c r="G73" s="34">
        <v>41061</v>
      </c>
      <c r="H73" s="1">
        <v>2.0299999999999998</v>
      </c>
      <c r="I73" s="34">
        <v>41061</v>
      </c>
      <c r="J73" s="1">
        <v>183.61</v>
      </c>
      <c r="K73" s="34">
        <v>41061</v>
      </c>
      <c r="L73" s="1">
        <v>628.5</v>
      </c>
      <c r="M73" s="34">
        <v>41061</v>
      </c>
      <c r="N73" s="1">
        <v>117</v>
      </c>
    </row>
    <row r="74" spans="1:14" x14ac:dyDescent="0.25">
      <c r="A74" s="34">
        <v>41091</v>
      </c>
      <c r="B74" s="1">
        <v>621.70000000000005</v>
      </c>
      <c r="C74" s="34">
        <v>41091</v>
      </c>
      <c r="D74" s="1">
        <v>721</v>
      </c>
      <c r="E74" s="34">
        <v>41091</v>
      </c>
      <c r="F74" s="1">
        <v>7.4</v>
      </c>
      <c r="G74" s="34">
        <v>41091</v>
      </c>
      <c r="H74" s="1">
        <v>2.2599999999999998</v>
      </c>
      <c r="I74" s="34">
        <v>41091</v>
      </c>
      <c r="J74" s="1">
        <v>184.09</v>
      </c>
      <c r="K74" s="34">
        <v>41091</v>
      </c>
      <c r="L74" s="1">
        <v>626.79999999999995</v>
      </c>
      <c r="M74" s="34">
        <v>41091</v>
      </c>
      <c r="N74" s="1">
        <v>110.4</v>
      </c>
    </row>
    <row r="75" spans="1:14" x14ac:dyDescent="0.25">
      <c r="A75" s="34">
        <v>41122</v>
      </c>
      <c r="B75" s="1">
        <v>622.5</v>
      </c>
      <c r="C75" s="34">
        <v>41122</v>
      </c>
      <c r="D75" s="1">
        <v>765</v>
      </c>
      <c r="E75" s="34">
        <v>41122</v>
      </c>
      <c r="F75" s="1">
        <v>7.3</v>
      </c>
      <c r="G75" s="34">
        <v>41122</v>
      </c>
      <c r="H75" s="1">
        <v>3.35</v>
      </c>
      <c r="I75" s="34">
        <v>41122</v>
      </c>
      <c r="J75" s="1">
        <v>184.73</v>
      </c>
      <c r="K75" s="34">
        <v>41122</v>
      </c>
      <c r="L75" s="1">
        <v>628.79999999999995</v>
      </c>
      <c r="M75" s="34">
        <v>41122</v>
      </c>
      <c r="N75" s="1">
        <v>110.8</v>
      </c>
    </row>
    <row r="76" spans="1:14" x14ac:dyDescent="0.25">
      <c r="A76" s="34">
        <v>41153</v>
      </c>
      <c r="B76" s="1">
        <v>624.5</v>
      </c>
      <c r="C76" s="34">
        <v>41153</v>
      </c>
      <c r="D76" s="1">
        <v>542</v>
      </c>
      <c r="E76" s="34">
        <v>41153</v>
      </c>
      <c r="F76" s="1">
        <v>7.2</v>
      </c>
      <c r="G76" s="34">
        <v>41153</v>
      </c>
      <c r="H76" s="1">
        <v>3.6</v>
      </c>
      <c r="I76" s="34">
        <v>41153</v>
      </c>
      <c r="J76" s="1">
        <v>185.55</v>
      </c>
      <c r="K76" s="34">
        <v>41153</v>
      </c>
      <c r="L76" s="1">
        <v>634.70000000000005</v>
      </c>
      <c r="M76" s="34">
        <v>41153</v>
      </c>
      <c r="N76" s="1">
        <v>118.5</v>
      </c>
    </row>
    <row r="77" spans="1:14" x14ac:dyDescent="0.25">
      <c r="A77" s="34">
        <v>41183</v>
      </c>
      <c r="B77" s="1">
        <v>627.5</v>
      </c>
      <c r="C77" s="34">
        <v>41183</v>
      </c>
      <c r="D77" s="1">
        <v>505</v>
      </c>
      <c r="E77" s="34">
        <v>41183</v>
      </c>
      <c r="F77" s="1">
        <v>7</v>
      </c>
      <c r="G77" s="34">
        <v>41183</v>
      </c>
      <c r="H77" s="1">
        <v>3.28</v>
      </c>
      <c r="I77" s="34">
        <v>41183</v>
      </c>
      <c r="J77" s="1">
        <v>186.5</v>
      </c>
      <c r="K77" s="34">
        <v>41183</v>
      </c>
      <c r="L77" s="1">
        <v>635.70000000000005</v>
      </c>
      <c r="M77" s="34">
        <v>41183</v>
      </c>
      <c r="N77" s="1">
        <v>121</v>
      </c>
    </row>
    <row r="78" spans="1:14" x14ac:dyDescent="0.25">
      <c r="A78" s="34">
        <v>41214</v>
      </c>
      <c r="B78" s="1">
        <v>628.5</v>
      </c>
      <c r="C78" s="34">
        <v>41214</v>
      </c>
      <c r="D78" s="1">
        <v>548</v>
      </c>
      <c r="E78" s="34">
        <v>41214</v>
      </c>
      <c r="F78" s="1">
        <v>6.9</v>
      </c>
      <c r="G78" s="34">
        <v>41214</v>
      </c>
      <c r="H78" s="1">
        <v>2.83</v>
      </c>
      <c r="I78" s="34">
        <v>41214</v>
      </c>
      <c r="J78" s="1">
        <v>187.48</v>
      </c>
      <c r="K78" s="34">
        <v>41214</v>
      </c>
      <c r="L78" s="1">
        <v>634.70000000000005</v>
      </c>
      <c r="M78" s="34">
        <v>41214</v>
      </c>
      <c r="N78" s="1">
        <v>120.2</v>
      </c>
    </row>
    <row r="79" spans="1:14" x14ac:dyDescent="0.25">
      <c r="A79" s="34">
        <v>41244</v>
      </c>
      <c r="B79" s="1">
        <v>629.70000000000005</v>
      </c>
      <c r="C79" s="34">
        <v>41244</v>
      </c>
      <c r="D79" s="1">
        <v>394</v>
      </c>
      <c r="E79" s="34">
        <v>41244</v>
      </c>
      <c r="F79" s="1">
        <v>6.8</v>
      </c>
      <c r="G79" s="34">
        <v>41244</v>
      </c>
      <c r="H79" s="1">
        <v>3</v>
      </c>
      <c r="I79" s="34">
        <v>41244</v>
      </c>
      <c r="J79" s="1">
        <v>188.44</v>
      </c>
      <c r="K79" s="34">
        <v>41244</v>
      </c>
      <c r="L79" s="1">
        <v>631.5</v>
      </c>
      <c r="M79" s="34">
        <v>41244</v>
      </c>
      <c r="N79" s="1">
        <v>119.8</v>
      </c>
    </row>
    <row r="80" spans="1:14" x14ac:dyDescent="0.25">
      <c r="A80" s="34">
        <v>41275</v>
      </c>
      <c r="B80" s="1">
        <v>633.20000000000005</v>
      </c>
      <c r="C80" s="34">
        <v>41275</v>
      </c>
      <c r="D80" s="1">
        <v>350</v>
      </c>
      <c r="E80" s="34">
        <v>41275</v>
      </c>
      <c r="F80" s="1">
        <v>6.7</v>
      </c>
      <c r="G80" s="34">
        <v>41275</v>
      </c>
      <c r="H80" s="1">
        <v>2.8</v>
      </c>
      <c r="I80" s="34">
        <v>41275</v>
      </c>
      <c r="J80" s="1">
        <v>189.37</v>
      </c>
      <c r="K80" s="34">
        <v>41275</v>
      </c>
      <c r="L80" s="1">
        <v>612.5</v>
      </c>
      <c r="M80" s="34">
        <v>41275</v>
      </c>
      <c r="N80" s="1">
        <v>115.6</v>
      </c>
    </row>
    <row r="81" spans="1:14" x14ac:dyDescent="0.25">
      <c r="A81" s="34">
        <v>41306</v>
      </c>
      <c r="B81" s="1">
        <v>635.20000000000005</v>
      </c>
      <c r="C81" s="34">
        <v>41306</v>
      </c>
      <c r="D81" s="1">
        <v>558</v>
      </c>
      <c r="E81" s="34">
        <v>41306</v>
      </c>
      <c r="F81" s="1">
        <v>6.6</v>
      </c>
      <c r="G81" s="34">
        <v>41306</v>
      </c>
      <c r="H81" s="1">
        <v>2.36</v>
      </c>
      <c r="I81" s="34">
        <v>41306</v>
      </c>
      <c r="J81" s="1">
        <v>190.26</v>
      </c>
      <c r="K81" s="34">
        <v>41306</v>
      </c>
      <c r="L81" s="1">
        <v>620.1</v>
      </c>
      <c r="M81" s="34">
        <v>41306</v>
      </c>
      <c r="N81" s="1">
        <v>119.8</v>
      </c>
    </row>
    <row r="82" spans="1:14" x14ac:dyDescent="0.25">
      <c r="A82" s="34">
        <v>41334</v>
      </c>
      <c r="B82" s="1">
        <v>636.70000000000005</v>
      </c>
      <c r="C82" s="34">
        <v>41334</v>
      </c>
      <c r="D82" s="1">
        <v>596</v>
      </c>
      <c r="E82" s="34">
        <v>41334</v>
      </c>
      <c r="F82" s="1">
        <v>6.5</v>
      </c>
      <c r="G82" s="34">
        <v>41334</v>
      </c>
      <c r="H82" s="1">
        <v>1.93</v>
      </c>
      <c r="I82" s="34">
        <v>41334</v>
      </c>
      <c r="J82" s="1">
        <v>191.06</v>
      </c>
      <c r="K82" s="34">
        <v>41334</v>
      </c>
      <c r="L82" s="1">
        <v>626.1</v>
      </c>
      <c r="M82" s="34">
        <v>41334</v>
      </c>
      <c r="N82" s="1">
        <v>120.1</v>
      </c>
    </row>
    <row r="83" spans="1:14" x14ac:dyDescent="0.25">
      <c r="A83" s="34">
        <v>41365</v>
      </c>
      <c r="B83" s="1">
        <v>638.79999999999995</v>
      </c>
      <c r="C83" s="34">
        <v>41365</v>
      </c>
      <c r="D83" s="1">
        <v>739</v>
      </c>
      <c r="E83" s="34">
        <v>41365</v>
      </c>
      <c r="F83" s="1">
        <v>6.4</v>
      </c>
      <c r="G83" s="34">
        <v>41365</v>
      </c>
      <c r="H83" s="1">
        <v>1.32</v>
      </c>
      <c r="I83" s="34">
        <v>41365</v>
      </c>
      <c r="J83" s="1">
        <v>191.73</v>
      </c>
      <c r="K83" s="34">
        <v>41365</v>
      </c>
      <c r="L83" s="1">
        <v>634.6</v>
      </c>
      <c r="M83" s="34">
        <v>41365</v>
      </c>
      <c r="N83" s="1">
        <v>120.5</v>
      </c>
    </row>
    <row r="84" spans="1:14" x14ac:dyDescent="0.25">
      <c r="A84" s="34">
        <v>41395</v>
      </c>
      <c r="B84" s="1">
        <v>639.79999999999995</v>
      </c>
      <c r="C84" s="34">
        <v>41395</v>
      </c>
      <c r="D84" s="1">
        <v>968</v>
      </c>
      <c r="E84" s="34">
        <v>41395</v>
      </c>
      <c r="F84" s="1">
        <v>6.4</v>
      </c>
      <c r="G84" s="34">
        <v>41395</v>
      </c>
      <c r="H84" s="1">
        <v>1.1000000000000001</v>
      </c>
      <c r="I84" s="34">
        <v>41395</v>
      </c>
      <c r="J84" s="1">
        <v>192.24</v>
      </c>
      <c r="K84" s="34">
        <v>41395</v>
      </c>
      <c r="L84" s="1">
        <v>644</v>
      </c>
      <c r="M84" s="34">
        <v>41395</v>
      </c>
      <c r="N84" s="1">
        <v>121.8</v>
      </c>
    </row>
    <row r="85" spans="1:14" x14ac:dyDescent="0.25">
      <c r="A85" s="34">
        <v>41426</v>
      </c>
      <c r="B85" s="1">
        <v>640.6</v>
      </c>
      <c r="C85" s="34">
        <v>41426</v>
      </c>
      <c r="D85" s="1">
        <v>831</v>
      </c>
      <c r="E85" s="34">
        <v>41426</v>
      </c>
      <c r="F85" s="1">
        <v>6.3</v>
      </c>
      <c r="G85" s="34">
        <v>41426</v>
      </c>
      <c r="H85" s="1">
        <v>1.37</v>
      </c>
      <c r="I85" s="34">
        <v>41426</v>
      </c>
      <c r="J85" s="1">
        <v>192.65</v>
      </c>
      <c r="K85" s="34">
        <v>41426</v>
      </c>
      <c r="L85" s="1">
        <v>648.29999999999995</v>
      </c>
      <c r="M85" s="34">
        <v>41426</v>
      </c>
      <c r="N85" s="1">
        <v>118.9</v>
      </c>
    </row>
    <row r="86" spans="1:14" x14ac:dyDescent="0.25">
      <c r="A86" s="34">
        <v>41456</v>
      </c>
      <c r="B86" s="1">
        <v>640.4</v>
      </c>
      <c r="C86" s="34">
        <v>41456</v>
      </c>
      <c r="D86" s="1">
        <v>836</v>
      </c>
      <c r="E86" s="34">
        <v>41456</v>
      </c>
      <c r="F86" s="1">
        <v>6.3</v>
      </c>
      <c r="G86" s="34">
        <v>41456</v>
      </c>
      <c r="H86" s="1">
        <v>1.42</v>
      </c>
      <c r="I86" s="34">
        <v>41456</v>
      </c>
      <c r="J86" s="1">
        <v>193.02</v>
      </c>
      <c r="K86" s="34">
        <v>41456</v>
      </c>
      <c r="L86" s="1">
        <v>645.5</v>
      </c>
      <c r="M86" s="34">
        <v>41456</v>
      </c>
      <c r="N86" s="1">
        <v>110.8</v>
      </c>
    </row>
    <row r="87" spans="1:14" x14ac:dyDescent="0.25">
      <c r="A87" s="34">
        <v>41487</v>
      </c>
      <c r="B87" s="1">
        <v>640</v>
      </c>
      <c r="C87" s="34">
        <v>41487</v>
      </c>
      <c r="D87" s="1">
        <v>734</v>
      </c>
      <c r="E87" s="34">
        <v>41487</v>
      </c>
      <c r="F87" s="1">
        <v>6.2</v>
      </c>
      <c r="G87" s="34">
        <v>41487</v>
      </c>
      <c r="H87" s="1">
        <v>2.25</v>
      </c>
      <c r="I87" s="34">
        <v>41487</v>
      </c>
      <c r="J87" s="1">
        <v>193.46</v>
      </c>
      <c r="K87" s="34">
        <v>41487</v>
      </c>
      <c r="L87" s="1">
        <v>646.29999999999995</v>
      </c>
      <c r="M87" s="34">
        <v>41487</v>
      </c>
      <c r="N87" s="1">
        <v>110.6</v>
      </c>
    </row>
    <row r="88" spans="1:14" x14ac:dyDescent="0.25">
      <c r="A88" s="34">
        <v>41518</v>
      </c>
      <c r="B88" s="1">
        <v>639.79999999999995</v>
      </c>
      <c r="C88" s="34">
        <v>41518</v>
      </c>
      <c r="D88" s="1">
        <v>801</v>
      </c>
      <c r="E88" s="34">
        <v>41518</v>
      </c>
      <c r="F88" s="1">
        <v>6</v>
      </c>
      <c r="G88" s="34">
        <v>41518</v>
      </c>
      <c r="H88" s="1">
        <v>1.96</v>
      </c>
      <c r="I88" s="34">
        <v>41518</v>
      </c>
      <c r="J88" s="1">
        <v>193.97</v>
      </c>
      <c r="K88" s="34">
        <v>41518</v>
      </c>
      <c r="L88" s="1">
        <v>649.9</v>
      </c>
      <c r="M88" s="34">
        <v>41518</v>
      </c>
      <c r="N88" s="1">
        <v>118.4</v>
      </c>
    </row>
    <row r="89" spans="1:14" x14ac:dyDescent="0.25">
      <c r="A89" s="34">
        <v>41548</v>
      </c>
      <c r="B89" s="1">
        <v>640.4</v>
      </c>
      <c r="C89" s="34">
        <v>41548</v>
      </c>
      <c r="D89" s="1">
        <v>867</v>
      </c>
      <c r="E89" s="34">
        <v>41548</v>
      </c>
      <c r="F89" s="1">
        <v>5.9</v>
      </c>
      <c r="G89" s="34">
        <v>41548</v>
      </c>
      <c r="H89" s="1">
        <v>1.54</v>
      </c>
      <c r="I89" s="34">
        <v>41548</v>
      </c>
      <c r="J89" s="1">
        <v>194.5</v>
      </c>
      <c r="K89" s="34">
        <v>41548</v>
      </c>
      <c r="L89" s="1">
        <v>650</v>
      </c>
      <c r="M89" s="34">
        <v>41548</v>
      </c>
      <c r="N89" s="1">
        <v>122.5</v>
      </c>
    </row>
    <row r="90" spans="1:14" x14ac:dyDescent="0.25">
      <c r="A90" s="34">
        <v>41579</v>
      </c>
      <c r="B90" s="1">
        <v>639.1</v>
      </c>
      <c r="C90" s="34">
        <v>41579</v>
      </c>
      <c r="D90" s="1">
        <v>600</v>
      </c>
      <c r="E90" s="34">
        <v>41579</v>
      </c>
      <c r="F90" s="1">
        <v>5.7</v>
      </c>
      <c r="G90" s="34">
        <v>41579</v>
      </c>
      <c r="H90" s="1">
        <v>1.91</v>
      </c>
      <c r="I90" s="34">
        <v>41579</v>
      </c>
      <c r="J90" s="1">
        <v>195.04</v>
      </c>
      <c r="K90" s="34">
        <v>41579</v>
      </c>
      <c r="L90" s="1">
        <v>643.6</v>
      </c>
      <c r="M90" s="34">
        <v>41579</v>
      </c>
      <c r="N90" s="1">
        <v>121.7</v>
      </c>
    </row>
    <row r="91" spans="1:14" x14ac:dyDescent="0.25">
      <c r="A91" s="34">
        <v>41609</v>
      </c>
      <c r="B91" s="1">
        <v>638.20000000000005</v>
      </c>
      <c r="C91" s="34">
        <v>41609</v>
      </c>
      <c r="D91" s="1">
        <v>642</v>
      </c>
      <c r="E91" s="34">
        <v>41609</v>
      </c>
      <c r="F91" s="1">
        <v>5.6</v>
      </c>
      <c r="G91" s="34">
        <v>41609</v>
      </c>
      <c r="H91" s="1">
        <v>1.75</v>
      </c>
      <c r="I91" s="34">
        <v>41609</v>
      </c>
      <c r="J91" s="1">
        <v>195.59</v>
      </c>
      <c r="K91" s="34">
        <v>41609</v>
      </c>
      <c r="L91" s="1">
        <v>638.70000000000005</v>
      </c>
      <c r="M91" s="34">
        <v>41609</v>
      </c>
      <c r="N91" s="1">
        <v>120.6</v>
      </c>
    </row>
    <row r="92" spans="1:14" x14ac:dyDescent="0.25">
      <c r="A92" s="34">
        <v>41640</v>
      </c>
      <c r="B92" s="1">
        <v>638.5</v>
      </c>
      <c r="C92" s="34">
        <v>41640</v>
      </c>
      <c r="D92" s="1">
        <v>446</v>
      </c>
      <c r="E92" s="34">
        <v>41640</v>
      </c>
      <c r="F92" s="1">
        <v>5.4</v>
      </c>
      <c r="G92" s="34">
        <v>41640</v>
      </c>
      <c r="H92" s="1">
        <v>1.77</v>
      </c>
      <c r="I92" s="34">
        <v>41640</v>
      </c>
      <c r="J92" s="1">
        <v>196.13</v>
      </c>
      <c r="K92" s="34">
        <v>41640</v>
      </c>
      <c r="L92" s="1">
        <v>620.9</v>
      </c>
      <c r="M92" s="34">
        <v>41640</v>
      </c>
      <c r="N92" s="1">
        <v>116.7</v>
      </c>
    </row>
    <row r="93" spans="1:14" x14ac:dyDescent="0.25">
      <c r="A93" s="34">
        <v>41671</v>
      </c>
      <c r="B93" s="1">
        <v>641.1</v>
      </c>
      <c r="C93" s="34">
        <v>41671</v>
      </c>
      <c r="D93" s="1">
        <v>651</v>
      </c>
      <c r="E93" s="34">
        <v>41671</v>
      </c>
      <c r="F93" s="1">
        <v>5.3</v>
      </c>
      <c r="G93" s="34">
        <v>41671</v>
      </c>
      <c r="H93" s="1">
        <v>1.02</v>
      </c>
      <c r="I93" s="34">
        <v>41671</v>
      </c>
      <c r="J93" s="1">
        <v>196.61</v>
      </c>
      <c r="K93" s="34">
        <v>41671</v>
      </c>
      <c r="L93" s="1">
        <v>626.29999999999995</v>
      </c>
      <c r="M93" s="34">
        <v>41671</v>
      </c>
      <c r="N93" s="1">
        <v>121.1</v>
      </c>
    </row>
    <row r="94" spans="1:14" x14ac:dyDescent="0.25">
      <c r="A94" s="34">
        <v>41699</v>
      </c>
      <c r="B94" s="1">
        <v>641.29999999999995</v>
      </c>
      <c r="C94" s="34">
        <v>41699</v>
      </c>
      <c r="D94" s="1">
        <v>860</v>
      </c>
      <c r="E94" s="34">
        <v>41699</v>
      </c>
      <c r="F94" s="1">
        <v>5.2</v>
      </c>
      <c r="G94" s="34">
        <v>41699</v>
      </c>
      <c r="H94" s="1">
        <v>1.43</v>
      </c>
      <c r="I94" s="34">
        <v>41699</v>
      </c>
      <c r="J94" s="1">
        <v>197.05</v>
      </c>
      <c r="K94" s="34">
        <v>41699</v>
      </c>
      <c r="L94" s="1">
        <v>631.20000000000005</v>
      </c>
      <c r="M94" s="34">
        <v>41699</v>
      </c>
      <c r="N94" s="1">
        <v>122.1</v>
      </c>
    </row>
    <row r="95" spans="1:14" x14ac:dyDescent="0.25">
      <c r="A95" s="34">
        <v>41730</v>
      </c>
      <c r="B95" s="1">
        <v>643.20000000000005</v>
      </c>
      <c r="C95" s="34">
        <v>41730</v>
      </c>
      <c r="D95" s="1">
        <v>806</v>
      </c>
      <c r="E95" s="34">
        <v>41730</v>
      </c>
      <c r="F95" s="1">
        <v>5</v>
      </c>
      <c r="G95" s="34">
        <v>41730</v>
      </c>
      <c r="H95" s="1">
        <v>1.45</v>
      </c>
      <c r="I95" s="34">
        <v>41730</v>
      </c>
      <c r="J95" s="1">
        <v>197.48</v>
      </c>
      <c r="K95" s="34">
        <v>41730</v>
      </c>
      <c r="L95" s="1">
        <v>637.9</v>
      </c>
      <c r="M95" s="34">
        <v>41730</v>
      </c>
      <c r="N95" s="1">
        <v>122.2</v>
      </c>
    </row>
    <row r="96" spans="1:14" x14ac:dyDescent="0.25">
      <c r="A96" s="34">
        <v>41760</v>
      </c>
      <c r="B96" s="1">
        <v>643.79999999999995</v>
      </c>
      <c r="C96" s="34">
        <v>41760</v>
      </c>
      <c r="D96" s="1">
        <v>1048</v>
      </c>
      <c r="E96" s="34">
        <v>41760</v>
      </c>
      <c r="F96" s="1">
        <v>4.9000000000000004</v>
      </c>
      <c r="G96" s="34">
        <v>41760</v>
      </c>
      <c r="H96" s="1">
        <v>0.77</v>
      </c>
      <c r="I96" s="34">
        <v>41760</v>
      </c>
      <c r="J96" s="1">
        <v>197.88</v>
      </c>
      <c r="K96" s="34">
        <v>41760</v>
      </c>
      <c r="L96" s="1">
        <v>648.1</v>
      </c>
      <c r="M96" s="34">
        <v>41760</v>
      </c>
      <c r="N96" s="1">
        <v>123.1</v>
      </c>
    </row>
    <row r="97" spans="1:14" x14ac:dyDescent="0.25">
      <c r="A97" s="34">
        <v>41791</v>
      </c>
      <c r="B97" s="1">
        <v>645.20000000000005</v>
      </c>
      <c r="C97" s="34">
        <v>41791</v>
      </c>
      <c r="D97" s="1">
        <v>830</v>
      </c>
      <c r="E97" s="34">
        <v>41791</v>
      </c>
      <c r="F97" s="1">
        <v>4.7</v>
      </c>
      <c r="G97" s="34">
        <v>41791</v>
      </c>
      <c r="H97" s="1">
        <v>0.49</v>
      </c>
      <c r="I97" s="34">
        <v>41791</v>
      </c>
      <c r="J97" s="1">
        <v>198.17</v>
      </c>
      <c r="K97" s="34">
        <v>41791</v>
      </c>
      <c r="L97" s="1">
        <v>656.3</v>
      </c>
      <c r="M97" s="34">
        <v>41791</v>
      </c>
      <c r="N97" s="1">
        <v>120.8</v>
      </c>
    </row>
    <row r="98" spans="1:14" x14ac:dyDescent="0.25">
      <c r="A98" s="34">
        <v>41821</v>
      </c>
      <c r="B98" s="1">
        <v>647.6</v>
      </c>
      <c r="C98" s="34">
        <v>41821</v>
      </c>
      <c r="D98" s="1">
        <v>714</v>
      </c>
      <c r="E98" s="34">
        <v>41821</v>
      </c>
      <c r="F98" s="1">
        <v>4.8</v>
      </c>
      <c r="G98" s="34">
        <v>41821</v>
      </c>
      <c r="H98" s="1">
        <v>0.89</v>
      </c>
      <c r="I98" s="34">
        <v>41821</v>
      </c>
      <c r="J98" s="1">
        <v>198.38</v>
      </c>
      <c r="K98" s="34">
        <v>41821</v>
      </c>
      <c r="L98" s="1">
        <v>652.5</v>
      </c>
      <c r="M98" s="34">
        <v>41821</v>
      </c>
      <c r="N98" s="1">
        <v>112.6</v>
      </c>
    </row>
    <row r="99" spans="1:14" x14ac:dyDescent="0.25">
      <c r="A99" s="34">
        <v>41852</v>
      </c>
      <c r="B99" s="1">
        <v>642.79999999999995</v>
      </c>
      <c r="C99" s="34">
        <v>41852</v>
      </c>
      <c r="D99" s="1">
        <v>817</v>
      </c>
      <c r="E99" s="34">
        <v>41852</v>
      </c>
      <c r="F99" s="1">
        <v>4.7</v>
      </c>
      <c r="G99" s="34">
        <v>41852</v>
      </c>
      <c r="H99" s="1">
        <v>4.07</v>
      </c>
      <c r="I99" s="34">
        <v>41852</v>
      </c>
      <c r="J99" s="1">
        <v>198.78</v>
      </c>
      <c r="K99" s="34">
        <v>41852</v>
      </c>
      <c r="L99" s="1">
        <v>648.79999999999995</v>
      </c>
      <c r="M99" s="34">
        <v>41852</v>
      </c>
      <c r="N99" s="1">
        <v>111.1</v>
      </c>
    </row>
    <row r="100" spans="1:14" x14ac:dyDescent="0.25">
      <c r="A100" s="34">
        <v>41883</v>
      </c>
      <c r="B100" s="1">
        <v>644.20000000000005</v>
      </c>
      <c r="C100" s="34">
        <v>41883</v>
      </c>
      <c r="D100" s="1">
        <v>758</v>
      </c>
      <c r="E100" s="34">
        <v>41883</v>
      </c>
      <c r="F100" s="1">
        <v>4.5</v>
      </c>
      <c r="G100" s="34">
        <v>41883</v>
      </c>
      <c r="H100" s="1">
        <v>5.0199999999999996</v>
      </c>
      <c r="I100" s="34">
        <v>41883</v>
      </c>
      <c r="J100" s="1">
        <v>199.6</v>
      </c>
      <c r="K100" s="34">
        <v>41883</v>
      </c>
      <c r="L100" s="1">
        <v>653.6</v>
      </c>
      <c r="M100" s="34">
        <v>41883</v>
      </c>
      <c r="N100" s="1">
        <v>118.6</v>
      </c>
    </row>
    <row r="101" spans="1:14" x14ac:dyDescent="0.25">
      <c r="A101" s="34">
        <v>41913</v>
      </c>
      <c r="B101" s="1">
        <v>650</v>
      </c>
      <c r="C101" s="34">
        <v>41913</v>
      </c>
      <c r="D101" s="1">
        <v>950</v>
      </c>
      <c r="E101" s="34">
        <v>41913</v>
      </c>
      <c r="F101" s="1">
        <v>4.0999999999999996</v>
      </c>
      <c r="G101" s="34">
        <v>41913</v>
      </c>
      <c r="H101" s="1">
        <v>4.3099999999999996</v>
      </c>
      <c r="I101" s="34">
        <v>41913</v>
      </c>
      <c r="J101" s="1">
        <v>200.76</v>
      </c>
      <c r="K101" s="34">
        <v>41913</v>
      </c>
      <c r="L101" s="1">
        <v>658</v>
      </c>
      <c r="M101" s="34">
        <v>41913</v>
      </c>
      <c r="N101" s="1">
        <v>123.4</v>
      </c>
    </row>
    <row r="102" spans="1:14" x14ac:dyDescent="0.25">
      <c r="A102" s="34">
        <v>41944</v>
      </c>
      <c r="B102" s="1">
        <v>650.5</v>
      </c>
      <c r="C102" s="34">
        <v>41944</v>
      </c>
      <c r="D102" s="1">
        <v>553</v>
      </c>
      <c r="E102" s="34">
        <v>41944</v>
      </c>
      <c r="F102" s="1">
        <v>3.9</v>
      </c>
      <c r="G102" s="34">
        <v>41944</v>
      </c>
      <c r="H102" s="1">
        <v>3.35</v>
      </c>
      <c r="I102" s="34">
        <v>41944</v>
      </c>
      <c r="J102" s="1">
        <v>202.07</v>
      </c>
      <c r="K102" s="34">
        <v>41944</v>
      </c>
      <c r="L102" s="1">
        <v>653.9</v>
      </c>
      <c r="M102" s="34">
        <v>41944</v>
      </c>
      <c r="N102" s="1">
        <v>122.8</v>
      </c>
    </row>
    <row r="103" spans="1:14" x14ac:dyDescent="0.25">
      <c r="A103" s="34">
        <v>41974</v>
      </c>
      <c r="B103" s="1">
        <v>647.79999999999995</v>
      </c>
      <c r="E103" s="34">
        <v>41974</v>
      </c>
      <c r="F103" s="1">
        <v>3.7</v>
      </c>
      <c r="K103" s="34">
        <v>41974</v>
      </c>
      <c r="L103" s="1">
        <v>648.20000000000005</v>
      </c>
      <c r="M103" s="34">
        <v>41974</v>
      </c>
      <c r="N103" s="1">
        <v>121.6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103"/>
  <sheetViews>
    <sheetView topLeftCell="A88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148</v>
      </c>
      <c r="C1" s="34" t="s">
        <v>149</v>
      </c>
      <c r="E1" s="34" t="s">
        <v>150</v>
      </c>
      <c r="G1" s="34" t="s">
        <v>151</v>
      </c>
      <c r="I1" s="34" t="s">
        <v>152</v>
      </c>
      <c r="K1" s="34" t="str">
        <f>CONCATENATE(LEFT(A1,2), "NAN")</f>
        <v>ILNAN</v>
      </c>
      <c r="M1" s="34" t="str">
        <f>CONCATENATE(LEFT(A1,2), "GOVTN")</f>
        <v>ILGOVTN</v>
      </c>
      <c r="O1" s="34" t="str">
        <f>CONCATENATE(LEFT($A$1,2), "RGSP")</f>
        <v>ILRGSP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989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872</v>
      </c>
      <c r="C5" s="35" t="s">
        <v>459</v>
      </c>
      <c r="E5" s="35" t="s">
        <v>460</v>
      </c>
      <c r="G5" s="35" t="s">
        <v>461</v>
      </c>
      <c r="I5" s="35" t="s">
        <v>462</v>
      </c>
      <c r="K5" s="35" t="s">
        <v>872</v>
      </c>
      <c r="M5" s="35" t="s">
        <v>873</v>
      </c>
      <c r="O5" s="35" t="s">
        <v>806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5969.8</v>
      </c>
      <c r="C8" s="34">
        <v>39083</v>
      </c>
      <c r="D8" s="1">
        <v>4371</v>
      </c>
      <c r="E8" s="34">
        <v>39083</v>
      </c>
      <c r="F8" s="1">
        <v>4.5</v>
      </c>
      <c r="G8" s="34">
        <v>39083</v>
      </c>
      <c r="H8" s="1">
        <v>1.29</v>
      </c>
      <c r="I8" s="34">
        <v>39083</v>
      </c>
      <c r="J8" s="1">
        <v>145.53</v>
      </c>
      <c r="K8" s="34">
        <v>39083</v>
      </c>
      <c r="L8" s="1">
        <v>5843.2</v>
      </c>
      <c r="M8" s="34">
        <v>39083</v>
      </c>
      <c r="N8" s="1">
        <v>835</v>
      </c>
      <c r="O8" s="34">
        <v>39083</v>
      </c>
      <c r="P8" s="1">
        <v>671608</v>
      </c>
    </row>
    <row r="9" spans="1:16" x14ac:dyDescent="0.25">
      <c r="A9" s="34">
        <v>39114</v>
      </c>
      <c r="B9" s="1">
        <v>5961.7</v>
      </c>
      <c r="C9" s="34">
        <v>39114</v>
      </c>
      <c r="D9" s="1">
        <v>3332</v>
      </c>
      <c r="E9" s="34">
        <v>39114</v>
      </c>
      <c r="F9" s="1">
        <v>4.5999999999999996</v>
      </c>
      <c r="G9" s="34">
        <v>39114</v>
      </c>
      <c r="H9" s="1">
        <v>0.86</v>
      </c>
      <c r="I9" s="34">
        <v>39114</v>
      </c>
      <c r="J9" s="1">
        <v>145.74</v>
      </c>
      <c r="K9" s="34">
        <v>39114</v>
      </c>
      <c r="L9" s="1">
        <v>5845.5</v>
      </c>
      <c r="M9" s="34">
        <v>39114</v>
      </c>
      <c r="N9" s="1">
        <v>856.8</v>
      </c>
      <c r="O9" s="34">
        <v>39448</v>
      </c>
      <c r="P9" s="1">
        <v>654944</v>
      </c>
    </row>
    <row r="10" spans="1:16" x14ac:dyDescent="0.25">
      <c r="A10" s="34">
        <v>39142</v>
      </c>
      <c r="B10" s="1">
        <v>5980.7</v>
      </c>
      <c r="C10" s="34">
        <v>39142</v>
      </c>
      <c r="D10" s="1">
        <v>4310</v>
      </c>
      <c r="E10" s="34">
        <v>39142</v>
      </c>
      <c r="F10" s="1">
        <v>4.7</v>
      </c>
      <c r="G10" s="34">
        <v>39142</v>
      </c>
      <c r="H10" s="1">
        <v>0.63</v>
      </c>
      <c r="I10" s="34">
        <v>39142</v>
      </c>
      <c r="J10" s="1">
        <v>146.08000000000001</v>
      </c>
      <c r="K10" s="34">
        <v>39142</v>
      </c>
      <c r="L10" s="1">
        <v>5903.2</v>
      </c>
      <c r="M10" s="34">
        <v>39142</v>
      </c>
      <c r="N10" s="1">
        <v>859.4</v>
      </c>
      <c r="O10" s="34">
        <v>39814</v>
      </c>
      <c r="P10" s="1">
        <v>636975</v>
      </c>
    </row>
    <row r="11" spans="1:16" x14ac:dyDescent="0.25">
      <c r="A11" s="34">
        <v>39173</v>
      </c>
      <c r="B11" s="1">
        <v>5978.4</v>
      </c>
      <c r="C11" s="34">
        <v>39173</v>
      </c>
      <c r="D11" s="1">
        <v>3506</v>
      </c>
      <c r="E11" s="34">
        <v>39173</v>
      </c>
      <c r="F11" s="1">
        <v>4.8</v>
      </c>
      <c r="G11" s="34">
        <v>39173</v>
      </c>
      <c r="H11" s="1">
        <v>0.51</v>
      </c>
      <c r="I11" s="34">
        <v>39173</v>
      </c>
      <c r="J11" s="1">
        <v>146.25</v>
      </c>
      <c r="K11" s="34">
        <v>39173</v>
      </c>
      <c r="L11" s="1">
        <v>5958.4</v>
      </c>
      <c r="M11" s="34">
        <v>39173</v>
      </c>
      <c r="N11" s="1">
        <v>862</v>
      </c>
      <c r="O11" s="34">
        <v>40179</v>
      </c>
      <c r="P11" s="1">
        <v>645829</v>
      </c>
    </row>
    <row r="12" spans="1:16" x14ac:dyDescent="0.25">
      <c r="A12" s="34">
        <v>39203</v>
      </c>
      <c r="B12" s="1">
        <v>5984.3</v>
      </c>
      <c r="C12" s="34">
        <v>39203</v>
      </c>
      <c r="D12" s="1">
        <v>4416</v>
      </c>
      <c r="E12" s="34">
        <v>39203</v>
      </c>
      <c r="F12" s="1">
        <v>4.9000000000000004</v>
      </c>
      <c r="G12" s="34">
        <v>39203</v>
      </c>
      <c r="H12" s="1">
        <v>0.48</v>
      </c>
      <c r="I12" s="34">
        <v>39203</v>
      </c>
      <c r="J12" s="1">
        <v>146.47999999999999</v>
      </c>
      <c r="K12" s="34">
        <v>39203</v>
      </c>
      <c r="L12" s="1">
        <v>6017.5</v>
      </c>
      <c r="M12" s="34">
        <v>39203</v>
      </c>
      <c r="N12" s="1">
        <v>863.5</v>
      </c>
      <c r="O12" s="34">
        <v>40544</v>
      </c>
      <c r="P12" s="1">
        <v>656145</v>
      </c>
    </row>
    <row r="13" spans="1:16" x14ac:dyDescent="0.25">
      <c r="A13" s="34">
        <v>39234</v>
      </c>
      <c r="B13" s="1">
        <v>5987.6</v>
      </c>
      <c r="C13" s="34">
        <v>39234</v>
      </c>
      <c r="D13" s="1">
        <v>4264</v>
      </c>
      <c r="E13" s="34">
        <v>39234</v>
      </c>
      <c r="F13" s="1">
        <v>5.0999999999999996</v>
      </c>
      <c r="G13" s="34">
        <v>39234</v>
      </c>
      <c r="H13" s="1">
        <v>-0.13</v>
      </c>
      <c r="I13" s="34">
        <v>39234</v>
      </c>
      <c r="J13" s="1">
        <v>146.41999999999999</v>
      </c>
      <c r="K13" s="34">
        <v>39234</v>
      </c>
      <c r="L13" s="1">
        <v>6049.1</v>
      </c>
      <c r="M13" s="34">
        <v>39234</v>
      </c>
      <c r="N13" s="1">
        <v>844.9</v>
      </c>
      <c r="O13" s="34">
        <v>40909</v>
      </c>
      <c r="P13" s="1">
        <v>665613</v>
      </c>
    </row>
    <row r="14" spans="1:16" x14ac:dyDescent="0.25">
      <c r="A14" s="34">
        <v>39264</v>
      </c>
      <c r="B14" s="1">
        <v>5984.8</v>
      </c>
      <c r="C14" s="34">
        <v>39264</v>
      </c>
      <c r="D14" s="1">
        <v>3511</v>
      </c>
      <c r="E14" s="34">
        <v>39264</v>
      </c>
      <c r="F14" s="1">
        <v>5.2</v>
      </c>
      <c r="G14" s="34">
        <v>39264</v>
      </c>
      <c r="H14" s="1">
        <v>-0.21</v>
      </c>
      <c r="I14" s="34">
        <v>39264</v>
      </c>
      <c r="J14" s="1">
        <v>146.57</v>
      </c>
      <c r="K14" s="34">
        <v>39264</v>
      </c>
      <c r="L14" s="1">
        <v>6009.7</v>
      </c>
      <c r="M14" s="34">
        <v>39264</v>
      </c>
      <c r="N14" s="1">
        <v>819.5</v>
      </c>
      <c r="O14" s="34">
        <v>41275</v>
      </c>
      <c r="P14" s="1">
        <v>671407</v>
      </c>
    </row>
    <row r="15" spans="1:16" x14ac:dyDescent="0.25">
      <c r="A15" s="34">
        <v>39295</v>
      </c>
      <c r="B15" s="1">
        <v>5978.5</v>
      </c>
      <c r="C15" s="34">
        <v>39295</v>
      </c>
      <c r="D15" s="1">
        <v>3620</v>
      </c>
      <c r="E15" s="34">
        <v>39295</v>
      </c>
      <c r="F15" s="1">
        <v>5.3</v>
      </c>
      <c r="G15" s="34">
        <v>39295</v>
      </c>
      <c r="H15" s="1">
        <v>-0.03</v>
      </c>
      <c r="I15" s="34">
        <v>39295</v>
      </c>
      <c r="J15" s="1">
        <v>146.51</v>
      </c>
      <c r="K15" s="34">
        <v>39295</v>
      </c>
      <c r="L15" s="1">
        <v>6011.7</v>
      </c>
      <c r="M15" s="34">
        <v>39295</v>
      </c>
      <c r="N15" s="1">
        <v>814.6</v>
      </c>
    </row>
    <row r="16" spans="1:16" x14ac:dyDescent="0.25">
      <c r="A16" s="34">
        <v>39326</v>
      </c>
      <c r="B16" s="1">
        <v>5979.5</v>
      </c>
      <c r="C16" s="34">
        <v>39326</v>
      </c>
      <c r="D16" s="1">
        <v>3427</v>
      </c>
      <c r="E16" s="34">
        <v>39326</v>
      </c>
      <c r="F16" s="1">
        <v>5.3</v>
      </c>
      <c r="G16" s="34">
        <v>39326</v>
      </c>
      <c r="H16" s="1">
        <v>0.28999999999999998</v>
      </c>
      <c r="I16" s="34">
        <v>39326</v>
      </c>
      <c r="J16" s="1">
        <v>146.74</v>
      </c>
      <c r="K16" s="34">
        <v>39326</v>
      </c>
      <c r="L16" s="1">
        <v>6020.6</v>
      </c>
      <c r="M16" s="34">
        <v>39326</v>
      </c>
      <c r="N16" s="1">
        <v>851.1</v>
      </c>
    </row>
    <row r="17" spans="1:14" x14ac:dyDescent="0.25">
      <c r="A17" s="34">
        <v>39356</v>
      </c>
      <c r="B17" s="1">
        <v>5978.8</v>
      </c>
      <c r="C17" s="34">
        <v>39356</v>
      </c>
      <c r="D17" s="1">
        <v>3217</v>
      </c>
      <c r="E17" s="34">
        <v>39356</v>
      </c>
      <c r="F17" s="1">
        <v>5.4</v>
      </c>
      <c r="G17" s="34">
        <v>39356</v>
      </c>
      <c r="H17" s="1">
        <v>-0.01</v>
      </c>
      <c r="I17" s="34">
        <v>39356</v>
      </c>
      <c r="J17" s="1">
        <v>146.66</v>
      </c>
      <c r="K17" s="34">
        <v>39356</v>
      </c>
      <c r="L17" s="1">
        <v>6024.2</v>
      </c>
      <c r="M17" s="34">
        <v>39356</v>
      </c>
      <c r="N17" s="1">
        <v>861</v>
      </c>
    </row>
    <row r="18" spans="1:14" x14ac:dyDescent="0.25">
      <c r="A18" s="34">
        <v>39387</v>
      </c>
      <c r="B18" s="1">
        <v>5986.2</v>
      </c>
      <c r="C18" s="34">
        <v>39387</v>
      </c>
      <c r="D18" s="1">
        <v>2518</v>
      </c>
      <c r="E18" s="34">
        <v>39387</v>
      </c>
      <c r="F18" s="1">
        <v>5.4</v>
      </c>
      <c r="G18" s="34">
        <v>39387</v>
      </c>
      <c r="H18" s="1">
        <v>0.24</v>
      </c>
      <c r="I18" s="34">
        <v>39387</v>
      </c>
      <c r="J18" s="1">
        <v>146.93</v>
      </c>
      <c r="K18" s="34">
        <v>39387</v>
      </c>
      <c r="L18" s="1">
        <v>6044.4</v>
      </c>
      <c r="M18" s="34">
        <v>39387</v>
      </c>
      <c r="N18" s="1">
        <v>864.8</v>
      </c>
    </row>
    <row r="19" spans="1:14" x14ac:dyDescent="0.25">
      <c r="A19" s="34">
        <v>39417</v>
      </c>
      <c r="B19" s="1">
        <v>5987.9</v>
      </c>
      <c r="C19" s="34">
        <v>39417</v>
      </c>
      <c r="D19" s="1">
        <v>2449</v>
      </c>
      <c r="E19" s="34">
        <v>39417</v>
      </c>
      <c r="F19" s="1">
        <v>5.5</v>
      </c>
      <c r="G19" s="34">
        <v>39417</v>
      </c>
      <c r="H19" s="1">
        <v>-0.13</v>
      </c>
      <c r="I19" s="34">
        <v>39417</v>
      </c>
      <c r="J19" s="1">
        <v>146.83000000000001</v>
      </c>
      <c r="K19" s="34">
        <v>39417</v>
      </c>
      <c r="L19" s="1">
        <v>6036.5</v>
      </c>
      <c r="M19" s="34">
        <v>39417</v>
      </c>
      <c r="N19" s="1">
        <v>858.6</v>
      </c>
    </row>
    <row r="20" spans="1:14" x14ac:dyDescent="0.25">
      <c r="A20" s="34">
        <v>39448</v>
      </c>
      <c r="B20" s="1">
        <v>5994.5</v>
      </c>
      <c r="C20" s="34">
        <v>39448</v>
      </c>
      <c r="D20" s="1">
        <v>2336</v>
      </c>
      <c r="E20" s="34">
        <v>39448</v>
      </c>
      <c r="F20" s="1">
        <v>5.5</v>
      </c>
      <c r="G20" s="34">
        <v>39448</v>
      </c>
      <c r="H20" s="1">
        <v>-0.2</v>
      </c>
      <c r="I20" s="34">
        <v>39448</v>
      </c>
      <c r="J20" s="1">
        <v>146.96</v>
      </c>
      <c r="K20" s="34">
        <v>39448</v>
      </c>
      <c r="L20" s="1">
        <v>5869.4</v>
      </c>
      <c r="M20" s="34">
        <v>39448</v>
      </c>
      <c r="N20" s="1">
        <v>841.6</v>
      </c>
    </row>
    <row r="21" spans="1:14" x14ac:dyDescent="0.25">
      <c r="A21" s="34">
        <v>39479</v>
      </c>
      <c r="B21" s="1">
        <v>5989.5</v>
      </c>
      <c r="C21" s="34">
        <v>39479</v>
      </c>
      <c r="D21" s="1">
        <v>1443</v>
      </c>
      <c r="E21" s="34">
        <v>39479</v>
      </c>
      <c r="F21" s="1">
        <v>5.5</v>
      </c>
      <c r="G21" s="34">
        <v>39479</v>
      </c>
      <c r="H21" s="1">
        <v>-0.28999999999999998</v>
      </c>
      <c r="I21" s="34">
        <v>39479</v>
      </c>
      <c r="J21" s="1">
        <v>146.93</v>
      </c>
      <c r="K21" s="34">
        <v>39479</v>
      </c>
      <c r="L21" s="1">
        <v>5874.8</v>
      </c>
      <c r="M21" s="34">
        <v>39479</v>
      </c>
      <c r="N21" s="1">
        <v>864.3</v>
      </c>
    </row>
    <row r="22" spans="1:14" x14ac:dyDescent="0.25">
      <c r="A22" s="34">
        <v>39508</v>
      </c>
      <c r="B22" s="1">
        <v>5981</v>
      </c>
      <c r="C22" s="34">
        <v>39508</v>
      </c>
      <c r="D22" s="1">
        <v>1662</v>
      </c>
      <c r="E22" s="34">
        <v>39508</v>
      </c>
      <c r="F22" s="1">
        <v>5.6</v>
      </c>
      <c r="G22" s="34">
        <v>39508</v>
      </c>
      <c r="H22" s="1">
        <v>-1.06</v>
      </c>
      <c r="I22" s="34">
        <v>39508</v>
      </c>
      <c r="J22" s="1">
        <v>146.72999999999999</v>
      </c>
      <c r="K22" s="34">
        <v>39508</v>
      </c>
      <c r="L22" s="1">
        <v>5903.8</v>
      </c>
      <c r="M22" s="34">
        <v>39508</v>
      </c>
      <c r="N22" s="1">
        <v>865</v>
      </c>
    </row>
    <row r="23" spans="1:14" x14ac:dyDescent="0.25">
      <c r="A23" s="34">
        <v>39539</v>
      </c>
      <c r="B23" s="1">
        <v>5980.7</v>
      </c>
      <c r="C23" s="34">
        <v>39539</v>
      </c>
      <c r="D23" s="1">
        <v>3111</v>
      </c>
      <c r="E23" s="34">
        <v>39539</v>
      </c>
      <c r="F23" s="1">
        <v>5.8</v>
      </c>
      <c r="G23" s="34">
        <v>39539</v>
      </c>
      <c r="H23" s="1">
        <v>-1.47</v>
      </c>
      <c r="I23" s="34">
        <v>39539</v>
      </c>
      <c r="J23" s="1">
        <v>146.41999999999999</v>
      </c>
      <c r="K23" s="34">
        <v>39539</v>
      </c>
      <c r="L23" s="1">
        <v>5962.1</v>
      </c>
      <c r="M23" s="34">
        <v>39539</v>
      </c>
      <c r="N23" s="1">
        <v>867.7</v>
      </c>
    </row>
    <row r="24" spans="1:14" x14ac:dyDescent="0.25">
      <c r="A24" s="34">
        <v>39569</v>
      </c>
      <c r="B24" s="1">
        <v>5976.2</v>
      </c>
      <c r="C24" s="34">
        <v>39569</v>
      </c>
      <c r="D24" s="1">
        <v>2230</v>
      </c>
      <c r="E24" s="34">
        <v>39569</v>
      </c>
      <c r="F24" s="1">
        <v>6.1</v>
      </c>
      <c r="G24" s="34">
        <v>39569</v>
      </c>
      <c r="H24" s="1">
        <v>-1.97</v>
      </c>
      <c r="I24" s="34">
        <v>39569</v>
      </c>
      <c r="J24" s="1">
        <v>145.88</v>
      </c>
      <c r="K24" s="34">
        <v>39569</v>
      </c>
      <c r="L24" s="1">
        <v>6011.8</v>
      </c>
      <c r="M24" s="34">
        <v>39569</v>
      </c>
      <c r="N24" s="1">
        <v>871.2</v>
      </c>
    </row>
    <row r="25" spans="1:14" x14ac:dyDescent="0.25">
      <c r="A25" s="34">
        <v>39600</v>
      </c>
      <c r="B25" s="1">
        <v>5967.8</v>
      </c>
      <c r="C25" s="34">
        <v>39600</v>
      </c>
      <c r="D25" s="1">
        <v>1960</v>
      </c>
      <c r="E25" s="34">
        <v>39600</v>
      </c>
      <c r="F25" s="1">
        <v>6.3</v>
      </c>
      <c r="G25" s="34">
        <v>39600</v>
      </c>
      <c r="H25" s="1">
        <v>-1.68</v>
      </c>
      <c r="I25" s="34">
        <v>39600</v>
      </c>
      <c r="J25" s="1">
        <v>145.55000000000001</v>
      </c>
      <c r="K25" s="34">
        <v>39600</v>
      </c>
      <c r="L25" s="1">
        <v>6023.1</v>
      </c>
      <c r="M25" s="34">
        <v>39600</v>
      </c>
      <c r="N25" s="1">
        <v>850.7</v>
      </c>
    </row>
    <row r="26" spans="1:14" x14ac:dyDescent="0.25">
      <c r="A26" s="34">
        <v>39630</v>
      </c>
      <c r="B26" s="1">
        <v>5962.7</v>
      </c>
      <c r="C26" s="34">
        <v>39630</v>
      </c>
      <c r="D26" s="1">
        <v>2142</v>
      </c>
      <c r="E26" s="34">
        <v>39630</v>
      </c>
      <c r="F26" s="1">
        <v>6.6</v>
      </c>
      <c r="G26" s="34">
        <v>39630</v>
      </c>
      <c r="H26" s="1">
        <v>-2.16</v>
      </c>
      <c r="I26" s="34">
        <v>39630</v>
      </c>
      <c r="J26" s="1">
        <v>144.84</v>
      </c>
      <c r="K26" s="34">
        <v>39630</v>
      </c>
      <c r="L26" s="1">
        <v>5984.9</v>
      </c>
      <c r="M26" s="34">
        <v>39630</v>
      </c>
      <c r="N26" s="1">
        <v>826.2</v>
      </c>
    </row>
    <row r="27" spans="1:14" x14ac:dyDescent="0.25">
      <c r="A27" s="34">
        <v>39661</v>
      </c>
      <c r="B27" s="1">
        <v>5952.7</v>
      </c>
      <c r="C27" s="34">
        <v>39661</v>
      </c>
      <c r="D27" s="1">
        <v>2127</v>
      </c>
      <c r="E27" s="34">
        <v>39661</v>
      </c>
      <c r="F27" s="1">
        <v>6.7</v>
      </c>
      <c r="G27" s="34">
        <v>39661</v>
      </c>
      <c r="H27" s="1">
        <v>-2.06</v>
      </c>
      <c r="I27" s="34">
        <v>39661</v>
      </c>
      <c r="J27" s="1">
        <v>144.49</v>
      </c>
      <c r="K27" s="34">
        <v>39661</v>
      </c>
      <c r="L27" s="1">
        <v>5982.4</v>
      </c>
      <c r="M27" s="34">
        <v>39661</v>
      </c>
      <c r="N27" s="1">
        <v>818.6</v>
      </c>
    </row>
    <row r="28" spans="1:14" x14ac:dyDescent="0.25">
      <c r="A28" s="34">
        <v>39692</v>
      </c>
      <c r="B28" s="1">
        <v>5932.1</v>
      </c>
      <c r="C28" s="34">
        <v>39692</v>
      </c>
      <c r="D28" s="1">
        <v>1623</v>
      </c>
      <c r="E28" s="34">
        <v>39692</v>
      </c>
      <c r="F28" s="1">
        <v>6.8</v>
      </c>
      <c r="G28" s="34">
        <v>39692</v>
      </c>
      <c r="H28" s="1">
        <v>-1.56</v>
      </c>
      <c r="I28" s="34">
        <v>39692</v>
      </c>
      <c r="J28" s="1">
        <v>143.91</v>
      </c>
      <c r="K28" s="34">
        <v>39692</v>
      </c>
      <c r="L28" s="1">
        <v>5972.9</v>
      </c>
      <c r="M28" s="34">
        <v>39692</v>
      </c>
      <c r="N28" s="1">
        <v>855.1</v>
      </c>
    </row>
    <row r="29" spans="1:14" x14ac:dyDescent="0.25">
      <c r="A29" s="34">
        <v>39722</v>
      </c>
      <c r="B29" s="1">
        <v>5911.9</v>
      </c>
      <c r="C29" s="34">
        <v>39722</v>
      </c>
      <c r="D29" s="1">
        <v>1635</v>
      </c>
      <c r="E29" s="34">
        <v>39722</v>
      </c>
      <c r="F29" s="1">
        <v>7</v>
      </c>
      <c r="G29" s="34">
        <v>39722</v>
      </c>
      <c r="H29" s="1">
        <v>-2.58</v>
      </c>
      <c r="I29" s="34">
        <v>39722</v>
      </c>
      <c r="J29" s="1">
        <v>143.16999999999999</v>
      </c>
      <c r="K29" s="34">
        <v>39722</v>
      </c>
      <c r="L29" s="1">
        <v>5967.4</v>
      </c>
      <c r="M29" s="34">
        <v>39722</v>
      </c>
      <c r="N29" s="1">
        <v>870</v>
      </c>
    </row>
    <row r="30" spans="1:14" x14ac:dyDescent="0.25">
      <c r="A30" s="34">
        <v>39753</v>
      </c>
      <c r="B30" s="1">
        <v>5884.8</v>
      </c>
      <c r="C30" s="34">
        <v>39753</v>
      </c>
      <c r="D30" s="1">
        <v>906</v>
      </c>
      <c r="E30" s="34">
        <v>39753</v>
      </c>
      <c r="F30" s="1">
        <v>7.2</v>
      </c>
      <c r="G30" s="34">
        <v>39753</v>
      </c>
      <c r="H30" s="1">
        <v>-3.06</v>
      </c>
      <c r="I30" s="34">
        <v>39753</v>
      </c>
      <c r="J30" s="1">
        <v>142.41</v>
      </c>
      <c r="K30" s="34">
        <v>39753</v>
      </c>
      <c r="L30" s="1">
        <v>5940.3</v>
      </c>
      <c r="M30" s="34">
        <v>39753</v>
      </c>
      <c r="N30" s="1">
        <v>870.3</v>
      </c>
    </row>
    <row r="31" spans="1:14" x14ac:dyDescent="0.25">
      <c r="A31" s="34">
        <v>39783</v>
      </c>
      <c r="B31" s="1">
        <v>5853.5</v>
      </c>
      <c r="C31" s="34">
        <v>39783</v>
      </c>
      <c r="D31" s="1">
        <v>1049</v>
      </c>
      <c r="E31" s="34">
        <v>39783</v>
      </c>
      <c r="F31" s="1">
        <v>7.6</v>
      </c>
      <c r="G31" s="34">
        <v>39783</v>
      </c>
      <c r="H31" s="1">
        <v>-4.18</v>
      </c>
      <c r="I31" s="34">
        <v>39783</v>
      </c>
      <c r="J31" s="1">
        <v>141.19999999999999</v>
      </c>
      <c r="K31" s="34">
        <v>39783</v>
      </c>
      <c r="L31" s="1">
        <v>5899.7</v>
      </c>
      <c r="M31" s="34">
        <v>39783</v>
      </c>
      <c r="N31" s="1">
        <v>866.5</v>
      </c>
    </row>
    <row r="32" spans="1:14" x14ac:dyDescent="0.25">
      <c r="A32" s="34">
        <v>39814</v>
      </c>
      <c r="B32" s="1">
        <v>5803.6</v>
      </c>
      <c r="C32" s="34">
        <v>39814</v>
      </c>
      <c r="D32" s="1">
        <v>716</v>
      </c>
      <c r="E32" s="34">
        <v>39814</v>
      </c>
      <c r="F32" s="1">
        <v>8</v>
      </c>
      <c r="G32" s="34">
        <v>39814</v>
      </c>
      <c r="H32" s="1">
        <v>-4.8499999999999996</v>
      </c>
      <c r="I32" s="34">
        <v>39814</v>
      </c>
      <c r="J32" s="1">
        <v>140.04</v>
      </c>
      <c r="K32" s="34">
        <v>39814</v>
      </c>
      <c r="L32" s="1">
        <v>5679.2</v>
      </c>
      <c r="M32" s="34">
        <v>39814</v>
      </c>
      <c r="N32" s="1">
        <v>844.4</v>
      </c>
    </row>
    <row r="33" spans="1:14" x14ac:dyDescent="0.25">
      <c r="A33" s="34">
        <v>39845</v>
      </c>
      <c r="B33" s="1">
        <v>5767.5</v>
      </c>
      <c r="C33" s="34">
        <v>39845</v>
      </c>
      <c r="D33" s="1">
        <v>663</v>
      </c>
      <c r="E33" s="34">
        <v>39845</v>
      </c>
      <c r="F33" s="1">
        <v>8.5</v>
      </c>
      <c r="G33" s="34">
        <v>39845</v>
      </c>
      <c r="H33" s="1">
        <v>-4.95</v>
      </c>
      <c r="I33" s="34">
        <v>39845</v>
      </c>
      <c r="J33" s="1">
        <v>138.65</v>
      </c>
      <c r="K33" s="34">
        <v>39845</v>
      </c>
      <c r="L33" s="1">
        <v>5659</v>
      </c>
      <c r="M33" s="34">
        <v>39845</v>
      </c>
      <c r="N33" s="1">
        <v>864.5</v>
      </c>
    </row>
    <row r="34" spans="1:14" x14ac:dyDescent="0.25">
      <c r="A34" s="34">
        <v>39873</v>
      </c>
      <c r="B34" s="1">
        <v>5726.1</v>
      </c>
      <c r="C34" s="34">
        <v>39873</v>
      </c>
      <c r="D34" s="1">
        <v>747</v>
      </c>
      <c r="E34" s="34">
        <v>39873</v>
      </c>
      <c r="F34" s="1">
        <v>9</v>
      </c>
      <c r="G34" s="34">
        <v>39873</v>
      </c>
      <c r="H34" s="1">
        <v>-5.32</v>
      </c>
      <c r="I34" s="34">
        <v>39873</v>
      </c>
      <c r="J34" s="1">
        <v>137.38</v>
      </c>
      <c r="K34" s="34">
        <v>39873</v>
      </c>
      <c r="L34" s="1">
        <v>5653</v>
      </c>
      <c r="M34" s="34">
        <v>39873</v>
      </c>
      <c r="N34" s="1">
        <v>865.9</v>
      </c>
    </row>
    <row r="35" spans="1:14" x14ac:dyDescent="0.25">
      <c r="A35" s="34">
        <v>39904</v>
      </c>
      <c r="B35" s="1">
        <v>5677.7</v>
      </c>
      <c r="C35" s="34">
        <v>39904</v>
      </c>
      <c r="D35" s="1">
        <v>824</v>
      </c>
      <c r="E35" s="34">
        <v>39904</v>
      </c>
      <c r="F35" s="1">
        <v>9.5</v>
      </c>
      <c r="G35" s="34">
        <v>39904</v>
      </c>
      <c r="H35" s="1">
        <v>-4.79</v>
      </c>
      <c r="I35" s="34">
        <v>39904</v>
      </c>
      <c r="J35" s="1">
        <v>136.07</v>
      </c>
      <c r="K35" s="34">
        <v>39904</v>
      </c>
      <c r="L35" s="1">
        <v>5671</v>
      </c>
      <c r="M35" s="34">
        <v>39904</v>
      </c>
      <c r="N35" s="1">
        <v>876.2</v>
      </c>
    </row>
    <row r="36" spans="1:14" x14ac:dyDescent="0.25">
      <c r="A36" s="34">
        <v>39934</v>
      </c>
      <c r="B36" s="1">
        <v>5667.7</v>
      </c>
      <c r="C36" s="34">
        <v>39934</v>
      </c>
      <c r="D36" s="1">
        <v>873</v>
      </c>
      <c r="E36" s="34">
        <v>39934</v>
      </c>
      <c r="F36" s="1">
        <v>9.8000000000000007</v>
      </c>
      <c r="G36" s="34">
        <v>39934</v>
      </c>
      <c r="H36" s="1">
        <v>-3.23</v>
      </c>
      <c r="I36" s="34">
        <v>39934</v>
      </c>
      <c r="J36" s="1">
        <v>135.21</v>
      </c>
      <c r="K36" s="34">
        <v>39934</v>
      </c>
      <c r="L36" s="1">
        <v>5699.2</v>
      </c>
      <c r="M36" s="34">
        <v>39934</v>
      </c>
      <c r="N36" s="1">
        <v>876.3</v>
      </c>
    </row>
    <row r="37" spans="1:14" x14ac:dyDescent="0.25">
      <c r="A37" s="34">
        <v>39965</v>
      </c>
      <c r="B37" s="1">
        <v>5643.4</v>
      </c>
      <c r="C37" s="34">
        <v>39965</v>
      </c>
      <c r="D37" s="1">
        <v>1040</v>
      </c>
      <c r="E37" s="34">
        <v>39965</v>
      </c>
      <c r="F37" s="1">
        <v>10.1</v>
      </c>
      <c r="G37" s="34">
        <v>39965</v>
      </c>
      <c r="H37" s="1">
        <v>-2.14</v>
      </c>
      <c r="I37" s="34">
        <v>39965</v>
      </c>
      <c r="J37" s="1">
        <v>134.31</v>
      </c>
      <c r="K37" s="34">
        <v>39965</v>
      </c>
      <c r="L37" s="1">
        <v>5693.6</v>
      </c>
      <c r="M37" s="34">
        <v>39965</v>
      </c>
      <c r="N37" s="1">
        <v>853.1</v>
      </c>
    </row>
    <row r="38" spans="1:14" x14ac:dyDescent="0.25">
      <c r="A38" s="34">
        <v>39995</v>
      </c>
      <c r="B38" s="1">
        <v>5624.1</v>
      </c>
      <c r="C38" s="34">
        <v>39995</v>
      </c>
      <c r="D38" s="1">
        <v>1342</v>
      </c>
      <c r="E38" s="34">
        <v>39995</v>
      </c>
      <c r="F38" s="1">
        <v>10.4</v>
      </c>
      <c r="G38" s="34">
        <v>39995</v>
      </c>
      <c r="H38" s="1">
        <v>-1.75</v>
      </c>
      <c r="I38" s="34">
        <v>39995</v>
      </c>
      <c r="J38" s="1">
        <v>133.52000000000001</v>
      </c>
      <c r="K38" s="34">
        <v>39995</v>
      </c>
      <c r="L38" s="1">
        <v>5641.7</v>
      </c>
      <c r="M38" s="34">
        <v>39995</v>
      </c>
      <c r="N38" s="1">
        <v>828.5</v>
      </c>
    </row>
    <row r="39" spans="1:14" x14ac:dyDescent="0.25">
      <c r="A39" s="34">
        <v>40026</v>
      </c>
      <c r="B39" s="1">
        <v>5609.5</v>
      </c>
      <c r="C39" s="34">
        <v>40026</v>
      </c>
      <c r="D39" s="1">
        <v>1006</v>
      </c>
      <c r="E39" s="34">
        <v>40026</v>
      </c>
      <c r="F39" s="1">
        <v>10.6</v>
      </c>
      <c r="G39" s="34">
        <v>40026</v>
      </c>
      <c r="H39" s="1">
        <v>-1.49</v>
      </c>
      <c r="I39" s="34">
        <v>40026</v>
      </c>
      <c r="J39" s="1">
        <v>132.97</v>
      </c>
      <c r="K39" s="34">
        <v>40026</v>
      </c>
      <c r="L39" s="1">
        <v>5626.6</v>
      </c>
      <c r="M39" s="34">
        <v>40026</v>
      </c>
      <c r="N39" s="1">
        <v>815.7</v>
      </c>
    </row>
    <row r="40" spans="1:14" x14ac:dyDescent="0.25">
      <c r="A40" s="34">
        <v>40057</v>
      </c>
      <c r="B40" s="1">
        <v>5600.9</v>
      </c>
      <c r="C40" s="34">
        <v>40057</v>
      </c>
      <c r="D40" s="1">
        <v>1311</v>
      </c>
      <c r="E40" s="34">
        <v>40057</v>
      </c>
      <c r="F40" s="1">
        <v>10.8</v>
      </c>
      <c r="G40" s="34">
        <v>40057</v>
      </c>
      <c r="H40" s="1">
        <v>-0.51</v>
      </c>
      <c r="I40" s="34">
        <v>40057</v>
      </c>
      <c r="J40" s="1">
        <v>132.47999999999999</v>
      </c>
      <c r="K40" s="34">
        <v>40057</v>
      </c>
      <c r="L40" s="1">
        <v>5640.3</v>
      </c>
      <c r="M40" s="34">
        <v>40057</v>
      </c>
      <c r="N40" s="1">
        <v>858.7</v>
      </c>
    </row>
    <row r="41" spans="1:14" x14ac:dyDescent="0.25">
      <c r="A41" s="34">
        <v>40087</v>
      </c>
      <c r="B41" s="1">
        <v>5591.1</v>
      </c>
      <c r="C41" s="34">
        <v>40087</v>
      </c>
      <c r="D41" s="1">
        <v>1011</v>
      </c>
      <c r="E41" s="34">
        <v>40087</v>
      </c>
      <c r="F41" s="1">
        <v>11</v>
      </c>
      <c r="G41" s="34">
        <v>40087</v>
      </c>
      <c r="H41" s="1">
        <v>-0.36</v>
      </c>
      <c r="I41" s="34">
        <v>40087</v>
      </c>
      <c r="J41" s="1">
        <v>132.1</v>
      </c>
      <c r="K41" s="34">
        <v>40087</v>
      </c>
      <c r="L41" s="1">
        <v>5647.6</v>
      </c>
      <c r="M41" s="34">
        <v>40087</v>
      </c>
      <c r="N41" s="1">
        <v>870.5</v>
      </c>
    </row>
    <row r="42" spans="1:14" x14ac:dyDescent="0.25">
      <c r="A42" s="34">
        <v>40118</v>
      </c>
      <c r="B42" s="1">
        <v>5594.1</v>
      </c>
      <c r="C42" s="34">
        <v>40118</v>
      </c>
      <c r="D42" s="1">
        <v>1081</v>
      </c>
      <c r="E42" s="34">
        <v>40118</v>
      </c>
      <c r="F42" s="1">
        <v>11.2</v>
      </c>
      <c r="G42" s="34">
        <v>40118</v>
      </c>
      <c r="H42" s="1">
        <v>-0.44</v>
      </c>
      <c r="I42" s="34">
        <v>40118</v>
      </c>
      <c r="J42" s="1">
        <v>131.74</v>
      </c>
      <c r="K42" s="34">
        <v>40118</v>
      </c>
      <c r="L42" s="1">
        <v>5648.4</v>
      </c>
      <c r="M42" s="34">
        <v>40118</v>
      </c>
      <c r="N42" s="1">
        <v>872.5</v>
      </c>
    </row>
    <row r="43" spans="1:14" x14ac:dyDescent="0.25">
      <c r="A43" s="34">
        <v>40148</v>
      </c>
      <c r="B43" s="1">
        <v>5584.9</v>
      </c>
      <c r="C43" s="34">
        <v>40148</v>
      </c>
      <c r="D43" s="1">
        <v>707</v>
      </c>
      <c r="E43" s="34">
        <v>40148</v>
      </c>
      <c r="F43" s="1">
        <v>11.3</v>
      </c>
      <c r="G43" s="34">
        <v>40148</v>
      </c>
      <c r="H43" s="1">
        <v>0.09</v>
      </c>
      <c r="I43" s="34">
        <v>40148</v>
      </c>
      <c r="J43" s="1">
        <v>131.61000000000001</v>
      </c>
      <c r="K43" s="34">
        <v>40148</v>
      </c>
      <c r="L43" s="1">
        <v>5629.2</v>
      </c>
      <c r="M43" s="34">
        <v>40148</v>
      </c>
      <c r="N43" s="1">
        <v>865</v>
      </c>
    </row>
    <row r="44" spans="1:14" x14ac:dyDescent="0.25">
      <c r="A44" s="34">
        <v>40179</v>
      </c>
      <c r="B44" s="1">
        <v>5584.4</v>
      </c>
      <c r="C44" s="34">
        <v>40179</v>
      </c>
      <c r="D44" s="1">
        <v>381</v>
      </c>
      <c r="E44" s="34">
        <v>40179</v>
      </c>
      <c r="F44" s="1">
        <v>11.4</v>
      </c>
      <c r="G44" s="34">
        <v>40179</v>
      </c>
      <c r="H44" s="1">
        <v>0.09</v>
      </c>
      <c r="I44" s="34">
        <v>40179</v>
      </c>
      <c r="J44" s="1">
        <v>131.38999999999999</v>
      </c>
      <c r="K44" s="34">
        <v>40179</v>
      </c>
      <c r="L44" s="1">
        <v>5462.4</v>
      </c>
      <c r="M44" s="34">
        <v>40179</v>
      </c>
      <c r="N44" s="1">
        <v>844.2</v>
      </c>
    </row>
    <row r="45" spans="1:14" x14ac:dyDescent="0.25">
      <c r="A45" s="34">
        <v>40210</v>
      </c>
      <c r="B45" s="1">
        <v>5587.8</v>
      </c>
      <c r="C45" s="34">
        <v>40210</v>
      </c>
      <c r="D45" s="1">
        <v>727</v>
      </c>
      <c r="E45" s="34">
        <v>40210</v>
      </c>
      <c r="F45" s="1">
        <v>11.3</v>
      </c>
      <c r="G45" s="34">
        <v>40210</v>
      </c>
      <c r="H45" s="1">
        <v>1.0900000000000001</v>
      </c>
      <c r="I45" s="34">
        <v>40210</v>
      </c>
      <c r="J45" s="1">
        <v>131.57</v>
      </c>
      <c r="K45" s="34">
        <v>40210</v>
      </c>
      <c r="L45" s="1">
        <v>5482.7</v>
      </c>
      <c r="M45" s="34">
        <v>40210</v>
      </c>
      <c r="N45" s="1">
        <v>866.4</v>
      </c>
    </row>
    <row r="46" spans="1:14" x14ac:dyDescent="0.25">
      <c r="A46" s="34">
        <v>40238</v>
      </c>
      <c r="B46" s="1">
        <v>5586.1</v>
      </c>
      <c r="C46" s="34">
        <v>40238</v>
      </c>
      <c r="D46" s="1">
        <v>1027</v>
      </c>
      <c r="E46" s="34">
        <v>40238</v>
      </c>
      <c r="F46" s="1">
        <v>11.1</v>
      </c>
      <c r="G46" s="34">
        <v>40238</v>
      </c>
      <c r="H46" s="1">
        <v>1.81</v>
      </c>
      <c r="I46" s="34">
        <v>40238</v>
      </c>
      <c r="J46" s="1">
        <v>131.82</v>
      </c>
      <c r="K46" s="34">
        <v>40238</v>
      </c>
      <c r="L46" s="1">
        <v>5515.5</v>
      </c>
      <c r="M46" s="34">
        <v>40238</v>
      </c>
      <c r="N46" s="1">
        <v>866.1</v>
      </c>
    </row>
    <row r="47" spans="1:14" x14ac:dyDescent="0.25">
      <c r="A47" s="34">
        <v>40269</v>
      </c>
      <c r="B47" s="1">
        <v>5600.9</v>
      </c>
      <c r="C47" s="34">
        <v>40269</v>
      </c>
      <c r="D47" s="1">
        <v>1097</v>
      </c>
      <c r="E47" s="34">
        <v>40269</v>
      </c>
      <c r="F47" s="1">
        <v>10.9</v>
      </c>
      <c r="G47" s="34">
        <v>40269</v>
      </c>
      <c r="H47" s="1">
        <v>2.04</v>
      </c>
      <c r="I47" s="34">
        <v>40269</v>
      </c>
      <c r="J47" s="1">
        <v>132.19</v>
      </c>
      <c r="K47" s="34">
        <v>40269</v>
      </c>
      <c r="L47" s="1">
        <v>5595.9</v>
      </c>
      <c r="M47" s="34">
        <v>40269</v>
      </c>
      <c r="N47" s="1">
        <v>871.8</v>
      </c>
    </row>
    <row r="48" spans="1:14" x14ac:dyDescent="0.25">
      <c r="A48" s="34">
        <v>40299</v>
      </c>
      <c r="B48" s="1">
        <v>5623.6</v>
      </c>
      <c r="C48" s="34">
        <v>40299</v>
      </c>
      <c r="D48" s="1">
        <v>1388</v>
      </c>
      <c r="E48" s="34">
        <v>40299</v>
      </c>
      <c r="F48" s="1">
        <v>10.7</v>
      </c>
      <c r="G48" s="34">
        <v>40299</v>
      </c>
      <c r="H48" s="1">
        <v>1.95</v>
      </c>
      <c r="I48" s="34">
        <v>40299</v>
      </c>
      <c r="J48" s="1">
        <v>132.56</v>
      </c>
      <c r="K48" s="34">
        <v>40299</v>
      </c>
      <c r="L48" s="1">
        <v>5655.8</v>
      </c>
      <c r="M48" s="34">
        <v>40299</v>
      </c>
      <c r="N48" s="1">
        <v>886</v>
      </c>
    </row>
    <row r="49" spans="1:14" x14ac:dyDescent="0.25">
      <c r="A49" s="34">
        <v>40330</v>
      </c>
      <c r="B49" s="1">
        <v>5615.3</v>
      </c>
      <c r="C49" s="34">
        <v>40330</v>
      </c>
      <c r="D49" s="1">
        <v>1131</v>
      </c>
      <c r="E49" s="34">
        <v>40330</v>
      </c>
      <c r="F49" s="1">
        <v>10.5</v>
      </c>
      <c r="G49" s="34">
        <v>40330</v>
      </c>
      <c r="H49" s="1">
        <v>1.66</v>
      </c>
      <c r="I49" s="34">
        <v>40330</v>
      </c>
      <c r="J49" s="1">
        <v>132.91999999999999</v>
      </c>
      <c r="K49" s="34">
        <v>40330</v>
      </c>
      <c r="L49" s="1">
        <v>5663.2</v>
      </c>
      <c r="M49" s="34">
        <v>40330</v>
      </c>
      <c r="N49" s="1">
        <v>854.2</v>
      </c>
    </row>
    <row r="50" spans="1:14" x14ac:dyDescent="0.25">
      <c r="A50" s="34">
        <v>40360</v>
      </c>
      <c r="B50" s="1">
        <v>5597.9</v>
      </c>
      <c r="C50" s="34">
        <v>40360</v>
      </c>
      <c r="D50" s="1">
        <v>772</v>
      </c>
      <c r="E50" s="34">
        <v>40360</v>
      </c>
      <c r="F50" s="1">
        <v>10.3</v>
      </c>
      <c r="G50" s="34">
        <v>40360</v>
      </c>
      <c r="H50" s="1">
        <v>1.47</v>
      </c>
      <c r="I50" s="34">
        <v>40360</v>
      </c>
      <c r="J50" s="1">
        <v>133.27000000000001</v>
      </c>
      <c r="K50" s="34">
        <v>40360</v>
      </c>
      <c r="L50" s="1">
        <v>5612.7</v>
      </c>
      <c r="M50" s="34">
        <v>40360</v>
      </c>
      <c r="N50" s="1">
        <v>818.3</v>
      </c>
    </row>
    <row r="51" spans="1:14" x14ac:dyDescent="0.25">
      <c r="A51" s="34">
        <v>40391</v>
      </c>
      <c r="B51" s="1">
        <v>5619.9</v>
      </c>
      <c r="C51" s="34">
        <v>40391</v>
      </c>
      <c r="D51" s="1">
        <v>1008</v>
      </c>
      <c r="E51" s="34">
        <v>40391</v>
      </c>
      <c r="F51" s="1">
        <v>10.1</v>
      </c>
      <c r="G51" s="34">
        <v>40391</v>
      </c>
      <c r="H51" s="1">
        <v>1.61</v>
      </c>
      <c r="I51" s="34">
        <v>40391</v>
      </c>
      <c r="J51" s="1">
        <v>133.74</v>
      </c>
      <c r="K51" s="34">
        <v>40391</v>
      </c>
      <c r="L51" s="1">
        <v>5636</v>
      </c>
      <c r="M51" s="34">
        <v>40391</v>
      </c>
      <c r="N51" s="1">
        <v>817.4</v>
      </c>
    </row>
    <row r="52" spans="1:14" x14ac:dyDescent="0.25">
      <c r="A52" s="34">
        <v>40422</v>
      </c>
      <c r="B52" s="1">
        <v>5618.3</v>
      </c>
      <c r="C52" s="34">
        <v>40422</v>
      </c>
      <c r="D52" s="1">
        <v>1024</v>
      </c>
      <c r="E52" s="34">
        <v>40422</v>
      </c>
      <c r="F52" s="1">
        <v>10</v>
      </c>
      <c r="G52" s="34">
        <v>40422</v>
      </c>
      <c r="H52" s="1">
        <v>1.33</v>
      </c>
      <c r="I52" s="34">
        <v>40422</v>
      </c>
      <c r="J52" s="1">
        <v>134.01</v>
      </c>
      <c r="K52" s="34">
        <v>40422</v>
      </c>
      <c r="L52" s="1">
        <v>5654.2</v>
      </c>
      <c r="M52" s="34">
        <v>40422</v>
      </c>
      <c r="N52" s="1">
        <v>849.6</v>
      </c>
    </row>
    <row r="53" spans="1:14" x14ac:dyDescent="0.25">
      <c r="A53" s="34">
        <v>40452</v>
      </c>
      <c r="B53" s="1">
        <v>5637.3</v>
      </c>
      <c r="C53" s="34">
        <v>40452</v>
      </c>
      <c r="D53" s="1">
        <v>1256</v>
      </c>
      <c r="E53" s="34">
        <v>40452</v>
      </c>
      <c r="F53" s="1">
        <v>9.8000000000000007</v>
      </c>
      <c r="G53" s="34">
        <v>40452</v>
      </c>
      <c r="H53" s="1">
        <v>1.32</v>
      </c>
      <c r="I53" s="34">
        <v>40452</v>
      </c>
      <c r="J53" s="1">
        <v>134.51</v>
      </c>
      <c r="K53" s="34">
        <v>40452</v>
      </c>
      <c r="L53" s="1">
        <v>5687.1</v>
      </c>
      <c r="M53" s="34">
        <v>40452</v>
      </c>
      <c r="N53" s="1">
        <v>858.5</v>
      </c>
    </row>
    <row r="54" spans="1:14" x14ac:dyDescent="0.25">
      <c r="A54" s="34">
        <v>40483</v>
      </c>
      <c r="B54" s="1">
        <v>5642.2</v>
      </c>
      <c r="C54" s="34">
        <v>40483</v>
      </c>
      <c r="D54" s="1">
        <v>781</v>
      </c>
      <c r="E54" s="34">
        <v>40483</v>
      </c>
      <c r="F54" s="1">
        <v>9.6</v>
      </c>
      <c r="G54" s="34">
        <v>40483</v>
      </c>
      <c r="H54" s="1">
        <v>2.06</v>
      </c>
      <c r="I54" s="34">
        <v>40483</v>
      </c>
      <c r="J54" s="1">
        <v>134.94999999999999</v>
      </c>
      <c r="K54" s="34">
        <v>40483</v>
      </c>
      <c r="L54" s="1">
        <v>5698</v>
      </c>
      <c r="M54" s="34">
        <v>40483</v>
      </c>
      <c r="N54" s="1">
        <v>859.8</v>
      </c>
    </row>
    <row r="55" spans="1:14" x14ac:dyDescent="0.25">
      <c r="A55" s="34">
        <v>40513</v>
      </c>
      <c r="B55" s="1">
        <v>5641.2</v>
      </c>
      <c r="C55" s="34">
        <v>40513</v>
      </c>
      <c r="D55" s="1">
        <v>946</v>
      </c>
      <c r="E55" s="34">
        <v>40513</v>
      </c>
      <c r="F55" s="1">
        <v>9.5</v>
      </c>
      <c r="G55" s="34">
        <v>40513</v>
      </c>
      <c r="H55" s="1">
        <v>1.56</v>
      </c>
      <c r="I55" s="34">
        <v>40513</v>
      </c>
      <c r="J55" s="1">
        <v>135.28</v>
      </c>
      <c r="K55" s="34">
        <v>40513</v>
      </c>
      <c r="L55" s="1">
        <v>5688.3</v>
      </c>
      <c r="M55" s="34">
        <v>40513</v>
      </c>
      <c r="N55" s="1">
        <v>852.7</v>
      </c>
    </row>
    <row r="56" spans="1:14" x14ac:dyDescent="0.25">
      <c r="A56" s="34">
        <v>40544</v>
      </c>
      <c r="B56" s="1">
        <v>5648.1</v>
      </c>
      <c r="C56" s="34">
        <v>40544</v>
      </c>
      <c r="D56" s="1">
        <v>833</v>
      </c>
      <c r="E56" s="34">
        <v>40544</v>
      </c>
      <c r="F56" s="1">
        <v>9.4</v>
      </c>
      <c r="G56" s="34">
        <v>40544</v>
      </c>
      <c r="H56" s="1">
        <v>1.44</v>
      </c>
      <c r="I56" s="34">
        <v>40544</v>
      </c>
      <c r="J56" s="1">
        <v>135.66999999999999</v>
      </c>
      <c r="K56" s="34">
        <v>40544</v>
      </c>
      <c r="L56" s="1">
        <v>5527.2</v>
      </c>
      <c r="M56" s="34">
        <v>40544</v>
      </c>
      <c r="N56" s="1">
        <v>829.2</v>
      </c>
    </row>
    <row r="57" spans="1:14" x14ac:dyDescent="0.25">
      <c r="A57" s="34">
        <v>40575</v>
      </c>
      <c r="B57" s="1">
        <v>5651</v>
      </c>
      <c r="C57" s="34">
        <v>40575</v>
      </c>
      <c r="D57" s="1">
        <v>439</v>
      </c>
      <c r="E57" s="34">
        <v>40575</v>
      </c>
      <c r="F57" s="1">
        <v>9.3000000000000007</v>
      </c>
      <c r="G57" s="34">
        <v>40575</v>
      </c>
      <c r="H57" s="1">
        <v>1.77</v>
      </c>
      <c r="I57" s="34">
        <v>40575</v>
      </c>
      <c r="J57" s="1">
        <v>136.07</v>
      </c>
      <c r="K57" s="34">
        <v>40575</v>
      </c>
      <c r="L57" s="1">
        <v>5545.6</v>
      </c>
      <c r="M57" s="34">
        <v>40575</v>
      </c>
      <c r="N57" s="1">
        <v>850.2</v>
      </c>
    </row>
    <row r="58" spans="1:14" x14ac:dyDescent="0.25">
      <c r="A58" s="34">
        <v>40603</v>
      </c>
      <c r="B58" s="1">
        <v>5659.2</v>
      </c>
      <c r="C58" s="34">
        <v>40603</v>
      </c>
      <c r="D58" s="1">
        <v>904</v>
      </c>
      <c r="E58" s="34">
        <v>40603</v>
      </c>
      <c r="F58" s="1">
        <v>9.3000000000000007</v>
      </c>
      <c r="G58" s="34">
        <v>40603</v>
      </c>
      <c r="H58" s="1">
        <v>1.71</v>
      </c>
      <c r="I58" s="34">
        <v>40603</v>
      </c>
      <c r="J58" s="1">
        <v>136.38999999999999</v>
      </c>
      <c r="K58" s="34">
        <v>40603</v>
      </c>
      <c r="L58" s="1">
        <v>5589.8</v>
      </c>
      <c r="M58" s="34">
        <v>40603</v>
      </c>
      <c r="N58" s="1">
        <v>851.1</v>
      </c>
    </row>
    <row r="59" spans="1:14" x14ac:dyDescent="0.25">
      <c r="A59" s="34">
        <v>40634</v>
      </c>
      <c r="B59" s="1">
        <v>5668.9</v>
      </c>
      <c r="C59" s="34">
        <v>40634</v>
      </c>
      <c r="D59" s="1">
        <v>836</v>
      </c>
      <c r="E59" s="34">
        <v>40634</v>
      </c>
      <c r="F59" s="1">
        <v>9.5</v>
      </c>
      <c r="G59" s="34">
        <v>40634</v>
      </c>
      <c r="H59" s="1">
        <v>0.78</v>
      </c>
      <c r="I59" s="34">
        <v>40634</v>
      </c>
      <c r="J59" s="1">
        <v>136.47</v>
      </c>
      <c r="K59" s="34">
        <v>40634</v>
      </c>
      <c r="L59" s="1">
        <v>5666</v>
      </c>
      <c r="M59" s="34">
        <v>40634</v>
      </c>
      <c r="N59" s="1">
        <v>856.2</v>
      </c>
    </row>
    <row r="60" spans="1:14" x14ac:dyDescent="0.25">
      <c r="A60" s="34">
        <v>40664</v>
      </c>
      <c r="B60" s="1">
        <v>5669.7</v>
      </c>
      <c r="C60" s="34">
        <v>40664</v>
      </c>
      <c r="D60" s="1">
        <v>1233</v>
      </c>
      <c r="E60" s="34">
        <v>40664</v>
      </c>
      <c r="F60" s="1">
        <v>9.6999999999999993</v>
      </c>
      <c r="G60" s="34">
        <v>40664</v>
      </c>
      <c r="H60" s="1">
        <v>0.03</v>
      </c>
      <c r="I60" s="34">
        <v>40664</v>
      </c>
      <c r="J60" s="1">
        <v>136.57</v>
      </c>
      <c r="K60" s="34">
        <v>40664</v>
      </c>
      <c r="L60" s="1">
        <v>5701.5</v>
      </c>
      <c r="M60" s="34">
        <v>40664</v>
      </c>
      <c r="N60" s="1">
        <v>854.3</v>
      </c>
    </row>
    <row r="61" spans="1:14" x14ac:dyDescent="0.25">
      <c r="A61" s="34">
        <v>40695</v>
      </c>
      <c r="B61" s="1">
        <v>5673.3</v>
      </c>
      <c r="C61" s="34">
        <v>40695</v>
      </c>
      <c r="D61" s="1">
        <v>1128</v>
      </c>
      <c r="E61" s="34">
        <v>40695</v>
      </c>
      <c r="F61" s="1">
        <v>9.9</v>
      </c>
      <c r="G61" s="34">
        <v>40695</v>
      </c>
      <c r="H61" s="1">
        <v>0.35</v>
      </c>
      <c r="I61" s="34">
        <v>40695</v>
      </c>
      <c r="J61" s="1">
        <v>136.63999999999999</v>
      </c>
      <c r="K61" s="34">
        <v>40695</v>
      </c>
      <c r="L61" s="1">
        <v>5721.4</v>
      </c>
      <c r="M61" s="34">
        <v>40695</v>
      </c>
      <c r="N61" s="1">
        <v>833.3</v>
      </c>
    </row>
    <row r="62" spans="1:14" x14ac:dyDescent="0.25">
      <c r="A62" s="34">
        <v>40725</v>
      </c>
      <c r="B62" s="1">
        <v>5683.3</v>
      </c>
      <c r="C62" s="34">
        <v>40725</v>
      </c>
      <c r="D62" s="1">
        <v>825</v>
      </c>
      <c r="E62" s="34">
        <v>40725</v>
      </c>
      <c r="F62" s="1">
        <v>10.1</v>
      </c>
      <c r="G62" s="34">
        <v>40725</v>
      </c>
      <c r="H62" s="1">
        <v>0.56999999999999995</v>
      </c>
      <c r="I62" s="34">
        <v>40725</v>
      </c>
      <c r="J62" s="1">
        <v>136.72</v>
      </c>
      <c r="K62" s="34">
        <v>40725</v>
      </c>
      <c r="L62" s="1">
        <v>5696</v>
      </c>
      <c r="M62" s="34">
        <v>40725</v>
      </c>
      <c r="N62" s="1">
        <v>810.3</v>
      </c>
    </row>
    <row r="63" spans="1:14" x14ac:dyDescent="0.25">
      <c r="A63" s="34">
        <v>40756</v>
      </c>
      <c r="B63" s="1">
        <v>5690.6</v>
      </c>
      <c r="C63" s="34">
        <v>40756</v>
      </c>
      <c r="D63" s="1">
        <v>1440</v>
      </c>
      <c r="E63" s="34">
        <v>40756</v>
      </c>
      <c r="F63" s="1">
        <v>10.199999999999999</v>
      </c>
      <c r="G63" s="34">
        <v>40756</v>
      </c>
      <c r="H63" s="1">
        <v>0.67</v>
      </c>
      <c r="I63" s="34">
        <v>40756</v>
      </c>
      <c r="J63" s="1">
        <v>136.86000000000001</v>
      </c>
      <c r="K63" s="34">
        <v>40756</v>
      </c>
      <c r="L63" s="1">
        <v>5706.1</v>
      </c>
      <c r="M63" s="34">
        <v>40756</v>
      </c>
      <c r="N63" s="1">
        <v>800.7</v>
      </c>
    </row>
    <row r="64" spans="1:14" x14ac:dyDescent="0.25">
      <c r="A64" s="34">
        <v>40787</v>
      </c>
      <c r="B64" s="1">
        <v>5692.2</v>
      </c>
      <c r="C64" s="34">
        <v>40787</v>
      </c>
      <c r="D64" s="1">
        <v>993</v>
      </c>
      <c r="E64" s="34">
        <v>40787</v>
      </c>
      <c r="F64" s="1">
        <v>10.1</v>
      </c>
      <c r="G64" s="34">
        <v>40787</v>
      </c>
      <c r="H64" s="1">
        <v>1.36</v>
      </c>
      <c r="I64" s="34">
        <v>40787</v>
      </c>
      <c r="J64" s="1">
        <v>137.19999999999999</v>
      </c>
      <c r="K64" s="34">
        <v>40787</v>
      </c>
      <c r="L64" s="1">
        <v>5729.2</v>
      </c>
      <c r="M64" s="34">
        <v>40787</v>
      </c>
      <c r="N64" s="1">
        <v>835.6</v>
      </c>
    </row>
    <row r="65" spans="1:14" x14ac:dyDescent="0.25">
      <c r="A65" s="34">
        <v>40817</v>
      </c>
      <c r="B65" s="1">
        <v>5690.6</v>
      </c>
      <c r="C65" s="34">
        <v>40817</v>
      </c>
      <c r="D65" s="1">
        <v>1514</v>
      </c>
      <c r="E65" s="34">
        <v>40817</v>
      </c>
      <c r="F65" s="1">
        <v>9.9</v>
      </c>
      <c r="G65" s="34">
        <v>40817</v>
      </c>
      <c r="H65" s="1">
        <v>1.96</v>
      </c>
      <c r="I65" s="34">
        <v>40817</v>
      </c>
      <c r="J65" s="1">
        <v>137.57</v>
      </c>
      <c r="K65" s="34">
        <v>40817</v>
      </c>
      <c r="L65" s="1">
        <v>5740.4</v>
      </c>
      <c r="M65" s="34">
        <v>40817</v>
      </c>
      <c r="N65" s="1">
        <v>844.2</v>
      </c>
    </row>
    <row r="66" spans="1:14" x14ac:dyDescent="0.25">
      <c r="A66" s="34">
        <v>40848</v>
      </c>
      <c r="B66" s="1">
        <v>5693.9</v>
      </c>
      <c r="C66" s="34">
        <v>40848</v>
      </c>
      <c r="D66" s="1">
        <v>1294</v>
      </c>
      <c r="E66" s="34">
        <v>40848</v>
      </c>
      <c r="F66" s="1">
        <v>9.6999999999999993</v>
      </c>
      <c r="G66" s="34">
        <v>40848</v>
      </c>
      <c r="H66" s="1">
        <v>1.92</v>
      </c>
      <c r="I66" s="34">
        <v>40848</v>
      </c>
      <c r="J66" s="1">
        <v>137.96</v>
      </c>
      <c r="K66" s="34">
        <v>40848</v>
      </c>
      <c r="L66" s="1">
        <v>5749.9</v>
      </c>
      <c r="M66" s="34">
        <v>40848</v>
      </c>
      <c r="N66" s="1">
        <v>847.2</v>
      </c>
    </row>
    <row r="67" spans="1:14" x14ac:dyDescent="0.25">
      <c r="A67" s="34">
        <v>40878</v>
      </c>
      <c r="B67" s="1">
        <v>5698.9</v>
      </c>
      <c r="C67" s="34">
        <v>40878</v>
      </c>
      <c r="D67" s="1">
        <v>1056</v>
      </c>
      <c r="E67" s="34">
        <v>40878</v>
      </c>
      <c r="F67" s="1">
        <v>9.4</v>
      </c>
      <c r="G67" s="34">
        <v>40878</v>
      </c>
      <c r="H67" s="1">
        <v>2.37</v>
      </c>
      <c r="I67" s="34">
        <v>40878</v>
      </c>
      <c r="J67" s="1">
        <v>138.54</v>
      </c>
      <c r="K67" s="34">
        <v>40878</v>
      </c>
      <c r="L67" s="1">
        <v>5745.9</v>
      </c>
      <c r="M67" s="34">
        <v>40878</v>
      </c>
      <c r="N67" s="1">
        <v>842.2</v>
      </c>
    </row>
    <row r="68" spans="1:14" x14ac:dyDescent="0.25">
      <c r="A68" s="34">
        <v>40909</v>
      </c>
      <c r="B68" s="1">
        <v>5718</v>
      </c>
      <c r="C68" s="34">
        <v>40909</v>
      </c>
      <c r="D68" s="1">
        <v>411</v>
      </c>
      <c r="E68" s="34">
        <v>40909</v>
      </c>
      <c r="F68" s="1">
        <v>9.1</v>
      </c>
      <c r="G68" s="34">
        <v>40909</v>
      </c>
      <c r="H68" s="1">
        <v>2.88</v>
      </c>
      <c r="I68" s="34">
        <v>40909</v>
      </c>
      <c r="J68" s="1">
        <v>139.21</v>
      </c>
      <c r="K68" s="34">
        <v>40909</v>
      </c>
      <c r="L68" s="1">
        <v>5595.1</v>
      </c>
      <c r="M68" s="34">
        <v>40909</v>
      </c>
      <c r="N68" s="1">
        <v>819.2</v>
      </c>
    </row>
    <row r="69" spans="1:14" x14ac:dyDescent="0.25">
      <c r="A69" s="34">
        <v>40940</v>
      </c>
      <c r="B69" s="1">
        <v>5722.4</v>
      </c>
      <c r="C69" s="34">
        <v>40940</v>
      </c>
      <c r="D69" s="1">
        <v>564</v>
      </c>
      <c r="E69" s="34">
        <v>40940</v>
      </c>
      <c r="F69" s="1">
        <v>8.9</v>
      </c>
      <c r="G69" s="34">
        <v>40940</v>
      </c>
      <c r="H69" s="1">
        <v>2.4300000000000002</v>
      </c>
      <c r="I69" s="34">
        <v>40940</v>
      </c>
      <c r="J69" s="1">
        <v>139.75</v>
      </c>
      <c r="K69" s="34">
        <v>40940</v>
      </c>
      <c r="L69" s="1">
        <v>5617.1</v>
      </c>
      <c r="M69" s="34">
        <v>40940</v>
      </c>
      <c r="N69" s="1">
        <v>839.9</v>
      </c>
    </row>
    <row r="70" spans="1:14" x14ac:dyDescent="0.25">
      <c r="A70" s="34">
        <v>40969</v>
      </c>
      <c r="B70" s="1">
        <v>5738.8</v>
      </c>
      <c r="C70" s="34">
        <v>40969</v>
      </c>
      <c r="D70" s="1">
        <v>1501</v>
      </c>
      <c r="E70" s="34">
        <v>40969</v>
      </c>
      <c r="F70" s="1">
        <v>8.8000000000000007</v>
      </c>
      <c r="G70" s="34">
        <v>40969</v>
      </c>
      <c r="H70" s="1">
        <v>2.0099999999999998</v>
      </c>
      <c r="I70" s="34">
        <v>40969</v>
      </c>
      <c r="J70" s="1">
        <v>140.21</v>
      </c>
      <c r="K70" s="34">
        <v>40969</v>
      </c>
      <c r="L70" s="1">
        <v>5670</v>
      </c>
      <c r="M70" s="34">
        <v>40969</v>
      </c>
      <c r="N70" s="1">
        <v>843</v>
      </c>
    </row>
    <row r="71" spans="1:14" x14ac:dyDescent="0.25">
      <c r="A71" s="34">
        <v>41000</v>
      </c>
      <c r="B71" s="1">
        <v>5742.5</v>
      </c>
      <c r="C71" s="34">
        <v>41000</v>
      </c>
      <c r="D71" s="1">
        <v>955</v>
      </c>
      <c r="E71" s="34">
        <v>41000</v>
      </c>
      <c r="F71" s="1">
        <v>8.8000000000000007</v>
      </c>
      <c r="G71" s="34">
        <v>41000</v>
      </c>
      <c r="H71" s="1">
        <v>1.38</v>
      </c>
      <c r="I71" s="34">
        <v>41000</v>
      </c>
      <c r="J71" s="1">
        <v>140.56</v>
      </c>
      <c r="K71" s="34">
        <v>41000</v>
      </c>
      <c r="L71" s="1">
        <v>5729.4</v>
      </c>
      <c r="M71" s="34">
        <v>41000</v>
      </c>
      <c r="N71" s="1">
        <v>846.8</v>
      </c>
    </row>
    <row r="72" spans="1:14" x14ac:dyDescent="0.25">
      <c r="A72" s="34">
        <v>41030</v>
      </c>
      <c r="B72" s="1">
        <v>5741.2</v>
      </c>
      <c r="C72" s="34">
        <v>41030</v>
      </c>
      <c r="D72" s="1">
        <v>1166</v>
      </c>
      <c r="E72" s="34">
        <v>41030</v>
      </c>
      <c r="F72" s="1">
        <v>8.9</v>
      </c>
      <c r="G72" s="34">
        <v>41030</v>
      </c>
      <c r="H72" s="1">
        <v>1.05</v>
      </c>
      <c r="I72" s="34">
        <v>41030</v>
      </c>
      <c r="J72" s="1">
        <v>140.76</v>
      </c>
      <c r="K72" s="34">
        <v>41030</v>
      </c>
      <c r="L72" s="1">
        <v>5773.9</v>
      </c>
      <c r="M72" s="34">
        <v>41030</v>
      </c>
      <c r="N72" s="1">
        <v>846.6</v>
      </c>
    </row>
    <row r="73" spans="1:14" x14ac:dyDescent="0.25">
      <c r="A73" s="34">
        <v>41061</v>
      </c>
      <c r="B73" s="1">
        <v>5749.1</v>
      </c>
      <c r="C73" s="34">
        <v>41061</v>
      </c>
      <c r="D73" s="1">
        <v>1089</v>
      </c>
      <c r="E73" s="34">
        <v>41061</v>
      </c>
      <c r="F73" s="1">
        <v>9</v>
      </c>
      <c r="G73" s="34">
        <v>41061</v>
      </c>
      <c r="H73" s="1">
        <v>0.83</v>
      </c>
      <c r="I73" s="34">
        <v>41061</v>
      </c>
      <c r="J73" s="1">
        <v>140.93</v>
      </c>
      <c r="K73" s="34">
        <v>41061</v>
      </c>
      <c r="L73" s="1">
        <v>5798.1</v>
      </c>
      <c r="M73" s="34">
        <v>41061</v>
      </c>
      <c r="N73" s="1">
        <v>826.1</v>
      </c>
    </row>
    <row r="74" spans="1:14" x14ac:dyDescent="0.25">
      <c r="A74" s="34">
        <v>41091</v>
      </c>
      <c r="B74" s="1">
        <v>5749</v>
      </c>
      <c r="C74" s="34">
        <v>41091</v>
      </c>
      <c r="D74" s="1">
        <v>1113</v>
      </c>
      <c r="E74" s="34">
        <v>41091</v>
      </c>
      <c r="F74" s="1">
        <v>9</v>
      </c>
      <c r="G74" s="34">
        <v>41091</v>
      </c>
      <c r="H74" s="1">
        <v>1.1299999999999999</v>
      </c>
      <c r="I74" s="34">
        <v>41091</v>
      </c>
      <c r="J74" s="1">
        <v>141.19999999999999</v>
      </c>
      <c r="K74" s="34">
        <v>41091</v>
      </c>
      <c r="L74" s="1">
        <v>5761</v>
      </c>
      <c r="M74" s="34">
        <v>41091</v>
      </c>
      <c r="N74" s="1">
        <v>798.7</v>
      </c>
    </row>
    <row r="75" spans="1:14" x14ac:dyDescent="0.25">
      <c r="A75" s="34">
        <v>41122</v>
      </c>
      <c r="B75" s="1">
        <v>5755.5</v>
      </c>
      <c r="C75" s="34">
        <v>41122</v>
      </c>
      <c r="D75" s="1">
        <v>1481</v>
      </c>
      <c r="E75" s="34">
        <v>41122</v>
      </c>
      <c r="F75" s="1">
        <v>9</v>
      </c>
      <c r="G75" s="34">
        <v>41122</v>
      </c>
      <c r="H75" s="1">
        <v>1.41</v>
      </c>
      <c r="I75" s="34">
        <v>41122</v>
      </c>
      <c r="J75" s="1">
        <v>141.43</v>
      </c>
      <c r="K75" s="34">
        <v>41122</v>
      </c>
      <c r="L75" s="1">
        <v>5777.7</v>
      </c>
      <c r="M75" s="34">
        <v>41122</v>
      </c>
      <c r="N75" s="1">
        <v>794.2</v>
      </c>
    </row>
    <row r="76" spans="1:14" x14ac:dyDescent="0.25">
      <c r="A76" s="34">
        <v>41153</v>
      </c>
      <c r="B76" s="1">
        <v>5765.6</v>
      </c>
      <c r="C76" s="34">
        <v>41153</v>
      </c>
      <c r="D76" s="1">
        <v>1478</v>
      </c>
      <c r="E76" s="34">
        <v>41153</v>
      </c>
      <c r="F76" s="1">
        <v>9</v>
      </c>
      <c r="G76" s="34">
        <v>41153</v>
      </c>
      <c r="H76" s="1">
        <v>1.19</v>
      </c>
      <c r="I76" s="34">
        <v>41153</v>
      </c>
      <c r="J76" s="1">
        <v>141.69999999999999</v>
      </c>
      <c r="K76" s="34">
        <v>41153</v>
      </c>
      <c r="L76" s="1">
        <v>5807.8</v>
      </c>
      <c r="M76" s="34">
        <v>41153</v>
      </c>
      <c r="N76" s="1">
        <v>837.1</v>
      </c>
    </row>
    <row r="77" spans="1:14" x14ac:dyDescent="0.25">
      <c r="A77" s="34">
        <v>41183</v>
      </c>
      <c r="B77" s="1">
        <v>5764.2</v>
      </c>
      <c r="C77" s="34">
        <v>41183</v>
      </c>
      <c r="D77" s="1">
        <v>1503</v>
      </c>
      <c r="E77" s="34">
        <v>41183</v>
      </c>
      <c r="F77" s="1">
        <v>9</v>
      </c>
      <c r="G77" s="34">
        <v>41183</v>
      </c>
      <c r="H77" s="1">
        <v>1.2</v>
      </c>
      <c r="I77" s="34">
        <v>41183</v>
      </c>
      <c r="J77" s="1">
        <v>141.94999999999999</v>
      </c>
      <c r="K77" s="34">
        <v>41183</v>
      </c>
      <c r="L77" s="1">
        <v>5813.1</v>
      </c>
      <c r="M77" s="34">
        <v>41183</v>
      </c>
      <c r="N77" s="1">
        <v>845.8</v>
      </c>
    </row>
    <row r="78" spans="1:14" x14ac:dyDescent="0.25">
      <c r="A78" s="34">
        <v>41214</v>
      </c>
      <c r="B78" s="1">
        <v>5774.3</v>
      </c>
      <c r="C78" s="34">
        <v>41214</v>
      </c>
      <c r="D78" s="1">
        <v>1511</v>
      </c>
      <c r="E78" s="34">
        <v>41214</v>
      </c>
      <c r="F78" s="1">
        <v>9</v>
      </c>
      <c r="G78" s="34">
        <v>41214</v>
      </c>
      <c r="H78" s="1">
        <v>1.36</v>
      </c>
      <c r="I78" s="34">
        <v>41214</v>
      </c>
      <c r="J78" s="1">
        <v>142.28</v>
      </c>
      <c r="K78" s="34">
        <v>41214</v>
      </c>
      <c r="L78" s="1">
        <v>5833.1</v>
      </c>
      <c r="M78" s="34">
        <v>41214</v>
      </c>
      <c r="N78" s="1">
        <v>848.2</v>
      </c>
    </row>
    <row r="79" spans="1:14" x14ac:dyDescent="0.25">
      <c r="A79" s="34">
        <v>41244</v>
      </c>
      <c r="B79" s="1">
        <v>5778.4</v>
      </c>
      <c r="C79" s="34">
        <v>41244</v>
      </c>
      <c r="D79" s="1">
        <v>738</v>
      </c>
      <c r="E79" s="34">
        <v>41244</v>
      </c>
      <c r="F79" s="1">
        <v>9.1</v>
      </c>
      <c r="G79" s="34">
        <v>41244</v>
      </c>
      <c r="H79" s="1">
        <v>1.1399999999999999</v>
      </c>
      <c r="I79" s="34">
        <v>41244</v>
      </c>
      <c r="J79" s="1">
        <v>142.44999999999999</v>
      </c>
      <c r="K79" s="34">
        <v>41244</v>
      </c>
      <c r="L79" s="1">
        <v>5821.6</v>
      </c>
      <c r="M79" s="34">
        <v>41244</v>
      </c>
      <c r="N79" s="1">
        <v>843.2</v>
      </c>
    </row>
    <row r="80" spans="1:14" x14ac:dyDescent="0.25">
      <c r="A80" s="34">
        <v>41275</v>
      </c>
      <c r="B80" s="1">
        <v>5778.6</v>
      </c>
      <c r="C80" s="34">
        <v>41275</v>
      </c>
      <c r="D80" s="1">
        <v>568</v>
      </c>
      <c r="E80" s="34">
        <v>41275</v>
      </c>
      <c r="F80" s="1">
        <v>9.1999999999999993</v>
      </c>
      <c r="G80" s="34">
        <v>41275</v>
      </c>
      <c r="H80" s="1">
        <v>0.78</v>
      </c>
      <c r="I80" s="34">
        <v>41275</v>
      </c>
      <c r="J80" s="1">
        <v>142.58000000000001</v>
      </c>
      <c r="K80" s="34">
        <v>41275</v>
      </c>
      <c r="L80" s="1">
        <v>5655.3</v>
      </c>
      <c r="M80" s="34">
        <v>41275</v>
      </c>
      <c r="N80" s="1">
        <v>820.3</v>
      </c>
    </row>
    <row r="81" spans="1:14" x14ac:dyDescent="0.25">
      <c r="A81" s="34">
        <v>41306</v>
      </c>
      <c r="B81" s="1">
        <v>5789.7</v>
      </c>
      <c r="C81" s="34">
        <v>41306</v>
      </c>
      <c r="D81" s="1">
        <v>705</v>
      </c>
      <c r="E81" s="34">
        <v>41306</v>
      </c>
      <c r="F81" s="1">
        <v>9.1999999999999993</v>
      </c>
      <c r="G81" s="34">
        <v>41306</v>
      </c>
      <c r="H81" s="1">
        <v>1.06</v>
      </c>
      <c r="I81" s="34">
        <v>41306</v>
      </c>
      <c r="J81" s="1">
        <v>142.86000000000001</v>
      </c>
      <c r="K81" s="34">
        <v>41306</v>
      </c>
      <c r="L81" s="1">
        <v>5684.3</v>
      </c>
      <c r="M81" s="34">
        <v>41306</v>
      </c>
      <c r="N81" s="1">
        <v>841.4</v>
      </c>
    </row>
    <row r="82" spans="1:14" x14ac:dyDescent="0.25">
      <c r="A82" s="34">
        <v>41334</v>
      </c>
      <c r="B82" s="1">
        <v>5785.5</v>
      </c>
      <c r="C82" s="34">
        <v>41334</v>
      </c>
      <c r="D82" s="1">
        <v>1343</v>
      </c>
      <c r="E82" s="34">
        <v>41334</v>
      </c>
      <c r="F82" s="1">
        <v>9.1999999999999993</v>
      </c>
      <c r="G82" s="34">
        <v>41334</v>
      </c>
      <c r="H82" s="1">
        <v>1.08</v>
      </c>
      <c r="I82" s="34">
        <v>41334</v>
      </c>
      <c r="J82" s="1">
        <v>143.04</v>
      </c>
      <c r="K82" s="34">
        <v>41334</v>
      </c>
      <c r="L82" s="1">
        <v>5718</v>
      </c>
      <c r="M82" s="34">
        <v>41334</v>
      </c>
      <c r="N82" s="1">
        <v>841.8</v>
      </c>
    </row>
    <row r="83" spans="1:14" x14ac:dyDescent="0.25">
      <c r="A83" s="34">
        <v>41365</v>
      </c>
      <c r="B83" s="1">
        <v>5779.1</v>
      </c>
      <c r="C83" s="34">
        <v>41365</v>
      </c>
      <c r="D83" s="1">
        <v>1440</v>
      </c>
      <c r="E83" s="34">
        <v>41365</v>
      </c>
      <c r="F83" s="1">
        <v>9.1999999999999993</v>
      </c>
      <c r="G83" s="34">
        <v>41365</v>
      </c>
      <c r="H83" s="1">
        <v>0.98</v>
      </c>
      <c r="I83" s="34">
        <v>41365</v>
      </c>
      <c r="J83" s="1">
        <v>143.26</v>
      </c>
      <c r="K83" s="34">
        <v>41365</v>
      </c>
      <c r="L83" s="1">
        <v>5766.4</v>
      </c>
      <c r="M83" s="34">
        <v>41365</v>
      </c>
      <c r="N83" s="1">
        <v>844.6</v>
      </c>
    </row>
    <row r="84" spans="1:14" x14ac:dyDescent="0.25">
      <c r="A84" s="34">
        <v>41395</v>
      </c>
      <c r="B84" s="1">
        <v>5784.8</v>
      </c>
      <c r="C84" s="34">
        <v>41395</v>
      </c>
      <c r="D84" s="1">
        <v>1618</v>
      </c>
      <c r="E84" s="34">
        <v>41395</v>
      </c>
      <c r="F84" s="1">
        <v>9.1999999999999993</v>
      </c>
      <c r="G84" s="34">
        <v>41395</v>
      </c>
      <c r="H84" s="1">
        <v>0.88</v>
      </c>
      <c r="I84" s="34">
        <v>41395</v>
      </c>
      <c r="J84" s="1">
        <v>143.47999999999999</v>
      </c>
      <c r="K84" s="34">
        <v>41395</v>
      </c>
      <c r="L84" s="1">
        <v>5819.1</v>
      </c>
      <c r="M84" s="34">
        <v>41395</v>
      </c>
      <c r="N84" s="1">
        <v>839.8</v>
      </c>
    </row>
    <row r="85" spans="1:14" x14ac:dyDescent="0.25">
      <c r="A85" s="34">
        <v>41426</v>
      </c>
      <c r="B85" s="1">
        <v>5793.1</v>
      </c>
      <c r="C85" s="34">
        <v>41426</v>
      </c>
      <c r="D85" s="1">
        <v>1306</v>
      </c>
      <c r="E85" s="34">
        <v>41426</v>
      </c>
      <c r="F85" s="1">
        <v>9.1999999999999993</v>
      </c>
      <c r="G85" s="34">
        <v>41426</v>
      </c>
      <c r="H85" s="1">
        <v>0.98</v>
      </c>
      <c r="I85" s="34">
        <v>41426</v>
      </c>
      <c r="J85" s="1">
        <v>143.69</v>
      </c>
      <c r="K85" s="34">
        <v>41426</v>
      </c>
      <c r="L85" s="1">
        <v>5842.1</v>
      </c>
      <c r="M85" s="34">
        <v>41426</v>
      </c>
      <c r="N85" s="1">
        <v>822</v>
      </c>
    </row>
    <row r="86" spans="1:14" x14ac:dyDescent="0.25">
      <c r="A86" s="34">
        <v>41456</v>
      </c>
      <c r="B86" s="1">
        <v>5788.9</v>
      </c>
      <c r="C86" s="34">
        <v>41456</v>
      </c>
      <c r="D86" s="1">
        <v>1336</v>
      </c>
      <c r="E86" s="34">
        <v>41456</v>
      </c>
      <c r="F86" s="1">
        <v>9.1999999999999993</v>
      </c>
      <c r="G86" s="34">
        <v>41456</v>
      </c>
      <c r="H86" s="1">
        <v>1.06</v>
      </c>
      <c r="I86" s="34">
        <v>41456</v>
      </c>
      <c r="J86" s="1">
        <v>143.94</v>
      </c>
      <c r="K86" s="34">
        <v>41456</v>
      </c>
      <c r="L86" s="1">
        <v>5799.9</v>
      </c>
      <c r="M86" s="34">
        <v>41456</v>
      </c>
      <c r="N86" s="1">
        <v>795.3</v>
      </c>
    </row>
    <row r="87" spans="1:14" x14ac:dyDescent="0.25">
      <c r="A87" s="34">
        <v>41487</v>
      </c>
      <c r="B87" s="1">
        <v>5796.8</v>
      </c>
      <c r="C87" s="34">
        <v>41487</v>
      </c>
      <c r="D87" s="1">
        <v>1276</v>
      </c>
      <c r="E87" s="34">
        <v>41487</v>
      </c>
      <c r="F87" s="1">
        <v>9.1999999999999993</v>
      </c>
      <c r="G87" s="34">
        <v>41487</v>
      </c>
      <c r="H87" s="1">
        <v>1.02</v>
      </c>
      <c r="I87" s="34">
        <v>41487</v>
      </c>
      <c r="J87" s="1">
        <v>144.11000000000001</v>
      </c>
      <c r="K87" s="34">
        <v>41487</v>
      </c>
      <c r="L87" s="1">
        <v>5818.5</v>
      </c>
      <c r="M87" s="34">
        <v>41487</v>
      </c>
      <c r="N87" s="1">
        <v>788.4</v>
      </c>
    </row>
    <row r="88" spans="1:14" x14ac:dyDescent="0.25">
      <c r="A88" s="34">
        <v>41518</v>
      </c>
      <c r="B88" s="1">
        <v>5794.6</v>
      </c>
      <c r="C88" s="34">
        <v>41518</v>
      </c>
      <c r="D88" s="1">
        <v>2446</v>
      </c>
      <c r="E88" s="34">
        <v>41518</v>
      </c>
      <c r="F88" s="1">
        <v>9.1</v>
      </c>
      <c r="G88" s="34">
        <v>41518</v>
      </c>
      <c r="H88" s="1">
        <v>1.46</v>
      </c>
      <c r="I88" s="34">
        <v>41518</v>
      </c>
      <c r="J88" s="1">
        <v>144.51</v>
      </c>
      <c r="K88" s="34">
        <v>41518</v>
      </c>
      <c r="L88" s="1">
        <v>5837.5</v>
      </c>
      <c r="M88" s="34">
        <v>41518</v>
      </c>
      <c r="N88" s="1">
        <v>829.6</v>
      </c>
    </row>
    <row r="89" spans="1:14" x14ac:dyDescent="0.25">
      <c r="A89" s="34">
        <v>41548</v>
      </c>
      <c r="B89" s="1">
        <v>5816.9</v>
      </c>
      <c r="C89" s="34">
        <v>41548</v>
      </c>
      <c r="D89" s="1">
        <v>1892</v>
      </c>
      <c r="E89" s="34">
        <v>41548</v>
      </c>
      <c r="F89" s="1">
        <v>9.1</v>
      </c>
      <c r="G89" s="34">
        <v>41548</v>
      </c>
      <c r="H89" s="1">
        <v>1.29</v>
      </c>
      <c r="I89" s="34">
        <v>41548</v>
      </c>
      <c r="J89" s="1">
        <v>144.65</v>
      </c>
      <c r="K89" s="34">
        <v>41548</v>
      </c>
      <c r="L89" s="1">
        <v>5875</v>
      </c>
      <c r="M89" s="34">
        <v>41548</v>
      </c>
      <c r="N89" s="1">
        <v>842.2</v>
      </c>
    </row>
    <row r="90" spans="1:14" x14ac:dyDescent="0.25">
      <c r="A90" s="34">
        <v>41579</v>
      </c>
      <c r="B90" s="1">
        <v>5826</v>
      </c>
      <c r="C90" s="34">
        <v>41579</v>
      </c>
      <c r="D90" s="1">
        <v>1730</v>
      </c>
      <c r="E90" s="34">
        <v>41579</v>
      </c>
      <c r="F90" s="1">
        <v>9</v>
      </c>
      <c r="G90" s="34">
        <v>41579</v>
      </c>
      <c r="H90" s="1">
        <v>1.75</v>
      </c>
      <c r="I90" s="34">
        <v>41579</v>
      </c>
      <c r="J90" s="1">
        <v>145.08000000000001</v>
      </c>
      <c r="K90" s="34">
        <v>41579</v>
      </c>
      <c r="L90" s="1">
        <v>5885.4</v>
      </c>
      <c r="M90" s="34">
        <v>41579</v>
      </c>
      <c r="N90" s="1">
        <v>845.4</v>
      </c>
    </row>
    <row r="91" spans="1:14" x14ac:dyDescent="0.25">
      <c r="A91" s="34">
        <v>41609</v>
      </c>
      <c r="B91" s="1">
        <v>5828.7</v>
      </c>
      <c r="C91" s="34">
        <v>41609</v>
      </c>
      <c r="D91" s="1">
        <v>900</v>
      </c>
      <c r="E91" s="34">
        <v>41609</v>
      </c>
      <c r="F91" s="1">
        <v>8.9</v>
      </c>
      <c r="G91" s="34">
        <v>41609</v>
      </c>
      <c r="H91" s="1">
        <v>1.41</v>
      </c>
      <c r="I91" s="34">
        <v>41609</v>
      </c>
      <c r="J91" s="1">
        <v>145.29</v>
      </c>
      <c r="K91" s="34">
        <v>41609</v>
      </c>
      <c r="L91" s="1">
        <v>5862.8</v>
      </c>
      <c r="M91" s="34">
        <v>41609</v>
      </c>
      <c r="N91" s="1">
        <v>844.2</v>
      </c>
    </row>
    <row r="92" spans="1:14" x14ac:dyDescent="0.25">
      <c r="A92" s="34">
        <v>41640</v>
      </c>
      <c r="B92" s="1">
        <v>5810.7</v>
      </c>
      <c r="C92" s="34">
        <v>41640</v>
      </c>
      <c r="D92" s="1">
        <v>660</v>
      </c>
      <c r="E92" s="34">
        <v>41640</v>
      </c>
      <c r="F92" s="1">
        <v>8.6999999999999993</v>
      </c>
      <c r="G92" s="34">
        <v>41640</v>
      </c>
      <c r="H92" s="1">
        <v>1.62</v>
      </c>
      <c r="I92" s="34">
        <v>41640</v>
      </c>
      <c r="J92" s="1">
        <v>145.83000000000001</v>
      </c>
      <c r="K92" s="34">
        <v>41640</v>
      </c>
      <c r="L92" s="1">
        <v>5697</v>
      </c>
      <c r="M92" s="34">
        <v>41640</v>
      </c>
      <c r="N92" s="1">
        <v>820.5</v>
      </c>
    </row>
    <row r="93" spans="1:14" x14ac:dyDescent="0.25">
      <c r="A93" s="34">
        <v>41671</v>
      </c>
      <c r="B93" s="1">
        <v>5818.9</v>
      </c>
      <c r="C93" s="34">
        <v>41671</v>
      </c>
      <c r="D93" s="1">
        <v>843</v>
      </c>
      <c r="E93" s="34">
        <v>41671</v>
      </c>
      <c r="F93" s="1">
        <v>8.6999999999999993</v>
      </c>
      <c r="G93" s="34">
        <v>41671</v>
      </c>
      <c r="H93" s="1">
        <v>1.06</v>
      </c>
      <c r="I93" s="34">
        <v>41671</v>
      </c>
      <c r="J93" s="1">
        <v>145.83000000000001</v>
      </c>
      <c r="K93" s="34">
        <v>41671</v>
      </c>
      <c r="L93" s="1">
        <v>5715.1</v>
      </c>
      <c r="M93" s="34">
        <v>41671</v>
      </c>
      <c r="N93" s="1">
        <v>841.1</v>
      </c>
    </row>
    <row r="94" spans="1:14" x14ac:dyDescent="0.25">
      <c r="A94" s="34">
        <v>41699</v>
      </c>
      <c r="B94" s="1">
        <v>5815.2</v>
      </c>
      <c r="C94" s="34">
        <v>41699</v>
      </c>
      <c r="D94" s="1">
        <v>1772</v>
      </c>
      <c r="E94" s="34">
        <v>41699</v>
      </c>
      <c r="F94" s="1">
        <v>8.4</v>
      </c>
      <c r="G94" s="34">
        <v>41699</v>
      </c>
      <c r="H94" s="1">
        <v>1.2</v>
      </c>
      <c r="I94" s="34">
        <v>41699</v>
      </c>
      <c r="J94" s="1">
        <v>146.36000000000001</v>
      </c>
      <c r="K94" s="34">
        <v>41699</v>
      </c>
      <c r="L94" s="1">
        <v>5744.5</v>
      </c>
      <c r="M94" s="34">
        <v>41699</v>
      </c>
      <c r="N94" s="1">
        <v>842.7</v>
      </c>
    </row>
    <row r="95" spans="1:14" x14ac:dyDescent="0.25">
      <c r="A95" s="34">
        <v>41730</v>
      </c>
      <c r="B95" s="1">
        <v>5806.6</v>
      </c>
      <c r="C95" s="34">
        <v>41730</v>
      </c>
      <c r="D95" s="1">
        <v>2417</v>
      </c>
      <c r="E95" s="34">
        <v>41730</v>
      </c>
      <c r="F95" s="1">
        <v>7.9</v>
      </c>
      <c r="G95" s="34">
        <v>41730</v>
      </c>
      <c r="H95" s="1">
        <v>2.78</v>
      </c>
      <c r="I95" s="34">
        <v>41730</v>
      </c>
      <c r="J95" s="1">
        <v>146.97</v>
      </c>
      <c r="K95" s="34">
        <v>41730</v>
      </c>
      <c r="L95" s="1">
        <v>5798.9</v>
      </c>
      <c r="M95" s="34">
        <v>41730</v>
      </c>
      <c r="N95" s="1">
        <v>846.1</v>
      </c>
    </row>
    <row r="96" spans="1:14" x14ac:dyDescent="0.25">
      <c r="A96" s="34">
        <v>41760</v>
      </c>
      <c r="B96" s="1">
        <v>5807.2</v>
      </c>
      <c r="C96" s="34">
        <v>41760</v>
      </c>
      <c r="D96" s="1">
        <v>1913</v>
      </c>
      <c r="E96" s="34">
        <v>41760</v>
      </c>
      <c r="F96" s="1">
        <v>7.5</v>
      </c>
      <c r="G96" s="34">
        <v>41760</v>
      </c>
      <c r="H96" s="1">
        <v>2.19</v>
      </c>
      <c r="I96" s="34">
        <v>41760</v>
      </c>
      <c r="J96" s="1">
        <v>147.41</v>
      </c>
      <c r="K96" s="34">
        <v>41760</v>
      </c>
      <c r="L96" s="1">
        <v>5848.3</v>
      </c>
      <c r="M96" s="34">
        <v>41760</v>
      </c>
      <c r="N96" s="1">
        <v>848</v>
      </c>
    </row>
    <row r="97" spans="1:14" x14ac:dyDescent="0.25">
      <c r="A97" s="34">
        <v>41791</v>
      </c>
      <c r="B97" s="1">
        <v>5814.2</v>
      </c>
      <c r="C97" s="34">
        <v>41791</v>
      </c>
      <c r="D97" s="1">
        <v>2177</v>
      </c>
      <c r="E97" s="34">
        <v>41791</v>
      </c>
      <c r="F97" s="1">
        <v>7.1</v>
      </c>
      <c r="G97" s="34">
        <v>41791</v>
      </c>
      <c r="H97" s="1">
        <v>1.9</v>
      </c>
      <c r="I97" s="34">
        <v>41791</v>
      </c>
      <c r="J97" s="1">
        <v>147.96</v>
      </c>
      <c r="K97" s="34">
        <v>41791</v>
      </c>
      <c r="L97" s="1">
        <v>5872.2</v>
      </c>
      <c r="M97" s="34">
        <v>41791</v>
      </c>
      <c r="N97" s="1">
        <v>827.1</v>
      </c>
    </row>
    <row r="98" spans="1:14" x14ac:dyDescent="0.25">
      <c r="A98" s="34">
        <v>41821</v>
      </c>
      <c r="B98" s="1">
        <v>5823.6</v>
      </c>
      <c r="C98" s="34">
        <v>41821</v>
      </c>
      <c r="D98" s="1">
        <v>2327</v>
      </c>
      <c r="E98" s="34">
        <v>41821</v>
      </c>
      <c r="F98" s="1">
        <v>6.8</v>
      </c>
      <c r="G98" s="34">
        <v>41821</v>
      </c>
      <c r="H98" s="1">
        <v>2.23</v>
      </c>
      <c r="I98" s="34">
        <v>41821</v>
      </c>
      <c r="J98" s="1">
        <v>148.46</v>
      </c>
      <c r="K98" s="34">
        <v>41821</v>
      </c>
      <c r="L98" s="1">
        <v>5839.4</v>
      </c>
      <c r="M98" s="34">
        <v>41821</v>
      </c>
      <c r="N98" s="1">
        <v>800</v>
      </c>
    </row>
    <row r="99" spans="1:14" x14ac:dyDescent="0.25">
      <c r="A99" s="34">
        <v>41852</v>
      </c>
      <c r="B99" s="1">
        <v>5844.3</v>
      </c>
      <c r="C99" s="34">
        <v>41852</v>
      </c>
      <c r="D99" s="1">
        <v>1467</v>
      </c>
      <c r="E99" s="34">
        <v>41852</v>
      </c>
      <c r="F99" s="1">
        <v>6.7</v>
      </c>
      <c r="G99" s="34">
        <v>41852</v>
      </c>
      <c r="H99" s="1">
        <v>1.4</v>
      </c>
      <c r="I99" s="34">
        <v>41852</v>
      </c>
      <c r="J99" s="1">
        <v>148.72</v>
      </c>
      <c r="K99" s="34">
        <v>41852</v>
      </c>
      <c r="L99" s="1">
        <v>5856.8</v>
      </c>
      <c r="M99" s="34">
        <v>41852</v>
      </c>
      <c r="N99" s="1">
        <v>794.1</v>
      </c>
    </row>
    <row r="100" spans="1:14" x14ac:dyDescent="0.25">
      <c r="A100" s="34">
        <v>41883</v>
      </c>
      <c r="B100" s="1">
        <v>5858.3</v>
      </c>
      <c r="C100" s="34">
        <v>41883</v>
      </c>
      <c r="D100" s="1">
        <v>1380</v>
      </c>
      <c r="E100" s="34">
        <v>41883</v>
      </c>
      <c r="F100" s="1">
        <v>6.6</v>
      </c>
      <c r="G100" s="34">
        <v>41883</v>
      </c>
      <c r="H100" s="1">
        <v>1.48</v>
      </c>
      <c r="I100" s="34">
        <v>41883</v>
      </c>
      <c r="J100" s="1">
        <v>149.19</v>
      </c>
      <c r="K100" s="34">
        <v>41883</v>
      </c>
      <c r="L100" s="1">
        <v>5888.3</v>
      </c>
      <c r="M100" s="34">
        <v>41883</v>
      </c>
      <c r="N100" s="1">
        <v>835.8</v>
      </c>
    </row>
    <row r="101" spans="1:14" x14ac:dyDescent="0.25">
      <c r="A101" s="34">
        <v>41913</v>
      </c>
      <c r="B101" s="1">
        <v>5856.1</v>
      </c>
      <c r="C101" s="34">
        <v>41913</v>
      </c>
      <c r="D101" s="1">
        <v>2007</v>
      </c>
      <c r="E101" s="34">
        <v>41913</v>
      </c>
      <c r="F101" s="1">
        <v>6.6</v>
      </c>
      <c r="G101" s="34">
        <v>41913</v>
      </c>
      <c r="H101" s="1">
        <v>1.26</v>
      </c>
      <c r="I101" s="34">
        <v>41913</v>
      </c>
      <c r="J101" s="1">
        <v>149.38</v>
      </c>
      <c r="K101" s="34">
        <v>41913</v>
      </c>
      <c r="L101" s="1">
        <v>5915.2</v>
      </c>
      <c r="M101" s="34">
        <v>41913</v>
      </c>
      <c r="N101" s="1">
        <v>844.6</v>
      </c>
    </row>
    <row r="102" spans="1:14" x14ac:dyDescent="0.25">
      <c r="A102" s="34">
        <v>41944</v>
      </c>
      <c r="B102" s="1">
        <v>5863.2</v>
      </c>
      <c r="C102" s="34">
        <v>41944</v>
      </c>
      <c r="D102" s="1">
        <v>1129</v>
      </c>
      <c r="E102" s="34">
        <v>41944</v>
      </c>
      <c r="F102" s="1">
        <v>6.4</v>
      </c>
      <c r="G102" s="34">
        <v>41944</v>
      </c>
      <c r="H102" s="1">
        <v>1.8</v>
      </c>
      <c r="I102" s="34">
        <v>41944</v>
      </c>
      <c r="J102" s="1">
        <v>150.02000000000001</v>
      </c>
      <c r="K102" s="34">
        <v>41944</v>
      </c>
      <c r="L102" s="1">
        <v>5925.6</v>
      </c>
      <c r="M102" s="34">
        <v>41944</v>
      </c>
      <c r="N102" s="1">
        <v>847.8</v>
      </c>
    </row>
    <row r="103" spans="1:14" x14ac:dyDescent="0.25">
      <c r="A103" s="34">
        <v>41974</v>
      </c>
      <c r="B103" s="1">
        <v>5880.3</v>
      </c>
      <c r="E103" s="34">
        <v>41974</v>
      </c>
      <c r="F103" s="1">
        <v>6.2</v>
      </c>
      <c r="K103" s="34">
        <v>41974</v>
      </c>
      <c r="L103" s="1">
        <v>5914.9</v>
      </c>
      <c r="M103" s="34">
        <v>41974</v>
      </c>
      <c r="N103" s="1">
        <v>843.4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103"/>
  <sheetViews>
    <sheetView topLeftCell="A79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153</v>
      </c>
      <c r="C1" s="34" t="s">
        <v>154</v>
      </c>
      <c r="E1" s="34" t="s">
        <v>155</v>
      </c>
      <c r="G1" s="34" t="s">
        <v>156</v>
      </c>
      <c r="I1" s="34" t="s">
        <v>157</v>
      </c>
      <c r="K1" s="34" t="str">
        <f>CONCATENATE(LEFT(A1,2), "NAN")</f>
        <v>INNAN</v>
      </c>
      <c r="M1" s="34" t="str">
        <f>CONCATENATE(LEFT(A1,2), "GOVTN")</f>
        <v>INGOVTN</v>
      </c>
      <c r="O1" s="34" t="str">
        <f>CONCATENATE(LEFT($A$1,2), "RGSP")</f>
        <v>INRGSP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874</v>
      </c>
      <c r="C5" s="35" t="s">
        <v>455</v>
      </c>
      <c r="E5" s="35" t="s">
        <v>456</v>
      </c>
      <c r="G5" s="35" t="s">
        <v>457</v>
      </c>
      <c r="I5" s="35" t="s">
        <v>458</v>
      </c>
      <c r="K5" s="35" t="s">
        <v>874</v>
      </c>
      <c r="M5" s="35" t="s">
        <v>875</v>
      </c>
      <c r="O5" s="35" t="s">
        <v>805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2988.5</v>
      </c>
      <c r="C8" s="34">
        <v>39083</v>
      </c>
      <c r="D8" s="1">
        <v>1522</v>
      </c>
      <c r="E8" s="34">
        <v>39083</v>
      </c>
      <c r="F8" s="1">
        <v>4.5999999999999996</v>
      </c>
      <c r="G8" s="34">
        <v>39083</v>
      </c>
      <c r="H8" s="1">
        <v>0.57999999999999996</v>
      </c>
      <c r="I8" s="34">
        <v>39083</v>
      </c>
      <c r="J8" s="1">
        <v>146.62</v>
      </c>
      <c r="K8" s="34">
        <v>39083</v>
      </c>
      <c r="L8" s="1">
        <v>2927.2</v>
      </c>
      <c r="M8" s="34">
        <v>39083</v>
      </c>
      <c r="N8" s="1">
        <v>428</v>
      </c>
      <c r="O8" s="34">
        <v>39083</v>
      </c>
      <c r="P8" s="1">
        <v>283021</v>
      </c>
    </row>
    <row r="9" spans="1:16" x14ac:dyDescent="0.25">
      <c r="A9" s="34">
        <v>39114</v>
      </c>
      <c r="B9" s="1">
        <v>2980.1</v>
      </c>
      <c r="C9" s="34">
        <v>39114</v>
      </c>
      <c r="D9" s="1">
        <v>1233</v>
      </c>
      <c r="E9" s="34">
        <v>39114</v>
      </c>
      <c r="F9" s="1">
        <v>4.5999999999999996</v>
      </c>
      <c r="G9" s="34">
        <v>39114</v>
      </c>
      <c r="H9" s="1">
        <v>0.37</v>
      </c>
      <c r="I9" s="34">
        <v>39114</v>
      </c>
      <c r="J9" s="1">
        <v>146.91999999999999</v>
      </c>
      <c r="K9" s="34">
        <v>39114</v>
      </c>
      <c r="L9" s="1">
        <v>2930.3</v>
      </c>
      <c r="M9" s="34">
        <v>39114</v>
      </c>
      <c r="N9" s="1">
        <v>440.6</v>
      </c>
      <c r="O9" s="34">
        <v>39448</v>
      </c>
      <c r="P9" s="1">
        <v>280781</v>
      </c>
    </row>
    <row r="10" spans="1:16" x14ac:dyDescent="0.25">
      <c r="A10" s="34">
        <v>39142</v>
      </c>
      <c r="B10" s="1">
        <v>2994.7</v>
      </c>
      <c r="C10" s="34">
        <v>39142</v>
      </c>
      <c r="D10" s="1">
        <v>2474</v>
      </c>
      <c r="E10" s="34">
        <v>39142</v>
      </c>
      <c r="F10" s="1">
        <v>4.5999999999999996</v>
      </c>
      <c r="G10" s="34">
        <v>39142</v>
      </c>
      <c r="H10" s="1">
        <v>1.23</v>
      </c>
      <c r="I10" s="34">
        <v>39142</v>
      </c>
      <c r="J10" s="1">
        <v>147.24</v>
      </c>
      <c r="K10" s="34">
        <v>39142</v>
      </c>
      <c r="L10" s="1">
        <v>2971.1</v>
      </c>
      <c r="M10" s="34">
        <v>39142</v>
      </c>
      <c r="N10" s="1">
        <v>444</v>
      </c>
      <c r="O10" s="34">
        <v>39814</v>
      </c>
      <c r="P10" s="1">
        <v>262428</v>
      </c>
    </row>
    <row r="11" spans="1:16" x14ac:dyDescent="0.25">
      <c r="A11" s="34">
        <v>39173</v>
      </c>
      <c r="B11" s="1">
        <v>2992.8</v>
      </c>
      <c r="C11" s="34">
        <v>39173</v>
      </c>
      <c r="D11" s="1">
        <v>2443</v>
      </c>
      <c r="E11" s="34">
        <v>39173</v>
      </c>
      <c r="F11" s="1">
        <v>4.5</v>
      </c>
      <c r="G11" s="34">
        <v>39173</v>
      </c>
      <c r="H11" s="1">
        <v>0.51</v>
      </c>
      <c r="I11" s="34">
        <v>39173</v>
      </c>
      <c r="J11" s="1">
        <v>147.52000000000001</v>
      </c>
      <c r="K11" s="34">
        <v>39173</v>
      </c>
      <c r="L11" s="1">
        <v>2995</v>
      </c>
      <c r="M11" s="34">
        <v>39173</v>
      </c>
      <c r="N11" s="1">
        <v>441.2</v>
      </c>
      <c r="O11" s="34">
        <v>40179</v>
      </c>
      <c r="P11" s="1">
        <v>280408</v>
      </c>
    </row>
    <row r="12" spans="1:16" x14ac:dyDescent="0.25">
      <c r="A12" s="34">
        <v>39203</v>
      </c>
      <c r="B12" s="1">
        <v>2990.3</v>
      </c>
      <c r="C12" s="34">
        <v>39203</v>
      </c>
      <c r="D12" s="1">
        <v>2651</v>
      </c>
      <c r="E12" s="34">
        <v>39203</v>
      </c>
      <c r="F12" s="1">
        <v>4.5</v>
      </c>
      <c r="G12" s="34">
        <v>39203</v>
      </c>
      <c r="H12" s="1">
        <v>0.41</v>
      </c>
      <c r="I12" s="34">
        <v>39203</v>
      </c>
      <c r="J12" s="1">
        <v>147.74</v>
      </c>
      <c r="K12" s="34">
        <v>39203</v>
      </c>
      <c r="L12" s="1">
        <v>3016.3</v>
      </c>
      <c r="M12" s="34">
        <v>39203</v>
      </c>
      <c r="N12" s="1">
        <v>437.7</v>
      </c>
      <c r="O12" s="34">
        <v>40544</v>
      </c>
      <c r="P12" s="1">
        <v>281171</v>
      </c>
    </row>
    <row r="13" spans="1:16" x14ac:dyDescent="0.25">
      <c r="A13" s="34">
        <v>39234</v>
      </c>
      <c r="B13" s="1">
        <v>2998.6</v>
      </c>
      <c r="C13" s="34">
        <v>39234</v>
      </c>
      <c r="D13" s="1">
        <v>2543</v>
      </c>
      <c r="E13" s="34">
        <v>39234</v>
      </c>
      <c r="F13" s="1">
        <v>4.5</v>
      </c>
      <c r="G13" s="34">
        <v>39234</v>
      </c>
      <c r="H13" s="1">
        <v>0.31</v>
      </c>
      <c r="I13" s="34">
        <v>39234</v>
      </c>
      <c r="J13" s="1">
        <v>147.88999999999999</v>
      </c>
      <c r="K13" s="34">
        <v>39234</v>
      </c>
      <c r="L13" s="1">
        <v>3006.5</v>
      </c>
      <c r="M13" s="34">
        <v>39234</v>
      </c>
      <c r="N13" s="1">
        <v>410</v>
      </c>
      <c r="O13" s="34">
        <v>40909</v>
      </c>
      <c r="P13" s="1">
        <v>288261</v>
      </c>
    </row>
    <row r="14" spans="1:16" x14ac:dyDescent="0.25">
      <c r="A14" s="34">
        <v>39264</v>
      </c>
      <c r="B14" s="1">
        <v>2990.7</v>
      </c>
      <c r="C14" s="34">
        <v>39264</v>
      </c>
      <c r="D14" s="1">
        <v>2264</v>
      </c>
      <c r="E14" s="34">
        <v>39264</v>
      </c>
      <c r="F14" s="1">
        <v>4.5</v>
      </c>
      <c r="G14" s="34">
        <v>39264</v>
      </c>
      <c r="H14" s="1">
        <v>-0.25</v>
      </c>
      <c r="I14" s="34">
        <v>39264</v>
      </c>
      <c r="J14" s="1">
        <v>147.93</v>
      </c>
      <c r="K14" s="34">
        <v>39264</v>
      </c>
      <c r="L14" s="1">
        <v>2955.5</v>
      </c>
      <c r="M14" s="34">
        <v>39264</v>
      </c>
      <c r="N14" s="1">
        <v>379.9</v>
      </c>
      <c r="O14" s="34">
        <v>41275</v>
      </c>
      <c r="P14" s="1">
        <v>294212</v>
      </c>
    </row>
    <row r="15" spans="1:16" x14ac:dyDescent="0.25">
      <c r="A15" s="34">
        <v>39295</v>
      </c>
      <c r="B15" s="1">
        <v>2987.9</v>
      </c>
      <c r="C15" s="34">
        <v>39295</v>
      </c>
      <c r="D15" s="1">
        <v>2143</v>
      </c>
      <c r="E15" s="34">
        <v>39295</v>
      </c>
      <c r="F15" s="1">
        <v>4.5999999999999996</v>
      </c>
      <c r="G15" s="34">
        <v>39295</v>
      </c>
      <c r="H15" s="1">
        <v>-0.17</v>
      </c>
      <c r="I15" s="34">
        <v>39295</v>
      </c>
      <c r="J15" s="1">
        <v>147.86000000000001</v>
      </c>
      <c r="K15" s="34">
        <v>39295</v>
      </c>
      <c r="L15" s="1">
        <v>2990.5</v>
      </c>
      <c r="M15" s="34">
        <v>39295</v>
      </c>
      <c r="N15" s="1">
        <v>408.4</v>
      </c>
    </row>
    <row r="16" spans="1:16" x14ac:dyDescent="0.25">
      <c r="A16" s="34">
        <v>39326</v>
      </c>
      <c r="B16" s="1">
        <v>2991</v>
      </c>
      <c r="C16" s="34">
        <v>39326</v>
      </c>
      <c r="D16" s="1">
        <v>1677</v>
      </c>
      <c r="E16" s="34">
        <v>39326</v>
      </c>
      <c r="F16" s="1">
        <v>4.5999999999999996</v>
      </c>
      <c r="G16" s="34">
        <v>39326</v>
      </c>
      <c r="H16" s="1">
        <v>-0.05</v>
      </c>
      <c r="I16" s="34">
        <v>39326</v>
      </c>
      <c r="J16" s="1">
        <v>147.77000000000001</v>
      </c>
      <c r="K16" s="34">
        <v>39326</v>
      </c>
      <c r="L16" s="1">
        <v>3024.2</v>
      </c>
      <c r="M16" s="34">
        <v>39326</v>
      </c>
      <c r="N16" s="1">
        <v>443.2</v>
      </c>
    </row>
    <row r="17" spans="1:14" x14ac:dyDescent="0.25">
      <c r="A17" s="34">
        <v>39356</v>
      </c>
      <c r="B17" s="1">
        <v>2992.5</v>
      </c>
      <c r="C17" s="34">
        <v>39356</v>
      </c>
      <c r="D17" s="1">
        <v>1924</v>
      </c>
      <c r="E17" s="34">
        <v>39356</v>
      </c>
      <c r="F17" s="1">
        <v>4.7</v>
      </c>
      <c r="G17" s="34">
        <v>39356</v>
      </c>
      <c r="H17" s="1">
        <v>0.19</v>
      </c>
      <c r="I17" s="34">
        <v>39356</v>
      </c>
      <c r="J17" s="1">
        <v>147.72999999999999</v>
      </c>
      <c r="K17" s="34">
        <v>39356</v>
      </c>
      <c r="L17" s="1">
        <v>3027.8</v>
      </c>
      <c r="M17" s="34">
        <v>39356</v>
      </c>
      <c r="N17" s="1">
        <v>446.7</v>
      </c>
    </row>
    <row r="18" spans="1:14" x14ac:dyDescent="0.25">
      <c r="A18" s="34">
        <v>39387</v>
      </c>
      <c r="B18" s="1">
        <v>2995.5</v>
      </c>
      <c r="C18" s="34">
        <v>39387</v>
      </c>
      <c r="D18" s="1">
        <v>1759</v>
      </c>
      <c r="E18" s="34">
        <v>39387</v>
      </c>
      <c r="F18" s="1">
        <v>4.7</v>
      </c>
      <c r="G18" s="34">
        <v>39387</v>
      </c>
      <c r="H18" s="1">
        <v>0.54</v>
      </c>
      <c r="I18" s="34">
        <v>39387</v>
      </c>
      <c r="J18" s="1">
        <v>147.78</v>
      </c>
      <c r="K18" s="34">
        <v>39387</v>
      </c>
      <c r="L18" s="1">
        <v>3032.5</v>
      </c>
      <c r="M18" s="34">
        <v>39387</v>
      </c>
      <c r="N18" s="1">
        <v>447.2</v>
      </c>
    </row>
    <row r="19" spans="1:14" x14ac:dyDescent="0.25">
      <c r="A19" s="34">
        <v>39417</v>
      </c>
      <c r="B19" s="1">
        <v>2993.1</v>
      </c>
      <c r="C19" s="34">
        <v>39417</v>
      </c>
      <c r="D19" s="1">
        <v>875</v>
      </c>
      <c r="E19" s="34">
        <v>39417</v>
      </c>
      <c r="F19" s="1">
        <v>4.5999999999999996</v>
      </c>
      <c r="G19" s="34">
        <v>39417</v>
      </c>
      <c r="H19" s="1">
        <v>0.01</v>
      </c>
      <c r="I19" s="34">
        <v>39417</v>
      </c>
      <c r="J19" s="1">
        <v>147.86000000000001</v>
      </c>
      <c r="K19" s="34">
        <v>39417</v>
      </c>
      <c r="L19" s="1">
        <v>3021.6</v>
      </c>
      <c r="M19" s="34">
        <v>39417</v>
      </c>
      <c r="N19" s="1">
        <v>446.6</v>
      </c>
    </row>
    <row r="20" spans="1:14" x14ac:dyDescent="0.25">
      <c r="A20" s="34">
        <v>39448</v>
      </c>
      <c r="B20" s="1">
        <v>2991.4</v>
      </c>
      <c r="C20" s="34">
        <v>39448</v>
      </c>
      <c r="D20" s="1">
        <v>892</v>
      </c>
      <c r="E20" s="34">
        <v>39448</v>
      </c>
      <c r="F20" s="1">
        <v>4.7</v>
      </c>
      <c r="G20" s="34">
        <v>39448</v>
      </c>
      <c r="H20" s="1">
        <v>-0.81</v>
      </c>
      <c r="I20" s="34">
        <v>39448</v>
      </c>
      <c r="J20" s="1">
        <v>147.82</v>
      </c>
      <c r="K20" s="34">
        <v>39448</v>
      </c>
      <c r="L20" s="1">
        <v>2931.3</v>
      </c>
      <c r="M20" s="34">
        <v>39448</v>
      </c>
      <c r="N20" s="1">
        <v>434.8</v>
      </c>
    </row>
    <row r="21" spans="1:14" x14ac:dyDescent="0.25">
      <c r="A21" s="34">
        <v>39479</v>
      </c>
      <c r="B21" s="1">
        <v>2991.3</v>
      </c>
      <c r="C21" s="34">
        <v>39479</v>
      </c>
      <c r="D21" s="1">
        <v>1127</v>
      </c>
      <c r="E21" s="34">
        <v>39479</v>
      </c>
      <c r="F21" s="1">
        <v>4.8</v>
      </c>
      <c r="G21" s="34">
        <v>39479</v>
      </c>
      <c r="H21" s="1">
        <v>-1.19</v>
      </c>
      <c r="I21" s="34">
        <v>39479</v>
      </c>
      <c r="J21" s="1">
        <v>147.61000000000001</v>
      </c>
      <c r="K21" s="34">
        <v>39479</v>
      </c>
      <c r="L21" s="1">
        <v>2942.2</v>
      </c>
      <c r="M21" s="34">
        <v>39479</v>
      </c>
      <c r="N21" s="1">
        <v>449</v>
      </c>
    </row>
    <row r="22" spans="1:14" x14ac:dyDescent="0.25">
      <c r="A22" s="34">
        <v>39508</v>
      </c>
      <c r="B22" s="1">
        <v>2979.2</v>
      </c>
      <c r="C22" s="34">
        <v>39508</v>
      </c>
      <c r="D22" s="1">
        <v>1229</v>
      </c>
      <c r="E22" s="34">
        <v>39508</v>
      </c>
      <c r="F22" s="1">
        <v>4.9000000000000004</v>
      </c>
      <c r="G22" s="34">
        <v>39508</v>
      </c>
      <c r="H22" s="1">
        <v>-1.33</v>
      </c>
      <c r="I22" s="34">
        <v>39508</v>
      </c>
      <c r="J22" s="1">
        <v>147.26</v>
      </c>
      <c r="K22" s="34">
        <v>39508</v>
      </c>
      <c r="L22" s="1">
        <v>2956</v>
      </c>
      <c r="M22" s="34">
        <v>39508</v>
      </c>
      <c r="N22" s="1">
        <v>451.5</v>
      </c>
    </row>
    <row r="23" spans="1:14" x14ac:dyDescent="0.25">
      <c r="A23" s="34">
        <v>39539</v>
      </c>
      <c r="B23" s="1">
        <v>2980</v>
      </c>
      <c r="C23" s="34">
        <v>39539</v>
      </c>
      <c r="D23" s="1">
        <v>1705</v>
      </c>
      <c r="E23" s="34">
        <v>39539</v>
      </c>
      <c r="F23" s="1">
        <v>5.2</v>
      </c>
      <c r="G23" s="34">
        <v>39539</v>
      </c>
      <c r="H23" s="1">
        <v>-0.4</v>
      </c>
      <c r="I23" s="34">
        <v>39539</v>
      </c>
      <c r="J23" s="1">
        <v>146.9</v>
      </c>
      <c r="K23" s="34">
        <v>39539</v>
      </c>
      <c r="L23" s="1">
        <v>2981.7</v>
      </c>
      <c r="M23" s="34">
        <v>39539</v>
      </c>
      <c r="N23" s="1">
        <v>449.9</v>
      </c>
    </row>
    <row r="24" spans="1:14" x14ac:dyDescent="0.25">
      <c r="A24" s="34">
        <v>39569</v>
      </c>
      <c r="B24" s="1">
        <v>2979.8</v>
      </c>
      <c r="C24" s="34">
        <v>39569</v>
      </c>
      <c r="D24" s="1">
        <v>1638</v>
      </c>
      <c r="E24" s="34">
        <v>39569</v>
      </c>
      <c r="F24" s="1">
        <v>5.2</v>
      </c>
      <c r="G24" s="34">
        <v>39569</v>
      </c>
      <c r="H24" s="1">
        <v>-0.13</v>
      </c>
      <c r="I24" s="34">
        <v>39569</v>
      </c>
      <c r="J24" s="1">
        <v>146.63999999999999</v>
      </c>
      <c r="K24" s="34">
        <v>39569</v>
      </c>
      <c r="L24" s="1">
        <v>3010.4</v>
      </c>
      <c r="M24" s="34">
        <v>39569</v>
      </c>
      <c r="N24" s="1">
        <v>451.9</v>
      </c>
    </row>
    <row r="25" spans="1:14" x14ac:dyDescent="0.25">
      <c r="A25" s="34">
        <v>39600</v>
      </c>
      <c r="B25" s="1">
        <v>2975.6</v>
      </c>
      <c r="C25" s="34">
        <v>39600</v>
      </c>
      <c r="D25" s="1">
        <v>2142</v>
      </c>
      <c r="E25" s="34">
        <v>39600</v>
      </c>
      <c r="F25" s="1">
        <v>5.5</v>
      </c>
      <c r="G25" s="34">
        <v>39600</v>
      </c>
      <c r="H25" s="1">
        <v>-1.39</v>
      </c>
      <c r="I25" s="34">
        <v>39600</v>
      </c>
      <c r="J25" s="1">
        <v>146.31</v>
      </c>
      <c r="K25" s="34">
        <v>39600</v>
      </c>
      <c r="L25" s="1">
        <v>2986.8</v>
      </c>
      <c r="M25" s="34">
        <v>39600</v>
      </c>
      <c r="N25" s="1">
        <v>422.8</v>
      </c>
    </row>
    <row r="26" spans="1:14" x14ac:dyDescent="0.25">
      <c r="A26" s="34">
        <v>39630</v>
      </c>
      <c r="B26" s="1">
        <v>2970.2</v>
      </c>
      <c r="C26" s="34">
        <v>39630</v>
      </c>
      <c r="D26" s="1">
        <v>1547</v>
      </c>
      <c r="E26" s="34">
        <v>39630</v>
      </c>
      <c r="F26" s="1">
        <v>5.7</v>
      </c>
      <c r="G26" s="34">
        <v>39630</v>
      </c>
      <c r="H26" s="1">
        <v>-1.29</v>
      </c>
      <c r="I26" s="34">
        <v>39630</v>
      </c>
      <c r="J26" s="1">
        <v>145.87</v>
      </c>
      <c r="K26" s="34">
        <v>39630</v>
      </c>
      <c r="L26" s="1">
        <v>2930.6</v>
      </c>
      <c r="M26" s="34">
        <v>39630</v>
      </c>
      <c r="N26" s="1">
        <v>394.6</v>
      </c>
    </row>
    <row r="27" spans="1:14" x14ac:dyDescent="0.25">
      <c r="A27" s="34">
        <v>39661</v>
      </c>
      <c r="B27" s="1">
        <v>2963.2</v>
      </c>
      <c r="C27" s="34">
        <v>39661</v>
      </c>
      <c r="D27" s="1">
        <v>1681</v>
      </c>
      <c r="E27" s="34">
        <v>39661</v>
      </c>
      <c r="F27" s="1">
        <v>6</v>
      </c>
      <c r="G27" s="34">
        <v>39661</v>
      </c>
      <c r="H27" s="1">
        <v>-2.38</v>
      </c>
      <c r="I27" s="34">
        <v>39661</v>
      </c>
      <c r="J27" s="1">
        <v>145.22999999999999</v>
      </c>
      <c r="K27" s="34">
        <v>39661</v>
      </c>
      <c r="L27" s="1">
        <v>2967.8</v>
      </c>
      <c r="M27" s="34">
        <v>39661</v>
      </c>
      <c r="N27" s="1">
        <v>423</v>
      </c>
    </row>
    <row r="28" spans="1:14" x14ac:dyDescent="0.25">
      <c r="A28" s="34">
        <v>39692</v>
      </c>
      <c r="B28" s="1">
        <v>2955.1</v>
      </c>
      <c r="C28" s="34">
        <v>39692</v>
      </c>
      <c r="D28" s="1">
        <v>1201</v>
      </c>
      <c r="E28" s="34">
        <v>39692</v>
      </c>
      <c r="F28" s="1">
        <v>6.3</v>
      </c>
      <c r="G28" s="34">
        <v>39692</v>
      </c>
      <c r="H28" s="1">
        <v>-3.34</v>
      </c>
      <c r="I28" s="34">
        <v>39692</v>
      </c>
      <c r="J28" s="1">
        <v>144.29</v>
      </c>
      <c r="K28" s="34">
        <v>39692</v>
      </c>
      <c r="L28" s="1">
        <v>2986.6</v>
      </c>
      <c r="M28" s="34">
        <v>39692</v>
      </c>
      <c r="N28" s="1">
        <v>448.7</v>
      </c>
    </row>
    <row r="29" spans="1:14" x14ac:dyDescent="0.25">
      <c r="A29" s="34">
        <v>39722</v>
      </c>
      <c r="B29" s="1">
        <v>2939.6</v>
      </c>
      <c r="C29" s="34">
        <v>39722</v>
      </c>
      <c r="D29" s="1">
        <v>1244</v>
      </c>
      <c r="E29" s="34">
        <v>39722</v>
      </c>
      <c r="F29" s="1">
        <v>6.8</v>
      </c>
      <c r="G29" s="34">
        <v>39722</v>
      </c>
      <c r="H29" s="1">
        <v>-4.6900000000000004</v>
      </c>
      <c r="I29" s="34">
        <v>39722</v>
      </c>
      <c r="J29" s="1">
        <v>142.97</v>
      </c>
      <c r="K29" s="34">
        <v>39722</v>
      </c>
      <c r="L29" s="1">
        <v>2978.5</v>
      </c>
      <c r="M29" s="34">
        <v>39722</v>
      </c>
      <c r="N29" s="1">
        <v>454.2</v>
      </c>
    </row>
    <row r="30" spans="1:14" x14ac:dyDescent="0.25">
      <c r="A30" s="34">
        <v>39753</v>
      </c>
      <c r="B30" s="1">
        <v>2920.7</v>
      </c>
      <c r="C30" s="34">
        <v>39753</v>
      </c>
      <c r="D30" s="1">
        <v>907</v>
      </c>
      <c r="E30" s="34">
        <v>39753</v>
      </c>
      <c r="F30" s="1">
        <v>7.4</v>
      </c>
      <c r="G30" s="34">
        <v>39753</v>
      </c>
      <c r="H30" s="1">
        <v>-6.2</v>
      </c>
      <c r="I30" s="34">
        <v>39753</v>
      </c>
      <c r="J30" s="1">
        <v>141.16999999999999</v>
      </c>
      <c r="K30" s="34">
        <v>39753</v>
      </c>
      <c r="L30" s="1">
        <v>2956.3</v>
      </c>
      <c r="M30" s="34">
        <v>39753</v>
      </c>
      <c r="N30" s="1">
        <v>454.3</v>
      </c>
    </row>
    <row r="31" spans="1:14" x14ac:dyDescent="0.25">
      <c r="A31" s="34">
        <v>39783</v>
      </c>
      <c r="B31" s="1">
        <v>2896.2</v>
      </c>
      <c r="C31" s="34">
        <v>39783</v>
      </c>
      <c r="D31" s="1">
        <v>733</v>
      </c>
      <c r="E31" s="34">
        <v>39783</v>
      </c>
      <c r="F31" s="1">
        <v>8.1</v>
      </c>
      <c r="G31" s="34">
        <v>39783</v>
      </c>
      <c r="H31" s="1">
        <v>-6.37</v>
      </c>
      <c r="I31" s="34">
        <v>39783</v>
      </c>
      <c r="J31" s="1">
        <v>138.99</v>
      </c>
      <c r="K31" s="34">
        <v>39783</v>
      </c>
      <c r="L31" s="1">
        <v>2925.1</v>
      </c>
      <c r="M31" s="34">
        <v>39783</v>
      </c>
      <c r="N31" s="1">
        <v>450.8</v>
      </c>
    </row>
    <row r="32" spans="1:14" x14ac:dyDescent="0.25">
      <c r="A32" s="34">
        <v>39814</v>
      </c>
      <c r="B32" s="1">
        <v>2858.2</v>
      </c>
      <c r="C32" s="34">
        <v>39814</v>
      </c>
      <c r="D32" s="1">
        <v>399</v>
      </c>
      <c r="E32" s="34">
        <v>39814</v>
      </c>
      <c r="F32" s="1">
        <v>8.9</v>
      </c>
      <c r="G32" s="34">
        <v>39814</v>
      </c>
      <c r="H32" s="1">
        <v>-6.13</v>
      </c>
      <c r="I32" s="34">
        <v>39814</v>
      </c>
      <c r="J32" s="1">
        <v>136.69999999999999</v>
      </c>
      <c r="K32" s="34">
        <v>39814</v>
      </c>
      <c r="L32" s="1">
        <v>2796.2</v>
      </c>
      <c r="M32" s="34">
        <v>39814</v>
      </c>
      <c r="N32" s="1">
        <v>439.6</v>
      </c>
    </row>
    <row r="33" spans="1:14" x14ac:dyDescent="0.25">
      <c r="A33" s="34">
        <v>39845</v>
      </c>
      <c r="B33" s="1">
        <v>2843.5</v>
      </c>
      <c r="C33" s="34">
        <v>39845</v>
      </c>
      <c r="D33" s="1">
        <v>590</v>
      </c>
      <c r="E33" s="34">
        <v>39845</v>
      </c>
      <c r="F33" s="1">
        <v>9.6</v>
      </c>
      <c r="G33" s="34">
        <v>39845</v>
      </c>
      <c r="H33" s="1">
        <v>-4.05</v>
      </c>
      <c r="I33" s="34">
        <v>39845</v>
      </c>
      <c r="J33" s="1">
        <v>134.63999999999999</v>
      </c>
      <c r="K33" s="34">
        <v>39845</v>
      </c>
      <c r="L33" s="1">
        <v>2794.7</v>
      </c>
      <c r="M33" s="34">
        <v>39845</v>
      </c>
      <c r="N33" s="1">
        <v>447.8</v>
      </c>
    </row>
    <row r="34" spans="1:14" x14ac:dyDescent="0.25">
      <c r="A34" s="34">
        <v>39873</v>
      </c>
      <c r="B34" s="1">
        <v>2819.9</v>
      </c>
      <c r="C34" s="34">
        <v>39873</v>
      </c>
      <c r="D34" s="1">
        <v>1121</v>
      </c>
      <c r="E34" s="34">
        <v>39873</v>
      </c>
      <c r="F34" s="1">
        <v>10.1</v>
      </c>
      <c r="G34" s="34">
        <v>39873</v>
      </c>
      <c r="H34" s="1">
        <v>-3.74</v>
      </c>
      <c r="I34" s="34">
        <v>39873</v>
      </c>
      <c r="J34" s="1">
        <v>132.93</v>
      </c>
      <c r="K34" s="34">
        <v>39873</v>
      </c>
      <c r="L34" s="1">
        <v>2799.5</v>
      </c>
      <c r="M34" s="34">
        <v>39873</v>
      </c>
      <c r="N34" s="1">
        <v>451.5</v>
      </c>
    </row>
    <row r="35" spans="1:14" x14ac:dyDescent="0.25">
      <c r="A35" s="34">
        <v>39904</v>
      </c>
      <c r="B35" s="1">
        <v>2795.2</v>
      </c>
      <c r="C35" s="34">
        <v>39904</v>
      </c>
      <c r="D35" s="1">
        <v>1090</v>
      </c>
      <c r="E35" s="34">
        <v>39904</v>
      </c>
      <c r="F35" s="1">
        <v>10.6</v>
      </c>
      <c r="G35" s="34">
        <v>39904</v>
      </c>
      <c r="H35" s="1">
        <v>-2.76</v>
      </c>
      <c r="I35" s="34">
        <v>39904</v>
      </c>
      <c r="J35" s="1">
        <v>131.58000000000001</v>
      </c>
      <c r="K35" s="34">
        <v>39904</v>
      </c>
      <c r="L35" s="1">
        <v>2808</v>
      </c>
      <c r="M35" s="34">
        <v>39904</v>
      </c>
      <c r="N35" s="1">
        <v>450.5</v>
      </c>
    </row>
    <row r="36" spans="1:14" x14ac:dyDescent="0.25">
      <c r="A36" s="34">
        <v>39934</v>
      </c>
      <c r="B36" s="1">
        <v>2789.1</v>
      </c>
      <c r="C36" s="34">
        <v>39934</v>
      </c>
      <c r="D36" s="1">
        <v>941</v>
      </c>
      <c r="E36" s="34">
        <v>39934</v>
      </c>
      <c r="F36" s="1">
        <v>10.7</v>
      </c>
      <c r="G36" s="34">
        <v>39934</v>
      </c>
      <c r="H36" s="1">
        <v>-0.78</v>
      </c>
      <c r="I36" s="34">
        <v>39934</v>
      </c>
      <c r="J36" s="1">
        <v>130.65</v>
      </c>
      <c r="K36" s="34">
        <v>39934</v>
      </c>
      <c r="L36" s="1">
        <v>2816.8</v>
      </c>
      <c r="M36" s="34">
        <v>39934</v>
      </c>
      <c r="N36" s="1">
        <v>454.4</v>
      </c>
    </row>
    <row r="37" spans="1:14" x14ac:dyDescent="0.25">
      <c r="A37" s="34">
        <v>39965</v>
      </c>
      <c r="B37" s="1">
        <v>2776.4</v>
      </c>
      <c r="C37" s="34">
        <v>39965</v>
      </c>
      <c r="D37" s="1">
        <v>1360</v>
      </c>
      <c r="E37" s="34">
        <v>39965</v>
      </c>
      <c r="F37" s="1">
        <v>10.8</v>
      </c>
      <c r="G37" s="34">
        <v>39965</v>
      </c>
      <c r="H37" s="1">
        <v>0.18</v>
      </c>
      <c r="I37" s="34">
        <v>39965</v>
      </c>
      <c r="J37" s="1">
        <v>130.1</v>
      </c>
      <c r="K37" s="34">
        <v>39965</v>
      </c>
      <c r="L37" s="1">
        <v>2781</v>
      </c>
      <c r="M37" s="34">
        <v>39965</v>
      </c>
      <c r="N37" s="1">
        <v>418.2</v>
      </c>
    </row>
    <row r="38" spans="1:14" x14ac:dyDescent="0.25">
      <c r="A38" s="34">
        <v>39995</v>
      </c>
      <c r="B38" s="1">
        <v>2761.9</v>
      </c>
      <c r="C38" s="34">
        <v>39995</v>
      </c>
      <c r="D38" s="1">
        <v>1510</v>
      </c>
      <c r="E38" s="34">
        <v>39995</v>
      </c>
      <c r="F38" s="1">
        <v>10.7</v>
      </c>
      <c r="G38" s="34">
        <v>39995</v>
      </c>
      <c r="H38" s="1">
        <v>1.87</v>
      </c>
      <c r="I38" s="34">
        <v>39995</v>
      </c>
      <c r="J38" s="1">
        <v>129.94999999999999</v>
      </c>
      <c r="K38" s="34">
        <v>39995</v>
      </c>
      <c r="L38" s="1">
        <v>2719.6</v>
      </c>
      <c r="M38" s="34">
        <v>39995</v>
      </c>
      <c r="N38" s="1">
        <v>378.5</v>
      </c>
    </row>
    <row r="39" spans="1:14" x14ac:dyDescent="0.25">
      <c r="A39" s="34">
        <v>40026</v>
      </c>
      <c r="B39" s="1">
        <v>2773.3</v>
      </c>
      <c r="C39" s="34">
        <v>40026</v>
      </c>
      <c r="D39" s="1">
        <v>1168</v>
      </c>
      <c r="E39" s="34">
        <v>40026</v>
      </c>
      <c r="F39" s="1">
        <v>10.6</v>
      </c>
      <c r="G39" s="34">
        <v>40026</v>
      </c>
      <c r="H39" s="1">
        <v>2.2200000000000002</v>
      </c>
      <c r="I39" s="34">
        <v>40026</v>
      </c>
      <c r="J39" s="1">
        <v>130.13</v>
      </c>
      <c r="K39" s="34">
        <v>40026</v>
      </c>
      <c r="L39" s="1">
        <v>2756.4</v>
      </c>
      <c r="M39" s="34">
        <v>40026</v>
      </c>
      <c r="N39" s="1">
        <v>407.5</v>
      </c>
    </row>
    <row r="40" spans="1:14" x14ac:dyDescent="0.25">
      <c r="A40" s="34">
        <v>40057</v>
      </c>
      <c r="B40" s="1">
        <v>2770.5</v>
      </c>
      <c r="C40" s="34">
        <v>40057</v>
      </c>
      <c r="D40" s="1">
        <v>1154</v>
      </c>
      <c r="E40" s="34">
        <v>40057</v>
      </c>
      <c r="F40" s="1">
        <v>10.5</v>
      </c>
      <c r="G40" s="34">
        <v>40057</v>
      </c>
      <c r="H40" s="1">
        <v>2.34</v>
      </c>
      <c r="I40" s="34">
        <v>40057</v>
      </c>
      <c r="J40" s="1">
        <v>130.49</v>
      </c>
      <c r="K40" s="34">
        <v>40057</v>
      </c>
      <c r="L40" s="1">
        <v>2804.7</v>
      </c>
      <c r="M40" s="34">
        <v>40057</v>
      </c>
      <c r="N40" s="1">
        <v>447.1</v>
      </c>
    </row>
    <row r="41" spans="1:14" x14ac:dyDescent="0.25">
      <c r="A41" s="34">
        <v>40087</v>
      </c>
      <c r="B41" s="1">
        <v>2772</v>
      </c>
      <c r="C41" s="34">
        <v>40087</v>
      </c>
      <c r="D41" s="1">
        <v>1194</v>
      </c>
      <c r="E41" s="34">
        <v>40087</v>
      </c>
      <c r="F41" s="1">
        <v>10.4</v>
      </c>
      <c r="G41" s="34">
        <v>40087</v>
      </c>
      <c r="H41" s="1">
        <v>1.5</v>
      </c>
      <c r="I41" s="34">
        <v>40087</v>
      </c>
      <c r="J41" s="1">
        <v>130.86000000000001</v>
      </c>
      <c r="K41" s="34">
        <v>40087</v>
      </c>
      <c r="L41" s="1">
        <v>2815.1</v>
      </c>
      <c r="M41" s="34">
        <v>40087</v>
      </c>
      <c r="N41" s="1">
        <v>457.7</v>
      </c>
    </row>
    <row r="42" spans="1:14" x14ac:dyDescent="0.25">
      <c r="A42" s="34">
        <v>40118</v>
      </c>
      <c r="B42" s="1">
        <v>2779.5</v>
      </c>
      <c r="C42" s="34">
        <v>40118</v>
      </c>
      <c r="D42" s="1">
        <v>935</v>
      </c>
      <c r="E42" s="34">
        <v>40118</v>
      </c>
      <c r="F42" s="1">
        <v>10.5</v>
      </c>
      <c r="G42" s="34">
        <v>40118</v>
      </c>
      <c r="H42" s="1">
        <v>1.1499999999999999</v>
      </c>
      <c r="I42" s="34">
        <v>40118</v>
      </c>
      <c r="J42" s="1">
        <v>131.13</v>
      </c>
      <c r="K42" s="34">
        <v>40118</v>
      </c>
      <c r="L42" s="1">
        <v>2816.2</v>
      </c>
      <c r="M42" s="34">
        <v>40118</v>
      </c>
      <c r="N42" s="1">
        <v>452.7</v>
      </c>
    </row>
    <row r="43" spans="1:14" x14ac:dyDescent="0.25">
      <c r="A43" s="34">
        <v>40148</v>
      </c>
      <c r="B43" s="1">
        <v>2777</v>
      </c>
      <c r="C43" s="34">
        <v>40148</v>
      </c>
      <c r="D43" s="1">
        <v>823</v>
      </c>
      <c r="E43" s="34">
        <v>40148</v>
      </c>
      <c r="F43" s="1">
        <v>10.6</v>
      </c>
      <c r="G43" s="34">
        <v>40148</v>
      </c>
      <c r="H43" s="1">
        <v>1.49</v>
      </c>
      <c r="I43" s="34">
        <v>40148</v>
      </c>
      <c r="J43" s="1">
        <v>131.35</v>
      </c>
      <c r="K43" s="34">
        <v>40148</v>
      </c>
      <c r="L43" s="1">
        <v>2808.2</v>
      </c>
      <c r="M43" s="34">
        <v>40148</v>
      </c>
      <c r="N43" s="1">
        <v>451.8</v>
      </c>
    </row>
    <row r="44" spans="1:14" x14ac:dyDescent="0.25">
      <c r="A44" s="34">
        <v>40179</v>
      </c>
      <c r="B44" s="1">
        <v>2779.4</v>
      </c>
      <c r="C44" s="34">
        <v>40179</v>
      </c>
      <c r="D44" s="1">
        <v>808</v>
      </c>
      <c r="E44" s="34">
        <v>40179</v>
      </c>
      <c r="F44" s="1">
        <v>10.6</v>
      </c>
      <c r="G44" s="34">
        <v>40179</v>
      </c>
      <c r="H44" s="1">
        <v>2.12</v>
      </c>
      <c r="I44" s="34">
        <v>40179</v>
      </c>
      <c r="J44" s="1">
        <v>131.6</v>
      </c>
      <c r="K44" s="34">
        <v>40179</v>
      </c>
      <c r="L44" s="1">
        <v>2717.7</v>
      </c>
      <c r="M44" s="34">
        <v>40179</v>
      </c>
      <c r="N44" s="1">
        <v>440.1</v>
      </c>
    </row>
    <row r="45" spans="1:14" x14ac:dyDescent="0.25">
      <c r="A45" s="34">
        <v>40210</v>
      </c>
      <c r="B45" s="1">
        <v>2779.6</v>
      </c>
      <c r="C45" s="34">
        <v>40210</v>
      </c>
      <c r="D45" s="1">
        <v>698</v>
      </c>
      <c r="E45" s="34">
        <v>40210</v>
      </c>
      <c r="F45" s="1">
        <v>10.6</v>
      </c>
      <c r="G45" s="34">
        <v>40210</v>
      </c>
      <c r="H45" s="1">
        <v>2.97</v>
      </c>
      <c r="I45" s="34">
        <v>40210</v>
      </c>
      <c r="J45" s="1">
        <v>132.02000000000001</v>
      </c>
      <c r="K45" s="34">
        <v>40210</v>
      </c>
      <c r="L45" s="1">
        <v>2732.3</v>
      </c>
      <c r="M45" s="34">
        <v>40210</v>
      </c>
      <c r="N45" s="1">
        <v>449.2</v>
      </c>
    </row>
    <row r="46" spans="1:14" x14ac:dyDescent="0.25">
      <c r="A46" s="34">
        <v>40238</v>
      </c>
      <c r="B46" s="1">
        <v>2783.3</v>
      </c>
      <c r="C46" s="34">
        <v>40238</v>
      </c>
      <c r="D46" s="1">
        <v>1386</v>
      </c>
      <c r="E46" s="34">
        <v>40238</v>
      </c>
      <c r="F46" s="1">
        <v>10.5</v>
      </c>
      <c r="G46" s="34">
        <v>40238</v>
      </c>
      <c r="H46" s="1">
        <v>3.72</v>
      </c>
      <c r="I46" s="34">
        <v>40238</v>
      </c>
      <c r="J46" s="1">
        <v>132.68</v>
      </c>
      <c r="K46" s="34">
        <v>40238</v>
      </c>
      <c r="L46" s="1">
        <v>2763.5</v>
      </c>
      <c r="M46" s="34">
        <v>40238</v>
      </c>
      <c r="N46" s="1">
        <v>449.2</v>
      </c>
    </row>
    <row r="47" spans="1:14" x14ac:dyDescent="0.25">
      <c r="A47" s="34">
        <v>40269</v>
      </c>
      <c r="B47" s="1">
        <v>2797.9</v>
      </c>
      <c r="C47" s="34">
        <v>40269</v>
      </c>
      <c r="D47" s="1">
        <v>1359</v>
      </c>
      <c r="E47" s="34">
        <v>40269</v>
      </c>
      <c r="F47" s="1">
        <v>10.4</v>
      </c>
      <c r="G47" s="34">
        <v>40269</v>
      </c>
      <c r="H47" s="1">
        <v>3.22</v>
      </c>
      <c r="I47" s="34">
        <v>40269</v>
      </c>
      <c r="J47" s="1">
        <v>133.51</v>
      </c>
      <c r="K47" s="34">
        <v>40269</v>
      </c>
      <c r="L47" s="1">
        <v>2812.1</v>
      </c>
      <c r="M47" s="34">
        <v>40269</v>
      </c>
      <c r="N47" s="1">
        <v>453.6</v>
      </c>
    </row>
    <row r="48" spans="1:14" x14ac:dyDescent="0.25">
      <c r="A48" s="34">
        <v>40299</v>
      </c>
      <c r="B48" s="1">
        <v>2809.6</v>
      </c>
      <c r="C48" s="34">
        <v>40299</v>
      </c>
      <c r="D48" s="1">
        <v>1115</v>
      </c>
      <c r="E48" s="34">
        <v>40299</v>
      </c>
      <c r="F48" s="1">
        <v>10.199999999999999</v>
      </c>
      <c r="G48" s="34">
        <v>40299</v>
      </c>
      <c r="H48" s="1">
        <v>2.41</v>
      </c>
      <c r="I48" s="34">
        <v>40299</v>
      </c>
      <c r="J48" s="1">
        <v>134.30000000000001</v>
      </c>
      <c r="K48" s="34">
        <v>40299</v>
      </c>
      <c r="L48" s="1">
        <v>2838.2</v>
      </c>
      <c r="M48" s="34">
        <v>40299</v>
      </c>
      <c r="N48" s="1">
        <v>460.4</v>
      </c>
    </row>
    <row r="49" spans="1:14" x14ac:dyDescent="0.25">
      <c r="A49" s="34">
        <v>40330</v>
      </c>
      <c r="B49" s="1">
        <v>2808.1</v>
      </c>
      <c r="C49" s="34">
        <v>40330</v>
      </c>
      <c r="D49" s="1">
        <v>1133</v>
      </c>
      <c r="E49" s="34">
        <v>40330</v>
      </c>
      <c r="F49" s="1">
        <v>10.1</v>
      </c>
      <c r="G49" s="34">
        <v>40330</v>
      </c>
      <c r="H49" s="1">
        <v>1.87</v>
      </c>
      <c r="I49" s="34">
        <v>40330</v>
      </c>
      <c r="J49" s="1">
        <v>134.96</v>
      </c>
      <c r="K49" s="34">
        <v>40330</v>
      </c>
      <c r="L49" s="1">
        <v>2811.3</v>
      </c>
      <c r="M49" s="34">
        <v>40330</v>
      </c>
      <c r="N49" s="1">
        <v>424.4</v>
      </c>
    </row>
    <row r="50" spans="1:14" x14ac:dyDescent="0.25">
      <c r="A50" s="34">
        <v>40360</v>
      </c>
      <c r="B50" s="1">
        <v>2822.6</v>
      </c>
      <c r="C50" s="34">
        <v>40360</v>
      </c>
      <c r="D50" s="1">
        <v>1339</v>
      </c>
      <c r="E50" s="34">
        <v>40360</v>
      </c>
      <c r="F50" s="1">
        <v>9.9</v>
      </c>
      <c r="G50" s="34">
        <v>40360</v>
      </c>
      <c r="H50" s="1">
        <v>1.28</v>
      </c>
      <c r="I50" s="34">
        <v>40360</v>
      </c>
      <c r="J50" s="1">
        <v>135.43</v>
      </c>
      <c r="K50" s="34">
        <v>40360</v>
      </c>
      <c r="L50" s="1">
        <v>2778.6</v>
      </c>
      <c r="M50" s="34">
        <v>40360</v>
      </c>
      <c r="N50" s="1">
        <v>392.7</v>
      </c>
    </row>
    <row r="51" spans="1:14" x14ac:dyDescent="0.25">
      <c r="A51" s="34">
        <v>40391</v>
      </c>
      <c r="B51" s="1">
        <v>2823.7</v>
      </c>
      <c r="C51" s="34">
        <v>40391</v>
      </c>
      <c r="D51" s="1">
        <v>949</v>
      </c>
      <c r="E51" s="34">
        <v>40391</v>
      </c>
      <c r="F51" s="1">
        <v>9.8000000000000007</v>
      </c>
      <c r="G51" s="34">
        <v>40391</v>
      </c>
      <c r="H51" s="1">
        <v>0.32</v>
      </c>
      <c r="I51" s="34">
        <v>40391</v>
      </c>
      <c r="J51" s="1">
        <v>135.68</v>
      </c>
      <c r="K51" s="34">
        <v>40391</v>
      </c>
      <c r="L51" s="1">
        <v>2807.5</v>
      </c>
      <c r="M51" s="34">
        <v>40391</v>
      </c>
      <c r="N51" s="1">
        <v>411.5</v>
      </c>
    </row>
    <row r="52" spans="1:14" x14ac:dyDescent="0.25">
      <c r="A52" s="34">
        <v>40422</v>
      </c>
      <c r="B52" s="1">
        <v>2801.1</v>
      </c>
      <c r="C52" s="34">
        <v>40422</v>
      </c>
      <c r="D52" s="1">
        <v>1161</v>
      </c>
      <c r="E52" s="34">
        <v>40422</v>
      </c>
      <c r="F52" s="1">
        <v>9.6999999999999993</v>
      </c>
      <c r="G52" s="34">
        <v>40422</v>
      </c>
      <c r="H52" s="1">
        <v>1.32</v>
      </c>
      <c r="I52" s="34">
        <v>40422</v>
      </c>
      <c r="J52" s="1">
        <v>135.86000000000001</v>
      </c>
      <c r="K52" s="34">
        <v>40422</v>
      </c>
      <c r="L52" s="1">
        <v>2834.6</v>
      </c>
      <c r="M52" s="34">
        <v>40422</v>
      </c>
      <c r="N52" s="1">
        <v>439.8</v>
      </c>
    </row>
    <row r="53" spans="1:14" x14ac:dyDescent="0.25">
      <c r="A53" s="34">
        <v>40452</v>
      </c>
      <c r="B53" s="1">
        <v>2811.5</v>
      </c>
      <c r="C53" s="34">
        <v>40452</v>
      </c>
      <c r="D53" s="1">
        <v>1044</v>
      </c>
      <c r="E53" s="34">
        <v>40452</v>
      </c>
      <c r="F53" s="1">
        <v>9.6</v>
      </c>
      <c r="G53" s="34">
        <v>40452</v>
      </c>
      <c r="H53" s="1">
        <v>2.1</v>
      </c>
      <c r="I53" s="34">
        <v>40452</v>
      </c>
      <c r="J53" s="1">
        <v>136.13</v>
      </c>
      <c r="K53" s="34">
        <v>40452</v>
      </c>
      <c r="L53" s="1">
        <v>2847.6</v>
      </c>
      <c r="M53" s="34">
        <v>40452</v>
      </c>
      <c r="N53" s="1">
        <v>443.8</v>
      </c>
    </row>
    <row r="54" spans="1:14" x14ac:dyDescent="0.25">
      <c r="A54" s="34">
        <v>40483</v>
      </c>
      <c r="B54" s="1">
        <v>2811.3</v>
      </c>
      <c r="C54" s="34">
        <v>40483</v>
      </c>
      <c r="D54" s="1">
        <v>827</v>
      </c>
      <c r="E54" s="34">
        <v>40483</v>
      </c>
      <c r="F54" s="1">
        <v>9.4</v>
      </c>
      <c r="G54" s="34">
        <v>40483</v>
      </c>
      <c r="H54" s="1">
        <v>2.2000000000000002</v>
      </c>
      <c r="I54" s="34">
        <v>40483</v>
      </c>
      <c r="J54" s="1">
        <v>136.56</v>
      </c>
      <c r="K54" s="34">
        <v>40483</v>
      </c>
      <c r="L54" s="1">
        <v>2847.6</v>
      </c>
      <c r="M54" s="34">
        <v>40483</v>
      </c>
      <c r="N54" s="1">
        <v>443</v>
      </c>
    </row>
    <row r="55" spans="1:14" x14ac:dyDescent="0.25">
      <c r="A55" s="34">
        <v>40513</v>
      </c>
      <c r="B55" s="1">
        <v>2814.7</v>
      </c>
      <c r="C55" s="34">
        <v>40513</v>
      </c>
      <c r="D55" s="1">
        <v>640</v>
      </c>
      <c r="E55" s="34">
        <v>40513</v>
      </c>
      <c r="F55" s="1">
        <v>9.1999999999999993</v>
      </c>
      <c r="G55" s="34">
        <v>40513</v>
      </c>
      <c r="H55" s="1">
        <v>2.14</v>
      </c>
      <c r="I55" s="34">
        <v>40513</v>
      </c>
      <c r="J55" s="1">
        <v>137.1</v>
      </c>
      <c r="K55" s="34">
        <v>40513</v>
      </c>
      <c r="L55" s="1">
        <v>2841</v>
      </c>
      <c r="M55" s="34">
        <v>40513</v>
      </c>
      <c r="N55" s="1">
        <v>438.1</v>
      </c>
    </row>
    <row r="56" spans="1:14" x14ac:dyDescent="0.25">
      <c r="A56" s="34">
        <v>40544</v>
      </c>
      <c r="B56" s="1">
        <v>2825.3</v>
      </c>
      <c r="C56" s="34">
        <v>40544</v>
      </c>
      <c r="D56" s="1">
        <v>626</v>
      </c>
      <c r="E56" s="34">
        <v>40544</v>
      </c>
      <c r="F56" s="1">
        <v>9</v>
      </c>
      <c r="G56" s="34">
        <v>40544</v>
      </c>
      <c r="H56" s="1">
        <v>2.23</v>
      </c>
      <c r="I56" s="34">
        <v>40544</v>
      </c>
      <c r="J56" s="1">
        <v>137.71</v>
      </c>
      <c r="K56" s="34">
        <v>40544</v>
      </c>
      <c r="L56" s="1">
        <v>2765.1</v>
      </c>
      <c r="M56" s="34">
        <v>40544</v>
      </c>
      <c r="N56" s="1">
        <v>429.4</v>
      </c>
    </row>
    <row r="57" spans="1:14" x14ac:dyDescent="0.25">
      <c r="A57" s="34">
        <v>40575</v>
      </c>
      <c r="B57" s="1">
        <v>2828.5</v>
      </c>
      <c r="C57" s="34">
        <v>40575</v>
      </c>
      <c r="D57" s="1">
        <v>518</v>
      </c>
      <c r="E57" s="34">
        <v>40575</v>
      </c>
      <c r="F57" s="1">
        <v>8.8000000000000007</v>
      </c>
      <c r="G57" s="34">
        <v>40575</v>
      </c>
      <c r="H57" s="1">
        <v>2.12</v>
      </c>
      <c r="I57" s="34">
        <v>40575</v>
      </c>
      <c r="J57" s="1">
        <v>138.32</v>
      </c>
      <c r="K57" s="34">
        <v>40575</v>
      </c>
      <c r="L57" s="1">
        <v>2781.5</v>
      </c>
      <c r="M57" s="34">
        <v>40575</v>
      </c>
      <c r="N57" s="1">
        <v>437.2</v>
      </c>
    </row>
    <row r="58" spans="1:14" x14ac:dyDescent="0.25">
      <c r="A58" s="34">
        <v>40603</v>
      </c>
      <c r="B58" s="1">
        <v>2835</v>
      </c>
      <c r="C58" s="34">
        <v>40603</v>
      </c>
      <c r="D58" s="1">
        <v>1123</v>
      </c>
      <c r="E58" s="34">
        <v>40603</v>
      </c>
      <c r="F58" s="1">
        <v>8.6999999999999993</v>
      </c>
      <c r="G58" s="34">
        <v>40603</v>
      </c>
      <c r="H58" s="1">
        <v>1.83</v>
      </c>
      <c r="I58" s="34">
        <v>40603</v>
      </c>
      <c r="J58" s="1">
        <v>138.85</v>
      </c>
      <c r="K58" s="34">
        <v>40603</v>
      </c>
      <c r="L58" s="1">
        <v>2815.2</v>
      </c>
      <c r="M58" s="34">
        <v>40603</v>
      </c>
      <c r="N58" s="1">
        <v>438.9</v>
      </c>
    </row>
    <row r="59" spans="1:14" x14ac:dyDescent="0.25">
      <c r="A59" s="34">
        <v>40634</v>
      </c>
      <c r="B59" s="1">
        <v>2840.9</v>
      </c>
      <c r="C59" s="34">
        <v>40634</v>
      </c>
      <c r="D59" s="1">
        <v>971</v>
      </c>
      <c r="E59" s="34">
        <v>40634</v>
      </c>
      <c r="F59" s="1">
        <v>8.6999999999999993</v>
      </c>
      <c r="G59" s="34">
        <v>40634</v>
      </c>
      <c r="H59" s="1">
        <v>0.72</v>
      </c>
      <c r="I59" s="34">
        <v>40634</v>
      </c>
      <c r="J59" s="1">
        <v>139.22</v>
      </c>
      <c r="K59" s="34">
        <v>40634</v>
      </c>
      <c r="L59" s="1">
        <v>2856.6</v>
      </c>
      <c r="M59" s="34">
        <v>40634</v>
      </c>
      <c r="N59" s="1">
        <v>442.4</v>
      </c>
    </row>
    <row r="60" spans="1:14" x14ac:dyDescent="0.25">
      <c r="A60" s="34">
        <v>40664</v>
      </c>
      <c r="B60" s="1">
        <v>2851.5</v>
      </c>
      <c r="C60" s="34">
        <v>40664</v>
      </c>
      <c r="D60" s="1">
        <v>1033</v>
      </c>
      <c r="E60" s="34">
        <v>40664</v>
      </c>
      <c r="F60" s="1">
        <v>8.8000000000000007</v>
      </c>
      <c r="G60" s="34">
        <v>40664</v>
      </c>
      <c r="H60" s="1">
        <v>0.11</v>
      </c>
      <c r="I60" s="34">
        <v>40664</v>
      </c>
      <c r="J60" s="1">
        <v>139.35</v>
      </c>
      <c r="K60" s="34">
        <v>40664</v>
      </c>
      <c r="L60" s="1">
        <v>2880</v>
      </c>
      <c r="M60" s="34">
        <v>40664</v>
      </c>
      <c r="N60" s="1">
        <v>446.4</v>
      </c>
    </row>
    <row r="61" spans="1:14" x14ac:dyDescent="0.25">
      <c r="A61" s="34">
        <v>40695</v>
      </c>
      <c r="B61" s="1">
        <v>2844.8</v>
      </c>
      <c r="C61" s="34">
        <v>40695</v>
      </c>
      <c r="D61" s="1">
        <v>1133</v>
      </c>
      <c r="E61" s="34">
        <v>40695</v>
      </c>
      <c r="F61" s="1">
        <v>8.9</v>
      </c>
      <c r="G61" s="34">
        <v>40695</v>
      </c>
      <c r="H61" s="1">
        <v>0.52</v>
      </c>
      <c r="I61" s="34">
        <v>40695</v>
      </c>
      <c r="J61" s="1">
        <v>139.36000000000001</v>
      </c>
      <c r="K61" s="34">
        <v>40695</v>
      </c>
      <c r="L61" s="1">
        <v>2845.8</v>
      </c>
      <c r="M61" s="34">
        <v>40695</v>
      </c>
      <c r="N61" s="1">
        <v>408.5</v>
      </c>
    </row>
    <row r="62" spans="1:14" x14ac:dyDescent="0.25">
      <c r="A62" s="34">
        <v>40725</v>
      </c>
      <c r="B62" s="1">
        <v>2843.1</v>
      </c>
      <c r="C62" s="34">
        <v>40725</v>
      </c>
      <c r="D62" s="1">
        <v>1162</v>
      </c>
      <c r="E62" s="34">
        <v>40725</v>
      </c>
      <c r="F62" s="1">
        <v>9</v>
      </c>
      <c r="G62" s="34">
        <v>40725</v>
      </c>
      <c r="H62" s="1">
        <v>1.69</v>
      </c>
      <c r="I62" s="34">
        <v>40725</v>
      </c>
      <c r="J62" s="1">
        <v>139.43</v>
      </c>
      <c r="K62" s="34">
        <v>40725</v>
      </c>
      <c r="L62" s="1">
        <v>2795.6</v>
      </c>
      <c r="M62" s="34">
        <v>40725</v>
      </c>
      <c r="N62" s="1">
        <v>363.8</v>
      </c>
    </row>
    <row r="63" spans="1:14" x14ac:dyDescent="0.25">
      <c r="A63" s="34">
        <v>40756</v>
      </c>
      <c r="B63" s="1">
        <v>2850.4</v>
      </c>
      <c r="C63" s="34">
        <v>40756</v>
      </c>
      <c r="D63" s="1">
        <v>1526</v>
      </c>
      <c r="E63" s="34">
        <v>40756</v>
      </c>
      <c r="F63" s="1">
        <v>9.1</v>
      </c>
      <c r="G63" s="34">
        <v>40756</v>
      </c>
      <c r="H63" s="1">
        <v>2.48</v>
      </c>
      <c r="I63" s="34">
        <v>40756</v>
      </c>
      <c r="J63" s="1">
        <v>139.69</v>
      </c>
      <c r="K63" s="34">
        <v>40756</v>
      </c>
      <c r="L63" s="1">
        <v>2834.1</v>
      </c>
      <c r="M63" s="34">
        <v>40756</v>
      </c>
      <c r="N63" s="1">
        <v>387.7</v>
      </c>
    </row>
    <row r="64" spans="1:14" x14ac:dyDescent="0.25">
      <c r="A64" s="34">
        <v>40787</v>
      </c>
      <c r="B64" s="1">
        <v>2861.9</v>
      </c>
      <c r="C64" s="34">
        <v>40787</v>
      </c>
      <c r="D64" s="1">
        <v>1372</v>
      </c>
      <c r="E64" s="34">
        <v>40787</v>
      </c>
      <c r="F64" s="1">
        <v>9</v>
      </c>
      <c r="G64" s="34">
        <v>40787</v>
      </c>
      <c r="H64" s="1">
        <v>3.09</v>
      </c>
      <c r="I64" s="34">
        <v>40787</v>
      </c>
      <c r="J64" s="1">
        <v>140.22</v>
      </c>
      <c r="K64" s="34">
        <v>40787</v>
      </c>
      <c r="L64" s="1">
        <v>2895.7</v>
      </c>
      <c r="M64" s="34">
        <v>40787</v>
      </c>
      <c r="N64" s="1">
        <v>439.8</v>
      </c>
    </row>
    <row r="65" spans="1:14" x14ac:dyDescent="0.25">
      <c r="A65" s="34">
        <v>40817</v>
      </c>
      <c r="B65" s="1">
        <v>2863.4</v>
      </c>
      <c r="C65" s="34">
        <v>40817</v>
      </c>
      <c r="D65" s="1">
        <v>856</v>
      </c>
      <c r="E65" s="34">
        <v>40817</v>
      </c>
      <c r="F65" s="1">
        <v>8.9</v>
      </c>
      <c r="G65" s="34">
        <v>40817</v>
      </c>
      <c r="H65" s="1">
        <v>1.87</v>
      </c>
      <c r="I65" s="34">
        <v>40817</v>
      </c>
      <c r="J65" s="1">
        <v>140.81</v>
      </c>
      <c r="K65" s="34">
        <v>40817</v>
      </c>
      <c r="L65" s="1">
        <v>2899.7</v>
      </c>
      <c r="M65" s="34">
        <v>40817</v>
      </c>
      <c r="N65" s="1">
        <v>441.8</v>
      </c>
    </row>
    <row r="66" spans="1:14" x14ac:dyDescent="0.25">
      <c r="A66" s="34">
        <v>40848</v>
      </c>
      <c r="B66" s="1">
        <v>2866.1</v>
      </c>
      <c r="C66" s="34">
        <v>40848</v>
      </c>
      <c r="D66" s="1">
        <v>1038</v>
      </c>
      <c r="E66" s="34">
        <v>40848</v>
      </c>
      <c r="F66" s="1">
        <v>8.8000000000000007</v>
      </c>
      <c r="G66" s="34">
        <v>40848</v>
      </c>
      <c r="H66" s="1">
        <v>3.29</v>
      </c>
      <c r="I66" s="34">
        <v>40848</v>
      </c>
      <c r="J66" s="1">
        <v>141.5</v>
      </c>
      <c r="K66" s="34">
        <v>40848</v>
      </c>
      <c r="L66" s="1">
        <v>2901.9</v>
      </c>
      <c r="M66" s="34">
        <v>40848</v>
      </c>
      <c r="N66" s="1">
        <v>443.4</v>
      </c>
    </row>
    <row r="67" spans="1:14" x14ac:dyDescent="0.25">
      <c r="A67" s="34">
        <v>40878</v>
      </c>
      <c r="B67" s="1">
        <v>2878.2</v>
      </c>
      <c r="C67" s="34">
        <v>40878</v>
      </c>
      <c r="D67" s="1">
        <v>946</v>
      </c>
      <c r="E67" s="34">
        <v>40878</v>
      </c>
      <c r="F67" s="1">
        <v>8.5</v>
      </c>
      <c r="G67" s="34">
        <v>40878</v>
      </c>
      <c r="H67" s="1">
        <v>3.67</v>
      </c>
      <c r="I67" s="34">
        <v>40878</v>
      </c>
      <c r="J67" s="1">
        <v>142.34</v>
      </c>
      <c r="K67" s="34">
        <v>40878</v>
      </c>
      <c r="L67" s="1">
        <v>2904.3</v>
      </c>
      <c r="M67" s="34">
        <v>40878</v>
      </c>
      <c r="N67" s="1">
        <v>443.5</v>
      </c>
    </row>
    <row r="68" spans="1:14" x14ac:dyDescent="0.25">
      <c r="A68" s="34">
        <v>40909</v>
      </c>
      <c r="B68" s="1">
        <v>2888.1</v>
      </c>
      <c r="C68" s="34">
        <v>40909</v>
      </c>
      <c r="D68" s="1">
        <v>551</v>
      </c>
      <c r="E68" s="34">
        <v>40909</v>
      </c>
      <c r="F68" s="1">
        <v>8.3000000000000007</v>
      </c>
      <c r="G68" s="34">
        <v>40909</v>
      </c>
      <c r="H68" s="1">
        <v>2.72</v>
      </c>
      <c r="I68" s="34">
        <v>40909</v>
      </c>
      <c r="J68" s="1">
        <v>143.19999999999999</v>
      </c>
      <c r="K68" s="34">
        <v>40909</v>
      </c>
      <c r="L68" s="1">
        <v>2827.4</v>
      </c>
      <c r="M68" s="34">
        <v>40909</v>
      </c>
      <c r="N68" s="1">
        <v>433.3</v>
      </c>
    </row>
    <row r="69" spans="1:14" x14ac:dyDescent="0.25">
      <c r="A69" s="34">
        <v>40940</v>
      </c>
      <c r="B69" s="1">
        <v>2894.6</v>
      </c>
      <c r="C69" s="34">
        <v>40940</v>
      </c>
      <c r="D69" s="1">
        <v>1070</v>
      </c>
      <c r="E69" s="34">
        <v>40940</v>
      </c>
      <c r="F69" s="1">
        <v>8.1</v>
      </c>
      <c r="G69" s="34">
        <v>40940</v>
      </c>
      <c r="H69" s="1">
        <v>2.06</v>
      </c>
      <c r="I69" s="34">
        <v>40940</v>
      </c>
      <c r="J69" s="1">
        <v>143.94</v>
      </c>
      <c r="K69" s="34">
        <v>40940</v>
      </c>
      <c r="L69" s="1">
        <v>2852.9</v>
      </c>
      <c r="M69" s="34">
        <v>40940</v>
      </c>
      <c r="N69" s="1">
        <v>439.5</v>
      </c>
    </row>
    <row r="70" spans="1:14" x14ac:dyDescent="0.25">
      <c r="A70" s="34">
        <v>40969</v>
      </c>
      <c r="B70" s="1">
        <v>2900.5</v>
      </c>
      <c r="C70" s="34">
        <v>40969</v>
      </c>
      <c r="D70" s="1">
        <v>1187</v>
      </c>
      <c r="E70" s="34">
        <v>40969</v>
      </c>
      <c r="F70" s="1">
        <v>8</v>
      </c>
      <c r="G70" s="34">
        <v>40969</v>
      </c>
      <c r="H70" s="1">
        <v>1.04</v>
      </c>
      <c r="I70" s="34">
        <v>40969</v>
      </c>
      <c r="J70" s="1">
        <v>144.41</v>
      </c>
      <c r="K70" s="34">
        <v>40969</v>
      </c>
      <c r="L70" s="1">
        <v>2881.3</v>
      </c>
      <c r="M70" s="34">
        <v>40969</v>
      </c>
      <c r="N70" s="1">
        <v>441.5</v>
      </c>
    </row>
    <row r="71" spans="1:14" x14ac:dyDescent="0.25">
      <c r="A71" s="34">
        <v>41000</v>
      </c>
      <c r="B71" s="1">
        <v>2891.9</v>
      </c>
      <c r="C71" s="34">
        <v>41000</v>
      </c>
      <c r="D71" s="1">
        <v>1339</v>
      </c>
      <c r="E71" s="34">
        <v>41000</v>
      </c>
      <c r="F71" s="1">
        <v>8.1</v>
      </c>
      <c r="G71" s="34">
        <v>41000</v>
      </c>
      <c r="H71" s="1">
        <v>1.1200000000000001</v>
      </c>
      <c r="I71" s="34">
        <v>41000</v>
      </c>
      <c r="J71" s="1">
        <v>144.66999999999999</v>
      </c>
      <c r="K71" s="34">
        <v>41000</v>
      </c>
      <c r="L71" s="1">
        <v>2900.1</v>
      </c>
      <c r="M71" s="34">
        <v>41000</v>
      </c>
      <c r="N71" s="1">
        <v>438.8</v>
      </c>
    </row>
    <row r="72" spans="1:14" x14ac:dyDescent="0.25">
      <c r="A72" s="34">
        <v>41030</v>
      </c>
      <c r="B72" s="1">
        <v>2894.3</v>
      </c>
      <c r="C72" s="34">
        <v>41030</v>
      </c>
      <c r="D72" s="1">
        <v>1370</v>
      </c>
      <c r="E72" s="34">
        <v>41030</v>
      </c>
      <c r="F72" s="1">
        <v>8.1</v>
      </c>
      <c r="G72" s="34">
        <v>41030</v>
      </c>
      <c r="H72" s="1">
        <v>2.13</v>
      </c>
      <c r="I72" s="34">
        <v>41030</v>
      </c>
      <c r="J72" s="1">
        <v>144.94</v>
      </c>
      <c r="K72" s="34">
        <v>41030</v>
      </c>
      <c r="L72" s="1">
        <v>2922.7</v>
      </c>
      <c r="M72" s="34">
        <v>41030</v>
      </c>
      <c r="N72" s="1">
        <v>435.8</v>
      </c>
    </row>
    <row r="73" spans="1:14" x14ac:dyDescent="0.25">
      <c r="A73" s="34">
        <v>41061</v>
      </c>
      <c r="B73" s="1">
        <v>2902.3</v>
      </c>
      <c r="C73" s="34">
        <v>41061</v>
      </c>
      <c r="D73" s="1">
        <v>1464</v>
      </c>
      <c r="E73" s="34">
        <v>41061</v>
      </c>
      <c r="F73" s="1">
        <v>8.1</v>
      </c>
      <c r="G73" s="34">
        <v>41061</v>
      </c>
      <c r="H73" s="1">
        <v>1.41</v>
      </c>
      <c r="I73" s="34">
        <v>41061</v>
      </c>
      <c r="J73" s="1">
        <v>145.24</v>
      </c>
      <c r="K73" s="34">
        <v>41061</v>
      </c>
      <c r="L73" s="1">
        <v>2902.8</v>
      </c>
      <c r="M73" s="34">
        <v>41061</v>
      </c>
      <c r="N73" s="1">
        <v>404.5</v>
      </c>
    </row>
    <row r="74" spans="1:14" x14ac:dyDescent="0.25">
      <c r="A74" s="34">
        <v>41091</v>
      </c>
      <c r="B74" s="1">
        <v>2895.5</v>
      </c>
      <c r="C74" s="34">
        <v>41091</v>
      </c>
      <c r="D74" s="1">
        <v>1045</v>
      </c>
      <c r="E74" s="34">
        <v>41091</v>
      </c>
      <c r="F74" s="1">
        <v>8.1</v>
      </c>
      <c r="G74" s="34">
        <v>41091</v>
      </c>
      <c r="H74" s="1">
        <v>1.1499999999999999</v>
      </c>
      <c r="I74" s="34">
        <v>41091</v>
      </c>
      <c r="J74" s="1">
        <v>145.5</v>
      </c>
      <c r="K74" s="34">
        <v>41091</v>
      </c>
      <c r="L74" s="1">
        <v>2847.1</v>
      </c>
      <c r="M74" s="34">
        <v>41091</v>
      </c>
      <c r="N74" s="1">
        <v>364.7</v>
      </c>
    </row>
    <row r="75" spans="1:14" x14ac:dyDescent="0.25">
      <c r="A75" s="34">
        <v>41122</v>
      </c>
      <c r="B75" s="1">
        <v>2898.8</v>
      </c>
      <c r="C75" s="34">
        <v>41122</v>
      </c>
      <c r="D75" s="1">
        <v>1320</v>
      </c>
      <c r="E75" s="34">
        <v>41122</v>
      </c>
      <c r="F75" s="1">
        <v>8.1</v>
      </c>
      <c r="G75" s="34">
        <v>41122</v>
      </c>
      <c r="H75" s="1">
        <v>0.95</v>
      </c>
      <c r="I75" s="34">
        <v>41122</v>
      </c>
      <c r="J75" s="1">
        <v>145.74</v>
      </c>
      <c r="K75" s="34">
        <v>41122</v>
      </c>
      <c r="L75" s="1">
        <v>2905.9</v>
      </c>
      <c r="M75" s="34">
        <v>41122</v>
      </c>
      <c r="N75" s="1">
        <v>411.5</v>
      </c>
    </row>
    <row r="76" spans="1:14" x14ac:dyDescent="0.25">
      <c r="A76" s="34">
        <v>41153</v>
      </c>
      <c r="B76" s="1">
        <v>2905.1</v>
      </c>
      <c r="C76" s="34">
        <v>41153</v>
      </c>
      <c r="D76" s="1">
        <v>1175</v>
      </c>
      <c r="E76" s="34">
        <v>41153</v>
      </c>
      <c r="F76" s="1">
        <v>8.1999999999999993</v>
      </c>
      <c r="G76" s="34">
        <v>41153</v>
      </c>
      <c r="H76" s="1">
        <v>0.7</v>
      </c>
      <c r="I76" s="34">
        <v>41153</v>
      </c>
      <c r="J76" s="1">
        <v>145.9</v>
      </c>
      <c r="K76" s="34">
        <v>41153</v>
      </c>
      <c r="L76" s="1">
        <v>2939.6</v>
      </c>
      <c r="M76" s="34">
        <v>41153</v>
      </c>
      <c r="N76" s="1">
        <v>437.1</v>
      </c>
    </row>
    <row r="77" spans="1:14" x14ac:dyDescent="0.25">
      <c r="A77" s="34">
        <v>41183</v>
      </c>
      <c r="B77" s="1">
        <v>2905.6</v>
      </c>
      <c r="C77" s="34">
        <v>41183</v>
      </c>
      <c r="D77" s="1">
        <v>1408</v>
      </c>
      <c r="E77" s="34">
        <v>41183</v>
      </c>
      <c r="F77" s="1">
        <v>8.1999999999999993</v>
      </c>
      <c r="G77" s="34">
        <v>41183</v>
      </c>
      <c r="H77" s="1">
        <v>1.19</v>
      </c>
      <c r="I77" s="34">
        <v>41183</v>
      </c>
      <c r="J77" s="1">
        <v>146.08000000000001</v>
      </c>
      <c r="K77" s="34">
        <v>41183</v>
      </c>
      <c r="L77" s="1">
        <v>2941.9</v>
      </c>
      <c r="M77" s="34">
        <v>41183</v>
      </c>
      <c r="N77" s="1">
        <v>439.6</v>
      </c>
    </row>
    <row r="78" spans="1:14" x14ac:dyDescent="0.25">
      <c r="A78" s="34">
        <v>41214</v>
      </c>
      <c r="B78" s="1">
        <v>2909.6</v>
      </c>
      <c r="C78" s="34">
        <v>41214</v>
      </c>
      <c r="D78" s="1">
        <v>1440</v>
      </c>
      <c r="E78" s="34">
        <v>41214</v>
      </c>
      <c r="F78" s="1">
        <v>8.1999999999999993</v>
      </c>
      <c r="G78" s="34">
        <v>41214</v>
      </c>
      <c r="H78" s="1">
        <v>2.1</v>
      </c>
      <c r="I78" s="34">
        <v>41214</v>
      </c>
      <c r="J78" s="1">
        <v>146.38999999999999</v>
      </c>
      <c r="K78" s="34">
        <v>41214</v>
      </c>
      <c r="L78" s="1">
        <v>2947.6</v>
      </c>
      <c r="M78" s="34">
        <v>41214</v>
      </c>
      <c r="N78" s="1">
        <v>439.3</v>
      </c>
    </row>
    <row r="79" spans="1:14" x14ac:dyDescent="0.25">
      <c r="A79" s="34">
        <v>41244</v>
      </c>
      <c r="B79" s="1">
        <v>2911.2</v>
      </c>
      <c r="C79" s="34">
        <v>41244</v>
      </c>
      <c r="D79" s="1">
        <v>718</v>
      </c>
      <c r="E79" s="34">
        <v>41244</v>
      </c>
      <c r="F79" s="1">
        <v>8</v>
      </c>
      <c r="G79" s="34">
        <v>41244</v>
      </c>
      <c r="H79" s="1">
        <v>2.2999999999999998</v>
      </c>
      <c r="I79" s="34">
        <v>41244</v>
      </c>
      <c r="J79" s="1">
        <v>146.86000000000001</v>
      </c>
      <c r="K79" s="34">
        <v>41244</v>
      </c>
      <c r="L79" s="1">
        <v>2942.8</v>
      </c>
      <c r="M79" s="34">
        <v>41244</v>
      </c>
      <c r="N79" s="1">
        <v>434</v>
      </c>
    </row>
    <row r="80" spans="1:14" x14ac:dyDescent="0.25">
      <c r="A80" s="34">
        <v>41275</v>
      </c>
      <c r="B80" s="1">
        <v>2911.3</v>
      </c>
      <c r="C80" s="34">
        <v>41275</v>
      </c>
      <c r="D80" s="1">
        <v>732</v>
      </c>
      <c r="E80" s="34">
        <v>41275</v>
      </c>
      <c r="F80" s="1">
        <v>7.9</v>
      </c>
      <c r="G80" s="34">
        <v>41275</v>
      </c>
      <c r="H80" s="1">
        <v>1.45</v>
      </c>
      <c r="I80" s="34">
        <v>41275</v>
      </c>
      <c r="J80" s="1">
        <v>147.34</v>
      </c>
      <c r="K80" s="34">
        <v>41275</v>
      </c>
      <c r="L80" s="1">
        <v>2849.6</v>
      </c>
      <c r="M80" s="34">
        <v>41275</v>
      </c>
      <c r="N80" s="1">
        <v>422.3</v>
      </c>
    </row>
    <row r="81" spans="1:14" x14ac:dyDescent="0.25">
      <c r="A81" s="34">
        <v>41306</v>
      </c>
      <c r="B81" s="1">
        <v>2923</v>
      </c>
      <c r="C81" s="34">
        <v>41306</v>
      </c>
      <c r="D81" s="1">
        <v>1271</v>
      </c>
      <c r="E81" s="34">
        <v>41306</v>
      </c>
      <c r="F81" s="1">
        <v>7.9</v>
      </c>
      <c r="G81" s="34">
        <v>41306</v>
      </c>
      <c r="H81" s="1">
        <v>1.17</v>
      </c>
      <c r="I81" s="34">
        <v>41306</v>
      </c>
      <c r="J81" s="1">
        <v>147.74</v>
      </c>
      <c r="K81" s="34">
        <v>41306</v>
      </c>
      <c r="L81" s="1">
        <v>2882.6</v>
      </c>
      <c r="M81" s="34">
        <v>41306</v>
      </c>
      <c r="N81" s="1">
        <v>435.4</v>
      </c>
    </row>
    <row r="82" spans="1:14" x14ac:dyDescent="0.25">
      <c r="A82" s="34">
        <v>41334</v>
      </c>
      <c r="B82" s="1">
        <v>2920.1</v>
      </c>
      <c r="C82" s="34">
        <v>41334</v>
      </c>
      <c r="D82" s="1">
        <v>1288</v>
      </c>
      <c r="E82" s="34">
        <v>41334</v>
      </c>
      <c r="F82" s="1">
        <v>7.9</v>
      </c>
      <c r="G82" s="34">
        <v>41334</v>
      </c>
      <c r="H82" s="1">
        <v>0.95</v>
      </c>
      <c r="I82" s="34">
        <v>41334</v>
      </c>
      <c r="J82" s="1">
        <v>148.02000000000001</v>
      </c>
      <c r="K82" s="34">
        <v>41334</v>
      </c>
      <c r="L82" s="1">
        <v>2901.9</v>
      </c>
      <c r="M82" s="34">
        <v>41334</v>
      </c>
      <c r="N82" s="1">
        <v>436</v>
      </c>
    </row>
    <row r="83" spans="1:14" x14ac:dyDescent="0.25">
      <c r="A83" s="34">
        <v>41365</v>
      </c>
      <c r="B83" s="1">
        <v>2922.7</v>
      </c>
      <c r="C83" s="34">
        <v>41365</v>
      </c>
      <c r="D83" s="1">
        <v>1578</v>
      </c>
      <c r="E83" s="34">
        <v>41365</v>
      </c>
      <c r="F83" s="1">
        <v>7.8</v>
      </c>
      <c r="G83" s="34">
        <v>41365</v>
      </c>
      <c r="H83" s="1">
        <v>1.63</v>
      </c>
      <c r="I83" s="34">
        <v>41365</v>
      </c>
      <c r="J83" s="1">
        <v>148.28</v>
      </c>
      <c r="K83" s="34">
        <v>41365</v>
      </c>
      <c r="L83" s="1">
        <v>2931.3</v>
      </c>
      <c r="M83" s="34">
        <v>41365</v>
      </c>
      <c r="N83" s="1">
        <v>435.2</v>
      </c>
    </row>
    <row r="84" spans="1:14" x14ac:dyDescent="0.25">
      <c r="A84" s="34">
        <v>41395</v>
      </c>
      <c r="B84" s="1">
        <v>2921</v>
      </c>
      <c r="C84" s="34">
        <v>41395</v>
      </c>
      <c r="D84" s="1">
        <v>1806</v>
      </c>
      <c r="E84" s="34">
        <v>41395</v>
      </c>
      <c r="F84" s="1">
        <v>7.7</v>
      </c>
      <c r="G84" s="34">
        <v>41395</v>
      </c>
      <c r="H84" s="1">
        <v>1.42</v>
      </c>
      <c r="I84" s="34">
        <v>41395</v>
      </c>
      <c r="J84" s="1">
        <v>148.54</v>
      </c>
      <c r="K84" s="34">
        <v>41395</v>
      </c>
      <c r="L84" s="1">
        <v>2944</v>
      </c>
      <c r="M84" s="34">
        <v>41395</v>
      </c>
      <c r="N84" s="1">
        <v>422.9</v>
      </c>
    </row>
    <row r="85" spans="1:14" x14ac:dyDescent="0.25">
      <c r="A85" s="34">
        <v>41426</v>
      </c>
      <c r="B85" s="1">
        <v>2928.4</v>
      </c>
      <c r="C85" s="34">
        <v>41426</v>
      </c>
      <c r="D85" s="1">
        <v>1710</v>
      </c>
      <c r="E85" s="34">
        <v>41426</v>
      </c>
      <c r="F85" s="1">
        <v>7.6</v>
      </c>
      <c r="G85" s="34">
        <v>41426</v>
      </c>
      <c r="H85" s="1">
        <v>1.87</v>
      </c>
      <c r="I85" s="34">
        <v>41426</v>
      </c>
      <c r="J85" s="1">
        <v>148.87</v>
      </c>
      <c r="K85" s="34">
        <v>41426</v>
      </c>
      <c r="L85" s="1">
        <v>2930.2</v>
      </c>
      <c r="M85" s="34">
        <v>41426</v>
      </c>
      <c r="N85" s="1">
        <v>399.2</v>
      </c>
    </row>
    <row r="86" spans="1:14" x14ac:dyDescent="0.25">
      <c r="A86" s="34">
        <v>41456</v>
      </c>
      <c r="B86" s="1">
        <v>2925.5</v>
      </c>
      <c r="C86" s="34">
        <v>41456</v>
      </c>
      <c r="D86" s="1">
        <v>1688</v>
      </c>
      <c r="E86" s="34">
        <v>41456</v>
      </c>
      <c r="F86" s="1">
        <v>7.6</v>
      </c>
      <c r="G86" s="34">
        <v>41456</v>
      </c>
      <c r="H86" s="1">
        <v>1.85</v>
      </c>
      <c r="I86" s="34">
        <v>41456</v>
      </c>
      <c r="J86" s="1">
        <v>149.25</v>
      </c>
      <c r="K86" s="34">
        <v>41456</v>
      </c>
      <c r="L86" s="1">
        <v>2876.5</v>
      </c>
      <c r="M86" s="34">
        <v>41456</v>
      </c>
      <c r="N86" s="1">
        <v>361.8</v>
      </c>
    </row>
    <row r="87" spans="1:14" x14ac:dyDescent="0.25">
      <c r="A87" s="34">
        <v>41487</v>
      </c>
      <c r="B87" s="1">
        <v>2939.5</v>
      </c>
      <c r="C87" s="34">
        <v>41487</v>
      </c>
      <c r="D87" s="1">
        <v>1671</v>
      </c>
      <c r="E87" s="34">
        <v>41487</v>
      </c>
      <c r="F87" s="1">
        <v>7.5</v>
      </c>
      <c r="G87" s="34">
        <v>41487</v>
      </c>
      <c r="H87" s="1">
        <v>2.56</v>
      </c>
      <c r="I87" s="34">
        <v>41487</v>
      </c>
      <c r="J87" s="1">
        <v>149.74</v>
      </c>
      <c r="K87" s="34">
        <v>41487</v>
      </c>
      <c r="L87" s="1">
        <v>2946.5</v>
      </c>
      <c r="M87" s="34">
        <v>41487</v>
      </c>
      <c r="N87" s="1">
        <v>411.5</v>
      </c>
    </row>
    <row r="88" spans="1:14" x14ac:dyDescent="0.25">
      <c r="A88" s="34">
        <v>41518</v>
      </c>
      <c r="B88" s="1">
        <v>2934.4</v>
      </c>
      <c r="C88" s="34">
        <v>41518</v>
      </c>
      <c r="D88" s="1">
        <v>1637</v>
      </c>
      <c r="E88" s="34">
        <v>41518</v>
      </c>
      <c r="F88" s="1">
        <v>7.3</v>
      </c>
      <c r="G88" s="34">
        <v>41518</v>
      </c>
      <c r="H88" s="1">
        <v>2.27</v>
      </c>
      <c r="I88" s="34">
        <v>41518</v>
      </c>
      <c r="J88" s="1">
        <v>150.31</v>
      </c>
      <c r="K88" s="34">
        <v>41518</v>
      </c>
      <c r="L88" s="1">
        <v>2969.1</v>
      </c>
      <c r="M88" s="34">
        <v>41518</v>
      </c>
      <c r="N88" s="1">
        <v>431.7</v>
      </c>
    </row>
    <row r="89" spans="1:14" x14ac:dyDescent="0.25">
      <c r="A89" s="34">
        <v>41548</v>
      </c>
      <c r="B89" s="1">
        <v>2954.1</v>
      </c>
      <c r="C89" s="34">
        <v>41548</v>
      </c>
      <c r="D89" s="1">
        <v>1752</v>
      </c>
      <c r="E89" s="34">
        <v>41548</v>
      </c>
      <c r="F89" s="1">
        <v>7.1</v>
      </c>
      <c r="G89" s="34">
        <v>41548</v>
      </c>
      <c r="H89" s="1">
        <v>2.21</v>
      </c>
      <c r="I89" s="34">
        <v>41548</v>
      </c>
      <c r="J89" s="1">
        <v>150.9</v>
      </c>
      <c r="K89" s="34">
        <v>41548</v>
      </c>
      <c r="L89" s="1">
        <v>2988.6</v>
      </c>
      <c r="M89" s="34">
        <v>41548</v>
      </c>
      <c r="N89" s="1">
        <v>437.8</v>
      </c>
    </row>
    <row r="90" spans="1:14" x14ac:dyDescent="0.25">
      <c r="A90" s="34">
        <v>41579</v>
      </c>
      <c r="B90" s="1">
        <v>2964</v>
      </c>
      <c r="C90" s="34">
        <v>41579</v>
      </c>
      <c r="D90" s="1">
        <v>1701</v>
      </c>
      <c r="E90" s="34">
        <v>41579</v>
      </c>
      <c r="F90" s="1">
        <v>6.9</v>
      </c>
      <c r="G90" s="34">
        <v>41579</v>
      </c>
      <c r="H90" s="1">
        <v>1.65</v>
      </c>
      <c r="I90" s="34">
        <v>41579</v>
      </c>
      <c r="J90" s="1">
        <v>151.41999999999999</v>
      </c>
      <c r="K90" s="34">
        <v>41579</v>
      </c>
      <c r="L90" s="1">
        <v>2999.1</v>
      </c>
      <c r="M90" s="34">
        <v>41579</v>
      </c>
      <c r="N90" s="1">
        <v>437.2</v>
      </c>
    </row>
    <row r="91" spans="1:14" x14ac:dyDescent="0.25">
      <c r="A91" s="34">
        <v>41609</v>
      </c>
      <c r="B91" s="1">
        <v>2965.2</v>
      </c>
      <c r="C91" s="34">
        <v>41609</v>
      </c>
      <c r="D91" s="1">
        <v>1310</v>
      </c>
      <c r="E91" s="34">
        <v>41609</v>
      </c>
      <c r="F91" s="1">
        <v>6.8</v>
      </c>
      <c r="G91" s="34">
        <v>41609</v>
      </c>
      <c r="H91" s="1">
        <v>2.06</v>
      </c>
      <c r="I91" s="34">
        <v>41609</v>
      </c>
      <c r="J91" s="1">
        <v>151.91999999999999</v>
      </c>
      <c r="K91" s="34">
        <v>41609</v>
      </c>
      <c r="L91" s="1">
        <v>2980.6</v>
      </c>
      <c r="M91" s="34">
        <v>41609</v>
      </c>
      <c r="N91" s="1">
        <v>434.7</v>
      </c>
    </row>
    <row r="92" spans="1:14" x14ac:dyDescent="0.25">
      <c r="A92" s="34">
        <v>41640</v>
      </c>
      <c r="B92" s="1">
        <v>2948</v>
      </c>
      <c r="C92" s="34">
        <v>41640</v>
      </c>
      <c r="D92" s="1">
        <v>960</v>
      </c>
      <c r="E92" s="34">
        <v>41640</v>
      </c>
      <c r="F92" s="1">
        <v>6.3</v>
      </c>
      <c r="G92" s="34">
        <v>41640</v>
      </c>
      <c r="H92" s="1">
        <v>2.78</v>
      </c>
      <c r="I92" s="34">
        <v>41640</v>
      </c>
      <c r="J92" s="1">
        <v>152.53</v>
      </c>
      <c r="K92" s="34">
        <v>41640</v>
      </c>
      <c r="L92" s="1">
        <v>2889.1</v>
      </c>
      <c r="M92" s="34">
        <v>41640</v>
      </c>
      <c r="N92" s="1">
        <v>414.3</v>
      </c>
    </row>
    <row r="93" spans="1:14" x14ac:dyDescent="0.25">
      <c r="A93" s="34">
        <v>41671</v>
      </c>
      <c r="B93" s="1">
        <v>2961.5</v>
      </c>
      <c r="C93" s="34">
        <v>41671</v>
      </c>
      <c r="D93" s="1">
        <v>762</v>
      </c>
      <c r="E93" s="34">
        <v>41671</v>
      </c>
      <c r="F93" s="1">
        <v>6.1</v>
      </c>
      <c r="G93" s="34">
        <v>41671</v>
      </c>
      <c r="H93" s="1">
        <v>2.0699999999999998</v>
      </c>
      <c r="I93" s="34">
        <v>41671</v>
      </c>
      <c r="J93" s="1">
        <v>153.16999999999999</v>
      </c>
      <c r="K93" s="34">
        <v>41671</v>
      </c>
      <c r="L93" s="1">
        <v>2915.5</v>
      </c>
      <c r="M93" s="34">
        <v>41671</v>
      </c>
      <c r="N93" s="1">
        <v>431.3</v>
      </c>
    </row>
    <row r="94" spans="1:14" x14ac:dyDescent="0.25">
      <c r="A94" s="34">
        <v>41699</v>
      </c>
      <c r="B94" s="1">
        <v>2966.5</v>
      </c>
      <c r="C94" s="34">
        <v>41699</v>
      </c>
      <c r="D94" s="1">
        <v>1225</v>
      </c>
      <c r="E94" s="34">
        <v>41699</v>
      </c>
      <c r="F94" s="1">
        <v>5.9</v>
      </c>
      <c r="G94" s="34">
        <v>41699</v>
      </c>
      <c r="H94" s="1">
        <v>2.59</v>
      </c>
      <c r="I94" s="34">
        <v>41699</v>
      </c>
      <c r="J94" s="1">
        <v>153.86000000000001</v>
      </c>
      <c r="K94" s="34">
        <v>41699</v>
      </c>
      <c r="L94" s="1">
        <v>2944.8</v>
      </c>
      <c r="M94" s="34">
        <v>41699</v>
      </c>
      <c r="N94" s="1">
        <v>433</v>
      </c>
    </row>
    <row r="95" spans="1:14" x14ac:dyDescent="0.25">
      <c r="A95" s="34">
        <v>41730</v>
      </c>
      <c r="B95" s="1">
        <v>2969</v>
      </c>
      <c r="C95" s="34">
        <v>41730</v>
      </c>
      <c r="D95" s="1">
        <v>1547</v>
      </c>
      <c r="E95" s="34">
        <v>41730</v>
      </c>
      <c r="F95" s="1">
        <v>5.7</v>
      </c>
      <c r="G95" s="34">
        <v>41730</v>
      </c>
      <c r="H95" s="1">
        <v>2.73</v>
      </c>
      <c r="I95" s="34">
        <v>41730</v>
      </c>
      <c r="J95" s="1">
        <v>154.62</v>
      </c>
      <c r="K95" s="34">
        <v>41730</v>
      </c>
      <c r="L95" s="1">
        <v>2976.5</v>
      </c>
      <c r="M95" s="34">
        <v>41730</v>
      </c>
      <c r="N95" s="1">
        <v>433.9</v>
      </c>
    </row>
    <row r="96" spans="1:14" x14ac:dyDescent="0.25">
      <c r="A96" s="34">
        <v>41760</v>
      </c>
      <c r="B96" s="1">
        <v>2976.1</v>
      </c>
      <c r="C96" s="34">
        <v>41760</v>
      </c>
      <c r="D96" s="1">
        <v>1723</v>
      </c>
      <c r="E96" s="34">
        <v>41760</v>
      </c>
      <c r="F96" s="1">
        <v>5.7</v>
      </c>
      <c r="G96" s="34">
        <v>41760</v>
      </c>
      <c r="H96" s="1">
        <v>2.42</v>
      </c>
      <c r="I96" s="34">
        <v>41760</v>
      </c>
      <c r="J96" s="1">
        <v>155.38</v>
      </c>
      <c r="K96" s="34">
        <v>41760</v>
      </c>
      <c r="L96" s="1">
        <v>3002.6</v>
      </c>
      <c r="M96" s="34">
        <v>41760</v>
      </c>
      <c r="N96" s="1">
        <v>431.3</v>
      </c>
    </row>
    <row r="97" spans="1:14" x14ac:dyDescent="0.25">
      <c r="A97" s="34">
        <v>41791</v>
      </c>
      <c r="B97" s="1">
        <v>2991.9</v>
      </c>
      <c r="C97" s="34">
        <v>41791</v>
      </c>
      <c r="D97" s="1">
        <v>2089</v>
      </c>
      <c r="E97" s="34">
        <v>41791</v>
      </c>
      <c r="F97" s="1">
        <v>5.9</v>
      </c>
      <c r="G97" s="34">
        <v>41791</v>
      </c>
      <c r="H97" s="1">
        <v>2.38</v>
      </c>
      <c r="I97" s="34">
        <v>41791</v>
      </c>
      <c r="J97" s="1">
        <v>156.11000000000001</v>
      </c>
      <c r="K97" s="34">
        <v>41791</v>
      </c>
      <c r="L97" s="1">
        <v>2999.3</v>
      </c>
      <c r="M97" s="34">
        <v>41791</v>
      </c>
      <c r="N97" s="1">
        <v>408.4</v>
      </c>
    </row>
    <row r="98" spans="1:14" x14ac:dyDescent="0.25">
      <c r="A98" s="34">
        <v>41821</v>
      </c>
      <c r="B98" s="1">
        <v>2994.2</v>
      </c>
      <c r="C98" s="34">
        <v>41821</v>
      </c>
      <c r="D98" s="1">
        <v>2073</v>
      </c>
      <c r="E98" s="34">
        <v>41821</v>
      </c>
      <c r="F98" s="1">
        <v>5.9</v>
      </c>
      <c r="G98" s="34">
        <v>41821</v>
      </c>
      <c r="H98" s="1">
        <v>1.97</v>
      </c>
      <c r="I98" s="34">
        <v>41821</v>
      </c>
      <c r="J98" s="1">
        <v>156.72999999999999</v>
      </c>
      <c r="K98" s="34">
        <v>41821</v>
      </c>
      <c r="L98" s="1">
        <v>2966.6</v>
      </c>
      <c r="M98" s="34">
        <v>41821</v>
      </c>
      <c r="N98" s="1">
        <v>374.2</v>
      </c>
    </row>
    <row r="99" spans="1:14" x14ac:dyDescent="0.25">
      <c r="A99" s="34">
        <v>41852</v>
      </c>
      <c r="B99" s="1">
        <v>2999.6</v>
      </c>
      <c r="C99" s="34">
        <v>41852</v>
      </c>
      <c r="D99" s="1">
        <v>1429</v>
      </c>
      <c r="E99" s="34">
        <v>41852</v>
      </c>
      <c r="F99" s="1">
        <v>5.8</v>
      </c>
      <c r="G99" s="34">
        <v>41852</v>
      </c>
      <c r="H99" s="1">
        <v>0.81</v>
      </c>
      <c r="I99" s="34">
        <v>41852</v>
      </c>
      <c r="J99" s="1">
        <v>157.13999999999999</v>
      </c>
      <c r="K99" s="34">
        <v>41852</v>
      </c>
      <c r="L99" s="1">
        <v>3006.9</v>
      </c>
      <c r="M99" s="34">
        <v>41852</v>
      </c>
      <c r="N99" s="1">
        <v>415</v>
      </c>
    </row>
    <row r="100" spans="1:14" x14ac:dyDescent="0.25">
      <c r="A100" s="34">
        <v>41883</v>
      </c>
      <c r="B100" s="1">
        <v>2996.4</v>
      </c>
      <c r="C100" s="34">
        <v>41883</v>
      </c>
      <c r="D100" s="1">
        <v>2173</v>
      </c>
      <c r="E100" s="34">
        <v>41883</v>
      </c>
      <c r="F100" s="1">
        <v>5.7</v>
      </c>
      <c r="G100" s="34">
        <v>41883</v>
      </c>
      <c r="H100" s="1">
        <v>1.69</v>
      </c>
      <c r="I100" s="34">
        <v>41883</v>
      </c>
      <c r="J100" s="1">
        <v>157.44999999999999</v>
      </c>
      <c r="K100" s="34">
        <v>41883</v>
      </c>
      <c r="L100" s="1">
        <v>3023.5</v>
      </c>
      <c r="M100" s="34">
        <v>41883</v>
      </c>
      <c r="N100" s="1">
        <v>437.4</v>
      </c>
    </row>
    <row r="101" spans="1:14" x14ac:dyDescent="0.25">
      <c r="A101" s="34">
        <v>41913</v>
      </c>
      <c r="B101" s="1">
        <v>3004.9</v>
      </c>
      <c r="C101" s="34">
        <v>41913</v>
      </c>
      <c r="D101" s="1">
        <v>1696</v>
      </c>
      <c r="E101" s="34">
        <v>41913</v>
      </c>
      <c r="F101" s="1">
        <v>5.7</v>
      </c>
      <c r="G101" s="34">
        <v>41913</v>
      </c>
      <c r="H101" s="1">
        <v>2.0099999999999998</v>
      </c>
      <c r="I101" s="34">
        <v>41913</v>
      </c>
      <c r="J101" s="1">
        <v>157.78</v>
      </c>
      <c r="K101" s="34">
        <v>41913</v>
      </c>
      <c r="L101" s="1">
        <v>3047.9</v>
      </c>
      <c r="M101" s="34">
        <v>41913</v>
      </c>
      <c r="N101" s="1">
        <v>444.1</v>
      </c>
    </row>
    <row r="102" spans="1:14" x14ac:dyDescent="0.25">
      <c r="A102" s="34">
        <v>41944</v>
      </c>
      <c r="B102" s="1">
        <v>3018.5</v>
      </c>
      <c r="C102" s="34">
        <v>41944</v>
      </c>
      <c r="D102" s="1">
        <v>1141</v>
      </c>
      <c r="E102" s="34">
        <v>41944</v>
      </c>
      <c r="F102" s="1">
        <v>5.7</v>
      </c>
      <c r="G102" s="34">
        <v>41944</v>
      </c>
      <c r="H102" s="1">
        <v>1.36</v>
      </c>
      <c r="I102" s="34">
        <v>41944</v>
      </c>
      <c r="J102" s="1">
        <v>158.13</v>
      </c>
      <c r="K102" s="34">
        <v>41944</v>
      </c>
      <c r="L102" s="1">
        <v>3050.6</v>
      </c>
      <c r="M102" s="34">
        <v>41944</v>
      </c>
      <c r="N102" s="1">
        <v>443</v>
      </c>
    </row>
    <row r="103" spans="1:14" x14ac:dyDescent="0.25">
      <c r="A103" s="34">
        <v>41974</v>
      </c>
      <c r="B103" s="1">
        <v>3023.6</v>
      </c>
      <c r="E103" s="34">
        <v>41974</v>
      </c>
      <c r="F103" s="1">
        <v>5.8</v>
      </c>
      <c r="K103" s="34">
        <v>41974</v>
      </c>
      <c r="L103" s="1">
        <v>3039</v>
      </c>
      <c r="M103" s="34">
        <v>41974</v>
      </c>
      <c r="N103" s="1">
        <v>441.7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03"/>
  <sheetViews>
    <sheetView topLeftCell="A79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158</v>
      </c>
      <c r="C1" s="34" t="s">
        <v>159</v>
      </c>
      <c r="E1" s="34" t="s">
        <v>160</v>
      </c>
      <c r="G1" s="34" t="s">
        <v>161</v>
      </c>
      <c r="I1" s="34" t="s">
        <v>162</v>
      </c>
      <c r="K1" s="34" t="str">
        <f>CONCATENATE(LEFT(A1,2), "NAN")</f>
        <v>KSNAN</v>
      </c>
      <c r="M1" s="34" t="str">
        <f>CONCATENATE(LEFT(A1,2), "GOVTN")</f>
        <v>KSGOVTN</v>
      </c>
      <c r="O1" s="34" t="str">
        <f>CONCATENATE(LEFT($A$1,2), "RGSP")</f>
        <v>KSRGSP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876</v>
      </c>
      <c r="C5" s="35" t="s">
        <v>451</v>
      </c>
      <c r="E5" s="35" t="s">
        <v>452</v>
      </c>
      <c r="G5" s="35" t="s">
        <v>453</v>
      </c>
      <c r="I5" s="35" t="s">
        <v>454</v>
      </c>
      <c r="K5" s="35" t="s">
        <v>876</v>
      </c>
      <c r="M5" s="35" t="s">
        <v>877</v>
      </c>
      <c r="O5" s="35" t="s">
        <v>804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1365.5</v>
      </c>
      <c r="C8" s="34">
        <v>39083</v>
      </c>
      <c r="D8" s="1">
        <v>759</v>
      </c>
      <c r="E8" s="34">
        <v>39083</v>
      </c>
      <c r="F8" s="1">
        <v>4.0999999999999996</v>
      </c>
      <c r="G8" s="34">
        <v>39083</v>
      </c>
      <c r="H8" s="1">
        <v>1.75</v>
      </c>
      <c r="I8" s="34">
        <v>39083</v>
      </c>
      <c r="J8" s="1">
        <v>141.44999999999999</v>
      </c>
      <c r="K8" s="34">
        <v>39083</v>
      </c>
      <c r="L8" s="1">
        <v>1341.2</v>
      </c>
      <c r="M8" s="34">
        <v>39083</v>
      </c>
      <c r="N8" s="1">
        <v>251.2</v>
      </c>
      <c r="O8" s="34">
        <v>39083</v>
      </c>
      <c r="P8" s="1">
        <v>124716</v>
      </c>
    </row>
    <row r="9" spans="1:16" x14ac:dyDescent="0.25">
      <c r="A9" s="34">
        <v>39114</v>
      </c>
      <c r="B9" s="1">
        <v>1368.3</v>
      </c>
      <c r="C9" s="34">
        <v>39114</v>
      </c>
      <c r="D9" s="1">
        <v>534</v>
      </c>
      <c r="E9" s="34">
        <v>39114</v>
      </c>
      <c r="F9" s="1">
        <v>4.0999999999999996</v>
      </c>
      <c r="G9" s="34">
        <v>39114</v>
      </c>
      <c r="H9" s="1">
        <v>1.4</v>
      </c>
      <c r="I9" s="34">
        <v>39114</v>
      </c>
      <c r="J9" s="1">
        <v>141.86000000000001</v>
      </c>
      <c r="K9" s="34">
        <v>39114</v>
      </c>
      <c r="L9" s="1">
        <v>1351.9</v>
      </c>
      <c r="M9" s="34">
        <v>39114</v>
      </c>
      <c r="N9" s="1">
        <v>260.10000000000002</v>
      </c>
      <c r="O9" s="34">
        <v>39448</v>
      </c>
      <c r="P9" s="1">
        <v>125579</v>
      </c>
    </row>
    <row r="10" spans="1:16" x14ac:dyDescent="0.25">
      <c r="A10" s="34">
        <v>39142</v>
      </c>
      <c r="B10" s="1">
        <v>1376.7</v>
      </c>
      <c r="C10" s="34">
        <v>39142</v>
      </c>
      <c r="D10" s="1">
        <v>1056</v>
      </c>
      <c r="E10" s="34">
        <v>39142</v>
      </c>
      <c r="F10" s="1">
        <v>4.0999999999999996</v>
      </c>
      <c r="G10" s="34">
        <v>39142</v>
      </c>
      <c r="H10" s="1">
        <v>1.3</v>
      </c>
      <c r="I10" s="34">
        <v>39142</v>
      </c>
      <c r="J10" s="1">
        <v>142.31</v>
      </c>
      <c r="K10" s="34">
        <v>39142</v>
      </c>
      <c r="L10" s="1">
        <v>1372.9</v>
      </c>
      <c r="M10" s="34">
        <v>39142</v>
      </c>
      <c r="N10" s="1">
        <v>263.39999999999998</v>
      </c>
      <c r="O10" s="34">
        <v>39814</v>
      </c>
      <c r="P10" s="1">
        <v>120769</v>
      </c>
    </row>
    <row r="11" spans="1:16" x14ac:dyDescent="0.25">
      <c r="A11" s="34">
        <v>39173</v>
      </c>
      <c r="B11" s="1">
        <v>1375</v>
      </c>
      <c r="C11" s="34">
        <v>39173</v>
      </c>
      <c r="D11" s="1">
        <v>989</v>
      </c>
      <c r="E11" s="34">
        <v>39173</v>
      </c>
      <c r="F11" s="1">
        <v>4.0999999999999996</v>
      </c>
      <c r="G11" s="34">
        <v>39173</v>
      </c>
      <c r="H11" s="1">
        <v>1.33</v>
      </c>
      <c r="I11" s="34">
        <v>39173</v>
      </c>
      <c r="J11" s="1">
        <v>142.63</v>
      </c>
      <c r="K11" s="34">
        <v>39173</v>
      </c>
      <c r="L11" s="1">
        <v>1377.7</v>
      </c>
      <c r="M11" s="34">
        <v>39173</v>
      </c>
      <c r="N11" s="1">
        <v>262.7</v>
      </c>
      <c r="O11" s="34">
        <v>40179</v>
      </c>
      <c r="P11" s="1">
        <v>124521</v>
      </c>
    </row>
    <row r="12" spans="1:16" x14ac:dyDescent="0.25">
      <c r="A12" s="34">
        <v>39203</v>
      </c>
      <c r="B12" s="1">
        <v>1375.6</v>
      </c>
      <c r="C12" s="34">
        <v>39203</v>
      </c>
      <c r="D12" s="1">
        <v>1143</v>
      </c>
      <c r="E12" s="34">
        <v>39203</v>
      </c>
      <c r="F12" s="1">
        <v>4.0999999999999996</v>
      </c>
      <c r="G12" s="34">
        <v>39203</v>
      </c>
      <c r="H12" s="1">
        <v>1.1499999999999999</v>
      </c>
      <c r="I12" s="34">
        <v>39203</v>
      </c>
      <c r="J12" s="1">
        <v>142.94999999999999</v>
      </c>
      <c r="K12" s="34">
        <v>39203</v>
      </c>
      <c r="L12" s="1">
        <v>1387.1</v>
      </c>
      <c r="M12" s="34">
        <v>39203</v>
      </c>
      <c r="N12" s="1">
        <v>265.2</v>
      </c>
      <c r="O12" s="34">
        <v>40544</v>
      </c>
      <c r="P12" s="1">
        <v>129243</v>
      </c>
    </row>
    <row r="13" spans="1:16" x14ac:dyDescent="0.25">
      <c r="A13" s="34">
        <v>39234</v>
      </c>
      <c r="B13" s="1">
        <v>1384.1</v>
      </c>
      <c r="C13" s="34">
        <v>39234</v>
      </c>
      <c r="D13" s="1">
        <v>914</v>
      </c>
      <c r="E13" s="34">
        <v>39234</v>
      </c>
      <c r="F13" s="1">
        <v>4.0999999999999996</v>
      </c>
      <c r="G13" s="34">
        <v>39234</v>
      </c>
      <c r="H13" s="1">
        <v>1</v>
      </c>
      <c r="I13" s="34">
        <v>39234</v>
      </c>
      <c r="J13" s="1">
        <v>143.30000000000001</v>
      </c>
      <c r="K13" s="34">
        <v>39234</v>
      </c>
      <c r="L13" s="1">
        <v>1397.5</v>
      </c>
      <c r="M13" s="34">
        <v>39234</v>
      </c>
      <c r="N13" s="1">
        <v>266.10000000000002</v>
      </c>
      <c r="O13" s="34">
        <v>40909</v>
      </c>
      <c r="P13" s="1">
        <v>129726</v>
      </c>
    </row>
    <row r="14" spans="1:16" x14ac:dyDescent="0.25">
      <c r="A14" s="34">
        <v>39264</v>
      </c>
      <c r="B14" s="1">
        <v>1387.2</v>
      </c>
      <c r="C14" s="34">
        <v>39264</v>
      </c>
      <c r="D14" s="1">
        <v>663</v>
      </c>
      <c r="E14" s="34">
        <v>39264</v>
      </c>
      <c r="F14" s="1">
        <v>4.0999999999999996</v>
      </c>
      <c r="G14" s="34">
        <v>39264</v>
      </c>
      <c r="H14" s="1">
        <v>0.91</v>
      </c>
      <c r="I14" s="34">
        <v>39264</v>
      </c>
      <c r="J14" s="1">
        <v>143.55000000000001</v>
      </c>
      <c r="K14" s="34">
        <v>39264</v>
      </c>
      <c r="L14" s="1">
        <v>1369.5</v>
      </c>
      <c r="M14" s="34">
        <v>39264</v>
      </c>
      <c r="N14" s="1">
        <v>236.6</v>
      </c>
      <c r="O14" s="34">
        <v>41275</v>
      </c>
      <c r="P14" s="1">
        <v>132153</v>
      </c>
    </row>
    <row r="15" spans="1:16" x14ac:dyDescent="0.25">
      <c r="A15" s="34">
        <v>39295</v>
      </c>
      <c r="B15" s="1">
        <v>1385</v>
      </c>
      <c r="C15" s="34">
        <v>39295</v>
      </c>
      <c r="D15" s="1">
        <v>717</v>
      </c>
      <c r="E15" s="34">
        <v>39295</v>
      </c>
      <c r="F15" s="1">
        <v>4.0999999999999996</v>
      </c>
      <c r="G15" s="34">
        <v>39295</v>
      </c>
      <c r="H15" s="1">
        <v>0.85</v>
      </c>
      <c r="I15" s="34">
        <v>39295</v>
      </c>
      <c r="J15" s="1">
        <v>143.72</v>
      </c>
      <c r="K15" s="34">
        <v>39295</v>
      </c>
      <c r="L15" s="1">
        <v>1368.2</v>
      </c>
      <c r="M15" s="34">
        <v>39295</v>
      </c>
      <c r="N15" s="1">
        <v>235</v>
      </c>
    </row>
    <row r="16" spans="1:16" x14ac:dyDescent="0.25">
      <c r="A16" s="34">
        <v>39326</v>
      </c>
      <c r="B16" s="1">
        <v>1385.8</v>
      </c>
      <c r="C16" s="34">
        <v>39326</v>
      </c>
      <c r="D16" s="1">
        <v>767</v>
      </c>
      <c r="E16" s="34">
        <v>39326</v>
      </c>
      <c r="F16" s="1">
        <v>4.0999999999999996</v>
      </c>
      <c r="G16" s="34">
        <v>39326</v>
      </c>
      <c r="H16" s="1">
        <v>0.46</v>
      </c>
      <c r="I16" s="34">
        <v>39326</v>
      </c>
      <c r="J16" s="1">
        <v>143.80000000000001</v>
      </c>
      <c r="K16" s="34">
        <v>39326</v>
      </c>
      <c r="L16" s="1">
        <v>1391.3</v>
      </c>
      <c r="M16" s="34">
        <v>39326</v>
      </c>
      <c r="N16" s="1">
        <v>259.8</v>
      </c>
    </row>
    <row r="17" spans="1:14" x14ac:dyDescent="0.25">
      <c r="A17" s="34">
        <v>39356</v>
      </c>
      <c r="B17" s="1">
        <v>1385.3</v>
      </c>
      <c r="C17" s="34">
        <v>39356</v>
      </c>
      <c r="D17" s="1">
        <v>771</v>
      </c>
      <c r="E17" s="34">
        <v>39356</v>
      </c>
      <c r="F17" s="1">
        <v>4.0999999999999996</v>
      </c>
      <c r="G17" s="34">
        <v>39356</v>
      </c>
      <c r="H17" s="1">
        <v>0.46</v>
      </c>
      <c r="I17" s="34">
        <v>39356</v>
      </c>
      <c r="J17" s="1">
        <v>143.88</v>
      </c>
      <c r="K17" s="34">
        <v>39356</v>
      </c>
      <c r="L17" s="1">
        <v>1396.9</v>
      </c>
      <c r="M17" s="34">
        <v>39356</v>
      </c>
      <c r="N17" s="1">
        <v>265</v>
      </c>
    </row>
    <row r="18" spans="1:14" x14ac:dyDescent="0.25">
      <c r="A18" s="34">
        <v>39387</v>
      </c>
      <c r="B18" s="1">
        <v>1388.6</v>
      </c>
      <c r="C18" s="34">
        <v>39387</v>
      </c>
      <c r="D18" s="1">
        <v>953</v>
      </c>
      <c r="E18" s="34">
        <v>39387</v>
      </c>
      <c r="F18" s="1">
        <v>4.0999999999999996</v>
      </c>
      <c r="G18" s="34">
        <v>39387</v>
      </c>
      <c r="H18" s="1">
        <v>0.54</v>
      </c>
      <c r="I18" s="34">
        <v>39387</v>
      </c>
      <c r="J18" s="1">
        <v>143.91999999999999</v>
      </c>
      <c r="K18" s="34">
        <v>39387</v>
      </c>
      <c r="L18" s="1">
        <v>1404.7</v>
      </c>
      <c r="M18" s="34">
        <v>39387</v>
      </c>
      <c r="N18" s="1">
        <v>266.89999999999998</v>
      </c>
    </row>
    <row r="19" spans="1:14" x14ac:dyDescent="0.25">
      <c r="A19" s="34">
        <v>39417</v>
      </c>
      <c r="B19" s="1">
        <v>1385.9</v>
      </c>
      <c r="C19" s="34">
        <v>39417</v>
      </c>
      <c r="D19" s="1">
        <v>841</v>
      </c>
      <c r="E19" s="34">
        <v>39417</v>
      </c>
      <c r="F19" s="1">
        <v>4</v>
      </c>
      <c r="G19" s="34">
        <v>39417</v>
      </c>
      <c r="H19" s="1">
        <v>1.02</v>
      </c>
      <c r="I19" s="34">
        <v>39417</v>
      </c>
      <c r="J19" s="1">
        <v>144.25</v>
      </c>
      <c r="K19" s="34">
        <v>39417</v>
      </c>
      <c r="L19" s="1">
        <v>1402.2</v>
      </c>
      <c r="M19" s="34">
        <v>39417</v>
      </c>
      <c r="N19" s="1">
        <v>266.8</v>
      </c>
    </row>
    <row r="20" spans="1:14" x14ac:dyDescent="0.25">
      <c r="A20" s="34">
        <v>39448</v>
      </c>
      <c r="B20" s="1">
        <v>1391</v>
      </c>
      <c r="C20" s="34">
        <v>39448</v>
      </c>
      <c r="D20" s="1">
        <v>923</v>
      </c>
      <c r="E20" s="34">
        <v>39448</v>
      </c>
      <c r="F20" s="1">
        <v>4</v>
      </c>
      <c r="G20" s="34">
        <v>39448</v>
      </c>
      <c r="H20" s="1">
        <v>1.01</v>
      </c>
      <c r="I20" s="34">
        <v>39448</v>
      </c>
      <c r="J20" s="1">
        <v>144.36000000000001</v>
      </c>
      <c r="K20" s="34">
        <v>39448</v>
      </c>
      <c r="L20" s="1">
        <v>1366.1</v>
      </c>
      <c r="M20" s="34">
        <v>39448</v>
      </c>
      <c r="N20" s="1">
        <v>254.3</v>
      </c>
    </row>
    <row r="21" spans="1:14" x14ac:dyDescent="0.25">
      <c r="A21" s="34">
        <v>39479</v>
      </c>
      <c r="B21" s="1">
        <v>1392.5</v>
      </c>
      <c r="C21" s="34">
        <v>39479</v>
      </c>
      <c r="D21" s="1">
        <v>688</v>
      </c>
      <c r="E21" s="34">
        <v>39479</v>
      </c>
      <c r="F21" s="1">
        <v>4</v>
      </c>
      <c r="G21" s="34">
        <v>39479</v>
      </c>
      <c r="H21" s="1">
        <v>0.44</v>
      </c>
      <c r="I21" s="34">
        <v>39479</v>
      </c>
      <c r="J21" s="1">
        <v>144.52000000000001</v>
      </c>
      <c r="K21" s="34">
        <v>39479</v>
      </c>
      <c r="L21" s="1">
        <v>1377.2</v>
      </c>
      <c r="M21" s="34">
        <v>39479</v>
      </c>
      <c r="N21" s="1">
        <v>262.7</v>
      </c>
    </row>
    <row r="22" spans="1:14" x14ac:dyDescent="0.25">
      <c r="A22" s="34">
        <v>39508</v>
      </c>
      <c r="B22" s="1">
        <v>1393.4</v>
      </c>
      <c r="C22" s="34">
        <v>39508</v>
      </c>
      <c r="D22" s="1">
        <v>592</v>
      </c>
      <c r="E22" s="34">
        <v>39508</v>
      </c>
      <c r="F22" s="1">
        <v>4</v>
      </c>
      <c r="G22" s="34">
        <v>39508</v>
      </c>
      <c r="H22" s="1">
        <v>-0.03</v>
      </c>
      <c r="I22" s="34">
        <v>39508</v>
      </c>
      <c r="J22" s="1">
        <v>144.65</v>
      </c>
      <c r="K22" s="34">
        <v>39508</v>
      </c>
      <c r="L22" s="1">
        <v>1389.4</v>
      </c>
      <c r="M22" s="34">
        <v>39508</v>
      </c>
      <c r="N22" s="1">
        <v>266.60000000000002</v>
      </c>
    </row>
    <row r="23" spans="1:14" x14ac:dyDescent="0.25">
      <c r="A23" s="34">
        <v>39539</v>
      </c>
      <c r="B23" s="1">
        <v>1396.3</v>
      </c>
      <c r="C23" s="34">
        <v>39539</v>
      </c>
      <c r="D23" s="1">
        <v>608</v>
      </c>
      <c r="E23" s="34">
        <v>39539</v>
      </c>
      <c r="F23" s="1">
        <v>4.0999999999999996</v>
      </c>
      <c r="G23" s="34">
        <v>39539</v>
      </c>
      <c r="H23" s="1">
        <v>-0.48</v>
      </c>
      <c r="I23" s="34">
        <v>39539</v>
      </c>
      <c r="J23" s="1">
        <v>144.44</v>
      </c>
      <c r="K23" s="34">
        <v>39539</v>
      </c>
      <c r="L23" s="1">
        <v>1399.6</v>
      </c>
      <c r="M23" s="34">
        <v>39539</v>
      </c>
      <c r="N23" s="1">
        <v>266.10000000000002</v>
      </c>
    </row>
    <row r="24" spans="1:14" x14ac:dyDescent="0.25">
      <c r="A24" s="34">
        <v>39569</v>
      </c>
      <c r="B24" s="1">
        <v>1396.9</v>
      </c>
      <c r="C24" s="34">
        <v>39569</v>
      </c>
      <c r="D24" s="1">
        <v>546</v>
      </c>
      <c r="E24" s="34">
        <v>39569</v>
      </c>
      <c r="F24" s="1">
        <v>4.2</v>
      </c>
      <c r="G24" s="34">
        <v>39569</v>
      </c>
      <c r="H24" s="1">
        <v>-0.77</v>
      </c>
      <c r="I24" s="34">
        <v>39569</v>
      </c>
      <c r="J24" s="1">
        <v>144.32</v>
      </c>
      <c r="K24" s="34">
        <v>39569</v>
      </c>
      <c r="L24" s="1">
        <v>1406</v>
      </c>
      <c r="M24" s="34">
        <v>39569</v>
      </c>
      <c r="N24" s="1">
        <v>270.2</v>
      </c>
    </row>
    <row r="25" spans="1:14" x14ac:dyDescent="0.25">
      <c r="A25" s="34">
        <v>39600</v>
      </c>
      <c r="B25" s="1">
        <v>1393.7</v>
      </c>
      <c r="C25" s="34">
        <v>39600</v>
      </c>
      <c r="D25" s="1">
        <v>503</v>
      </c>
      <c r="E25" s="34">
        <v>39600</v>
      </c>
      <c r="F25" s="1">
        <v>4.4000000000000004</v>
      </c>
      <c r="G25" s="34">
        <v>39600</v>
      </c>
      <c r="H25" s="1">
        <v>-0.96</v>
      </c>
      <c r="I25" s="34">
        <v>39600</v>
      </c>
      <c r="J25" s="1">
        <v>143.82</v>
      </c>
      <c r="K25" s="34">
        <v>39600</v>
      </c>
      <c r="L25" s="1">
        <v>1405.1</v>
      </c>
      <c r="M25" s="34">
        <v>39600</v>
      </c>
      <c r="N25" s="1">
        <v>260.60000000000002</v>
      </c>
    </row>
    <row r="26" spans="1:14" x14ac:dyDescent="0.25">
      <c r="A26" s="34">
        <v>39630</v>
      </c>
      <c r="B26" s="1">
        <v>1393.4</v>
      </c>
      <c r="C26" s="34">
        <v>39630</v>
      </c>
      <c r="D26" s="1">
        <v>940</v>
      </c>
      <c r="E26" s="34">
        <v>39630</v>
      </c>
      <c r="F26" s="1">
        <v>4.5</v>
      </c>
      <c r="G26" s="34">
        <v>39630</v>
      </c>
      <c r="H26" s="1">
        <v>-0.93</v>
      </c>
      <c r="I26" s="34">
        <v>39630</v>
      </c>
      <c r="J26" s="1">
        <v>143.6</v>
      </c>
      <c r="K26" s="34">
        <v>39630</v>
      </c>
      <c r="L26" s="1">
        <v>1375.3</v>
      </c>
      <c r="M26" s="34">
        <v>39630</v>
      </c>
      <c r="N26" s="1">
        <v>234.9</v>
      </c>
    </row>
    <row r="27" spans="1:14" x14ac:dyDescent="0.25">
      <c r="A27" s="34">
        <v>39661</v>
      </c>
      <c r="B27" s="1">
        <v>1386.4</v>
      </c>
      <c r="C27" s="34">
        <v>39661</v>
      </c>
      <c r="D27" s="1">
        <v>560</v>
      </c>
      <c r="E27" s="34">
        <v>39661</v>
      </c>
      <c r="F27" s="1">
        <v>4.5999999999999996</v>
      </c>
      <c r="G27" s="34">
        <v>39661</v>
      </c>
      <c r="H27" s="1">
        <v>-0.88</v>
      </c>
      <c r="I27" s="34">
        <v>39661</v>
      </c>
      <c r="J27" s="1">
        <v>143.31</v>
      </c>
      <c r="K27" s="34">
        <v>39661</v>
      </c>
      <c r="L27" s="1">
        <v>1370.2</v>
      </c>
      <c r="M27" s="34">
        <v>39661</v>
      </c>
      <c r="N27" s="1">
        <v>235.4</v>
      </c>
    </row>
    <row r="28" spans="1:14" x14ac:dyDescent="0.25">
      <c r="A28" s="34">
        <v>39692</v>
      </c>
      <c r="B28" s="1">
        <v>1390.6</v>
      </c>
      <c r="C28" s="34">
        <v>39692</v>
      </c>
      <c r="D28" s="1">
        <v>722</v>
      </c>
      <c r="E28" s="34">
        <v>39692</v>
      </c>
      <c r="F28" s="1">
        <v>4.7</v>
      </c>
      <c r="G28" s="34">
        <v>39692</v>
      </c>
      <c r="H28" s="1">
        <v>-1.24</v>
      </c>
      <c r="I28" s="34">
        <v>39692</v>
      </c>
      <c r="J28" s="1">
        <v>142.9</v>
      </c>
      <c r="K28" s="34">
        <v>39692</v>
      </c>
      <c r="L28" s="1">
        <v>1395.6</v>
      </c>
      <c r="M28" s="34">
        <v>39692</v>
      </c>
      <c r="N28" s="1">
        <v>260.7</v>
      </c>
    </row>
    <row r="29" spans="1:14" x14ac:dyDescent="0.25">
      <c r="A29" s="34">
        <v>39722</v>
      </c>
      <c r="B29" s="1">
        <v>1390</v>
      </c>
      <c r="C29" s="34">
        <v>39722</v>
      </c>
      <c r="D29" s="1">
        <v>672</v>
      </c>
      <c r="E29" s="34">
        <v>39722</v>
      </c>
      <c r="F29" s="1">
        <v>4.7</v>
      </c>
      <c r="G29" s="34">
        <v>39722</v>
      </c>
      <c r="H29" s="1">
        <v>-1.36</v>
      </c>
      <c r="I29" s="34">
        <v>39722</v>
      </c>
      <c r="J29" s="1">
        <v>142.85</v>
      </c>
      <c r="K29" s="34">
        <v>39722</v>
      </c>
      <c r="L29" s="1">
        <v>1403.7</v>
      </c>
      <c r="M29" s="34">
        <v>39722</v>
      </c>
      <c r="N29" s="1">
        <v>268</v>
      </c>
    </row>
    <row r="30" spans="1:14" x14ac:dyDescent="0.25">
      <c r="A30" s="34">
        <v>39753</v>
      </c>
      <c r="B30" s="1">
        <v>1386.4</v>
      </c>
      <c r="C30" s="34">
        <v>39753</v>
      </c>
      <c r="D30" s="1">
        <v>482</v>
      </c>
      <c r="E30" s="34">
        <v>39753</v>
      </c>
      <c r="F30" s="1">
        <v>4.9000000000000004</v>
      </c>
      <c r="G30" s="34">
        <v>39753</v>
      </c>
      <c r="H30" s="1">
        <v>-2.36</v>
      </c>
      <c r="I30" s="34">
        <v>39753</v>
      </c>
      <c r="J30" s="1">
        <v>141.88999999999999</v>
      </c>
      <c r="K30" s="34">
        <v>39753</v>
      </c>
      <c r="L30" s="1">
        <v>1402.5</v>
      </c>
      <c r="M30" s="34">
        <v>39753</v>
      </c>
      <c r="N30" s="1">
        <v>269.89999999999998</v>
      </c>
    </row>
    <row r="31" spans="1:14" x14ac:dyDescent="0.25">
      <c r="A31" s="34">
        <v>39783</v>
      </c>
      <c r="B31" s="1">
        <v>1382.8</v>
      </c>
      <c r="C31" s="34">
        <v>39783</v>
      </c>
      <c r="D31" s="1">
        <v>235</v>
      </c>
      <c r="E31" s="34">
        <v>39783</v>
      </c>
      <c r="F31" s="1">
        <v>5.0999999999999996</v>
      </c>
      <c r="G31" s="34">
        <v>39783</v>
      </c>
      <c r="H31" s="1">
        <v>-2.36</v>
      </c>
      <c r="I31" s="34">
        <v>39783</v>
      </c>
      <c r="J31" s="1">
        <v>141.76</v>
      </c>
      <c r="K31" s="34">
        <v>39783</v>
      </c>
      <c r="L31" s="1">
        <v>1399.1</v>
      </c>
      <c r="M31" s="34">
        <v>39783</v>
      </c>
      <c r="N31" s="1">
        <v>270.5</v>
      </c>
    </row>
    <row r="32" spans="1:14" x14ac:dyDescent="0.25">
      <c r="A32" s="34">
        <v>39814</v>
      </c>
      <c r="B32" s="1">
        <v>1381.4</v>
      </c>
      <c r="C32" s="34">
        <v>39814</v>
      </c>
      <c r="D32" s="1">
        <v>178</v>
      </c>
      <c r="E32" s="34">
        <v>39814</v>
      </c>
      <c r="F32" s="1">
        <v>6.2</v>
      </c>
      <c r="G32" s="34">
        <v>39814</v>
      </c>
      <c r="H32" s="1">
        <v>-5.59</v>
      </c>
      <c r="I32" s="34">
        <v>39814</v>
      </c>
      <c r="J32" s="1">
        <v>138.75</v>
      </c>
      <c r="K32" s="34">
        <v>39814</v>
      </c>
      <c r="L32" s="1">
        <v>1358.2</v>
      </c>
      <c r="M32" s="34">
        <v>39814</v>
      </c>
      <c r="N32" s="1">
        <v>262.2</v>
      </c>
    </row>
    <row r="33" spans="1:14" x14ac:dyDescent="0.25">
      <c r="A33" s="34">
        <v>39845</v>
      </c>
      <c r="B33" s="1">
        <v>1370.8</v>
      </c>
      <c r="C33" s="34">
        <v>39845</v>
      </c>
      <c r="D33" s="1">
        <v>276</v>
      </c>
      <c r="E33" s="34">
        <v>39845</v>
      </c>
      <c r="F33" s="1">
        <v>6.5</v>
      </c>
      <c r="G33" s="34">
        <v>39845</v>
      </c>
      <c r="H33" s="1">
        <v>-5.64</v>
      </c>
      <c r="I33" s="34">
        <v>39845</v>
      </c>
      <c r="J33" s="1">
        <v>138.13999999999999</v>
      </c>
      <c r="K33" s="34">
        <v>39845</v>
      </c>
      <c r="L33" s="1">
        <v>1355.6</v>
      </c>
      <c r="M33" s="34">
        <v>39845</v>
      </c>
      <c r="N33" s="1">
        <v>266.2</v>
      </c>
    </row>
    <row r="34" spans="1:14" x14ac:dyDescent="0.25">
      <c r="A34" s="34">
        <v>39873</v>
      </c>
      <c r="B34" s="1">
        <v>1361.7</v>
      </c>
      <c r="C34" s="34">
        <v>39873</v>
      </c>
      <c r="D34" s="1">
        <v>1163</v>
      </c>
      <c r="E34" s="34">
        <v>39873</v>
      </c>
      <c r="F34" s="1">
        <v>6.8</v>
      </c>
      <c r="G34" s="34">
        <v>39873</v>
      </c>
      <c r="H34" s="1">
        <v>-4.17</v>
      </c>
      <c r="I34" s="34">
        <v>39873</v>
      </c>
      <c r="J34" s="1">
        <v>136.62</v>
      </c>
      <c r="K34" s="34">
        <v>39873</v>
      </c>
      <c r="L34" s="1">
        <v>1356</v>
      </c>
      <c r="M34" s="34">
        <v>39873</v>
      </c>
      <c r="N34" s="1">
        <v>267.89999999999998</v>
      </c>
    </row>
    <row r="35" spans="1:14" x14ac:dyDescent="0.25">
      <c r="A35" s="34">
        <v>39904</v>
      </c>
      <c r="B35" s="1">
        <v>1350.3</v>
      </c>
      <c r="C35" s="34">
        <v>39904</v>
      </c>
      <c r="D35" s="1">
        <v>537</v>
      </c>
      <c r="E35" s="34">
        <v>39904</v>
      </c>
      <c r="F35" s="1">
        <v>7</v>
      </c>
      <c r="G35" s="34">
        <v>39904</v>
      </c>
      <c r="H35" s="1">
        <v>-3.51</v>
      </c>
      <c r="I35" s="34">
        <v>39904</v>
      </c>
      <c r="J35" s="1">
        <v>135.62</v>
      </c>
      <c r="K35" s="34">
        <v>39904</v>
      </c>
      <c r="L35" s="1">
        <v>1356.4</v>
      </c>
      <c r="M35" s="34">
        <v>39904</v>
      </c>
      <c r="N35" s="1">
        <v>269.10000000000002</v>
      </c>
    </row>
    <row r="36" spans="1:14" x14ac:dyDescent="0.25">
      <c r="A36" s="34">
        <v>39934</v>
      </c>
      <c r="B36" s="1">
        <v>1346.1</v>
      </c>
      <c r="C36" s="34">
        <v>39934</v>
      </c>
      <c r="D36" s="1">
        <v>399</v>
      </c>
      <c r="E36" s="34">
        <v>39934</v>
      </c>
      <c r="F36" s="1">
        <v>7.3</v>
      </c>
      <c r="G36" s="34">
        <v>39934</v>
      </c>
      <c r="H36" s="1">
        <v>-3.3</v>
      </c>
      <c r="I36" s="34">
        <v>39934</v>
      </c>
      <c r="J36" s="1">
        <v>134.32</v>
      </c>
      <c r="K36" s="34">
        <v>39934</v>
      </c>
      <c r="L36" s="1">
        <v>1359.6</v>
      </c>
      <c r="M36" s="34">
        <v>39934</v>
      </c>
      <c r="N36" s="1">
        <v>273.7</v>
      </c>
    </row>
    <row r="37" spans="1:14" x14ac:dyDescent="0.25">
      <c r="A37" s="34">
        <v>39965</v>
      </c>
      <c r="B37" s="1">
        <v>1339.5</v>
      </c>
      <c r="C37" s="34">
        <v>39965</v>
      </c>
      <c r="D37" s="1">
        <v>473</v>
      </c>
      <c r="E37" s="34">
        <v>39965</v>
      </c>
      <c r="F37" s="1">
        <v>7.5</v>
      </c>
      <c r="G37" s="34">
        <v>39965</v>
      </c>
      <c r="H37" s="1">
        <v>-2.6</v>
      </c>
      <c r="I37" s="34">
        <v>39965</v>
      </c>
      <c r="J37" s="1">
        <v>133.29</v>
      </c>
      <c r="K37" s="34">
        <v>39965</v>
      </c>
      <c r="L37" s="1">
        <v>1349.7</v>
      </c>
      <c r="M37" s="34">
        <v>39965</v>
      </c>
      <c r="N37" s="1">
        <v>262</v>
      </c>
    </row>
    <row r="38" spans="1:14" x14ac:dyDescent="0.25">
      <c r="A38" s="34">
        <v>39995</v>
      </c>
      <c r="B38" s="1">
        <v>1333.9</v>
      </c>
      <c r="C38" s="34">
        <v>39995</v>
      </c>
      <c r="D38" s="1">
        <v>448</v>
      </c>
      <c r="E38" s="34">
        <v>39995</v>
      </c>
      <c r="F38" s="1">
        <v>7.5</v>
      </c>
      <c r="G38" s="34">
        <v>39995</v>
      </c>
      <c r="H38" s="1">
        <v>-1.43</v>
      </c>
      <c r="I38" s="34">
        <v>39995</v>
      </c>
      <c r="J38" s="1">
        <v>132.72999999999999</v>
      </c>
      <c r="K38" s="34">
        <v>39995</v>
      </c>
      <c r="L38" s="1">
        <v>1318.4</v>
      </c>
      <c r="M38" s="34">
        <v>39995</v>
      </c>
      <c r="N38" s="1">
        <v>235.4</v>
      </c>
    </row>
    <row r="39" spans="1:14" x14ac:dyDescent="0.25">
      <c r="A39" s="34">
        <v>40026</v>
      </c>
      <c r="B39" s="1">
        <v>1329.9</v>
      </c>
      <c r="C39" s="34">
        <v>40026</v>
      </c>
      <c r="D39" s="1">
        <v>633</v>
      </c>
      <c r="E39" s="34">
        <v>40026</v>
      </c>
      <c r="F39" s="1">
        <v>7.5</v>
      </c>
      <c r="G39" s="34">
        <v>40026</v>
      </c>
      <c r="H39" s="1">
        <v>-0.79</v>
      </c>
      <c r="I39" s="34">
        <v>40026</v>
      </c>
      <c r="J39" s="1">
        <v>132.06</v>
      </c>
      <c r="K39" s="34">
        <v>40026</v>
      </c>
      <c r="L39" s="1">
        <v>1313.4</v>
      </c>
      <c r="M39" s="34">
        <v>40026</v>
      </c>
      <c r="N39" s="1">
        <v>233.9</v>
      </c>
    </row>
    <row r="40" spans="1:14" x14ac:dyDescent="0.25">
      <c r="A40" s="34">
        <v>40057</v>
      </c>
      <c r="B40" s="1">
        <v>1328.5</v>
      </c>
      <c r="C40" s="34">
        <v>40057</v>
      </c>
      <c r="D40" s="1">
        <v>416</v>
      </c>
      <c r="E40" s="34">
        <v>40057</v>
      </c>
      <c r="F40" s="1">
        <v>7.4</v>
      </c>
      <c r="G40" s="34">
        <v>40057</v>
      </c>
      <c r="H40" s="1">
        <v>-0.34</v>
      </c>
      <c r="I40" s="34">
        <v>40057</v>
      </c>
      <c r="J40" s="1">
        <v>131.79</v>
      </c>
      <c r="K40" s="34">
        <v>40057</v>
      </c>
      <c r="L40" s="1">
        <v>1333.5</v>
      </c>
      <c r="M40" s="34">
        <v>40057</v>
      </c>
      <c r="N40" s="1">
        <v>260.10000000000002</v>
      </c>
    </row>
    <row r="41" spans="1:14" x14ac:dyDescent="0.25">
      <c r="A41" s="34">
        <v>40087</v>
      </c>
      <c r="B41" s="1">
        <v>1325</v>
      </c>
      <c r="C41" s="34">
        <v>40087</v>
      </c>
      <c r="D41" s="1">
        <v>805</v>
      </c>
      <c r="E41" s="34">
        <v>40087</v>
      </c>
      <c r="F41" s="1">
        <v>7.3</v>
      </c>
      <c r="G41" s="34">
        <v>40087</v>
      </c>
      <c r="H41" s="1">
        <v>-0.01</v>
      </c>
      <c r="I41" s="34">
        <v>40087</v>
      </c>
      <c r="J41" s="1">
        <v>131.49</v>
      </c>
      <c r="K41" s="34">
        <v>40087</v>
      </c>
      <c r="L41" s="1">
        <v>1339</v>
      </c>
      <c r="M41" s="34">
        <v>40087</v>
      </c>
      <c r="N41" s="1">
        <v>267.5</v>
      </c>
    </row>
    <row r="42" spans="1:14" x14ac:dyDescent="0.25">
      <c r="A42" s="34">
        <v>40118</v>
      </c>
      <c r="B42" s="1">
        <v>1326.3</v>
      </c>
      <c r="C42" s="34">
        <v>40118</v>
      </c>
      <c r="D42" s="1">
        <v>717</v>
      </c>
      <c r="E42" s="34">
        <v>40118</v>
      </c>
      <c r="F42" s="1">
        <v>7.2</v>
      </c>
      <c r="G42" s="34">
        <v>40118</v>
      </c>
      <c r="H42" s="1">
        <v>0.39</v>
      </c>
      <c r="I42" s="34">
        <v>40118</v>
      </c>
      <c r="J42" s="1">
        <v>131.37</v>
      </c>
      <c r="K42" s="34">
        <v>40118</v>
      </c>
      <c r="L42" s="1">
        <v>1341.9</v>
      </c>
      <c r="M42" s="34">
        <v>40118</v>
      </c>
      <c r="N42" s="1">
        <v>269</v>
      </c>
    </row>
    <row r="43" spans="1:14" x14ac:dyDescent="0.25">
      <c r="A43" s="34">
        <v>40148</v>
      </c>
      <c r="B43" s="1">
        <v>1324.1</v>
      </c>
      <c r="C43" s="34">
        <v>40148</v>
      </c>
      <c r="D43" s="1">
        <v>715</v>
      </c>
      <c r="E43" s="34">
        <v>40148</v>
      </c>
      <c r="F43" s="1">
        <v>7.2</v>
      </c>
      <c r="G43" s="34">
        <v>40148</v>
      </c>
      <c r="H43" s="1">
        <v>0.13</v>
      </c>
      <c r="I43" s="34">
        <v>40148</v>
      </c>
      <c r="J43" s="1">
        <v>131.07</v>
      </c>
      <c r="K43" s="34">
        <v>40148</v>
      </c>
      <c r="L43" s="1">
        <v>1337.9</v>
      </c>
      <c r="M43" s="34">
        <v>40148</v>
      </c>
      <c r="N43" s="1">
        <v>268.89999999999998</v>
      </c>
    </row>
    <row r="44" spans="1:14" x14ac:dyDescent="0.25">
      <c r="A44" s="34">
        <v>40179</v>
      </c>
      <c r="B44" s="1">
        <v>1323</v>
      </c>
      <c r="C44" s="34">
        <v>40179</v>
      </c>
      <c r="D44" s="1">
        <v>246</v>
      </c>
      <c r="E44" s="34">
        <v>40179</v>
      </c>
      <c r="F44" s="1">
        <v>7.2</v>
      </c>
      <c r="G44" s="34">
        <v>40179</v>
      </c>
      <c r="H44" s="1">
        <v>-0.11</v>
      </c>
      <c r="I44" s="34">
        <v>40179</v>
      </c>
      <c r="J44" s="1">
        <v>130.91999999999999</v>
      </c>
      <c r="K44" s="34">
        <v>40179</v>
      </c>
      <c r="L44" s="1">
        <v>1300.5</v>
      </c>
      <c r="M44" s="34">
        <v>40179</v>
      </c>
      <c r="N44" s="1">
        <v>259.89999999999998</v>
      </c>
    </row>
    <row r="45" spans="1:14" x14ac:dyDescent="0.25">
      <c r="A45" s="34">
        <v>40210</v>
      </c>
      <c r="B45" s="1">
        <v>1319</v>
      </c>
      <c r="C45" s="34">
        <v>40210</v>
      </c>
      <c r="D45" s="1">
        <v>238</v>
      </c>
      <c r="E45" s="34">
        <v>40210</v>
      </c>
      <c r="F45" s="1">
        <v>7.2</v>
      </c>
      <c r="G45" s="34">
        <v>40210</v>
      </c>
      <c r="H45" s="1">
        <v>0.37</v>
      </c>
      <c r="I45" s="34">
        <v>40210</v>
      </c>
      <c r="J45" s="1">
        <v>130.91999999999999</v>
      </c>
      <c r="K45" s="34">
        <v>40210</v>
      </c>
      <c r="L45" s="1">
        <v>1304.0999999999999</v>
      </c>
      <c r="M45" s="34">
        <v>40210</v>
      </c>
      <c r="N45" s="1">
        <v>263.5</v>
      </c>
    </row>
    <row r="46" spans="1:14" x14ac:dyDescent="0.25">
      <c r="A46" s="34">
        <v>40238</v>
      </c>
      <c r="B46" s="1">
        <v>1321.3</v>
      </c>
      <c r="C46" s="34">
        <v>40238</v>
      </c>
      <c r="D46" s="1">
        <v>465</v>
      </c>
      <c r="E46" s="34">
        <v>40238</v>
      </c>
      <c r="F46" s="1">
        <v>7.2</v>
      </c>
      <c r="G46" s="34">
        <v>40238</v>
      </c>
      <c r="H46" s="1">
        <v>1.26</v>
      </c>
      <c r="I46" s="34">
        <v>40238</v>
      </c>
      <c r="J46" s="1">
        <v>131</v>
      </c>
      <c r="K46" s="34">
        <v>40238</v>
      </c>
      <c r="L46" s="1">
        <v>1314.8</v>
      </c>
      <c r="M46" s="34">
        <v>40238</v>
      </c>
      <c r="N46" s="1">
        <v>267.60000000000002</v>
      </c>
    </row>
    <row r="47" spans="1:14" x14ac:dyDescent="0.25">
      <c r="A47" s="34">
        <v>40269</v>
      </c>
      <c r="B47" s="1">
        <v>1326.7</v>
      </c>
      <c r="C47" s="34">
        <v>40269</v>
      </c>
      <c r="D47" s="1">
        <v>410</v>
      </c>
      <c r="E47" s="34">
        <v>40269</v>
      </c>
      <c r="F47" s="1">
        <v>7.1</v>
      </c>
      <c r="G47" s="34">
        <v>40269</v>
      </c>
      <c r="H47" s="1">
        <v>2.11</v>
      </c>
      <c r="I47" s="34">
        <v>40269</v>
      </c>
      <c r="J47" s="1">
        <v>131.52000000000001</v>
      </c>
      <c r="K47" s="34">
        <v>40269</v>
      </c>
      <c r="L47" s="1">
        <v>1333.3</v>
      </c>
      <c r="M47" s="34">
        <v>40269</v>
      </c>
      <c r="N47" s="1">
        <v>268.89999999999998</v>
      </c>
    </row>
    <row r="48" spans="1:14" x14ac:dyDescent="0.25">
      <c r="A48" s="34">
        <v>40299</v>
      </c>
      <c r="B48" s="1">
        <v>1331.4</v>
      </c>
      <c r="C48" s="34">
        <v>40299</v>
      </c>
      <c r="D48" s="1">
        <v>393</v>
      </c>
      <c r="E48" s="34">
        <v>40299</v>
      </c>
      <c r="F48" s="1">
        <v>7.1</v>
      </c>
      <c r="G48" s="34">
        <v>40299</v>
      </c>
      <c r="H48" s="1">
        <v>1.61</v>
      </c>
      <c r="I48" s="34">
        <v>40299</v>
      </c>
      <c r="J48" s="1">
        <v>131.66</v>
      </c>
      <c r="K48" s="34">
        <v>40299</v>
      </c>
      <c r="L48" s="1">
        <v>1345.7</v>
      </c>
      <c r="M48" s="34">
        <v>40299</v>
      </c>
      <c r="N48" s="1">
        <v>276.10000000000002</v>
      </c>
    </row>
    <row r="49" spans="1:14" x14ac:dyDescent="0.25">
      <c r="A49" s="34">
        <v>40330</v>
      </c>
      <c r="B49" s="1">
        <v>1331.8</v>
      </c>
      <c r="C49" s="34">
        <v>40330</v>
      </c>
      <c r="D49" s="1">
        <v>645</v>
      </c>
      <c r="E49" s="34">
        <v>40330</v>
      </c>
      <c r="F49" s="1">
        <v>7</v>
      </c>
      <c r="G49" s="34">
        <v>40330</v>
      </c>
      <c r="H49" s="1">
        <v>1.58</v>
      </c>
      <c r="I49" s="34">
        <v>40330</v>
      </c>
      <c r="J49" s="1">
        <v>132.08000000000001</v>
      </c>
      <c r="K49" s="34">
        <v>40330</v>
      </c>
      <c r="L49" s="1">
        <v>1341.4</v>
      </c>
      <c r="M49" s="34">
        <v>40330</v>
      </c>
      <c r="N49" s="1">
        <v>266.7</v>
      </c>
    </row>
    <row r="50" spans="1:14" x14ac:dyDescent="0.25">
      <c r="A50" s="34">
        <v>40360</v>
      </c>
      <c r="B50" s="1">
        <v>1333.3</v>
      </c>
      <c r="C50" s="34">
        <v>40360</v>
      </c>
      <c r="D50" s="1">
        <v>458</v>
      </c>
      <c r="E50" s="34">
        <v>40360</v>
      </c>
      <c r="F50" s="1">
        <v>7</v>
      </c>
      <c r="G50" s="34">
        <v>40360</v>
      </c>
      <c r="H50" s="1">
        <v>1.31</v>
      </c>
      <c r="I50" s="34">
        <v>40360</v>
      </c>
      <c r="J50" s="1">
        <v>132.24</v>
      </c>
      <c r="K50" s="34">
        <v>40360</v>
      </c>
      <c r="L50" s="1">
        <v>1317.5</v>
      </c>
      <c r="M50" s="34">
        <v>40360</v>
      </c>
      <c r="N50" s="1">
        <v>241.8</v>
      </c>
    </row>
    <row r="51" spans="1:14" x14ac:dyDescent="0.25">
      <c r="A51" s="34">
        <v>40391</v>
      </c>
      <c r="B51" s="1">
        <v>1334.3</v>
      </c>
      <c r="C51" s="34">
        <v>40391</v>
      </c>
      <c r="D51" s="1">
        <v>413</v>
      </c>
      <c r="E51" s="34">
        <v>40391</v>
      </c>
      <c r="F51" s="1">
        <v>7.1</v>
      </c>
      <c r="G51" s="34">
        <v>40391</v>
      </c>
      <c r="H51" s="1">
        <v>0.39</v>
      </c>
      <c r="I51" s="34">
        <v>40391</v>
      </c>
      <c r="J51" s="1">
        <v>132.08000000000001</v>
      </c>
      <c r="K51" s="34">
        <v>40391</v>
      </c>
      <c r="L51" s="1">
        <v>1318</v>
      </c>
      <c r="M51" s="34">
        <v>40391</v>
      </c>
      <c r="N51" s="1">
        <v>243.3</v>
      </c>
    </row>
    <row r="52" spans="1:14" x14ac:dyDescent="0.25">
      <c r="A52" s="34">
        <v>40422</v>
      </c>
      <c r="B52" s="1">
        <v>1327</v>
      </c>
      <c r="C52" s="34">
        <v>40422</v>
      </c>
      <c r="D52" s="1">
        <v>411</v>
      </c>
      <c r="E52" s="34">
        <v>40422</v>
      </c>
      <c r="F52" s="1">
        <v>7</v>
      </c>
      <c r="G52" s="34">
        <v>40422</v>
      </c>
      <c r="H52" s="1">
        <v>0.04</v>
      </c>
      <c r="I52" s="34">
        <v>40422</v>
      </c>
      <c r="J52" s="1">
        <v>132.35</v>
      </c>
      <c r="K52" s="34">
        <v>40422</v>
      </c>
      <c r="L52" s="1">
        <v>1331.8</v>
      </c>
      <c r="M52" s="34">
        <v>40422</v>
      </c>
      <c r="N52" s="1">
        <v>262.89999999999998</v>
      </c>
    </row>
    <row r="53" spans="1:14" x14ac:dyDescent="0.25">
      <c r="A53" s="34">
        <v>40452</v>
      </c>
      <c r="B53" s="1">
        <v>1333.2</v>
      </c>
      <c r="C53" s="34">
        <v>40452</v>
      </c>
      <c r="D53" s="1">
        <v>329</v>
      </c>
      <c r="E53" s="34">
        <v>40452</v>
      </c>
      <c r="F53" s="1">
        <v>7</v>
      </c>
      <c r="G53" s="34">
        <v>40452</v>
      </c>
      <c r="H53" s="1">
        <v>0.44</v>
      </c>
      <c r="I53" s="34">
        <v>40452</v>
      </c>
      <c r="J53" s="1">
        <v>132.35</v>
      </c>
      <c r="K53" s="34">
        <v>40452</v>
      </c>
      <c r="L53" s="1">
        <v>1346.8</v>
      </c>
      <c r="M53" s="34">
        <v>40452</v>
      </c>
      <c r="N53" s="1">
        <v>266.60000000000002</v>
      </c>
    </row>
    <row r="54" spans="1:14" x14ac:dyDescent="0.25">
      <c r="A54" s="34">
        <v>40483</v>
      </c>
      <c r="B54" s="1">
        <v>1329.2</v>
      </c>
      <c r="C54" s="34">
        <v>40483</v>
      </c>
      <c r="D54" s="1">
        <v>384</v>
      </c>
      <c r="E54" s="34">
        <v>40483</v>
      </c>
      <c r="F54" s="1">
        <v>7</v>
      </c>
      <c r="G54" s="34">
        <v>40483</v>
      </c>
      <c r="H54" s="1">
        <v>0.51</v>
      </c>
      <c r="I54" s="34">
        <v>40483</v>
      </c>
      <c r="J54" s="1">
        <v>132.33000000000001</v>
      </c>
      <c r="K54" s="34">
        <v>40483</v>
      </c>
      <c r="L54" s="1">
        <v>1344.8</v>
      </c>
      <c r="M54" s="34">
        <v>40483</v>
      </c>
      <c r="N54" s="1">
        <v>264.3</v>
      </c>
    </row>
    <row r="55" spans="1:14" x14ac:dyDescent="0.25">
      <c r="A55" s="34">
        <v>40513</v>
      </c>
      <c r="B55" s="1">
        <v>1331</v>
      </c>
      <c r="C55" s="34">
        <v>40513</v>
      </c>
      <c r="D55" s="1">
        <v>312</v>
      </c>
      <c r="E55" s="34">
        <v>40513</v>
      </c>
      <c r="F55" s="1">
        <v>6.9</v>
      </c>
      <c r="G55" s="34">
        <v>40513</v>
      </c>
      <c r="H55" s="1">
        <v>0.43</v>
      </c>
      <c r="I55" s="34">
        <v>40513</v>
      </c>
      <c r="J55" s="1">
        <v>132.54</v>
      </c>
      <c r="K55" s="34">
        <v>40513</v>
      </c>
      <c r="L55" s="1">
        <v>1344.8</v>
      </c>
      <c r="M55" s="34">
        <v>40513</v>
      </c>
      <c r="N55" s="1">
        <v>264.89999999999998</v>
      </c>
    </row>
    <row r="56" spans="1:14" x14ac:dyDescent="0.25">
      <c r="A56" s="34">
        <v>40544</v>
      </c>
      <c r="B56" s="1">
        <v>1337.9</v>
      </c>
      <c r="C56" s="34">
        <v>40544</v>
      </c>
      <c r="D56" s="1">
        <v>318</v>
      </c>
      <c r="E56" s="34">
        <v>40544</v>
      </c>
      <c r="F56" s="1">
        <v>6.8</v>
      </c>
      <c r="G56" s="34">
        <v>40544</v>
      </c>
      <c r="H56" s="1">
        <v>0.38</v>
      </c>
      <c r="I56" s="34">
        <v>40544</v>
      </c>
      <c r="J56" s="1">
        <v>132.68</v>
      </c>
      <c r="K56" s="34">
        <v>40544</v>
      </c>
      <c r="L56" s="1">
        <v>1314.8</v>
      </c>
      <c r="M56" s="34">
        <v>40544</v>
      </c>
      <c r="N56" s="1">
        <v>261.60000000000002</v>
      </c>
    </row>
    <row r="57" spans="1:14" x14ac:dyDescent="0.25">
      <c r="A57" s="34">
        <v>40575</v>
      </c>
      <c r="B57" s="1">
        <v>1331.3</v>
      </c>
      <c r="C57" s="34">
        <v>40575</v>
      </c>
      <c r="D57" s="1">
        <v>240</v>
      </c>
      <c r="E57" s="34">
        <v>40575</v>
      </c>
      <c r="F57" s="1">
        <v>6.7</v>
      </c>
      <c r="G57" s="34">
        <v>40575</v>
      </c>
      <c r="H57" s="1">
        <v>0.96</v>
      </c>
      <c r="I57" s="34">
        <v>40575</v>
      </c>
      <c r="J57" s="1">
        <v>132.94999999999999</v>
      </c>
      <c r="K57" s="34">
        <v>40575</v>
      </c>
      <c r="L57" s="1">
        <v>1316.4</v>
      </c>
      <c r="M57" s="34">
        <v>40575</v>
      </c>
      <c r="N57" s="1">
        <v>263.39999999999998</v>
      </c>
    </row>
    <row r="58" spans="1:14" x14ac:dyDescent="0.25">
      <c r="A58" s="34">
        <v>40603</v>
      </c>
      <c r="B58" s="1">
        <v>1332.9</v>
      </c>
      <c r="C58" s="34">
        <v>40603</v>
      </c>
      <c r="D58" s="1">
        <v>457</v>
      </c>
      <c r="E58" s="34">
        <v>40603</v>
      </c>
      <c r="F58" s="1">
        <v>6.7</v>
      </c>
      <c r="G58" s="34">
        <v>40603</v>
      </c>
      <c r="H58" s="1">
        <v>0.97</v>
      </c>
      <c r="I58" s="34">
        <v>40603</v>
      </c>
      <c r="J58" s="1">
        <v>132.96</v>
      </c>
      <c r="K58" s="34">
        <v>40603</v>
      </c>
      <c r="L58" s="1">
        <v>1326.2</v>
      </c>
      <c r="M58" s="34">
        <v>40603</v>
      </c>
      <c r="N58" s="1">
        <v>265.2</v>
      </c>
    </row>
    <row r="59" spans="1:14" x14ac:dyDescent="0.25">
      <c r="A59" s="34">
        <v>40634</v>
      </c>
      <c r="B59" s="1">
        <v>1339.8</v>
      </c>
      <c r="C59" s="34">
        <v>40634</v>
      </c>
      <c r="D59" s="1">
        <v>359</v>
      </c>
      <c r="E59" s="34">
        <v>40634</v>
      </c>
      <c r="F59" s="1">
        <v>6.6</v>
      </c>
      <c r="G59" s="34">
        <v>40634</v>
      </c>
      <c r="H59" s="1">
        <v>1.67</v>
      </c>
      <c r="I59" s="34">
        <v>40634</v>
      </c>
      <c r="J59" s="1">
        <v>133.38</v>
      </c>
      <c r="K59" s="34">
        <v>40634</v>
      </c>
      <c r="L59" s="1">
        <v>1346.9</v>
      </c>
      <c r="M59" s="34">
        <v>40634</v>
      </c>
      <c r="N59" s="1">
        <v>268</v>
      </c>
    </row>
    <row r="60" spans="1:14" x14ac:dyDescent="0.25">
      <c r="A60" s="34">
        <v>40664</v>
      </c>
      <c r="B60" s="1">
        <v>1339.2</v>
      </c>
      <c r="C60" s="34">
        <v>40664</v>
      </c>
      <c r="D60" s="1">
        <v>416</v>
      </c>
      <c r="E60" s="34">
        <v>40664</v>
      </c>
      <c r="F60" s="1">
        <v>6.6</v>
      </c>
      <c r="G60" s="34">
        <v>40664</v>
      </c>
      <c r="H60" s="1">
        <v>1.07</v>
      </c>
      <c r="I60" s="34">
        <v>40664</v>
      </c>
      <c r="J60" s="1">
        <v>133.46</v>
      </c>
      <c r="K60" s="34">
        <v>40664</v>
      </c>
      <c r="L60" s="1">
        <v>1353.5</v>
      </c>
      <c r="M60" s="34">
        <v>40664</v>
      </c>
      <c r="N60" s="1">
        <v>269</v>
      </c>
    </row>
    <row r="61" spans="1:14" x14ac:dyDescent="0.25">
      <c r="A61" s="34">
        <v>40695</v>
      </c>
      <c r="B61" s="1">
        <v>1331.7</v>
      </c>
      <c r="C61" s="34">
        <v>40695</v>
      </c>
      <c r="D61" s="1">
        <v>373</v>
      </c>
      <c r="E61" s="34">
        <v>40695</v>
      </c>
      <c r="F61" s="1">
        <v>6.6</v>
      </c>
      <c r="G61" s="34">
        <v>40695</v>
      </c>
      <c r="H61" s="1">
        <v>0.61</v>
      </c>
      <c r="I61" s="34">
        <v>40695</v>
      </c>
      <c r="J61" s="1">
        <v>133.6</v>
      </c>
      <c r="K61" s="34">
        <v>40695</v>
      </c>
      <c r="L61" s="1">
        <v>1340.7</v>
      </c>
      <c r="M61" s="34">
        <v>40695</v>
      </c>
      <c r="N61" s="1">
        <v>256.3</v>
      </c>
    </row>
    <row r="62" spans="1:14" x14ac:dyDescent="0.25">
      <c r="A62" s="34">
        <v>40725</v>
      </c>
      <c r="B62" s="1">
        <v>1342</v>
      </c>
      <c r="C62" s="34">
        <v>40725</v>
      </c>
      <c r="D62" s="1">
        <v>715</v>
      </c>
      <c r="E62" s="34">
        <v>40725</v>
      </c>
      <c r="F62" s="1">
        <v>6.6</v>
      </c>
      <c r="G62" s="34">
        <v>40725</v>
      </c>
      <c r="H62" s="1">
        <v>0.83</v>
      </c>
      <c r="I62" s="34">
        <v>40725</v>
      </c>
      <c r="J62" s="1">
        <v>133.83000000000001</v>
      </c>
      <c r="K62" s="34">
        <v>40725</v>
      </c>
      <c r="L62" s="1">
        <v>1324.8</v>
      </c>
      <c r="M62" s="34">
        <v>40725</v>
      </c>
      <c r="N62" s="1">
        <v>238.1</v>
      </c>
    </row>
    <row r="63" spans="1:14" x14ac:dyDescent="0.25">
      <c r="A63" s="34">
        <v>40756</v>
      </c>
      <c r="B63" s="1">
        <v>1344.2</v>
      </c>
      <c r="C63" s="34">
        <v>40756</v>
      </c>
      <c r="D63" s="1">
        <v>509</v>
      </c>
      <c r="E63" s="34">
        <v>40756</v>
      </c>
      <c r="F63" s="1">
        <v>6.6</v>
      </c>
      <c r="G63" s="34">
        <v>40756</v>
      </c>
      <c r="H63" s="1">
        <v>0.63</v>
      </c>
      <c r="I63" s="34">
        <v>40756</v>
      </c>
      <c r="J63" s="1">
        <v>134.01</v>
      </c>
      <c r="K63" s="34">
        <v>40756</v>
      </c>
      <c r="L63" s="1">
        <v>1328.2</v>
      </c>
      <c r="M63" s="34">
        <v>40756</v>
      </c>
      <c r="N63" s="1">
        <v>240</v>
      </c>
    </row>
    <row r="64" spans="1:14" x14ac:dyDescent="0.25">
      <c r="A64" s="34">
        <v>40787</v>
      </c>
      <c r="B64" s="1">
        <v>1343.5</v>
      </c>
      <c r="C64" s="34">
        <v>40787</v>
      </c>
      <c r="D64" s="1">
        <v>701</v>
      </c>
      <c r="E64" s="34">
        <v>40787</v>
      </c>
      <c r="F64" s="1">
        <v>6.5</v>
      </c>
      <c r="G64" s="34">
        <v>40787</v>
      </c>
      <c r="H64" s="1">
        <v>1.07</v>
      </c>
      <c r="I64" s="34">
        <v>40787</v>
      </c>
      <c r="J64" s="1">
        <v>134.33000000000001</v>
      </c>
      <c r="K64" s="34">
        <v>40787</v>
      </c>
      <c r="L64" s="1">
        <v>1348.1</v>
      </c>
      <c r="M64" s="34">
        <v>40787</v>
      </c>
      <c r="N64" s="1">
        <v>262.39999999999998</v>
      </c>
    </row>
    <row r="65" spans="1:14" x14ac:dyDescent="0.25">
      <c r="A65" s="34">
        <v>40817</v>
      </c>
      <c r="B65" s="1">
        <v>1343.7</v>
      </c>
      <c r="C65" s="34">
        <v>40817</v>
      </c>
      <c r="D65" s="1">
        <v>346</v>
      </c>
      <c r="E65" s="34">
        <v>40817</v>
      </c>
      <c r="F65" s="1">
        <v>6.3</v>
      </c>
      <c r="G65" s="34">
        <v>40817</v>
      </c>
      <c r="H65" s="1">
        <v>1.52</v>
      </c>
      <c r="I65" s="34">
        <v>40817</v>
      </c>
      <c r="J65" s="1">
        <v>134.82</v>
      </c>
      <c r="K65" s="34">
        <v>40817</v>
      </c>
      <c r="L65" s="1">
        <v>1357.6</v>
      </c>
      <c r="M65" s="34">
        <v>40817</v>
      </c>
      <c r="N65" s="1">
        <v>265.8</v>
      </c>
    </row>
    <row r="66" spans="1:14" x14ac:dyDescent="0.25">
      <c r="A66" s="34">
        <v>40848</v>
      </c>
      <c r="B66" s="1">
        <v>1344.2</v>
      </c>
      <c r="C66" s="34">
        <v>40848</v>
      </c>
      <c r="D66" s="1">
        <v>270</v>
      </c>
      <c r="E66" s="34">
        <v>40848</v>
      </c>
      <c r="F66" s="1">
        <v>6.2</v>
      </c>
      <c r="G66" s="34">
        <v>40848</v>
      </c>
      <c r="H66" s="1">
        <v>1.51</v>
      </c>
      <c r="I66" s="34">
        <v>40848</v>
      </c>
      <c r="J66" s="1">
        <v>135.1</v>
      </c>
      <c r="K66" s="34">
        <v>40848</v>
      </c>
      <c r="L66" s="1">
        <v>1359.6</v>
      </c>
      <c r="M66" s="34">
        <v>40848</v>
      </c>
      <c r="N66" s="1">
        <v>265.8</v>
      </c>
    </row>
    <row r="67" spans="1:14" x14ac:dyDescent="0.25">
      <c r="A67" s="34">
        <v>40878</v>
      </c>
      <c r="B67" s="1">
        <v>1341.4</v>
      </c>
      <c r="C67" s="34">
        <v>40878</v>
      </c>
      <c r="D67" s="1">
        <v>255</v>
      </c>
      <c r="E67" s="34">
        <v>40878</v>
      </c>
      <c r="F67" s="1">
        <v>6.1</v>
      </c>
      <c r="G67" s="34">
        <v>40878</v>
      </c>
      <c r="H67" s="1">
        <v>1.28</v>
      </c>
      <c r="I67" s="34">
        <v>40878</v>
      </c>
      <c r="J67" s="1">
        <v>135.38</v>
      </c>
      <c r="K67" s="34">
        <v>40878</v>
      </c>
      <c r="L67" s="1">
        <v>1354.6</v>
      </c>
      <c r="M67" s="34">
        <v>40878</v>
      </c>
      <c r="N67" s="1">
        <v>262.7</v>
      </c>
    </row>
    <row r="68" spans="1:14" x14ac:dyDescent="0.25">
      <c r="A68" s="34">
        <v>40909</v>
      </c>
      <c r="B68" s="1">
        <v>1354.2</v>
      </c>
      <c r="C68" s="34">
        <v>40909</v>
      </c>
      <c r="D68" s="1">
        <v>209</v>
      </c>
      <c r="E68" s="34">
        <v>40909</v>
      </c>
      <c r="F68" s="1">
        <v>5.9</v>
      </c>
      <c r="G68" s="34">
        <v>40909</v>
      </c>
      <c r="H68" s="1">
        <v>2.0699999999999998</v>
      </c>
      <c r="I68" s="34">
        <v>40909</v>
      </c>
      <c r="J68" s="1">
        <v>136.16999999999999</v>
      </c>
      <c r="K68" s="34">
        <v>40909</v>
      </c>
      <c r="L68" s="1">
        <v>1331.4</v>
      </c>
      <c r="M68" s="34">
        <v>40909</v>
      </c>
      <c r="N68" s="1">
        <v>257.7</v>
      </c>
    </row>
    <row r="69" spans="1:14" x14ac:dyDescent="0.25">
      <c r="A69" s="34">
        <v>40940</v>
      </c>
      <c r="B69" s="1">
        <v>1354.7</v>
      </c>
      <c r="C69" s="34">
        <v>40940</v>
      </c>
      <c r="D69" s="1">
        <v>303</v>
      </c>
      <c r="E69" s="34">
        <v>40940</v>
      </c>
      <c r="F69" s="1">
        <v>5.9</v>
      </c>
      <c r="G69" s="34">
        <v>40940</v>
      </c>
      <c r="H69" s="1">
        <v>1.88</v>
      </c>
      <c r="I69" s="34">
        <v>40940</v>
      </c>
      <c r="J69" s="1">
        <v>136.31</v>
      </c>
      <c r="K69" s="34">
        <v>40940</v>
      </c>
      <c r="L69" s="1">
        <v>1339.4</v>
      </c>
      <c r="M69" s="34">
        <v>40940</v>
      </c>
      <c r="N69" s="1">
        <v>263</v>
      </c>
    </row>
    <row r="70" spans="1:14" x14ac:dyDescent="0.25">
      <c r="A70" s="34">
        <v>40969</v>
      </c>
      <c r="B70" s="1">
        <v>1358.4</v>
      </c>
      <c r="C70" s="34">
        <v>40969</v>
      </c>
      <c r="D70" s="1">
        <v>386</v>
      </c>
      <c r="E70" s="34">
        <v>40969</v>
      </c>
      <c r="F70" s="1">
        <v>5.8</v>
      </c>
      <c r="G70" s="34">
        <v>40969</v>
      </c>
      <c r="H70" s="1">
        <v>1.3</v>
      </c>
      <c r="I70" s="34">
        <v>40969</v>
      </c>
      <c r="J70" s="1">
        <v>136.83000000000001</v>
      </c>
      <c r="K70" s="34">
        <v>40969</v>
      </c>
      <c r="L70" s="1">
        <v>1351</v>
      </c>
      <c r="M70" s="34">
        <v>40969</v>
      </c>
      <c r="N70" s="1">
        <v>264.5</v>
      </c>
    </row>
    <row r="71" spans="1:14" x14ac:dyDescent="0.25">
      <c r="A71" s="34">
        <v>41000</v>
      </c>
      <c r="B71" s="1">
        <v>1353.6</v>
      </c>
      <c r="C71" s="34">
        <v>41000</v>
      </c>
      <c r="D71" s="1">
        <v>651</v>
      </c>
      <c r="E71" s="34">
        <v>41000</v>
      </c>
      <c r="F71" s="1">
        <v>5.8</v>
      </c>
      <c r="G71" s="34">
        <v>41000</v>
      </c>
      <c r="H71" s="1">
        <v>1.08</v>
      </c>
      <c r="I71" s="34">
        <v>41000</v>
      </c>
      <c r="J71" s="1">
        <v>137</v>
      </c>
      <c r="K71" s="34">
        <v>41000</v>
      </c>
      <c r="L71" s="1">
        <v>1359.9</v>
      </c>
      <c r="M71" s="34">
        <v>41000</v>
      </c>
      <c r="N71" s="1">
        <v>264.60000000000002</v>
      </c>
    </row>
    <row r="72" spans="1:14" x14ac:dyDescent="0.25">
      <c r="A72" s="34">
        <v>41030</v>
      </c>
      <c r="B72" s="1">
        <v>1355.6</v>
      </c>
      <c r="C72" s="34">
        <v>41030</v>
      </c>
      <c r="D72" s="1">
        <v>496</v>
      </c>
      <c r="E72" s="34">
        <v>41030</v>
      </c>
      <c r="F72" s="1">
        <v>5.9</v>
      </c>
      <c r="G72" s="34">
        <v>41030</v>
      </c>
      <c r="H72" s="1">
        <v>0.56999999999999995</v>
      </c>
      <c r="I72" s="34">
        <v>41030</v>
      </c>
      <c r="J72" s="1">
        <v>136.93</v>
      </c>
      <c r="K72" s="34">
        <v>41030</v>
      </c>
      <c r="L72" s="1">
        <v>1370.2</v>
      </c>
      <c r="M72" s="34">
        <v>41030</v>
      </c>
      <c r="N72" s="1">
        <v>267.60000000000002</v>
      </c>
    </row>
    <row r="73" spans="1:14" x14ac:dyDescent="0.25">
      <c r="A73" s="34">
        <v>41061</v>
      </c>
      <c r="B73" s="1">
        <v>1356.6</v>
      </c>
      <c r="C73" s="34">
        <v>41061</v>
      </c>
      <c r="D73" s="1">
        <v>760</v>
      </c>
      <c r="E73" s="34">
        <v>41061</v>
      </c>
      <c r="F73" s="1">
        <v>5.9</v>
      </c>
      <c r="G73" s="34">
        <v>41061</v>
      </c>
      <c r="H73" s="1">
        <v>0.65</v>
      </c>
      <c r="I73" s="34">
        <v>41061</v>
      </c>
      <c r="J73" s="1">
        <v>137.12</v>
      </c>
      <c r="K73" s="34">
        <v>41061</v>
      </c>
      <c r="L73" s="1">
        <v>1365.7</v>
      </c>
      <c r="M73" s="34">
        <v>41061</v>
      </c>
      <c r="N73" s="1">
        <v>255.2</v>
      </c>
    </row>
    <row r="74" spans="1:14" x14ac:dyDescent="0.25">
      <c r="A74" s="34">
        <v>41091</v>
      </c>
      <c r="B74" s="1">
        <v>1354.6</v>
      </c>
      <c r="C74" s="34">
        <v>41091</v>
      </c>
      <c r="D74" s="1">
        <v>538</v>
      </c>
      <c r="E74" s="34">
        <v>41091</v>
      </c>
      <c r="F74" s="1">
        <v>5.9</v>
      </c>
      <c r="G74" s="34">
        <v>41091</v>
      </c>
      <c r="H74" s="1">
        <v>0.8</v>
      </c>
      <c r="I74" s="34">
        <v>41091</v>
      </c>
      <c r="J74" s="1">
        <v>137.12</v>
      </c>
      <c r="K74" s="34">
        <v>41091</v>
      </c>
      <c r="L74" s="1">
        <v>1337</v>
      </c>
      <c r="M74" s="34">
        <v>41091</v>
      </c>
      <c r="N74" s="1">
        <v>234.6</v>
      </c>
    </row>
    <row r="75" spans="1:14" x14ac:dyDescent="0.25">
      <c r="A75" s="34">
        <v>41122</v>
      </c>
      <c r="B75" s="1">
        <v>1359.6</v>
      </c>
      <c r="C75" s="34">
        <v>41122</v>
      </c>
      <c r="D75" s="1">
        <v>567</v>
      </c>
      <c r="E75" s="34">
        <v>41122</v>
      </c>
      <c r="F75" s="1">
        <v>5.8</v>
      </c>
      <c r="G75" s="34">
        <v>41122</v>
      </c>
      <c r="H75" s="1">
        <v>0.94</v>
      </c>
      <c r="I75" s="34">
        <v>41122</v>
      </c>
      <c r="J75" s="1">
        <v>137.4</v>
      </c>
      <c r="K75" s="34">
        <v>41122</v>
      </c>
      <c r="L75" s="1">
        <v>1343.8</v>
      </c>
      <c r="M75" s="34">
        <v>41122</v>
      </c>
      <c r="N75" s="1">
        <v>239.9</v>
      </c>
    </row>
    <row r="76" spans="1:14" x14ac:dyDescent="0.25">
      <c r="A76" s="34">
        <v>41153</v>
      </c>
      <c r="B76" s="1">
        <v>1356.9</v>
      </c>
      <c r="C76" s="34">
        <v>41153</v>
      </c>
      <c r="D76" s="1">
        <v>617</v>
      </c>
      <c r="E76" s="34">
        <v>41153</v>
      </c>
      <c r="F76" s="1">
        <v>5.7</v>
      </c>
      <c r="G76" s="34">
        <v>41153</v>
      </c>
      <c r="H76" s="1">
        <v>1.43</v>
      </c>
      <c r="I76" s="34">
        <v>41153</v>
      </c>
      <c r="J76" s="1">
        <v>137.68</v>
      </c>
      <c r="K76" s="34">
        <v>41153</v>
      </c>
      <c r="L76" s="1">
        <v>1360.5</v>
      </c>
      <c r="M76" s="34">
        <v>41153</v>
      </c>
      <c r="N76" s="1">
        <v>259</v>
      </c>
    </row>
    <row r="77" spans="1:14" x14ac:dyDescent="0.25">
      <c r="A77" s="34">
        <v>41183</v>
      </c>
      <c r="B77" s="1">
        <v>1360.7</v>
      </c>
      <c r="C77" s="34">
        <v>41183</v>
      </c>
      <c r="D77" s="1">
        <v>842</v>
      </c>
      <c r="E77" s="34">
        <v>41183</v>
      </c>
      <c r="F77" s="1">
        <v>5.7</v>
      </c>
      <c r="G77" s="34">
        <v>41183</v>
      </c>
      <c r="H77" s="1">
        <v>1.23</v>
      </c>
      <c r="I77" s="34">
        <v>41183</v>
      </c>
      <c r="J77" s="1">
        <v>137.76</v>
      </c>
      <c r="K77" s="34">
        <v>41183</v>
      </c>
      <c r="L77" s="1">
        <v>1374.4</v>
      </c>
      <c r="M77" s="34">
        <v>41183</v>
      </c>
      <c r="N77" s="1">
        <v>265.89999999999998</v>
      </c>
    </row>
    <row r="78" spans="1:14" x14ac:dyDescent="0.25">
      <c r="A78" s="34">
        <v>41214</v>
      </c>
      <c r="B78" s="1">
        <v>1362.7</v>
      </c>
      <c r="C78" s="34">
        <v>41214</v>
      </c>
      <c r="D78" s="1">
        <v>566</v>
      </c>
      <c r="E78" s="34">
        <v>41214</v>
      </c>
      <c r="F78" s="1">
        <v>5.6</v>
      </c>
      <c r="G78" s="34">
        <v>41214</v>
      </c>
      <c r="H78" s="1">
        <v>1.43</v>
      </c>
      <c r="I78" s="34">
        <v>41214</v>
      </c>
      <c r="J78" s="1">
        <v>138.19999999999999</v>
      </c>
      <c r="K78" s="34">
        <v>41214</v>
      </c>
      <c r="L78" s="1">
        <v>1377.2</v>
      </c>
      <c r="M78" s="34">
        <v>41214</v>
      </c>
      <c r="N78" s="1">
        <v>266.3</v>
      </c>
    </row>
    <row r="79" spans="1:14" x14ac:dyDescent="0.25">
      <c r="A79" s="34">
        <v>41244</v>
      </c>
      <c r="B79" s="1">
        <v>1362.9</v>
      </c>
      <c r="C79" s="34">
        <v>41244</v>
      </c>
      <c r="D79" s="1">
        <v>365</v>
      </c>
      <c r="E79" s="34">
        <v>41244</v>
      </c>
      <c r="F79" s="1">
        <v>5.6</v>
      </c>
      <c r="G79" s="34">
        <v>41244</v>
      </c>
      <c r="H79" s="1">
        <v>1.53</v>
      </c>
      <c r="I79" s="34">
        <v>41244</v>
      </c>
      <c r="J79" s="1">
        <v>138.33000000000001</v>
      </c>
      <c r="K79" s="34">
        <v>41244</v>
      </c>
      <c r="L79" s="1">
        <v>1375.1</v>
      </c>
      <c r="M79" s="34">
        <v>41244</v>
      </c>
      <c r="N79" s="1">
        <v>264.10000000000002</v>
      </c>
    </row>
    <row r="80" spans="1:14" x14ac:dyDescent="0.25">
      <c r="A80" s="34">
        <v>41275</v>
      </c>
      <c r="B80" s="1">
        <v>1364.1</v>
      </c>
      <c r="C80" s="34">
        <v>41275</v>
      </c>
      <c r="D80" s="1">
        <v>595</v>
      </c>
      <c r="E80" s="34">
        <v>41275</v>
      </c>
      <c r="F80" s="1">
        <v>5.6</v>
      </c>
      <c r="G80" s="34">
        <v>41275</v>
      </c>
      <c r="H80" s="1">
        <v>1.17</v>
      </c>
      <c r="I80" s="34">
        <v>41275</v>
      </c>
      <c r="J80" s="1">
        <v>138.57</v>
      </c>
      <c r="K80" s="34">
        <v>41275</v>
      </c>
      <c r="L80" s="1">
        <v>1341.7</v>
      </c>
      <c r="M80" s="34">
        <v>41275</v>
      </c>
      <c r="N80" s="1">
        <v>256</v>
      </c>
    </row>
    <row r="81" spans="1:14" x14ac:dyDescent="0.25">
      <c r="A81" s="34">
        <v>41306</v>
      </c>
      <c r="B81" s="1">
        <v>1368</v>
      </c>
      <c r="C81" s="34">
        <v>41306</v>
      </c>
      <c r="D81" s="1">
        <v>407</v>
      </c>
      <c r="E81" s="34">
        <v>41306</v>
      </c>
      <c r="F81" s="1">
        <v>5.6</v>
      </c>
      <c r="G81" s="34">
        <v>41306</v>
      </c>
      <c r="H81" s="1">
        <v>0.79</v>
      </c>
      <c r="I81" s="34">
        <v>41306</v>
      </c>
      <c r="J81" s="1">
        <v>138.72999999999999</v>
      </c>
      <c r="K81" s="34">
        <v>41306</v>
      </c>
      <c r="L81" s="1">
        <v>1352.9</v>
      </c>
      <c r="M81" s="34">
        <v>41306</v>
      </c>
      <c r="N81" s="1">
        <v>263.39999999999998</v>
      </c>
    </row>
    <row r="82" spans="1:14" x14ac:dyDescent="0.25">
      <c r="A82" s="34">
        <v>41334</v>
      </c>
      <c r="B82" s="1">
        <v>1366.2</v>
      </c>
      <c r="C82" s="34">
        <v>41334</v>
      </c>
      <c r="D82" s="1">
        <v>489</v>
      </c>
      <c r="E82" s="34">
        <v>41334</v>
      </c>
      <c r="F82" s="1">
        <v>5.5</v>
      </c>
      <c r="G82" s="34">
        <v>41334</v>
      </c>
      <c r="H82" s="1">
        <v>1.1000000000000001</v>
      </c>
      <c r="I82" s="34">
        <v>41334</v>
      </c>
      <c r="J82" s="1">
        <v>139.13</v>
      </c>
      <c r="K82" s="34">
        <v>41334</v>
      </c>
      <c r="L82" s="1">
        <v>1358.9</v>
      </c>
      <c r="M82" s="34">
        <v>41334</v>
      </c>
      <c r="N82" s="1">
        <v>263.60000000000002</v>
      </c>
    </row>
    <row r="83" spans="1:14" x14ac:dyDescent="0.25">
      <c r="A83" s="34">
        <v>41365</v>
      </c>
      <c r="B83" s="1">
        <v>1369.6</v>
      </c>
      <c r="C83" s="34">
        <v>41365</v>
      </c>
      <c r="D83" s="1">
        <v>1740</v>
      </c>
      <c r="E83" s="34">
        <v>41365</v>
      </c>
      <c r="F83" s="1">
        <v>5.5</v>
      </c>
      <c r="G83" s="34">
        <v>41365</v>
      </c>
      <c r="H83" s="1">
        <v>1.04</v>
      </c>
      <c r="I83" s="34">
        <v>41365</v>
      </c>
      <c r="J83" s="1">
        <v>139.34</v>
      </c>
      <c r="K83" s="34">
        <v>41365</v>
      </c>
      <c r="L83" s="1">
        <v>1376.3</v>
      </c>
      <c r="M83" s="34">
        <v>41365</v>
      </c>
      <c r="N83" s="1">
        <v>265.89999999999998</v>
      </c>
    </row>
    <row r="84" spans="1:14" x14ac:dyDescent="0.25">
      <c r="A84" s="34">
        <v>41395</v>
      </c>
      <c r="B84" s="1">
        <v>1367.6</v>
      </c>
      <c r="C84" s="34">
        <v>41395</v>
      </c>
      <c r="D84" s="1">
        <v>471</v>
      </c>
      <c r="E84" s="34">
        <v>41395</v>
      </c>
      <c r="F84" s="1">
        <v>5.6</v>
      </c>
      <c r="G84" s="34">
        <v>41395</v>
      </c>
      <c r="H84" s="1">
        <v>0.48</v>
      </c>
      <c r="I84" s="34">
        <v>41395</v>
      </c>
      <c r="J84" s="1">
        <v>139.27000000000001</v>
      </c>
      <c r="K84" s="34">
        <v>41395</v>
      </c>
      <c r="L84" s="1">
        <v>1381.9</v>
      </c>
      <c r="M84" s="34">
        <v>41395</v>
      </c>
      <c r="N84" s="1">
        <v>264</v>
      </c>
    </row>
    <row r="85" spans="1:14" x14ac:dyDescent="0.25">
      <c r="A85" s="34">
        <v>41426</v>
      </c>
      <c r="B85" s="1">
        <v>1366.3</v>
      </c>
      <c r="C85" s="34">
        <v>41426</v>
      </c>
      <c r="D85" s="1">
        <v>472</v>
      </c>
      <c r="E85" s="34">
        <v>41426</v>
      </c>
      <c r="F85" s="1">
        <v>5.6</v>
      </c>
      <c r="G85" s="34">
        <v>41426</v>
      </c>
      <c r="H85" s="1">
        <v>0.64</v>
      </c>
      <c r="I85" s="34">
        <v>41426</v>
      </c>
      <c r="J85" s="1">
        <v>139.55000000000001</v>
      </c>
      <c r="K85" s="34">
        <v>41426</v>
      </c>
      <c r="L85" s="1">
        <v>1375.6</v>
      </c>
      <c r="M85" s="34">
        <v>41426</v>
      </c>
      <c r="N85" s="1">
        <v>250.9</v>
      </c>
    </row>
    <row r="86" spans="1:14" x14ac:dyDescent="0.25">
      <c r="A86" s="34">
        <v>41456</v>
      </c>
      <c r="B86" s="1">
        <v>1373.3</v>
      </c>
      <c r="C86" s="34">
        <v>41456</v>
      </c>
      <c r="D86" s="1">
        <v>513</v>
      </c>
      <c r="E86" s="34">
        <v>41456</v>
      </c>
      <c r="F86" s="1">
        <v>5.6</v>
      </c>
      <c r="G86" s="34">
        <v>41456</v>
      </c>
      <c r="H86" s="1">
        <v>1.22</v>
      </c>
      <c r="I86" s="34">
        <v>41456</v>
      </c>
      <c r="J86" s="1">
        <v>139.78</v>
      </c>
      <c r="K86" s="34">
        <v>41456</v>
      </c>
      <c r="L86" s="1">
        <v>1355.5</v>
      </c>
      <c r="M86" s="34">
        <v>41456</v>
      </c>
      <c r="N86" s="1">
        <v>232</v>
      </c>
    </row>
    <row r="87" spans="1:14" x14ac:dyDescent="0.25">
      <c r="A87" s="34">
        <v>41487</v>
      </c>
      <c r="B87" s="1">
        <v>1376.7</v>
      </c>
      <c r="C87" s="34">
        <v>41487</v>
      </c>
      <c r="D87" s="1">
        <v>607</v>
      </c>
      <c r="E87" s="34">
        <v>41487</v>
      </c>
      <c r="F87" s="1">
        <v>5.5</v>
      </c>
      <c r="G87" s="34">
        <v>41487</v>
      </c>
      <c r="H87" s="1">
        <v>1.45</v>
      </c>
      <c r="I87" s="34">
        <v>41487</v>
      </c>
      <c r="J87" s="1">
        <v>140.16999999999999</v>
      </c>
      <c r="K87" s="34">
        <v>41487</v>
      </c>
      <c r="L87" s="1">
        <v>1361.3</v>
      </c>
      <c r="M87" s="34">
        <v>41487</v>
      </c>
      <c r="N87" s="1">
        <v>235.6</v>
      </c>
    </row>
    <row r="88" spans="1:14" x14ac:dyDescent="0.25">
      <c r="A88" s="34">
        <v>41518</v>
      </c>
      <c r="B88" s="1">
        <v>1380.2</v>
      </c>
      <c r="C88" s="34">
        <v>41518</v>
      </c>
      <c r="D88" s="1">
        <v>593</v>
      </c>
      <c r="E88" s="34">
        <v>41518</v>
      </c>
      <c r="F88" s="1">
        <v>5.3</v>
      </c>
      <c r="G88" s="34">
        <v>41518</v>
      </c>
      <c r="H88" s="1">
        <v>2.14</v>
      </c>
      <c r="I88" s="34">
        <v>41518</v>
      </c>
      <c r="J88" s="1">
        <v>140.84</v>
      </c>
      <c r="K88" s="34">
        <v>41518</v>
      </c>
      <c r="L88" s="1">
        <v>1384.2</v>
      </c>
      <c r="M88" s="34">
        <v>41518</v>
      </c>
      <c r="N88" s="1">
        <v>260.7</v>
      </c>
    </row>
    <row r="89" spans="1:14" x14ac:dyDescent="0.25">
      <c r="A89" s="34">
        <v>41548</v>
      </c>
      <c r="B89" s="1">
        <v>1382.7</v>
      </c>
      <c r="C89" s="34">
        <v>41548</v>
      </c>
      <c r="D89" s="1">
        <v>661</v>
      </c>
      <c r="E89" s="34">
        <v>41548</v>
      </c>
      <c r="F89" s="1">
        <v>5.2</v>
      </c>
      <c r="G89" s="34">
        <v>41548</v>
      </c>
      <c r="H89" s="1">
        <v>1.55</v>
      </c>
      <c r="I89" s="34">
        <v>41548</v>
      </c>
      <c r="J89" s="1">
        <v>141.01</v>
      </c>
      <c r="K89" s="34">
        <v>41548</v>
      </c>
      <c r="L89" s="1">
        <v>1394.5</v>
      </c>
      <c r="M89" s="34">
        <v>41548</v>
      </c>
      <c r="N89" s="1">
        <v>265.39999999999998</v>
      </c>
    </row>
    <row r="90" spans="1:14" x14ac:dyDescent="0.25">
      <c r="A90" s="34">
        <v>41579</v>
      </c>
      <c r="B90" s="1">
        <v>1384.9</v>
      </c>
      <c r="C90" s="34">
        <v>41579</v>
      </c>
      <c r="D90" s="1">
        <v>612</v>
      </c>
      <c r="E90" s="34">
        <v>41579</v>
      </c>
      <c r="F90" s="1">
        <v>5</v>
      </c>
      <c r="G90" s="34">
        <v>41579</v>
      </c>
      <c r="H90" s="1">
        <v>1.61</v>
      </c>
      <c r="I90" s="34">
        <v>41579</v>
      </c>
      <c r="J90" s="1">
        <v>141.58000000000001</v>
      </c>
      <c r="K90" s="34">
        <v>41579</v>
      </c>
      <c r="L90" s="1">
        <v>1400.4</v>
      </c>
      <c r="M90" s="34">
        <v>41579</v>
      </c>
      <c r="N90" s="1">
        <v>266</v>
      </c>
    </row>
    <row r="91" spans="1:14" x14ac:dyDescent="0.25">
      <c r="A91" s="34">
        <v>41609</v>
      </c>
      <c r="B91" s="1">
        <v>1382.7</v>
      </c>
      <c r="C91" s="34">
        <v>41609</v>
      </c>
      <c r="D91" s="1">
        <v>447</v>
      </c>
      <c r="E91" s="34">
        <v>41609</v>
      </c>
      <c r="F91" s="1">
        <v>4.9000000000000004</v>
      </c>
      <c r="G91" s="34">
        <v>41609</v>
      </c>
      <c r="H91" s="1">
        <v>1.07</v>
      </c>
      <c r="I91" s="34">
        <v>41609</v>
      </c>
      <c r="J91" s="1">
        <v>141.69999999999999</v>
      </c>
      <c r="K91" s="34">
        <v>41609</v>
      </c>
      <c r="L91" s="1">
        <v>1392</v>
      </c>
      <c r="M91" s="34">
        <v>41609</v>
      </c>
      <c r="N91" s="1">
        <v>263.8</v>
      </c>
    </row>
    <row r="92" spans="1:14" x14ac:dyDescent="0.25">
      <c r="A92" s="34">
        <v>41640</v>
      </c>
      <c r="B92" s="1">
        <v>1380.2</v>
      </c>
      <c r="C92" s="34">
        <v>41640</v>
      </c>
      <c r="D92" s="1">
        <v>701</v>
      </c>
      <c r="E92" s="34">
        <v>41640</v>
      </c>
      <c r="F92" s="1">
        <v>4.8</v>
      </c>
      <c r="G92" s="34">
        <v>41640</v>
      </c>
      <c r="H92" s="1">
        <v>0.98</v>
      </c>
      <c r="I92" s="34">
        <v>41640</v>
      </c>
      <c r="J92" s="1">
        <v>142.08000000000001</v>
      </c>
      <c r="K92" s="34">
        <v>41640</v>
      </c>
      <c r="L92" s="1">
        <v>1357.6</v>
      </c>
      <c r="M92" s="34">
        <v>41640</v>
      </c>
      <c r="N92" s="1">
        <v>254.7</v>
      </c>
    </row>
    <row r="93" spans="1:14" x14ac:dyDescent="0.25">
      <c r="A93" s="34">
        <v>41671</v>
      </c>
      <c r="B93" s="1">
        <v>1381</v>
      </c>
      <c r="C93" s="34">
        <v>41671</v>
      </c>
      <c r="D93" s="1">
        <v>211</v>
      </c>
      <c r="E93" s="34">
        <v>41671</v>
      </c>
      <c r="F93" s="1">
        <v>4.9000000000000004</v>
      </c>
      <c r="G93" s="34">
        <v>41671</v>
      </c>
      <c r="H93" s="1">
        <v>0.43</v>
      </c>
      <c r="I93" s="34">
        <v>41671</v>
      </c>
      <c r="J93" s="1">
        <v>141.91999999999999</v>
      </c>
      <c r="K93" s="34">
        <v>41671</v>
      </c>
      <c r="L93" s="1">
        <v>1365.6</v>
      </c>
      <c r="M93" s="34">
        <v>41671</v>
      </c>
      <c r="N93" s="1">
        <v>263.2</v>
      </c>
    </row>
    <row r="94" spans="1:14" x14ac:dyDescent="0.25">
      <c r="A94" s="34">
        <v>41699</v>
      </c>
      <c r="B94" s="1">
        <v>1383.9</v>
      </c>
      <c r="C94" s="34">
        <v>41699</v>
      </c>
      <c r="D94" s="1">
        <v>687</v>
      </c>
      <c r="E94" s="34">
        <v>41699</v>
      </c>
      <c r="F94" s="1">
        <v>4.9000000000000004</v>
      </c>
      <c r="G94" s="34">
        <v>41699</v>
      </c>
      <c r="H94" s="1">
        <v>0.26</v>
      </c>
      <c r="I94" s="34">
        <v>41699</v>
      </c>
      <c r="J94" s="1">
        <v>142.07</v>
      </c>
      <c r="K94" s="34">
        <v>41699</v>
      </c>
      <c r="L94" s="1">
        <v>1376.1</v>
      </c>
      <c r="M94" s="34">
        <v>41699</v>
      </c>
      <c r="N94" s="1">
        <v>265.10000000000002</v>
      </c>
    </row>
    <row r="95" spans="1:14" x14ac:dyDescent="0.25">
      <c r="A95" s="34">
        <v>41730</v>
      </c>
      <c r="B95" s="1">
        <v>1383.4</v>
      </c>
      <c r="C95" s="34">
        <v>41730</v>
      </c>
      <c r="D95" s="1">
        <v>544</v>
      </c>
      <c r="E95" s="34">
        <v>41730</v>
      </c>
      <c r="F95" s="1">
        <v>4.8</v>
      </c>
      <c r="G95" s="34">
        <v>41730</v>
      </c>
      <c r="H95" s="1">
        <v>1.27</v>
      </c>
      <c r="I95" s="34">
        <v>41730</v>
      </c>
      <c r="J95" s="1">
        <v>142.44</v>
      </c>
      <c r="K95" s="34">
        <v>41730</v>
      </c>
      <c r="L95" s="1">
        <v>1388</v>
      </c>
      <c r="M95" s="34">
        <v>41730</v>
      </c>
      <c r="N95" s="1">
        <v>263.8</v>
      </c>
    </row>
    <row r="96" spans="1:14" x14ac:dyDescent="0.25">
      <c r="A96" s="34">
        <v>41760</v>
      </c>
      <c r="B96" s="1">
        <v>1384.2</v>
      </c>
      <c r="C96" s="34">
        <v>41760</v>
      </c>
      <c r="D96" s="1">
        <v>518</v>
      </c>
      <c r="E96" s="34">
        <v>41760</v>
      </c>
      <c r="F96" s="1">
        <v>4.8</v>
      </c>
      <c r="G96" s="34">
        <v>41760</v>
      </c>
      <c r="H96" s="1">
        <v>1.06</v>
      </c>
      <c r="I96" s="34">
        <v>41760</v>
      </c>
      <c r="J96" s="1">
        <v>142.57</v>
      </c>
      <c r="K96" s="34">
        <v>41760</v>
      </c>
      <c r="L96" s="1">
        <v>1394.7</v>
      </c>
      <c r="M96" s="34">
        <v>41760</v>
      </c>
      <c r="N96" s="1">
        <v>263.39999999999998</v>
      </c>
    </row>
    <row r="97" spans="1:14" x14ac:dyDescent="0.25">
      <c r="A97" s="34">
        <v>41791</v>
      </c>
      <c r="B97" s="1">
        <v>1385</v>
      </c>
      <c r="C97" s="34">
        <v>41791</v>
      </c>
      <c r="D97" s="1">
        <v>613</v>
      </c>
      <c r="E97" s="34">
        <v>41791</v>
      </c>
      <c r="F97" s="1">
        <v>4.8</v>
      </c>
      <c r="G97" s="34">
        <v>41791</v>
      </c>
      <c r="H97" s="1">
        <v>1.18</v>
      </c>
      <c r="I97" s="34">
        <v>41791</v>
      </c>
      <c r="J97" s="1">
        <v>142.93</v>
      </c>
      <c r="K97" s="34">
        <v>41791</v>
      </c>
      <c r="L97" s="1">
        <v>1392.6</v>
      </c>
      <c r="M97" s="34">
        <v>41791</v>
      </c>
      <c r="N97" s="1">
        <v>251.9</v>
      </c>
    </row>
    <row r="98" spans="1:14" x14ac:dyDescent="0.25">
      <c r="A98" s="34">
        <v>41821</v>
      </c>
      <c r="B98" s="1">
        <v>1386.7</v>
      </c>
      <c r="C98" s="34">
        <v>41821</v>
      </c>
      <c r="D98" s="1">
        <v>450</v>
      </c>
      <c r="E98" s="34">
        <v>41821</v>
      </c>
      <c r="F98" s="1">
        <v>4.9000000000000004</v>
      </c>
      <c r="G98" s="34">
        <v>41821</v>
      </c>
      <c r="H98" s="1">
        <v>0.83</v>
      </c>
      <c r="I98" s="34">
        <v>41821</v>
      </c>
      <c r="J98" s="1">
        <v>143</v>
      </c>
      <c r="K98" s="34">
        <v>41821</v>
      </c>
      <c r="L98" s="1">
        <v>1377.4</v>
      </c>
      <c r="M98" s="34">
        <v>41821</v>
      </c>
      <c r="N98" s="1">
        <v>233.9</v>
      </c>
    </row>
    <row r="99" spans="1:14" x14ac:dyDescent="0.25">
      <c r="A99" s="34">
        <v>41852</v>
      </c>
      <c r="B99" s="1">
        <v>1387</v>
      </c>
      <c r="C99" s="34">
        <v>41852</v>
      </c>
      <c r="D99" s="1">
        <v>497</v>
      </c>
      <c r="E99" s="34">
        <v>41852</v>
      </c>
      <c r="F99" s="1">
        <v>4.9000000000000004</v>
      </c>
      <c r="G99" s="34">
        <v>41852</v>
      </c>
      <c r="H99" s="1">
        <v>1.17</v>
      </c>
      <c r="I99" s="34">
        <v>41852</v>
      </c>
      <c r="J99" s="1">
        <v>143.16999999999999</v>
      </c>
      <c r="K99" s="34">
        <v>41852</v>
      </c>
      <c r="L99" s="1">
        <v>1376.3</v>
      </c>
      <c r="M99" s="34">
        <v>41852</v>
      </c>
      <c r="N99" s="1">
        <v>236.1</v>
      </c>
    </row>
    <row r="100" spans="1:14" x14ac:dyDescent="0.25">
      <c r="A100" s="34">
        <v>41883</v>
      </c>
      <c r="B100" s="1">
        <v>1388.1</v>
      </c>
      <c r="C100" s="34">
        <v>41883</v>
      </c>
      <c r="D100" s="1">
        <v>1305</v>
      </c>
      <c r="E100" s="34">
        <v>41883</v>
      </c>
      <c r="F100" s="1">
        <v>4.7</v>
      </c>
      <c r="G100" s="34">
        <v>41883</v>
      </c>
      <c r="H100" s="1">
        <v>1.25</v>
      </c>
      <c r="I100" s="34">
        <v>41883</v>
      </c>
      <c r="J100" s="1">
        <v>143.54</v>
      </c>
      <c r="K100" s="34">
        <v>41883</v>
      </c>
      <c r="L100" s="1">
        <v>1392.4</v>
      </c>
      <c r="M100" s="34">
        <v>41883</v>
      </c>
      <c r="N100" s="1">
        <v>259.10000000000002</v>
      </c>
    </row>
    <row r="101" spans="1:14" x14ac:dyDescent="0.25">
      <c r="A101" s="34">
        <v>41913</v>
      </c>
      <c r="B101" s="1">
        <v>1396.5</v>
      </c>
      <c r="C101" s="34">
        <v>41913</v>
      </c>
      <c r="D101" s="1">
        <v>1067</v>
      </c>
      <c r="E101" s="34">
        <v>41913</v>
      </c>
      <c r="F101" s="1">
        <v>4.4000000000000004</v>
      </c>
      <c r="G101" s="34">
        <v>41913</v>
      </c>
      <c r="H101" s="1">
        <v>2.4</v>
      </c>
      <c r="I101" s="34">
        <v>41913</v>
      </c>
      <c r="J101" s="1">
        <v>144.21</v>
      </c>
      <c r="K101" s="34">
        <v>41913</v>
      </c>
      <c r="L101" s="1">
        <v>1408.4</v>
      </c>
      <c r="M101" s="34">
        <v>41913</v>
      </c>
      <c r="N101" s="1">
        <v>265.2</v>
      </c>
    </row>
    <row r="102" spans="1:14" x14ac:dyDescent="0.25">
      <c r="A102" s="34">
        <v>41944</v>
      </c>
      <c r="B102" s="1">
        <v>1393.8</v>
      </c>
      <c r="C102" s="34">
        <v>41944</v>
      </c>
      <c r="D102" s="1">
        <v>955</v>
      </c>
      <c r="E102" s="34">
        <v>41944</v>
      </c>
      <c r="F102" s="1">
        <v>4.2</v>
      </c>
      <c r="G102" s="34">
        <v>41944</v>
      </c>
      <c r="H102" s="1">
        <v>1.63</v>
      </c>
      <c r="I102" s="34">
        <v>41944</v>
      </c>
      <c r="J102" s="1">
        <v>144.35</v>
      </c>
      <c r="K102" s="34">
        <v>41944</v>
      </c>
      <c r="L102" s="1">
        <v>1409.4</v>
      </c>
      <c r="M102" s="34">
        <v>41944</v>
      </c>
      <c r="N102" s="1">
        <v>266.3</v>
      </c>
    </row>
    <row r="103" spans="1:14" x14ac:dyDescent="0.25">
      <c r="A103" s="34">
        <v>41974</v>
      </c>
      <c r="B103" s="1">
        <v>1395.5</v>
      </c>
      <c r="E103" s="34">
        <v>41974</v>
      </c>
      <c r="F103" s="1">
        <v>4.2</v>
      </c>
      <c r="K103" s="34">
        <v>41974</v>
      </c>
      <c r="L103" s="1">
        <v>1404.6</v>
      </c>
      <c r="M103" s="34">
        <v>41974</v>
      </c>
      <c r="N103" s="1">
        <v>263.7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103"/>
  <sheetViews>
    <sheetView topLeftCell="A88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163</v>
      </c>
      <c r="C1" s="34" t="s">
        <v>164</v>
      </c>
      <c r="E1" s="34" t="s">
        <v>165</v>
      </c>
      <c r="G1" s="34" t="s">
        <v>166</v>
      </c>
      <c r="I1" s="34" t="s">
        <v>167</v>
      </c>
      <c r="K1" s="34" t="str">
        <f>CONCATENATE(LEFT(A1,2), "NAN")</f>
        <v>KYNAN</v>
      </c>
      <c r="M1" s="34" t="str">
        <f>CONCATENATE(LEFT(A1,2), "GOVTN")</f>
        <v>KYGOVTN</v>
      </c>
      <c r="O1" s="34" t="str">
        <f>CONCATENATE(LEFT($A$1,2), "RGSP")</f>
        <v>KYRGSP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878</v>
      </c>
      <c r="C5" s="35" t="s">
        <v>447</v>
      </c>
      <c r="E5" s="35" t="s">
        <v>448</v>
      </c>
      <c r="G5" s="35" t="s">
        <v>449</v>
      </c>
      <c r="I5" s="35" t="s">
        <v>450</v>
      </c>
      <c r="K5" s="35" t="s">
        <v>878</v>
      </c>
      <c r="M5" s="35" t="s">
        <v>879</v>
      </c>
      <c r="O5" s="35" t="s">
        <v>803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1862.1</v>
      </c>
      <c r="C8" s="34">
        <v>39083</v>
      </c>
      <c r="D8" s="1">
        <v>1131</v>
      </c>
      <c r="E8" s="34">
        <v>39083</v>
      </c>
      <c r="F8" s="1">
        <v>5.8</v>
      </c>
      <c r="G8" s="34">
        <v>39083</v>
      </c>
      <c r="H8" s="1">
        <v>0.95</v>
      </c>
      <c r="I8" s="34">
        <v>39083</v>
      </c>
      <c r="J8" s="1">
        <v>144.9</v>
      </c>
      <c r="K8" s="34">
        <v>39083</v>
      </c>
      <c r="L8" s="1">
        <v>1830.6</v>
      </c>
      <c r="M8" s="34">
        <v>39083</v>
      </c>
      <c r="N8" s="1">
        <v>317.8</v>
      </c>
      <c r="O8" s="34">
        <v>39083</v>
      </c>
      <c r="P8" s="1">
        <v>162859</v>
      </c>
    </row>
    <row r="9" spans="1:16" x14ac:dyDescent="0.25">
      <c r="A9" s="34">
        <v>39114</v>
      </c>
      <c r="B9" s="1">
        <v>1860.3</v>
      </c>
      <c r="C9" s="34">
        <v>39114</v>
      </c>
      <c r="D9" s="1">
        <v>1375</v>
      </c>
      <c r="E9" s="34">
        <v>39114</v>
      </c>
      <c r="F9" s="1">
        <v>5.7</v>
      </c>
      <c r="G9" s="34">
        <v>39114</v>
      </c>
      <c r="H9" s="1">
        <v>1.46</v>
      </c>
      <c r="I9" s="34">
        <v>39114</v>
      </c>
      <c r="J9" s="1">
        <v>145.21</v>
      </c>
      <c r="K9" s="34">
        <v>39114</v>
      </c>
      <c r="L9" s="1">
        <v>1830.8</v>
      </c>
      <c r="M9" s="34">
        <v>39114</v>
      </c>
      <c r="N9" s="1">
        <v>322</v>
      </c>
      <c r="O9" s="34">
        <v>39448</v>
      </c>
      <c r="P9" s="1">
        <v>162707</v>
      </c>
    </row>
    <row r="10" spans="1:16" x14ac:dyDescent="0.25">
      <c r="A10" s="34">
        <v>39142</v>
      </c>
      <c r="B10" s="1">
        <v>1864.6</v>
      </c>
      <c r="C10" s="34">
        <v>39142</v>
      </c>
      <c r="D10" s="1">
        <v>1691</v>
      </c>
      <c r="E10" s="34">
        <v>39142</v>
      </c>
      <c r="F10" s="1">
        <v>5.7</v>
      </c>
      <c r="G10" s="34">
        <v>39142</v>
      </c>
      <c r="H10" s="1">
        <v>0.77</v>
      </c>
      <c r="I10" s="34">
        <v>39142</v>
      </c>
      <c r="J10" s="1">
        <v>145.5</v>
      </c>
      <c r="K10" s="34">
        <v>39142</v>
      </c>
      <c r="L10" s="1">
        <v>1849.8</v>
      </c>
      <c r="M10" s="34">
        <v>39142</v>
      </c>
      <c r="N10" s="1">
        <v>323.60000000000002</v>
      </c>
      <c r="O10" s="34">
        <v>39814</v>
      </c>
      <c r="P10" s="1">
        <v>156149</v>
      </c>
    </row>
    <row r="11" spans="1:16" x14ac:dyDescent="0.25">
      <c r="A11" s="34">
        <v>39173</v>
      </c>
      <c r="B11" s="1">
        <v>1866.6</v>
      </c>
      <c r="C11" s="34">
        <v>39173</v>
      </c>
      <c r="D11" s="1">
        <v>1357</v>
      </c>
      <c r="E11" s="34">
        <v>39173</v>
      </c>
      <c r="F11" s="1">
        <v>5.6</v>
      </c>
      <c r="G11" s="34">
        <v>39173</v>
      </c>
      <c r="H11" s="1">
        <v>0.61</v>
      </c>
      <c r="I11" s="34">
        <v>39173</v>
      </c>
      <c r="J11" s="1">
        <v>145.76</v>
      </c>
      <c r="K11" s="34">
        <v>39173</v>
      </c>
      <c r="L11" s="1">
        <v>1865.6</v>
      </c>
      <c r="M11" s="34">
        <v>39173</v>
      </c>
      <c r="N11" s="1">
        <v>326.5</v>
      </c>
      <c r="O11" s="34">
        <v>40179</v>
      </c>
      <c r="P11" s="1">
        <v>164068</v>
      </c>
    </row>
    <row r="12" spans="1:16" x14ac:dyDescent="0.25">
      <c r="A12" s="34">
        <v>39203</v>
      </c>
      <c r="B12" s="1">
        <v>1869.8</v>
      </c>
      <c r="C12" s="34">
        <v>39203</v>
      </c>
      <c r="D12" s="1">
        <v>1224</v>
      </c>
      <c r="E12" s="34">
        <v>39203</v>
      </c>
      <c r="F12" s="1">
        <v>5.6</v>
      </c>
      <c r="G12" s="34">
        <v>39203</v>
      </c>
      <c r="H12" s="1">
        <v>0.36</v>
      </c>
      <c r="I12" s="34">
        <v>39203</v>
      </c>
      <c r="J12" s="1">
        <v>145.96</v>
      </c>
      <c r="K12" s="34">
        <v>39203</v>
      </c>
      <c r="L12" s="1">
        <v>1882.3</v>
      </c>
      <c r="M12" s="34">
        <v>39203</v>
      </c>
      <c r="N12" s="1">
        <v>328.2</v>
      </c>
      <c r="O12" s="34">
        <v>40544</v>
      </c>
      <c r="P12" s="1">
        <v>166681</v>
      </c>
    </row>
    <row r="13" spans="1:16" x14ac:dyDescent="0.25">
      <c r="A13" s="34">
        <v>39234</v>
      </c>
      <c r="B13" s="1">
        <v>1870.3</v>
      </c>
      <c r="C13" s="34">
        <v>39234</v>
      </c>
      <c r="D13" s="1">
        <v>1418</v>
      </c>
      <c r="E13" s="34">
        <v>39234</v>
      </c>
      <c r="F13" s="1">
        <v>5.5</v>
      </c>
      <c r="G13" s="34">
        <v>39234</v>
      </c>
      <c r="H13" s="1">
        <v>0.16</v>
      </c>
      <c r="I13" s="34">
        <v>39234</v>
      </c>
      <c r="J13" s="1">
        <v>146.11000000000001</v>
      </c>
      <c r="K13" s="34">
        <v>39234</v>
      </c>
      <c r="L13" s="1">
        <v>1886</v>
      </c>
      <c r="M13" s="34">
        <v>39234</v>
      </c>
      <c r="N13" s="1">
        <v>323.3</v>
      </c>
      <c r="O13" s="34">
        <v>40909</v>
      </c>
      <c r="P13" s="1">
        <v>168022</v>
      </c>
    </row>
    <row r="14" spans="1:16" x14ac:dyDescent="0.25">
      <c r="A14" s="34">
        <v>39264</v>
      </c>
      <c r="B14" s="1">
        <v>1867.6</v>
      </c>
      <c r="C14" s="34">
        <v>39264</v>
      </c>
      <c r="D14" s="1">
        <v>1417</v>
      </c>
      <c r="E14" s="34">
        <v>39264</v>
      </c>
      <c r="F14" s="1">
        <v>5.5</v>
      </c>
      <c r="G14" s="34">
        <v>39264</v>
      </c>
      <c r="H14" s="1">
        <v>-0.42</v>
      </c>
      <c r="I14" s="34">
        <v>39264</v>
      </c>
      <c r="J14" s="1">
        <v>146.16999999999999</v>
      </c>
      <c r="K14" s="34">
        <v>39264</v>
      </c>
      <c r="L14" s="1">
        <v>1859.4</v>
      </c>
      <c r="M14" s="34">
        <v>39264</v>
      </c>
      <c r="N14" s="1">
        <v>313.89999999999998</v>
      </c>
      <c r="O14" s="34">
        <v>41275</v>
      </c>
      <c r="P14" s="1">
        <v>170667</v>
      </c>
    </row>
    <row r="15" spans="1:16" x14ac:dyDescent="0.25">
      <c r="A15" s="34">
        <v>39295</v>
      </c>
      <c r="B15" s="1">
        <v>1863</v>
      </c>
      <c r="C15" s="34">
        <v>39295</v>
      </c>
      <c r="D15" s="1">
        <v>987</v>
      </c>
      <c r="E15" s="34">
        <v>39295</v>
      </c>
      <c r="F15" s="1">
        <v>5.6</v>
      </c>
      <c r="G15" s="34">
        <v>39295</v>
      </c>
      <c r="H15" s="1">
        <v>-0.17</v>
      </c>
      <c r="I15" s="34">
        <v>39295</v>
      </c>
      <c r="J15" s="1">
        <v>146.16999999999999</v>
      </c>
      <c r="K15" s="34">
        <v>39295</v>
      </c>
      <c r="L15" s="1">
        <v>1869.1</v>
      </c>
      <c r="M15" s="34">
        <v>39295</v>
      </c>
      <c r="N15" s="1">
        <v>318.2</v>
      </c>
    </row>
    <row r="16" spans="1:16" x14ac:dyDescent="0.25">
      <c r="A16" s="34">
        <v>39326</v>
      </c>
      <c r="B16" s="1">
        <v>1867.7</v>
      </c>
      <c r="C16" s="34">
        <v>39326</v>
      </c>
      <c r="D16" s="1">
        <v>793</v>
      </c>
      <c r="E16" s="34">
        <v>39326</v>
      </c>
      <c r="F16" s="1">
        <v>5.6</v>
      </c>
      <c r="G16" s="34">
        <v>39326</v>
      </c>
      <c r="H16" s="1">
        <v>0.64</v>
      </c>
      <c r="I16" s="34">
        <v>39326</v>
      </c>
      <c r="J16" s="1">
        <v>146.19</v>
      </c>
      <c r="K16" s="34">
        <v>39326</v>
      </c>
      <c r="L16" s="1">
        <v>1875.1</v>
      </c>
      <c r="M16" s="34">
        <v>39326</v>
      </c>
      <c r="N16" s="1">
        <v>325.10000000000002</v>
      </c>
      <c r="P16" s="1">
        <f>+P14/P13-1</f>
        <v>1.5741986168477995E-2</v>
      </c>
    </row>
    <row r="17" spans="1:14" x14ac:dyDescent="0.25">
      <c r="A17" s="34">
        <v>39356</v>
      </c>
      <c r="B17" s="1">
        <v>1866.8</v>
      </c>
      <c r="C17" s="34">
        <v>39356</v>
      </c>
      <c r="D17" s="1">
        <v>1097</v>
      </c>
      <c r="E17" s="34">
        <v>39356</v>
      </c>
      <c r="F17" s="1">
        <v>5.6</v>
      </c>
      <c r="G17" s="34">
        <v>39356</v>
      </c>
      <c r="H17" s="1">
        <v>0.24</v>
      </c>
      <c r="I17" s="34">
        <v>39356</v>
      </c>
      <c r="J17" s="1">
        <v>146.22999999999999</v>
      </c>
      <c r="K17" s="34">
        <v>39356</v>
      </c>
      <c r="L17" s="1">
        <v>1875.6</v>
      </c>
      <c r="M17" s="34">
        <v>39356</v>
      </c>
      <c r="N17" s="1">
        <v>325.5</v>
      </c>
    </row>
    <row r="18" spans="1:14" x14ac:dyDescent="0.25">
      <c r="A18" s="34">
        <v>39387</v>
      </c>
      <c r="B18" s="1">
        <v>1869.6</v>
      </c>
      <c r="C18" s="34">
        <v>39387</v>
      </c>
      <c r="D18" s="1">
        <v>713</v>
      </c>
      <c r="E18" s="34">
        <v>39387</v>
      </c>
      <c r="F18" s="1">
        <v>5.6</v>
      </c>
      <c r="G18" s="34">
        <v>39387</v>
      </c>
      <c r="H18" s="1">
        <v>0.09</v>
      </c>
      <c r="I18" s="34">
        <v>39387</v>
      </c>
      <c r="J18" s="1">
        <v>146.29</v>
      </c>
      <c r="K18" s="34">
        <v>39387</v>
      </c>
      <c r="L18" s="1">
        <v>1888.2</v>
      </c>
      <c r="M18" s="34">
        <v>39387</v>
      </c>
      <c r="N18" s="1">
        <v>327.2</v>
      </c>
    </row>
    <row r="19" spans="1:14" x14ac:dyDescent="0.25">
      <c r="A19" s="34">
        <v>39417</v>
      </c>
      <c r="B19" s="1">
        <v>1868.8</v>
      </c>
      <c r="C19" s="34">
        <v>39417</v>
      </c>
      <c r="D19" s="1">
        <v>634</v>
      </c>
      <c r="E19" s="34">
        <v>39417</v>
      </c>
      <c r="F19" s="1">
        <v>5.6</v>
      </c>
      <c r="G19" s="34">
        <v>39417</v>
      </c>
      <c r="H19" s="1">
        <v>-0.14000000000000001</v>
      </c>
      <c r="I19" s="34">
        <v>39417</v>
      </c>
      <c r="J19" s="1">
        <v>146.34</v>
      </c>
      <c r="K19" s="34">
        <v>39417</v>
      </c>
      <c r="L19" s="1">
        <v>1887.6</v>
      </c>
      <c r="M19" s="34">
        <v>39417</v>
      </c>
      <c r="N19" s="1">
        <v>327.7</v>
      </c>
    </row>
    <row r="20" spans="1:14" x14ac:dyDescent="0.25">
      <c r="A20" s="34">
        <v>39448</v>
      </c>
      <c r="B20" s="1">
        <v>1870.6</v>
      </c>
      <c r="C20" s="34">
        <v>39448</v>
      </c>
      <c r="D20" s="1">
        <v>647</v>
      </c>
      <c r="E20" s="34">
        <v>39448</v>
      </c>
      <c r="F20" s="1">
        <v>5.6</v>
      </c>
      <c r="G20" s="34">
        <v>39448</v>
      </c>
      <c r="H20" s="1">
        <v>-0.7</v>
      </c>
      <c r="I20" s="34">
        <v>39448</v>
      </c>
      <c r="J20" s="1">
        <v>146.33000000000001</v>
      </c>
      <c r="K20" s="34">
        <v>39448</v>
      </c>
      <c r="L20" s="1">
        <v>1838.9</v>
      </c>
      <c r="M20" s="34">
        <v>39448</v>
      </c>
      <c r="N20" s="1">
        <v>322.60000000000002</v>
      </c>
    </row>
    <row r="21" spans="1:14" x14ac:dyDescent="0.25">
      <c r="A21" s="34">
        <v>39479</v>
      </c>
      <c r="B21" s="1">
        <v>1869.8</v>
      </c>
      <c r="C21" s="34">
        <v>39479</v>
      </c>
      <c r="D21" s="1">
        <v>768</v>
      </c>
      <c r="E21" s="34">
        <v>39479</v>
      </c>
      <c r="F21" s="1">
        <v>5.7</v>
      </c>
      <c r="G21" s="34">
        <v>39479</v>
      </c>
      <c r="H21" s="1">
        <v>-1.4</v>
      </c>
      <c r="I21" s="34">
        <v>39479</v>
      </c>
      <c r="J21" s="1">
        <v>146.22</v>
      </c>
      <c r="K21" s="34">
        <v>39479</v>
      </c>
      <c r="L21" s="1">
        <v>1839.7</v>
      </c>
      <c r="M21" s="34">
        <v>39479</v>
      </c>
      <c r="N21" s="1">
        <v>326.10000000000002</v>
      </c>
    </row>
    <row r="22" spans="1:14" x14ac:dyDescent="0.25">
      <c r="A22" s="34">
        <v>39508</v>
      </c>
      <c r="B22" s="1">
        <v>1864.1</v>
      </c>
      <c r="C22" s="34">
        <v>39508</v>
      </c>
      <c r="D22" s="1">
        <v>807</v>
      </c>
      <c r="E22" s="34">
        <v>39508</v>
      </c>
      <c r="F22" s="1">
        <v>5.8</v>
      </c>
      <c r="G22" s="34">
        <v>39508</v>
      </c>
      <c r="H22" s="1">
        <v>-1.32</v>
      </c>
      <c r="I22" s="34">
        <v>39508</v>
      </c>
      <c r="J22" s="1">
        <v>146</v>
      </c>
      <c r="K22" s="34">
        <v>39508</v>
      </c>
      <c r="L22" s="1">
        <v>1848.2</v>
      </c>
      <c r="M22" s="34">
        <v>39508</v>
      </c>
      <c r="N22" s="1">
        <v>327.2</v>
      </c>
    </row>
    <row r="23" spans="1:14" x14ac:dyDescent="0.25">
      <c r="A23" s="34">
        <v>39539</v>
      </c>
      <c r="B23" s="1">
        <v>1864.4</v>
      </c>
      <c r="C23" s="34">
        <v>39539</v>
      </c>
      <c r="D23" s="1">
        <v>1253</v>
      </c>
      <c r="E23" s="34">
        <v>39539</v>
      </c>
      <c r="F23" s="1">
        <v>5.9</v>
      </c>
      <c r="G23" s="34">
        <v>39539</v>
      </c>
      <c r="H23" s="1">
        <v>-1.63</v>
      </c>
      <c r="I23" s="34">
        <v>39539</v>
      </c>
      <c r="J23" s="1">
        <v>145.66</v>
      </c>
      <c r="K23" s="34">
        <v>39539</v>
      </c>
      <c r="L23" s="1">
        <v>1862.5</v>
      </c>
      <c r="M23" s="34">
        <v>39539</v>
      </c>
      <c r="N23" s="1">
        <v>326.7</v>
      </c>
    </row>
    <row r="24" spans="1:14" x14ac:dyDescent="0.25">
      <c r="A24" s="34">
        <v>39569</v>
      </c>
      <c r="B24" s="1">
        <v>1864.9</v>
      </c>
      <c r="C24" s="34">
        <v>39569</v>
      </c>
      <c r="D24" s="1">
        <v>962</v>
      </c>
      <c r="E24" s="34">
        <v>39569</v>
      </c>
      <c r="F24" s="1">
        <v>6.2</v>
      </c>
      <c r="G24" s="34">
        <v>39569</v>
      </c>
      <c r="H24" s="1">
        <v>-2.19</v>
      </c>
      <c r="I24" s="34">
        <v>39569</v>
      </c>
      <c r="J24" s="1">
        <v>145.21</v>
      </c>
      <c r="K24" s="34">
        <v>39569</v>
      </c>
      <c r="L24" s="1">
        <v>1878.8</v>
      </c>
      <c r="M24" s="34">
        <v>39569</v>
      </c>
      <c r="N24" s="1">
        <v>327.9</v>
      </c>
    </row>
    <row r="25" spans="1:14" x14ac:dyDescent="0.25">
      <c r="A25" s="34">
        <v>39600</v>
      </c>
      <c r="B25" s="1">
        <v>1859.9</v>
      </c>
      <c r="C25" s="34">
        <v>39600</v>
      </c>
      <c r="D25" s="1">
        <v>933</v>
      </c>
      <c r="E25" s="34">
        <v>39600</v>
      </c>
      <c r="F25" s="1">
        <v>6.4</v>
      </c>
      <c r="G25" s="34">
        <v>39600</v>
      </c>
      <c r="H25" s="1">
        <v>-1.76</v>
      </c>
      <c r="I25" s="34">
        <v>39600</v>
      </c>
      <c r="J25" s="1">
        <v>144.68</v>
      </c>
      <c r="K25" s="34">
        <v>39600</v>
      </c>
      <c r="L25" s="1">
        <v>1871.6</v>
      </c>
      <c r="M25" s="34">
        <v>39600</v>
      </c>
      <c r="N25" s="1">
        <v>321.89999999999998</v>
      </c>
    </row>
    <row r="26" spans="1:14" x14ac:dyDescent="0.25">
      <c r="A26" s="34">
        <v>39630</v>
      </c>
      <c r="B26" s="1">
        <v>1857</v>
      </c>
      <c r="C26" s="34">
        <v>39630</v>
      </c>
      <c r="D26" s="1">
        <v>1389</v>
      </c>
      <c r="E26" s="34">
        <v>39630</v>
      </c>
      <c r="F26" s="1">
        <v>6.6</v>
      </c>
      <c r="G26" s="34">
        <v>39630</v>
      </c>
      <c r="H26" s="1">
        <v>-2.2599999999999998</v>
      </c>
      <c r="I26" s="34">
        <v>39630</v>
      </c>
      <c r="J26" s="1">
        <v>144.09</v>
      </c>
      <c r="K26" s="34">
        <v>39630</v>
      </c>
      <c r="L26" s="1">
        <v>1848.5</v>
      </c>
      <c r="M26" s="34">
        <v>39630</v>
      </c>
      <c r="N26" s="1">
        <v>310.8</v>
      </c>
    </row>
    <row r="27" spans="1:14" x14ac:dyDescent="0.25">
      <c r="A27" s="34">
        <v>39661</v>
      </c>
      <c r="B27" s="1">
        <v>1854.1</v>
      </c>
      <c r="C27" s="34">
        <v>39661</v>
      </c>
      <c r="D27" s="1">
        <v>879</v>
      </c>
      <c r="E27" s="34">
        <v>39661</v>
      </c>
      <c r="F27" s="1">
        <v>6.8</v>
      </c>
      <c r="G27" s="34">
        <v>39661</v>
      </c>
      <c r="H27" s="1">
        <v>-3.15</v>
      </c>
      <c r="I27" s="34">
        <v>39661</v>
      </c>
      <c r="J27" s="1">
        <v>143.41</v>
      </c>
      <c r="K27" s="34">
        <v>39661</v>
      </c>
      <c r="L27" s="1">
        <v>1858.9</v>
      </c>
      <c r="M27" s="34">
        <v>39661</v>
      </c>
      <c r="N27" s="1">
        <v>315.39999999999998</v>
      </c>
    </row>
    <row r="28" spans="1:14" x14ac:dyDescent="0.25">
      <c r="A28" s="34">
        <v>39692</v>
      </c>
      <c r="B28" s="1">
        <v>1839.7</v>
      </c>
      <c r="C28" s="34">
        <v>39692</v>
      </c>
      <c r="D28" s="1">
        <v>689</v>
      </c>
      <c r="E28" s="34">
        <v>39692</v>
      </c>
      <c r="F28" s="1">
        <v>7</v>
      </c>
      <c r="G28" s="34">
        <v>39692</v>
      </c>
      <c r="H28" s="1">
        <v>-3.87</v>
      </c>
      <c r="I28" s="34">
        <v>39692</v>
      </c>
      <c r="J28" s="1">
        <v>142.59</v>
      </c>
      <c r="K28" s="34">
        <v>39692</v>
      </c>
      <c r="L28" s="1">
        <v>1848.2</v>
      </c>
      <c r="M28" s="34">
        <v>39692</v>
      </c>
      <c r="N28" s="1">
        <v>319.8</v>
      </c>
    </row>
    <row r="29" spans="1:14" x14ac:dyDescent="0.25">
      <c r="A29" s="34">
        <v>39722</v>
      </c>
      <c r="B29" s="1">
        <v>1832.7</v>
      </c>
      <c r="C29" s="34">
        <v>39722</v>
      </c>
      <c r="D29" s="1">
        <v>796</v>
      </c>
      <c r="E29" s="34">
        <v>39722</v>
      </c>
      <c r="F29" s="1">
        <v>7.4</v>
      </c>
      <c r="G29" s="34">
        <v>39722</v>
      </c>
      <c r="H29" s="1">
        <v>-4.87</v>
      </c>
      <c r="I29" s="34">
        <v>39722</v>
      </c>
      <c r="J29" s="1">
        <v>141.58000000000001</v>
      </c>
      <c r="K29" s="34">
        <v>39722</v>
      </c>
      <c r="L29" s="1">
        <v>1845</v>
      </c>
      <c r="M29" s="34">
        <v>39722</v>
      </c>
      <c r="N29" s="1">
        <v>325.3</v>
      </c>
    </row>
    <row r="30" spans="1:14" x14ac:dyDescent="0.25">
      <c r="A30" s="34">
        <v>39753</v>
      </c>
      <c r="B30" s="1">
        <v>1826</v>
      </c>
      <c r="C30" s="34">
        <v>39753</v>
      </c>
      <c r="D30" s="1">
        <v>530</v>
      </c>
      <c r="E30" s="34">
        <v>39753</v>
      </c>
      <c r="F30" s="1">
        <v>7.8</v>
      </c>
      <c r="G30" s="34">
        <v>39753</v>
      </c>
      <c r="H30" s="1">
        <v>-5.3</v>
      </c>
      <c r="I30" s="34">
        <v>39753</v>
      </c>
      <c r="J30" s="1">
        <v>140.38</v>
      </c>
      <c r="K30" s="34">
        <v>39753</v>
      </c>
      <c r="L30" s="1">
        <v>1844.9</v>
      </c>
      <c r="M30" s="34">
        <v>39753</v>
      </c>
      <c r="N30" s="1">
        <v>326</v>
      </c>
    </row>
    <row r="31" spans="1:14" x14ac:dyDescent="0.25">
      <c r="A31" s="34">
        <v>39783</v>
      </c>
      <c r="B31" s="1">
        <v>1815.1</v>
      </c>
      <c r="C31" s="34">
        <v>39783</v>
      </c>
      <c r="D31" s="1">
        <v>381</v>
      </c>
      <c r="E31" s="34">
        <v>39783</v>
      </c>
      <c r="F31" s="1">
        <v>8.4</v>
      </c>
      <c r="G31" s="34">
        <v>39783</v>
      </c>
      <c r="H31" s="1">
        <v>-5.3</v>
      </c>
      <c r="I31" s="34">
        <v>39783</v>
      </c>
      <c r="J31" s="1">
        <v>139.02000000000001</v>
      </c>
      <c r="K31" s="34">
        <v>39783</v>
      </c>
      <c r="L31" s="1">
        <v>1835.7</v>
      </c>
      <c r="M31" s="34">
        <v>39783</v>
      </c>
      <c r="N31" s="1">
        <v>325.3</v>
      </c>
    </row>
    <row r="32" spans="1:14" x14ac:dyDescent="0.25">
      <c r="A32" s="34">
        <v>39814</v>
      </c>
      <c r="B32" s="1">
        <v>1796.2</v>
      </c>
      <c r="C32" s="34">
        <v>39814</v>
      </c>
      <c r="D32" s="1">
        <v>427</v>
      </c>
      <c r="E32" s="34">
        <v>39814</v>
      </c>
      <c r="F32" s="1">
        <v>8.9</v>
      </c>
      <c r="G32" s="34">
        <v>39814</v>
      </c>
      <c r="H32" s="1">
        <v>-4.4800000000000004</v>
      </c>
      <c r="I32" s="34">
        <v>39814</v>
      </c>
      <c r="J32" s="1">
        <v>137.61000000000001</v>
      </c>
      <c r="K32" s="34">
        <v>39814</v>
      </c>
      <c r="L32" s="1">
        <v>1764.9</v>
      </c>
      <c r="M32" s="34">
        <v>39814</v>
      </c>
      <c r="N32" s="1">
        <v>317.8</v>
      </c>
    </row>
    <row r="33" spans="1:14" x14ac:dyDescent="0.25">
      <c r="A33" s="34">
        <v>39845</v>
      </c>
      <c r="B33" s="1">
        <v>1786.2</v>
      </c>
      <c r="C33" s="34">
        <v>39845</v>
      </c>
      <c r="D33" s="1">
        <v>433</v>
      </c>
      <c r="E33" s="34">
        <v>39845</v>
      </c>
      <c r="F33" s="1">
        <v>9.5</v>
      </c>
      <c r="G33" s="34">
        <v>39845</v>
      </c>
      <c r="H33" s="1">
        <v>-3.56</v>
      </c>
      <c r="I33" s="34">
        <v>39845</v>
      </c>
      <c r="J33" s="1">
        <v>136.27000000000001</v>
      </c>
      <c r="K33" s="34">
        <v>39845</v>
      </c>
      <c r="L33" s="1">
        <v>1756.3</v>
      </c>
      <c r="M33" s="34">
        <v>39845</v>
      </c>
      <c r="N33" s="1">
        <v>319.8</v>
      </c>
    </row>
    <row r="34" spans="1:14" x14ac:dyDescent="0.25">
      <c r="A34" s="34">
        <v>39873</v>
      </c>
      <c r="B34" s="1">
        <v>1776.5</v>
      </c>
      <c r="C34" s="34">
        <v>39873</v>
      </c>
      <c r="D34" s="1">
        <v>539</v>
      </c>
      <c r="E34" s="34">
        <v>39873</v>
      </c>
      <c r="F34" s="1">
        <v>9.9</v>
      </c>
      <c r="G34" s="34">
        <v>39873</v>
      </c>
      <c r="H34" s="1">
        <v>-2.17</v>
      </c>
      <c r="I34" s="34">
        <v>39873</v>
      </c>
      <c r="J34" s="1">
        <v>135.12</v>
      </c>
      <c r="K34" s="34">
        <v>39873</v>
      </c>
      <c r="L34" s="1">
        <v>1762.1</v>
      </c>
      <c r="M34" s="34">
        <v>39873</v>
      </c>
      <c r="N34" s="1">
        <v>322.7</v>
      </c>
    </row>
    <row r="35" spans="1:14" x14ac:dyDescent="0.25">
      <c r="A35" s="34">
        <v>39904</v>
      </c>
      <c r="B35" s="1">
        <v>1768.6</v>
      </c>
      <c r="C35" s="34">
        <v>39904</v>
      </c>
      <c r="D35" s="1">
        <v>491</v>
      </c>
      <c r="E35" s="34">
        <v>39904</v>
      </c>
      <c r="F35" s="1">
        <v>10.199999999999999</v>
      </c>
      <c r="G35" s="34">
        <v>39904</v>
      </c>
      <c r="H35" s="1">
        <v>-1.88</v>
      </c>
      <c r="I35" s="34">
        <v>39904</v>
      </c>
      <c r="J35" s="1">
        <v>134.22</v>
      </c>
      <c r="K35" s="34">
        <v>39904</v>
      </c>
      <c r="L35" s="1">
        <v>1774.3</v>
      </c>
      <c r="M35" s="34">
        <v>39904</v>
      </c>
      <c r="N35" s="1">
        <v>328.1</v>
      </c>
    </row>
    <row r="36" spans="1:14" x14ac:dyDescent="0.25">
      <c r="A36" s="34">
        <v>39934</v>
      </c>
      <c r="B36" s="1">
        <v>1767.7</v>
      </c>
      <c r="C36" s="34">
        <v>39934</v>
      </c>
      <c r="D36" s="1">
        <v>503</v>
      </c>
      <c r="E36" s="34">
        <v>39934</v>
      </c>
      <c r="F36" s="1">
        <v>10.5</v>
      </c>
      <c r="G36" s="34">
        <v>39934</v>
      </c>
      <c r="H36" s="1">
        <v>-1.0900000000000001</v>
      </c>
      <c r="I36" s="34">
        <v>39934</v>
      </c>
      <c r="J36" s="1">
        <v>133.55000000000001</v>
      </c>
      <c r="K36" s="34">
        <v>39934</v>
      </c>
      <c r="L36" s="1">
        <v>1779.2</v>
      </c>
      <c r="M36" s="34">
        <v>39934</v>
      </c>
      <c r="N36" s="1">
        <v>329.2</v>
      </c>
    </row>
    <row r="37" spans="1:14" x14ac:dyDescent="0.25">
      <c r="A37" s="34">
        <v>39965</v>
      </c>
      <c r="B37" s="1">
        <v>1763.6</v>
      </c>
      <c r="C37" s="34">
        <v>39965</v>
      </c>
      <c r="D37" s="1">
        <v>714</v>
      </c>
      <c r="E37" s="34">
        <v>39965</v>
      </c>
      <c r="F37" s="1">
        <v>10.6</v>
      </c>
      <c r="G37" s="34">
        <v>39965</v>
      </c>
      <c r="H37" s="1">
        <v>7.0000000000000007E-2</v>
      </c>
      <c r="I37" s="34">
        <v>39965</v>
      </c>
      <c r="J37" s="1">
        <v>133.11000000000001</v>
      </c>
      <c r="K37" s="34">
        <v>39965</v>
      </c>
      <c r="L37" s="1">
        <v>1775.1</v>
      </c>
      <c r="M37" s="34">
        <v>39965</v>
      </c>
      <c r="N37" s="1">
        <v>324.60000000000002</v>
      </c>
    </row>
    <row r="38" spans="1:14" x14ac:dyDescent="0.25">
      <c r="A38" s="34">
        <v>39995</v>
      </c>
      <c r="B38" s="1">
        <v>1765.1</v>
      </c>
      <c r="C38" s="34">
        <v>39995</v>
      </c>
      <c r="D38" s="1">
        <v>696</v>
      </c>
      <c r="E38" s="34">
        <v>39995</v>
      </c>
      <c r="F38" s="1">
        <v>10.7</v>
      </c>
      <c r="G38" s="34">
        <v>39995</v>
      </c>
      <c r="H38" s="1">
        <v>0.16</v>
      </c>
      <c r="I38" s="34">
        <v>39995</v>
      </c>
      <c r="J38" s="1">
        <v>132.87</v>
      </c>
      <c r="K38" s="34">
        <v>39995</v>
      </c>
      <c r="L38" s="1">
        <v>1758.5</v>
      </c>
      <c r="M38" s="34">
        <v>39995</v>
      </c>
      <c r="N38" s="1">
        <v>314.39999999999998</v>
      </c>
    </row>
    <row r="39" spans="1:14" x14ac:dyDescent="0.25">
      <c r="A39" s="34">
        <v>40026</v>
      </c>
      <c r="B39" s="1">
        <v>1760.5</v>
      </c>
      <c r="C39" s="34">
        <v>40026</v>
      </c>
      <c r="D39" s="1">
        <v>983</v>
      </c>
      <c r="E39" s="34">
        <v>40026</v>
      </c>
      <c r="F39" s="1">
        <v>10.7</v>
      </c>
      <c r="G39" s="34">
        <v>40026</v>
      </c>
      <c r="H39" s="1">
        <v>0.63</v>
      </c>
      <c r="I39" s="34">
        <v>40026</v>
      </c>
      <c r="J39" s="1">
        <v>132.77000000000001</v>
      </c>
      <c r="K39" s="34">
        <v>40026</v>
      </c>
      <c r="L39" s="1">
        <v>1763.6</v>
      </c>
      <c r="M39" s="34">
        <v>40026</v>
      </c>
      <c r="N39" s="1">
        <v>318.89999999999998</v>
      </c>
    </row>
    <row r="40" spans="1:14" x14ac:dyDescent="0.25">
      <c r="A40" s="34">
        <v>40057</v>
      </c>
      <c r="B40" s="1">
        <v>1761.4</v>
      </c>
      <c r="C40" s="34">
        <v>40057</v>
      </c>
      <c r="D40" s="1">
        <v>510</v>
      </c>
      <c r="E40" s="34">
        <v>40057</v>
      </c>
      <c r="F40" s="1">
        <v>10.6</v>
      </c>
      <c r="G40" s="34">
        <v>40057</v>
      </c>
      <c r="H40" s="1">
        <v>0.74</v>
      </c>
      <c r="I40" s="34">
        <v>40057</v>
      </c>
      <c r="J40" s="1">
        <v>132.77000000000001</v>
      </c>
      <c r="K40" s="34">
        <v>40057</v>
      </c>
      <c r="L40" s="1">
        <v>1768.1</v>
      </c>
      <c r="M40" s="34">
        <v>40057</v>
      </c>
      <c r="N40" s="1">
        <v>326.10000000000002</v>
      </c>
    </row>
    <row r="41" spans="1:14" x14ac:dyDescent="0.25">
      <c r="A41" s="34">
        <v>40087</v>
      </c>
      <c r="B41" s="1">
        <v>1760.3</v>
      </c>
      <c r="C41" s="34">
        <v>40087</v>
      </c>
      <c r="D41" s="1">
        <v>574</v>
      </c>
      <c r="E41" s="34">
        <v>40087</v>
      </c>
      <c r="F41" s="1">
        <v>10.6</v>
      </c>
      <c r="G41" s="34">
        <v>40087</v>
      </c>
      <c r="H41" s="1">
        <v>-0.14000000000000001</v>
      </c>
      <c r="I41" s="34">
        <v>40087</v>
      </c>
      <c r="J41" s="1">
        <v>132.79</v>
      </c>
      <c r="K41" s="34">
        <v>40087</v>
      </c>
      <c r="L41" s="1">
        <v>1772.3</v>
      </c>
      <c r="M41" s="34">
        <v>40087</v>
      </c>
      <c r="N41" s="1">
        <v>330.8</v>
      </c>
    </row>
    <row r="42" spans="1:14" x14ac:dyDescent="0.25">
      <c r="A42" s="34">
        <v>40118</v>
      </c>
      <c r="B42" s="1">
        <v>1762</v>
      </c>
      <c r="C42" s="34">
        <v>40118</v>
      </c>
      <c r="D42" s="1">
        <v>492</v>
      </c>
      <c r="E42" s="34">
        <v>40118</v>
      </c>
      <c r="F42" s="1">
        <v>10.6</v>
      </c>
      <c r="G42" s="34">
        <v>40118</v>
      </c>
      <c r="H42" s="1">
        <v>0.18</v>
      </c>
      <c r="I42" s="34">
        <v>40118</v>
      </c>
      <c r="J42" s="1">
        <v>132.79</v>
      </c>
      <c r="K42" s="34">
        <v>40118</v>
      </c>
      <c r="L42" s="1">
        <v>1779.9</v>
      </c>
      <c r="M42" s="34">
        <v>40118</v>
      </c>
      <c r="N42" s="1">
        <v>331.2</v>
      </c>
    </row>
    <row r="43" spans="1:14" x14ac:dyDescent="0.25">
      <c r="A43" s="34">
        <v>40148</v>
      </c>
      <c r="B43" s="1">
        <v>1759.2</v>
      </c>
      <c r="C43" s="34">
        <v>40148</v>
      </c>
      <c r="D43" s="1">
        <v>456</v>
      </c>
      <c r="E43" s="34">
        <v>40148</v>
      </c>
      <c r="F43" s="1">
        <v>10.7</v>
      </c>
      <c r="G43" s="34">
        <v>40148</v>
      </c>
      <c r="H43" s="1">
        <v>0.83</v>
      </c>
      <c r="I43" s="34">
        <v>40148</v>
      </c>
      <c r="J43" s="1">
        <v>132.80000000000001</v>
      </c>
      <c r="K43" s="34">
        <v>40148</v>
      </c>
      <c r="L43" s="1">
        <v>1777.8</v>
      </c>
      <c r="M43" s="34">
        <v>40148</v>
      </c>
      <c r="N43" s="1">
        <v>330.1</v>
      </c>
    </row>
    <row r="44" spans="1:14" x14ac:dyDescent="0.25">
      <c r="A44" s="34">
        <v>40179</v>
      </c>
      <c r="B44" s="1">
        <v>1756.6</v>
      </c>
      <c r="C44" s="34">
        <v>40179</v>
      </c>
      <c r="D44" s="1">
        <v>422</v>
      </c>
      <c r="E44" s="34">
        <v>40179</v>
      </c>
      <c r="F44" s="1">
        <v>10.7</v>
      </c>
      <c r="G44" s="34">
        <v>40179</v>
      </c>
      <c r="H44" s="1">
        <v>2.04</v>
      </c>
      <c r="I44" s="34">
        <v>40179</v>
      </c>
      <c r="J44" s="1">
        <v>132.91</v>
      </c>
      <c r="K44" s="34">
        <v>40179</v>
      </c>
      <c r="L44" s="1">
        <v>1725.4</v>
      </c>
      <c r="M44" s="34">
        <v>40179</v>
      </c>
      <c r="N44" s="1">
        <v>324.7</v>
      </c>
    </row>
    <row r="45" spans="1:14" x14ac:dyDescent="0.25">
      <c r="A45" s="34">
        <v>40210</v>
      </c>
      <c r="B45" s="1">
        <v>1748.5</v>
      </c>
      <c r="C45" s="34">
        <v>40210</v>
      </c>
      <c r="D45" s="1">
        <v>447</v>
      </c>
      <c r="E45" s="34">
        <v>40210</v>
      </c>
      <c r="F45" s="1">
        <v>10.6</v>
      </c>
      <c r="G45" s="34">
        <v>40210</v>
      </c>
      <c r="H45" s="1">
        <v>2.31</v>
      </c>
      <c r="I45" s="34">
        <v>40210</v>
      </c>
      <c r="J45" s="1">
        <v>133.15</v>
      </c>
      <c r="K45" s="34">
        <v>40210</v>
      </c>
      <c r="L45" s="1">
        <v>1718.9</v>
      </c>
      <c r="M45" s="34">
        <v>40210</v>
      </c>
      <c r="N45" s="1">
        <v>328</v>
      </c>
    </row>
    <row r="46" spans="1:14" x14ac:dyDescent="0.25">
      <c r="A46" s="34">
        <v>40238</v>
      </c>
      <c r="B46" s="1">
        <v>1757.5</v>
      </c>
      <c r="C46" s="34">
        <v>40238</v>
      </c>
      <c r="D46" s="1">
        <v>794</v>
      </c>
      <c r="E46" s="34">
        <v>40238</v>
      </c>
      <c r="F46" s="1">
        <v>10.5</v>
      </c>
      <c r="G46" s="34">
        <v>40238</v>
      </c>
      <c r="H46" s="1">
        <v>2.02</v>
      </c>
      <c r="I46" s="34">
        <v>40238</v>
      </c>
      <c r="J46" s="1">
        <v>133.51</v>
      </c>
      <c r="K46" s="34">
        <v>40238</v>
      </c>
      <c r="L46" s="1">
        <v>1743.1</v>
      </c>
      <c r="M46" s="34">
        <v>40238</v>
      </c>
      <c r="N46" s="1">
        <v>331</v>
      </c>
    </row>
    <row r="47" spans="1:14" x14ac:dyDescent="0.25">
      <c r="A47" s="34">
        <v>40269</v>
      </c>
      <c r="B47" s="1">
        <v>1764</v>
      </c>
      <c r="C47" s="34">
        <v>40269</v>
      </c>
      <c r="D47" s="1">
        <v>683</v>
      </c>
      <c r="E47" s="34">
        <v>40269</v>
      </c>
      <c r="F47" s="1">
        <v>10.4</v>
      </c>
      <c r="G47" s="34">
        <v>40269</v>
      </c>
      <c r="H47" s="1">
        <v>2.2200000000000002</v>
      </c>
      <c r="I47" s="34">
        <v>40269</v>
      </c>
      <c r="J47" s="1">
        <v>133.96</v>
      </c>
      <c r="K47" s="34">
        <v>40269</v>
      </c>
      <c r="L47" s="1">
        <v>1769.7</v>
      </c>
      <c r="M47" s="34">
        <v>40269</v>
      </c>
      <c r="N47" s="1">
        <v>334.3</v>
      </c>
    </row>
    <row r="48" spans="1:14" x14ac:dyDescent="0.25">
      <c r="A48" s="34">
        <v>40299</v>
      </c>
      <c r="B48" s="1">
        <v>1774.1</v>
      </c>
      <c r="C48" s="34">
        <v>40299</v>
      </c>
      <c r="D48" s="1">
        <v>531</v>
      </c>
      <c r="E48" s="34">
        <v>40299</v>
      </c>
      <c r="F48" s="1">
        <v>10.199999999999999</v>
      </c>
      <c r="G48" s="34">
        <v>40299</v>
      </c>
      <c r="H48" s="1">
        <v>1.74</v>
      </c>
      <c r="I48" s="34">
        <v>40299</v>
      </c>
      <c r="J48" s="1">
        <v>134.43</v>
      </c>
      <c r="K48" s="34">
        <v>40299</v>
      </c>
      <c r="L48" s="1">
        <v>1785.1</v>
      </c>
      <c r="M48" s="34">
        <v>40299</v>
      </c>
      <c r="N48" s="1">
        <v>341.6</v>
      </c>
    </row>
    <row r="49" spans="1:14" x14ac:dyDescent="0.25">
      <c r="A49" s="34">
        <v>40330</v>
      </c>
      <c r="B49" s="1">
        <v>1775.3</v>
      </c>
      <c r="C49" s="34">
        <v>40330</v>
      </c>
      <c r="D49" s="1">
        <v>593</v>
      </c>
      <c r="E49" s="34">
        <v>40330</v>
      </c>
      <c r="F49" s="1">
        <v>10</v>
      </c>
      <c r="G49" s="34">
        <v>40330</v>
      </c>
      <c r="H49" s="1">
        <v>0.74</v>
      </c>
      <c r="I49" s="34">
        <v>40330</v>
      </c>
      <c r="J49" s="1">
        <v>134.85</v>
      </c>
      <c r="K49" s="34">
        <v>40330</v>
      </c>
      <c r="L49" s="1">
        <v>1786.2</v>
      </c>
      <c r="M49" s="34">
        <v>40330</v>
      </c>
      <c r="N49" s="1">
        <v>335.3</v>
      </c>
    </row>
    <row r="50" spans="1:14" x14ac:dyDescent="0.25">
      <c r="A50" s="34">
        <v>40360</v>
      </c>
      <c r="B50" s="1">
        <v>1772</v>
      </c>
      <c r="C50" s="34">
        <v>40360</v>
      </c>
      <c r="D50" s="1">
        <v>601</v>
      </c>
      <c r="E50" s="34">
        <v>40360</v>
      </c>
      <c r="F50" s="1">
        <v>10</v>
      </c>
      <c r="G50" s="34">
        <v>40360</v>
      </c>
      <c r="H50" s="1">
        <v>0.19</v>
      </c>
      <c r="I50" s="34">
        <v>40360</v>
      </c>
      <c r="J50" s="1">
        <v>135.13</v>
      </c>
      <c r="K50" s="34">
        <v>40360</v>
      </c>
      <c r="L50" s="1">
        <v>1765</v>
      </c>
      <c r="M50" s="34">
        <v>40360</v>
      </c>
      <c r="N50" s="1">
        <v>319</v>
      </c>
    </row>
    <row r="51" spans="1:14" x14ac:dyDescent="0.25">
      <c r="A51" s="34">
        <v>40391</v>
      </c>
      <c r="B51" s="1">
        <v>1767.5</v>
      </c>
      <c r="C51" s="34">
        <v>40391</v>
      </c>
      <c r="D51" s="1">
        <v>640</v>
      </c>
      <c r="E51" s="34">
        <v>40391</v>
      </c>
      <c r="F51" s="1">
        <v>10</v>
      </c>
      <c r="G51" s="34">
        <v>40391</v>
      </c>
      <c r="H51" s="1">
        <v>1.08</v>
      </c>
      <c r="I51" s="34">
        <v>40391</v>
      </c>
      <c r="J51" s="1">
        <v>135.31</v>
      </c>
      <c r="K51" s="34">
        <v>40391</v>
      </c>
      <c r="L51" s="1">
        <v>1770.6</v>
      </c>
      <c r="M51" s="34">
        <v>40391</v>
      </c>
      <c r="N51" s="1">
        <v>319.60000000000002</v>
      </c>
    </row>
    <row r="52" spans="1:14" x14ac:dyDescent="0.25">
      <c r="A52" s="34">
        <v>40422</v>
      </c>
      <c r="B52" s="1">
        <v>1772.7</v>
      </c>
      <c r="C52" s="34">
        <v>40422</v>
      </c>
      <c r="D52" s="1">
        <v>540</v>
      </c>
      <c r="E52" s="34">
        <v>40422</v>
      </c>
      <c r="F52" s="1">
        <v>10</v>
      </c>
      <c r="G52" s="34">
        <v>40422</v>
      </c>
      <c r="H52" s="1">
        <v>0.84</v>
      </c>
      <c r="I52" s="34">
        <v>40422</v>
      </c>
      <c r="J52" s="1">
        <v>135.46</v>
      </c>
      <c r="K52" s="34">
        <v>40422</v>
      </c>
      <c r="L52" s="1">
        <v>1781.5</v>
      </c>
      <c r="M52" s="34">
        <v>40422</v>
      </c>
      <c r="N52" s="1">
        <v>331.1</v>
      </c>
    </row>
    <row r="53" spans="1:14" x14ac:dyDescent="0.25">
      <c r="A53" s="34">
        <v>40452</v>
      </c>
      <c r="B53" s="1">
        <v>1780.4</v>
      </c>
      <c r="C53" s="34">
        <v>40452</v>
      </c>
      <c r="D53" s="1">
        <v>734</v>
      </c>
      <c r="E53" s="34">
        <v>40452</v>
      </c>
      <c r="F53" s="1">
        <v>10</v>
      </c>
      <c r="G53" s="34">
        <v>40452</v>
      </c>
      <c r="H53" s="1">
        <v>0.79</v>
      </c>
      <c r="I53" s="34">
        <v>40452</v>
      </c>
      <c r="J53" s="1">
        <v>135.59</v>
      </c>
      <c r="K53" s="34">
        <v>40452</v>
      </c>
      <c r="L53" s="1">
        <v>1790.7</v>
      </c>
      <c r="M53" s="34">
        <v>40452</v>
      </c>
      <c r="N53" s="1">
        <v>334.1</v>
      </c>
    </row>
    <row r="54" spans="1:14" x14ac:dyDescent="0.25">
      <c r="A54" s="34">
        <v>40483</v>
      </c>
      <c r="B54" s="1">
        <v>1778.8</v>
      </c>
      <c r="C54" s="34">
        <v>40483</v>
      </c>
      <c r="D54" s="1">
        <v>403</v>
      </c>
      <c r="E54" s="34">
        <v>40483</v>
      </c>
      <c r="F54" s="1">
        <v>10</v>
      </c>
      <c r="G54" s="34">
        <v>40483</v>
      </c>
      <c r="H54" s="1">
        <v>1.07</v>
      </c>
      <c r="I54" s="34">
        <v>40483</v>
      </c>
      <c r="J54" s="1">
        <v>135.72999999999999</v>
      </c>
      <c r="K54" s="34">
        <v>40483</v>
      </c>
      <c r="L54" s="1">
        <v>1797.3</v>
      </c>
      <c r="M54" s="34">
        <v>40483</v>
      </c>
      <c r="N54" s="1">
        <v>335.1</v>
      </c>
    </row>
    <row r="55" spans="1:14" x14ac:dyDescent="0.25">
      <c r="A55" s="34">
        <v>40513</v>
      </c>
      <c r="B55" s="1">
        <v>1786.1</v>
      </c>
      <c r="C55" s="34">
        <v>40513</v>
      </c>
      <c r="D55" s="1">
        <v>423</v>
      </c>
      <c r="E55" s="34">
        <v>40513</v>
      </c>
      <c r="F55" s="1">
        <v>10</v>
      </c>
      <c r="G55" s="34">
        <v>40513</v>
      </c>
      <c r="H55" s="1">
        <v>1.23</v>
      </c>
      <c r="I55" s="34">
        <v>40513</v>
      </c>
      <c r="J55" s="1">
        <v>135.9</v>
      </c>
      <c r="K55" s="34">
        <v>40513</v>
      </c>
      <c r="L55" s="1">
        <v>1802.2</v>
      </c>
      <c r="M55" s="34">
        <v>40513</v>
      </c>
      <c r="N55" s="1">
        <v>334</v>
      </c>
    </row>
    <row r="56" spans="1:14" x14ac:dyDescent="0.25">
      <c r="A56" s="34">
        <v>40544</v>
      </c>
      <c r="B56" s="1">
        <v>1779.2</v>
      </c>
      <c r="C56" s="34">
        <v>40544</v>
      </c>
      <c r="D56" s="1">
        <v>392</v>
      </c>
      <c r="E56" s="34">
        <v>40544</v>
      </c>
      <c r="F56" s="1">
        <v>9.9</v>
      </c>
      <c r="G56" s="34">
        <v>40544</v>
      </c>
      <c r="H56" s="1">
        <v>1.28</v>
      </c>
      <c r="I56" s="34">
        <v>40544</v>
      </c>
      <c r="J56" s="1">
        <v>136.12</v>
      </c>
      <c r="K56" s="34">
        <v>40544</v>
      </c>
      <c r="L56" s="1">
        <v>1748.4</v>
      </c>
      <c r="M56" s="34">
        <v>40544</v>
      </c>
      <c r="N56" s="1">
        <v>329.1</v>
      </c>
    </row>
    <row r="57" spans="1:14" x14ac:dyDescent="0.25">
      <c r="A57" s="34">
        <v>40575</v>
      </c>
      <c r="B57" s="1">
        <v>1783.9</v>
      </c>
      <c r="C57" s="34">
        <v>40575</v>
      </c>
      <c r="D57" s="1">
        <v>487</v>
      </c>
      <c r="E57" s="34">
        <v>40575</v>
      </c>
      <c r="F57" s="1">
        <v>9.8000000000000007</v>
      </c>
      <c r="G57" s="34">
        <v>40575</v>
      </c>
      <c r="H57" s="1">
        <v>1.24</v>
      </c>
      <c r="I57" s="34">
        <v>40575</v>
      </c>
      <c r="J57" s="1">
        <v>136.38</v>
      </c>
      <c r="K57" s="34">
        <v>40575</v>
      </c>
      <c r="L57" s="1">
        <v>1753.7</v>
      </c>
      <c r="M57" s="34">
        <v>40575</v>
      </c>
      <c r="N57" s="1">
        <v>334.1</v>
      </c>
    </row>
    <row r="58" spans="1:14" x14ac:dyDescent="0.25">
      <c r="A58" s="34">
        <v>40603</v>
      </c>
      <c r="B58" s="1">
        <v>1786.4</v>
      </c>
      <c r="C58" s="34">
        <v>40603</v>
      </c>
      <c r="D58" s="1">
        <v>571</v>
      </c>
      <c r="E58" s="34">
        <v>40603</v>
      </c>
      <c r="F58" s="1">
        <v>9.6999999999999993</v>
      </c>
      <c r="G58" s="34">
        <v>40603</v>
      </c>
      <c r="H58" s="1">
        <v>0.71</v>
      </c>
      <c r="I58" s="34">
        <v>40603</v>
      </c>
      <c r="J58" s="1">
        <v>136.62</v>
      </c>
      <c r="K58" s="34">
        <v>40603</v>
      </c>
      <c r="L58" s="1">
        <v>1771.8</v>
      </c>
      <c r="M58" s="34">
        <v>40603</v>
      </c>
      <c r="N58" s="1">
        <v>336.3</v>
      </c>
    </row>
    <row r="59" spans="1:14" x14ac:dyDescent="0.25">
      <c r="A59" s="34">
        <v>40634</v>
      </c>
      <c r="B59" s="1">
        <v>1786.7</v>
      </c>
      <c r="C59" s="34">
        <v>40634</v>
      </c>
      <c r="D59" s="1">
        <v>593</v>
      </c>
      <c r="E59" s="34">
        <v>40634</v>
      </c>
      <c r="F59" s="1">
        <v>9.6999999999999993</v>
      </c>
      <c r="G59" s="34">
        <v>40634</v>
      </c>
      <c r="H59" s="1">
        <v>0.72</v>
      </c>
      <c r="I59" s="34">
        <v>40634</v>
      </c>
      <c r="J59" s="1">
        <v>136.83000000000001</v>
      </c>
      <c r="K59" s="34">
        <v>40634</v>
      </c>
      <c r="L59" s="1">
        <v>1792.9</v>
      </c>
      <c r="M59" s="34">
        <v>40634</v>
      </c>
      <c r="N59" s="1">
        <v>338.1</v>
      </c>
    </row>
    <row r="60" spans="1:14" x14ac:dyDescent="0.25">
      <c r="A60" s="34">
        <v>40664</v>
      </c>
      <c r="B60" s="1">
        <v>1785.9</v>
      </c>
      <c r="C60" s="34">
        <v>40664</v>
      </c>
      <c r="D60" s="1">
        <v>489</v>
      </c>
      <c r="E60" s="34">
        <v>40664</v>
      </c>
      <c r="F60" s="1">
        <v>9.6</v>
      </c>
      <c r="G60" s="34">
        <v>40664</v>
      </c>
      <c r="H60" s="1">
        <v>1.1499999999999999</v>
      </c>
      <c r="I60" s="34">
        <v>40664</v>
      </c>
      <c r="J60" s="1">
        <v>137.03</v>
      </c>
      <c r="K60" s="34">
        <v>40664</v>
      </c>
      <c r="L60" s="1">
        <v>1796.8</v>
      </c>
      <c r="M60" s="34">
        <v>40664</v>
      </c>
      <c r="N60" s="1">
        <v>338.1</v>
      </c>
    </row>
    <row r="61" spans="1:14" x14ac:dyDescent="0.25">
      <c r="A61" s="34">
        <v>40695</v>
      </c>
      <c r="B61" s="1">
        <v>1788.3</v>
      </c>
      <c r="C61" s="34">
        <v>40695</v>
      </c>
      <c r="D61" s="1">
        <v>703</v>
      </c>
      <c r="E61" s="34">
        <v>40695</v>
      </c>
      <c r="F61" s="1">
        <v>9.6999999999999993</v>
      </c>
      <c r="G61" s="34">
        <v>40695</v>
      </c>
      <c r="H61" s="1">
        <v>1.38</v>
      </c>
      <c r="I61" s="34">
        <v>40695</v>
      </c>
      <c r="J61" s="1">
        <v>137.25</v>
      </c>
      <c r="K61" s="34">
        <v>40695</v>
      </c>
      <c r="L61" s="1">
        <v>1801.7</v>
      </c>
      <c r="M61" s="34">
        <v>40695</v>
      </c>
      <c r="N61" s="1">
        <v>334.1</v>
      </c>
    </row>
    <row r="62" spans="1:14" x14ac:dyDescent="0.25">
      <c r="A62" s="34">
        <v>40725</v>
      </c>
      <c r="B62" s="1">
        <v>1794.7</v>
      </c>
      <c r="C62" s="34">
        <v>40725</v>
      </c>
      <c r="D62" s="1">
        <v>466</v>
      </c>
      <c r="E62" s="34">
        <v>40725</v>
      </c>
      <c r="F62" s="1">
        <v>9.6</v>
      </c>
      <c r="G62" s="34">
        <v>40725</v>
      </c>
      <c r="H62" s="1">
        <v>2.14</v>
      </c>
      <c r="I62" s="34">
        <v>40725</v>
      </c>
      <c r="J62" s="1">
        <v>137.54</v>
      </c>
      <c r="K62" s="34">
        <v>40725</v>
      </c>
      <c r="L62" s="1">
        <v>1783.8</v>
      </c>
      <c r="M62" s="34">
        <v>40725</v>
      </c>
      <c r="N62" s="1">
        <v>321.8</v>
      </c>
    </row>
    <row r="63" spans="1:14" x14ac:dyDescent="0.25">
      <c r="A63" s="34">
        <v>40756</v>
      </c>
      <c r="B63" s="1">
        <v>1798.4</v>
      </c>
      <c r="C63" s="34">
        <v>40756</v>
      </c>
      <c r="D63" s="1">
        <v>687</v>
      </c>
      <c r="E63" s="34">
        <v>40756</v>
      </c>
      <c r="F63" s="1">
        <v>9.6</v>
      </c>
      <c r="G63" s="34">
        <v>40756</v>
      </c>
      <c r="H63" s="1">
        <v>2.14</v>
      </c>
      <c r="I63" s="34">
        <v>40756</v>
      </c>
      <c r="J63" s="1">
        <v>137.91</v>
      </c>
      <c r="K63" s="34">
        <v>40756</v>
      </c>
      <c r="L63" s="1">
        <v>1801.8</v>
      </c>
      <c r="M63" s="34">
        <v>40756</v>
      </c>
      <c r="N63" s="1">
        <v>327.8</v>
      </c>
    </row>
    <row r="64" spans="1:14" x14ac:dyDescent="0.25">
      <c r="A64" s="34">
        <v>40787</v>
      </c>
      <c r="B64" s="1">
        <v>1801.6</v>
      </c>
      <c r="C64" s="34">
        <v>40787</v>
      </c>
      <c r="D64" s="1">
        <v>655</v>
      </c>
      <c r="E64" s="34">
        <v>40787</v>
      </c>
      <c r="F64" s="1">
        <v>9.4</v>
      </c>
      <c r="G64" s="34">
        <v>40787</v>
      </c>
      <c r="H64" s="1">
        <v>2.87</v>
      </c>
      <c r="I64" s="34">
        <v>40787</v>
      </c>
      <c r="J64" s="1">
        <v>138.37</v>
      </c>
      <c r="K64" s="34">
        <v>40787</v>
      </c>
      <c r="L64" s="1">
        <v>1810.3</v>
      </c>
      <c r="M64" s="34">
        <v>40787</v>
      </c>
      <c r="N64" s="1">
        <v>336.3</v>
      </c>
    </row>
    <row r="65" spans="1:14" x14ac:dyDescent="0.25">
      <c r="A65" s="34">
        <v>40817</v>
      </c>
      <c r="B65" s="1">
        <v>1800.6</v>
      </c>
      <c r="C65" s="34">
        <v>40817</v>
      </c>
      <c r="D65" s="1">
        <v>639</v>
      </c>
      <c r="E65" s="34">
        <v>40817</v>
      </c>
      <c r="F65" s="1">
        <v>9.1999999999999993</v>
      </c>
      <c r="G65" s="34">
        <v>40817</v>
      </c>
      <c r="H65" s="1">
        <v>2.31</v>
      </c>
      <c r="I65" s="34">
        <v>40817</v>
      </c>
      <c r="J65" s="1">
        <v>138.9</v>
      </c>
      <c r="K65" s="34">
        <v>40817</v>
      </c>
      <c r="L65" s="1">
        <v>1810.6</v>
      </c>
      <c r="M65" s="34">
        <v>40817</v>
      </c>
      <c r="N65" s="1">
        <v>338.2</v>
      </c>
    </row>
    <row r="66" spans="1:14" x14ac:dyDescent="0.25">
      <c r="A66" s="34">
        <v>40848</v>
      </c>
      <c r="B66" s="1">
        <v>1805.2</v>
      </c>
      <c r="C66" s="34">
        <v>40848</v>
      </c>
      <c r="D66" s="1">
        <v>595</v>
      </c>
      <c r="E66" s="34">
        <v>40848</v>
      </c>
      <c r="F66" s="1">
        <v>9</v>
      </c>
      <c r="G66" s="34">
        <v>40848</v>
      </c>
      <c r="H66" s="1">
        <v>2.67</v>
      </c>
      <c r="I66" s="34">
        <v>40848</v>
      </c>
      <c r="J66" s="1">
        <v>139.47999999999999</v>
      </c>
      <c r="K66" s="34">
        <v>40848</v>
      </c>
      <c r="L66" s="1">
        <v>1824.1</v>
      </c>
      <c r="M66" s="34">
        <v>40848</v>
      </c>
      <c r="N66" s="1">
        <v>340</v>
      </c>
    </row>
    <row r="67" spans="1:14" x14ac:dyDescent="0.25">
      <c r="A67" s="34">
        <v>40878</v>
      </c>
      <c r="B67" s="1">
        <v>1807.7</v>
      </c>
      <c r="C67" s="34">
        <v>40878</v>
      </c>
      <c r="D67" s="1">
        <v>428</v>
      </c>
      <c r="E67" s="34">
        <v>40878</v>
      </c>
      <c r="F67" s="1">
        <v>8.6999999999999993</v>
      </c>
      <c r="G67" s="34">
        <v>40878</v>
      </c>
      <c r="H67" s="1">
        <v>2.41</v>
      </c>
      <c r="I67" s="34">
        <v>40878</v>
      </c>
      <c r="J67" s="1">
        <v>140.09</v>
      </c>
      <c r="K67" s="34">
        <v>40878</v>
      </c>
      <c r="L67" s="1">
        <v>1824.5</v>
      </c>
      <c r="M67" s="34">
        <v>40878</v>
      </c>
      <c r="N67" s="1">
        <v>340.4</v>
      </c>
    </row>
    <row r="68" spans="1:14" x14ac:dyDescent="0.25">
      <c r="A68" s="34">
        <v>40909</v>
      </c>
      <c r="B68" s="1">
        <v>1813.2</v>
      </c>
      <c r="C68" s="34">
        <v>40909</v>
      </c>
      <c r="D68" s="1">
        <v>436</v>
      </c>
      <c r="E68" s="34">
        <v>40909</v>
      </c>
      <c r="F68" s="1">
        <v>8.5</v>
      </c>
      <c r="G68" s="34">
        <v>40909</v>
      </c>
      <c r="H68" s="1">
        <v>1.56</v>
      </c>
      <c r="I68" s="34">
        <v>40909</v>
      </c>
      <c r="J68" s="1">
        <v>140.66</v>
      </c>
      <c r="K68" s="34">
        <v>40909</v>
      </c>
      <c r="L68" s="1">
        <v>1782.2</v>
      </c>
      <c r="M68" s="34">
        <v>40909</v>
      </c>
      <c r="N68" s="1">
        <v>336</v>
      </c>
    </row>
    <row r="69" spans="1:14" x14ac:dyDescent="0.25">
      <c r="A69" s="34">
        <v>40940</v>
      </c>
      <c r="B69" s="1">
        <v>1816.1</v>
      </c>
      <c r="C69" s="34">
        <v>40940</v>
      </c>
      <c r="D69" s="1">
        <v>542</v>
      </c>
      <c r="E69" s="34">
        <v>40940</v>
      </c>
      <c r="F69" s="1">
        <v>8.3000000000000007</v>
      </c>
      <c r="G69" s="34">
        <v>40940</v>
      </c>
      <c r="H69" s="1">
        <v>1.1399999999999999</v>
      </c>
      <c r="I69" s="34">
        <v>40940</v>
      </c>
      <c r="J69" s="1">
        <v>141.13</v>
      </c>
      <c r="K69" s="34">
        <v>40940</v>
      </c>
      <c r="L69" s="1">
        <v>1786.6</v>
      </c>
      <c r="M69" s="34">
        <v>40940</v>
      </c>
      <c r="N69" s="1">
        <v>340.5</v>
      </c>
    </row>
    <row r="70" spans="1:14" x14ac:dyDescent="0.25">
      <c r="A70" s="34">
        <v>40969</v>
      </c>
      <c r="B70" s="1">
        <v>1819.1</v>
      </c>
      <c r="C70" s="34">
        <v>40969</v>
      </c>
      <c r="D70" s="1">
        <v>882</v>
      </c>
      <c r="E70" s="34">
        <v>40969</v>
      </c>
      <c r="F70" s="1">
        <v>8.1999999999999993</v>
      </c>
      <c r="G70" s="34">
        <v>40969</v>
      </c>
      <c r="H70" s="1">
        <v>0.37</v>
      </c>
      <c r="I70" s="34">
        <v>40969</v>
      </c>
      <c r="J70" s="1">
        <v>141.47</v>
      </c>
      <c r="K70" s="34">
        <v>40969</v>
      </c>
      <c r="L70" s="1">
        <v>1804.3</v>
      </c>
      <c r="M70" s="34">
        <v>40969</v>
      </c>
      <c r="N70" s="1">
        <v>342.6</v>
      </c>
    </row>
    <row r="71" spans="1:14" x14ac:dyDescent="0.25">
      <c r="A71" s="34">
        <v>41000</v>
      </c>
      <c r="B71" s="1">
        <v>1819.4</v>
      </c>
      <c r="C71" s="34">
        <v>41000</v>
      </c>
      <c r="D71" s="1">
        <v>518</v>
      </c>
      <c r="E71" s="34">
        <v>41000</v>
      </c>
      <c r="F71" s="1">
        <v>8.1999999999999993</v>
      </c>
      <c r="G71" s="34">
        <v>41000</v>
      </c>
      <c r="H71" s="1">
        <v>0.04</v>
      </c>
      <c r="I71" s="34">
        <v>41000</v>
      </c>
      <c r="J71" s="1">
        <v>141.63</v>
      </c>
      <c r="K71" s="34">
        <v>41000</v>
      </c>
      <c r="L71" s="1">
        <v>1819.5</v>
      </c>
      <c r="M71" s="34">
        <v>41000</v>
      </c>
      <c r="N71" s="1">
        <v>344.4</v>
      </c>
    </row>
    <row r="72" spans="1:14" x14ac:dyDescent="0.25">
      <c r="A72" s="34">
        <v>41030</v>
      </c>
      <c r="B72" s="1">
        <v>1820.9</v>
      </c>
      <c r="C72" s="34">
        <v>41030</v>
      </c>
      <c r="D72" s="1">
        <v>673</v>
      </c>
      <c r="E72" s="34">
        <v>41030</v>
      </c>
      <c r="F72" s="1">
        <v>8.3000000000000007</v>
      </c>
      <c r="G72" s="34">
        <v>41030</v>
      </c>
      <c r="H72" s="1">
        <v>0.42</v>
      </c>
      <c r="I72" s="34">
        <v>41030</v>
      </c>
      <c r="J72" s="1">
        <v>141.69</v>
      </c>
      <c r="K72" s="34">
        <v>41030</v>
      </c>
      <c r="L72" s="1">
        <v>1831.9</v>
      </c>
      <c r="M72" s="34">
        <v>41030</v>
      </c>
      <c r="N72" s="1">
        <v>343.4</v>
      </c>
    </row>
    <row r="73" spans="1:14" x14ac:dyDescent="0.25">
      <c r="A73" s="34">
        <v>41061</v>
      </c>
      <c r="B73" s="1">
        <v>1821.6</v>
      </c>
      <c r="C73" s="34">
        <v>41061</v>
      </c>
      <c r="D73" s="1">
        <v>902</v>
      </c>
      <c r="E73" s="34">
        <v>41061</v>
      </c>
      <c r="F73" s="1">
        <v>8.4</v>
      </c>
      <c r="G73" s="34">
        <v>41061</v>
      </c>
      <c r="H73" s="1">
        <v>0.89</v>
      </c>
      <c r="I73" s="34">
        <v>41061</v>
      </c>
      <c r="J73" s="1">
        <v>141.71</v>
      </c>
      <c r="K73" s="34">
        <v>41061</v>
      </c>
      <c r="L73" s="1">
        <v>1835.4</v>
      </c>
      <c r="M73" s="34">
        <v>41061</v>
      </c>
      <c r="N73" s="1">
        <v>337.6</v>
      </c>
    </row>
    <row r="74" spans="1:14" x14ac:dyDescent="0.25">
      <c r="A74" s="34">
        <v>41091</v>
      </c>
      <c r="B74" s="1">
        <v>1823.9</v>
      </c>
      <c r="C74" s="34">
        <v>41091</v>
      </c>
      <c r="D74" s="1">
        <v>653</v>
      </c>
      <c r="E74" s="34">
        <v>41091</v>
      </c>
      <c r="F74" s="1">
        <v>8.4</v>
      </c>
      <c r="G74" s="34">
        <v>41091</v>
      </c>
      <c r="H74" s="1">
        <v>1.0900000000000001</v>
      </c>
      <c r="I74" s="34">
        <v>41091</v>
      </c>
      <c r="J74" s="1">
        <v>141.77000000000001</v>
      </c>
      <c r="K74" s="34">
        <v>41091</v>
      </c>
      <c r="L74" s="1">
        <v>1811.8</v>
      </c>
      <c r="M74" s="34">
        <v>41091</v>
      </c>
      <c r="N74" s="1">
        <v>322.8</v>
      </c>
    </row>
    <row r="75" spans="1:14" x14ac:dyDescent="0.25">
      <c r="A75" s="34">
        <v>41122</v>
      </c>
      <c r="B75" s="1">
        <v>1821</v>
      </c>
      <c r="C75" s="34">
        <v>41122</v>
      </c>
      <c r="D75" s="1">
        <v>857</v>
      </c>
      <c r="E75" s="34">
        <v>41122</v>
      </c>
      <c r="F75" s="1">
        <v>8.4</v>
      </c>
      <c r="G75" s="34">
        <v>41122</v>
      </c>
      <c r="H75" s="1">
        <v>1.18</v>
      </c>
      <c r="I75" s="34">
        <v>41122</v>
      </c>
      <c r="J75" s="1">
        <v>141.91</v>
      </c>
      <c r="K75" s="34">
        <v>41122</v>
      </c>
      <c r="L75" s="1">
        <v>1823.5</v>
      </c>
      <c r="M75" s="34">
        <v>41122</v>
      </c>
      <c r="N75" s="1">
        <v>327.9</v>
      </c>
    </row>
    <row r="76" spans="1:14" x14ac:dyDescent="0.25">
      <c r="A76" s="34">
        <v>41153</v>
      </c>
      <c r="B76" s="1">
        <v>1823</v>
      </c>
      <c r="C76" s="34">
        <v>41153</v>
      </c>
      <c r="D76" s="1">
        <v>1014</v>
      </c>
      <c r="E76" s="34">
        <v>41153</v>
      </c>
      <c r="F76" s="1">
        <v>8.3000000000000007</v>
      </c>
      <c r="G76" s="34">
        <v>41153</v>
      </c>
      <c r="H76" s="1">
        <v>1.38</v>
      </c>
      <c r="I76" s="34">
        <v>41153</v>
      </c>
      <c r="J76" s="1">
        <v>142.12</v>
      </c>
      <c r="K76" s="34">
        <v>41153</v>
      </c>
      <c r="L76" s="1">
        <v>1829.5</v>
      </c>
      <c r="M76" s="34">
        <v>41153</v>
      </c>
      <c r="N76" s="1">
        <v>337</v>
      </c>
    </row>
    <row r="77" spans="1:14" x14ac:dyDescent="0.25">
      <c r="A77" s="34">
        <v>41183</v>
      </c>
      <c r="B77" s="1">
        <v>1824.4</v>
      </c>
      <c r="C77" s="34">
        <v>41183</v>
      </c>
      <c r="D77" s="1">
        <v>684</v>
      </c>
      <c r="E77" s="34">
        <v>41183</v>
      </c>
      <c r="F77" s="1">
        <v>8.3000000000000007</v>
      </c>
      <c r="G77" s="34">
        <v>41183</v>
      </c>
      <c r="H77" s="1">
        <v>1.01</v>
      </c>
      <c r="I77" s="34">
        <v>41183</v>
      </c>
      <c r="J77" s="1">
        <v>142.38</v>
      </c>
      <c r="K77" s="34">
        <v>41183</v>
      </c>
      <c r="L77" s="1">
        <v>1833.9</v>
      </c>
      <c r="M77" s="34">
        <v>41183</v>
      </c>
      <c r="N77" s="1">
        <v>339.5</v>
      </c>
    </row>
    <row r="78" spans="1:14" x14ac:dyDescent="0.25">
      <c r="A78" s="34">
        <v>41214</v>
      </c>
      <c r="B78" s="1">
        <v>1828.1</v>
      </c>
      <c r="C78" s="34">
        <v>41214</v>
      </c>
      <c r="D78" s="1">
        <v>523</v>
      </c>
      <c r="E78" s="34">
        <v>41214</v>
      </c>
      <c r="F78" s="1">
        <v>8.1999999999999993</v>
      </c>
      <c r="G78" s="34">
        <v>41214</v>
      </c>
      <c r="H78" s="1">
        <v>1.31</v>
      </c>
      <c r="I78" s="34">
        <v>41214</v>
      </c>
      <c r="J78" s="1">
        <v>142.66999999999999</v>
      </c>
      <c r="K78" s="34">
        <v>41214</v>
      </c>
      <c r="L78" s="1">
        <v>1848</v>
      </c>
      <c r="M78" s="34">
        <v>41214</v>
      </c>
      <c r="N78" s="1">
        <v>340.7</v>
      </c>
    </row>
    <row r="79" spans="1:14" x14ac:dyDescent="0.25">
      <c r="A79" s="34">
        <v>41244</v>
      </c>
      <c r="B79" s="1">
        <v>1828.8</v>
      </c>
      <c r="C79" s="34">
        <v>41244</v>
      </c>
      <c r="D79" s="1">
        <v>368</v>
      </c>
      <c r="E79" s="34">
        <v>41244</v>
      </c>
      <c r="F79" s="1">
        <v>8.1999999999999993</v>
      </c>
      <c r="G79" s="34">
        <v>41244</v>
      </c>
      <c r="H79" s="1">
        <v>0.76</v>
      </c>
      <c r="I79" s="34">
        <v>41244</v>
      </c>
      <c r="J79" s="1">
        <v>142.94</v>
      </c>
      <c r="K79" s="34">
        <v>41244</v>
      </c>
      <c r="L79" s="1">
        <v>1849.5</v>
      </c>
      <c r="M79" s="34">
        <v>41244</v>
      </c>
      <c r="N79" s="1">
        <v>340.5</v>
      </c>
    </row>
    <row r="80" spans="1:14" x14ac:dyDescent="0.25">
      <c r="A80" s="34">
        <v>41275</v>
      </c>
      <c r="B80" s="1">
        <v>1832.6</v>
      </c>
      <c r="C80" s="34">
        <v>41275</v>
      </c>
      <c r="D80" s="1">
        <v>515</v>
      </c>
      <c r="E80" s="34">
        <v>41275</v>
      </c>
      <c r="F80" s="1">
        <v>8.1999999999999993</v>
      </c>
      <c r="G80" s="34">
        <v>41275</v>
      </c>
      <c r="H80" s="1">
        <v>0.7</v>
      </c>
      <c r="I80" s="34">
        <v>41275</v>
      </c>
      <c r="J80" s="1">
        <v>143.16</v>
      </c>
      <c r="K80" s="34">
        <v>41275</v>
      </c>
      <c r="L80" s="1">
        <v>1801.3</v>
      </c>
      <c r="M80" s="34">
        <v>41275</v>
      </c>
      <c r="N80" s="1">
        <v>334.8</v>
      </c>
    </row>
    <row r="81" spans="1:14" x14ac:dyDescent="0.25">
      <c r="A81" s="34">
        <v>41306</v>
      </c>
      <c r="B81" s="1">
        <v>1834.2</v>
      </c>
      <c r="C81" s="34">
        <v>41306</v>
      </c>
      <c r="D81" s="1">
        <v>594</v>
      </c>
      <c r="E81" s="34">
        <v>41306</v>
      </c>
      <c r="F81" s="1">
        <v>8.1999999999999993</v>
      </c>
      <c r="G81" s="34">
        <v>41306</v>
      </c>
      <c r="H81" s="1">
        <v>0.3</v>
      </c>
      <c r="I81" s="34">
        <v>41306</v>
      </c>
      <c r="J81" s="1">
        <v>143.33000000000001</v>
      </c>
      <c r="K81" s="34">
        <v>41306</v>
      </c>
      <c r="L81" s="1">
        <v>1804.9</v>
      </c>
      <c r="M81" s="34">
        <v>41306</v>
      </c>
      <c r="N81" s="1">
        <v>339.8</v>
      </c>
    </row>
    <row r="82" spans="1:14" x14ac:dyDescent="0.25">
      <c r="A82" s="34">
        <v>41334</v>
      </c>
      <c r="B82" s="1">
        <v>1834</v>
      </c>
      <c r="C82" s="34">
        <v>41334</v>
      </c>
      <c r="D82" s="1">
        <v>749</v>
      </c>
      <c r="E82" s="34">
        <v>41334</v>
      </c>
      <c r="F82" s="1">
        <v>8.3000000000000007</v>
      </c>
      <c r="G82" s="34">
        <v>41334</v>
      </c>
      <c r="H82" s="1">
        <v>0.18</v>
      </c>
      <c r="I82" s="34">
        <v>41334</v>
      </c>
      <c r="J82" s="1">
        <v>143.41999999999999</v>
      </c>
      <c r="K82" s="34">
        <v>41334</v>
      </c>
      <c r="L82" s="1">
        <v>1819.6</v>
      </c>
      <c r="M82" s="34">
        <v>41334</v>
      </c>
      <c r="N82" s="1">
        <v>341.3</v>
      </c>
    </row>
    <row r="83" spans="1:14" x14ac:dyDescent="0.25">
      <c r="A83" s="34">
        <v>41365</v>
      </c>
      <c r="B83" s="1">
        <v>1834.9</v>
      </c>
      <c r="C83" s="34">
        <v>41365</v>
      </c>
      <c r="D83" s="1">
        <v>860</v>
      </c>
      <c r="E83" s="34">
        <v>41365</v>
      </c>
      <c r="F83" s="1">
        <v>8.3000000000000007</v>
      </c>
      <c r="G83" s="34">
        <v>41365</v>
      </c>
      <c r="H83" s="1">
        <v>0.77</v>
      </c>
      <c r="I83" s="34">
        <v>41365</v>
      </c>
      <c r="J83" s="1">
        <v>143.49</v>
      </c>
      <c r="K83" s="34">
        <v>41365</v>
      </c>
      <c r="L83" s="1">
        <v>1835.2</v>
      </c>
      <c r="M83" s="34">
        <v>41365</v>
      </c>
      <c r="N83" s="1">
        <v>341.2</v>
      </c>
    </row>
    <row r="84" spans="1:14" x14ac:dyDescent="0.25">
      <c r="A84" s="34">
        <v>41395</v>
      </c>
      <c r="B84" s="1">
        <v>1833.1</v>
      </c>
      <c r="C84" s="34">
        <v>41395</v>
      </c>
      <c r="D84" s="1">
        <v>1406</v>
      </c>
      <c r="E84" s="34">
        <v>41395</v>
      </c>
      <c r="F84" s="1">
        <v>8.3000000000000007</v>
      </c>
      <c r="G84" s="34">
        <v>41395</v>
      </c>
      <c r="H84" s="1">
        <v>0.39</v>
      </c>
      <c r="I84" s="34">
        <v>41395</v>
      </c>
      <c r="J84" s="1">
        <v>143.54</v>
      </c>
      <c r="K84" s="34">
        <v>41395</v>
      </c>
      <c r="L84" s="1">
        <v>1847.5</v>
      </c>
      <c r="M84" s="34">
        <v>41395</v>
      </c>
      <c r="N84" s="1">
        <v>341.5</v>
      </c>
    </row>
    <row r="85" spans="1:14" x14ac:dyDescent="0.25">
      <c r="A85" s="34">
        <v>41426</v>
      </c>
      <c r="B85" s="1">
        <v>1833</v>
      </c>
      <c r="C85" s="34">
        <v>41426</v>
      </c>
      <c r="D85" s="1">
        <v>928</v>
      </c>
      <c r="E85" s="34">
        <v>41426</v>
      </c>
      <c r="F85" s="1">
        <v>8.4</v>
      </c>
      <c r="G85" s="34">
        <v>41426</v>
      </c>
      <c r="H85" s="1">
        <v>0.33</v>
      </c>
      <c r="I85" s="34">
        <v>41426</v>
      </c>
      <c r="J85" s="1">
        <v>143.58000000000001</v>
      </c>
      <c r="K85" s="34">
        <v>41426</v>
      </c>
      <c r="L85" s="1">
        <v>1844.2</v>
      </c>
      <c r="M85" s="34">
        <v>41426</v>
      </c>
      <c r="N85" s="1">
        <v>335.7</v>
      </c>
    </row>
    <row r="86" spans="1:14" x14ac:dyDescent="0.25">
      <c r="A86" s="34">
        <v>41456</v>
      </c>
      <c r="B86" s="1">
        <v>1837.4</v>
      </c>
      <c r="C86" s="34">
        <v>41456</v>
      </c>
      <c r="D86" s="1">
        <v>783</v>
      </c>
      <c r="E86" s="34">
        <v>41456</v>
      </c>
      <c r="F86" s="1">
        <v>8.4</v>
      </c>
      <c r="G86" s="34">
        <v>41456</v>
      </c>
      <c r="H86" s="1">
        <v>1.26</v>
      </c>
      <c r="I86" s="34">
        <v>41456</v>
      </c>
      <c r="J86" s="1">
        <v>143.65</v>
      </c>
      <c r="K86" s="34">
        <v>41456</v>
      </c>
      <c r="L86" s="1">
        <v>1825</v>
      </c>
      <c r="M86" s="34">
        <v>41456</v>
      </c>
      <c r="N86" s="1">
        <v>323.10000000000002</v>
      </c>
    </row>
    <row r="87" spans="1:14" x14ac:dyDescent="0.25">
      <c r="A87" s="34">
        <v>41487</v>
      </c>
      <c r="B87" s="1">
        <v>1841.8</v>
      </c>
      <c r="C87" s="34">
        <v>41487</v>
      </c>
      <c r="D87" s="1">
        <v>763</v>
      </c>
      <c r="E87" s="34">
        <v>41487</v>
      </c>
      <c r="F87" s="1">
        <v>8.4</v>
      </c>
      <c r="G87" s="34">
        <v>41487</v>
      </c>
      <c r="H87" s="1">
        <v>1.02</v>
      </c>
      <c r="I87" s="34">
        <v>41487</v>
      </c>
      <c r="J87" s="1">
        <v>143.78</v>
      </c>
      <c r="K87" s="34">
        <v>41487</v>
      </c>
      <c r="L87" s="1">
        <v>1844.5</v>
      </c>
      <c r="M87" s="34">
        <v>41487</v>
      </c>
      <c r="N87" s="1">
        <v>329.5</v>
      </c>
    </row>
    <row r="88" spans="1:14" x14ac:dyDescent="0.25">
      <c r="A88" s="34">
        <v>41518</v>
      </c>
      <c r="B88" s="1">
        <v>1842.8</v>
      </c>
      <c r="C88" s="34">
        <v>41518</v>
      </c>
      <c r="D88" s="1">
        <v>811</v>
      </c>
      <c r="E88" s="34">
        <v>41518</v>
      </c>
      <c r="F88" s="1">
        <v>8.3000000000000007</v>
      </c>
      <c r="G88" s="34">
        <v>41518</v>
      </c>
      <c r="H88" s="1">
        <v>1.08</v>
      </c>
      <c r="I88" s="34">
        <v>41518</v>
      </c>
      <c r="J88" s="1">
        <v>143.96</v>
      </c>
      <c r="K88" s="34">
        <v>41518</v>
      </c>
      <c r="L88" s="1">
        <v>1848.7</v>
      </c>
      <c r="M88" s="34">
        <v>41518</v>
      </c>
      <c r="N88" s="1">
        <v>337.2</v>
      </c>
    </row>
    <row r="89" spans="1:14" x14ac:dyDescent="0.25">
      <c r="A89" s="34">
        <v>41548</v>
      </c>
      <c r="B89" s="1">
        <v>1835.3</v>
      </c>
      <c r="C89" s="34">
        <v>41548</v>
      </c>
      <c r="D89" s="1">
        <v>736</v>
      </c>
      <c r="E89" s="34">
        <v>41548</v>
      </c>
      <c r="F89" s="1">
        <v>8.1999999999999993</v>
      </c>
      <c r="G89" s="34">
        <v>41548</v>
      </c>
      <c r="H89" s="1">
        <v>1.34</v>
      </c>
      <c r="I89" s="34">
        <v>41548</v>
      </c>
      <c r="J89" s="1">
        <v>144.19</v>
      </c>
      <c r="K89" s="34">
        <v>41548</v>
      </c>
      <c r="L89" s="1">
        <v>1841.9</v>
      </c>
      <c r="M89" s="34">
        <v>41548</v>
      </c>
      <c r="N89" s="1">
        <v>339.3</v>
      </c>
    </row>
    <row r="90" spans="1:14" x14ac:dyDescent="0.25">
      <c r="A90" s="34">
        <v>41579</v>
      </c>
      <c r="B90" s="1">
        <v>1839.9</v>
      </c>
      <c r="C90" s="34">
        <v>41579</v>
      </c>
      <c r="D90" s="1">
        <v>672</v>
      </c>
      <c r="E90" s="34">
        <v>41579</v>
      </c>
      <c r="F90" s="1">
        <v>8.1</v>
      </c>
      <c r="G90" s="34">
        <v>41579</v>
      </c>
      <c r="H90" s="1">
        <v>1.54</v>
      </c>
      <c r="I90" s="34">
        <v>41579</v>
      </c>
      <c r="J90" s="1">
        <v>144.47</v>
      </c>
      <c r="K90" s="34">
        <v>41579</v>
      </c>
      <c r="L90" s="1">
        <v>1850.8</v>
      </c>
      <c r="M90" s="34">
        <v>41579</v>
      </c>
      <c r="N90" s="1">
        <v>341.3</v>
      </c>
    </row>
    <row r="91" spans="1:14" x14ac:dyDescent="0.25">
      <c r="A91" s="34">
        <v>41609</v>
      </c>
      <c r="B91" s="1">
        <v>1845.9</v>
      </c>
      <c r="C91" s="34">
        <v>41609</v>
      </c>
      <c r="D91" s="1">
        <v>793</v>
      </c>
      <c r="E91" s="34">
        <v>41609</v>
      </c>
      <c r="F91" s="1">
        <v>7.9</v>
      </c>
      <c r="G91" s="34">
        <v>41609</v>
      </c>
      <c r="H91" s="1">
        <v>1.52</v>
      </c>
      <c r="I91" s="34">
        <v>41609</v>
      </c>
      <c r="J91" s="1">
        <v>144.80000000000001</v>
      </c>
      <c r="K91" s="34">
        <v>41609</v>
      </c>
      <c r="L91" s="1">
        <v>1856.1</v>
      </c>
      <c r="M91" s="34">
        <v>41609</v>
      </c>
      <c r="N91" s="1">
        <v>341.3</v>
      </c>
    </row>
    <row r="92" spans="1:14" x14ac:dyDescent="0.25">
      <c r="A92" s="34">
        <v>41640</v>
      </c>
      <c r="B92" s="1">
        <v>1828.9</v>
      </c>
      <c r="C92" s="34">
        <v>41640</v>
      </c>
      <c r="D92" s="1">
        <v>939</v>
      </c>
      <c r="E92" s="34">
        <v>41640</v>
      </c>
      <c r="F92" s="1">
        <v>7.7</v>
      </c>
      <c r="G92" s="34">
        <v>41640</v>
      </c>
      <c r="H92" s="1">
        <v>0.59</v>
      </c>
      <c r="I92" s="34">
        <v>41640</v>
      </c>
      <c r="J92" s="1">
        <v>145.11000000000001</v>
      </c>
      <c r="K92" s="34">
        <v>41640</v>
      </c>
      <c r="L92" s="1">
        <v>1804.4</v>
      </c>
      <c r="M92" s="34">
        <v>41640</v>
      </c>
      <c r="N92" s="1">
        <v>336.1</v>
      </c>
    </row>
    <row r="93" spans="1:14" x14ac:dyDescent="0.25">
      <c r="A93" s="34">
        <v>41671</v>
      </c>
      <c r="B93" s="1">
        <v>1831.9</v>
      </c>
      <c r="C93" s="34">
        <v>41671</v>
      </c>
      <c r="D93" s="1">
        <v>633</v>
      </c>
      <c r="E93" s="34">
        <v>41671</v>
      </c>
      <c r="F93" s="1">
        <v>7.8</v>
      </c>
      <c r="G93" s="34">
        <v>41671</v>
      </c>
      <c r="H93" s="1">
        <v>0.45</v>
      </c>
      <c r="I93" s="34">
        <v>41671</v>
      </c>
      <c r="J93" s="1">
        <v>145.34</v>
      </c>
      <c r="K93" s="34">
        <v>41671</v>
      </c>
      <c r="L93" s="1">
        <v>1805</v>
      </c>
      <c r="M93" s="34">
        <v>41671</v>
      </c>
      <c r="N93" s="1">
        <v>340.4</v>
      </c>
    </row>
    <row r="94" spans="1:14" x14ac:dyDescent="0.25">
      <c r="A94" s="34">
        <v>41699</v>
      </c>
      <c r="B94" s="1">
        <v>1833.3</v>
      </c>
      <c r="C94" s="34">
        <v>41699</v>
      </c>
      <c r="D94" s="1">
        <v>871</v>
      </c>
      <c r="E94" s="34">
        <v>41699</v>
      </c>
      <c r="F94" s="1">
        <v>7.9</v>
      </c>
      <c r="G94" s="34">
        <v>41699</v>
      </c>
      <c r="H94" s="1">
        <v>2.44</v>
      </c>
      <c r="I94" s="34">
        <v>41699</v>
      </c>
      <c r="J94" s="1">
        <v>145.62</v>
      </c>
      <c r="K94" s="34">
        <v>41699</v>
      </c>
      <c r="L94" s="1">
        <v>1823.1</v>
      </c>
      <c r="M94" s="34">
        <v>41699</v>
      </c>
      <c r="N94" s="1">
        <v>342.4</v>
      </c>
    </row>
    <row r="95" spans="1:14" x14ac:dyDescent="0.25">
      <c r="A95" s="34">
        <v>41730</v>
      </c>
      <c r="B95" s="1">
        <v>1840.6</v>
      </c>
      <c r="C95" s="34">
        <v>41730</v>
      </c>
      <c r="D95" s="1">
        <v>803</v>
      </c>
      <c r="E95" s="34">
        <v>41730</v>
      </c>
      <c r="F95" s="1">
        <v>7.7</v>
      </c>
      <c r="G95" s="34">
        <v>41730</v>
      </c>
      <c r="H95" s="1">
        <v>3.08</v>
      </c>
      <c r="I95" s="34">
        <v>41730</v>
      </c>
      <c r="J95" s="1">
        <v>146.03</v>
      </c>
      <c r="K95" s="34">
        <v>41730</v>
      </c>
      <c r="L95" s="1">
        <v>1845.6</v>
      </c>
      <c r="M95" s="34">
        <v>41730</v>
      </c>
      <c r="N95" s="1">
        <v>342.9</v>
      </c>
    </row>
    <row r="96" spans="1:14" x14ac:dyDescent="0.25">
      <c r="A96" s="34">
        <v>41760</v>
      </c>
      <c r="B96" s="1">
        <v>1849.4</v>
      </c>
      <c r="C96" s="34">
        <v>41760</v>
      </c>
      <c r="D96" s="1">
        <v>760</v>
      </c>
      <c r="E96" s="34">
        <v>41760</v>
      </c>
      <c r="F96" s="1">
        <v>7.7</v>
      </c>
      <c r="G96" s="34">
        <v>41760</v>
      </c>
      <c r="H96" s="1">
        <v>2.02</v>
      </c>
      <c r="I96" s="34">
        <v>41760</v>
      </c>
      <c r="J96" s="1">
        <v>146.54</v>
      </c>
      <c r="K96" s="34">
        <v>41760</v>
      </c>
      <c r="L96" s="1">
        <v>1862</v>
      </c>
      <c r="M96" s="34">
        <v>41760</v>
      </c>
      <c r="N96" s="1">
        <v>343.5</v>
      </c>
    </row>
    <row r="97" spans="1:14" x14ac:dyDescent="0.25">
      <c r="A97" s="34">
        <v>41791</v>
      </c>
      <c r="B97" s="1">
        <v>1852.1</v>
      </c>
      <c r="C97" s="34">
        <v>41791</v>
      </c>
      <c r="D97" s="1">
        <v>892</v>
      </c>
      <c r="E97" s="34">
        <v>41791</v>
      </c>
      <c r="F97" s="1">
        <v>7.4</v>
      </c>
      <c r="G97" s="34">
        <v>41791</v>
      </c>
      <c r="H97" s="1">
        <v>2.83</v>
      </c>
      <c r="I97" s="34">
        <v>41791</v>
      </c>
      <c r="J97" s="1">
        <v>147.13999999999999</v>
      </c>
      <c r="K97" s="34">
        <v>41791</v>
      </c>
      <c r="L97" s="1">
        <v>1866.7</v>
      </c>
      <c r="M97" s="34">
        <v>41791</v>
      </c>
      <c r="N97" s="1">
        <v>337.5</v>
      </c>
    </row>
    <row r="98" spans="1:14" x14ac:dyDescent="0.25">
      <c r="A98" s="34">
        <v>41821</v>
      </c>
      <c r="B98" s="1">
        <v>1860.4</v>
      </c>
      <c r="C98" s="34">
        <v>41821</v>
      </c>
      <c r="D98" s="1">
        <v>793</v>
      </c>
      <c r="E98" s="34">
        <v>41821</v>
      </c>
      <c r="F98" s="1">
        <v>7.4</v>
      </c>
      <c r="G98" s="34">
        <v>41821</v>
      </c>
      <c r="H98" s="1">
        <v>2.5499999999999998</v>
      </c>
      <c r="I98" s="34">
        <v>41821</v>
      </c>
      <c r="J98" s="1">
        <v>147.78</v>
      </c>
      <c r="K98" s="34">
        <v>41821</v>
      </c>
      <c r="L98" s="1">
        <v>1856.6</v>
      </c>
      <c r="M98" s="34">
        <v>41821</v>
      </c>
      <c r="N98" s="1">
        <v>324.2</v>
      </c>
    </row>
    <row r="99" spans="1:14" x14ac:dyDescent="0.25">
      <c r="A99" s="34">
        <v>41852</v>
      </c>
      <c r="B99" s="1">
        <v>1862.5</v>
      </c>
      <c r="C99" s="34">
        <v>41852</v>
      </c>
      <c r="D99" s="1">
        <v>692</v>
      </c>
      <c r="E99" s="34">
        <v>41852</v>
      </c>
      <c r="F99" s="1">
        <v>7.1</v>
      </c>
      <c r="G99" s="34">
        <v>41852</v>
      </c>
      <c r="H99" s="1">
        <v>4.5599999999999996</v>
      </c>
      <c r="I99" s="34">
        <v>41852</v>
      </c>
      <c r="J99" s="1">
        <v>148.55000000000001</v>
      </c>
      <c r="K99" s="34">
        <v>41852</v>
      </c>
      <c r="L99" s="1">
        <v>1865.8</v>
      </c>
      <c r="M99" s="34">
        <v>41852</v>
      </c>
      <c r="N99" s="1">
        <v>331</v>
      </c>
    </row>
    <row r="100" spans="1:14" x14ac:dyDescent="0.25">
      <c r="A100" s="34">
        <v>41883</v>
      </c>
      <c r="B100" s="1">
        <v>1862.4</v>
      </c>
      <c r="C100" s="34">
        <v>41883</v>
      </c>
      <c r="D100" s="1">
        <v>787</v>
      </c>
      <c r="E100" s="34">
        <v>41883</v>
      </c>
      <c r="F100" s="1">
        <v>6.7</v>
      </c>
      <c r="G100" s="34">
        <v>41883</v>
      </c>
      <c r="H100" s="1">
        <v>3.98</v>
      </c>
      <c r="I100" s="34">
        <v>41883</v>
      </c>
      <c r="J100" s="1">
        <v>149.44999999999999</v>
      </c>
      <c r="K100" s="34">
        <v>41883</v>
      </c>
      <c r="L100" s="1">
        <v>1867.1</v>
      </c>
      <c r="M100" s="34">
        <v>41883</v>
      </c>
      <c r="N100" s="1">
        <v>338.7</v>
      </c>
    </row>
    <row r="101" spans="1:14" x14ac:dyDescent="0.25">
      <c r="A101" s="34">
        <v>41913</v>
      </c>
      <c r="B101" s="1">
        <v>1873.3</v>
      </c>
      <c r="C101" s="34">
        <v>41913</v>
      </c>
      <c r="D101" s="1">
        <v>676</v>
      </c>
      <c r="E101" s="34">
        <v>41913</v>
      </c>
      <c r="F101" s="1">
        <v>6.2</v>
      </c>
      <c r="G101" s="34">
        <v>41913</v>
      </c>
      <c r="H101" s="1">
        <v>3.07</v>
      </c>
      <c r="I101" s="34">
        <v>41913</v>
      </c>
      <c r="J101" s="1">
        <v>150.4</v>
      </c>
      <c r="K101" s="34">
        <v>41913</v>
      </c>
      <c r="L101" s="1">
        <v>1878.2</v>
      </c>
      <c r="M101" s="34">
        <v>41913</v>
      </c>
      <c r="N101" s="1">
        <v>341.1</v>
      </c>
    </row>
    <row r="102" spans="1:14" x14ac:dyDescent="0.25">
      <c r="A102" s="34">
        <v>41944</v>
      </c>
      <c r="B102" s="1">
        <v>1879.1</v>
      </c>
      <c r="C102" s="34">
        <v>41944</v>
      </c>
      <c r="D102" s="1">
        <v>509</v>
      </c>
      <c r="E102" s="34">
        <v>41944</v>
      </c>
      <c r="F102" s="1">
        <v>6</v>
      </c>
      <c r="G102" s="34">
        <v>41944</v>
      </c>
      <c r="H102" s="1">
        <v>1.71</v>
      </c>
      <c r="I102" s="34">
        <v>41944</v>
      </c>
      <c r="J102" s="1">
        <v>151.24</v>
      </c>
      <c r="K102" s="34">
        <v>41944</v>
      </c>
      <c r="L102" s="1">
        <v>1890.8</v>
      </c>
      <c r="M102" s="34">
        <v>41944</v>
      </c>
      <c r="N102" s="1">
        <v>342.8</v>
      </c>
    </row>
    <row r="103" spans="1:14" x14ac:dyDescent="0.25">
      <c r="A103" s="34">
        <v>41974</v>
      </c>
      <c r="B103" s="1">
        <v>1878.3</v>
      </c>
      <c r="E103" s="34">
        <v>41974</v>
      </c>
      <c r="F103" s="1">
        <v>5.7</v>
      </c>
      <c r="K103" s="34">
        <v>41974</v>
      </c>
      <c r="L103" s="1">
        <v>1888.9</v>
      </c>
      <c r="M103" s="34">
        <v>41974</v>
      </c>
      <c r="N103" s="1">
        <v>342.8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P103"/>
  <sheetViews>
    <sheetView topLeftCell="A77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168</v>
      </c>
      <c r="C1" s="34" t="s">
        <v>169</v>
      </c>
      <c r="E1" s="34" t="s">
        <v>170</v>
      </c>
      <c r="G1" s="34" t="s">
        <v>171</v>
      </c>
      <c r="I1" s="34" t="s">
        <v>172</v>
      </c>
      <c r="K1" s="34" t="str">
        <f>CONCATENATE(LEFT(A1,2), "NAN")</f>
        <v>LANAN</v>
      </c>
      <c r="M1" s="34" t="str">
        <f>CONCATENATE(LEFT(A1,2), "GOVTN")</f>
        <v>LAGOVTN</v>
      </c>
      <c r="O1" s="34" t="str">
        <f>CONCATENATE(LEFT($A$1,2), "RGSP")</f>
        <v>LARGSP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961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880</v>
      </c>
      <c r="C5" s="35" t="s">
        <v>443</v>
      </c>
      <c r="E5" s="35" t="s">
        <v>444</v>
      </c>
      <c r="G5" s="35" t="s">
        <v>445</v>
      </c>
      <c r="I5" s="35" t="s">
        <v>446</v>
      </c>
      <c r="K5" s="35" t="s">
        <v>880</v>
      </c>
      <c r="M5" s="35" t="s">
        <v>881</v>
      </c>
      <c r="O5" s="35" t="s">
        <v>802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1897.8</v>
      </c>
      <c r="C8" s="34">
        <v>39083</v>
      </c>
      <c r="D8" s="1">
        <v>1848</v>
      </c>
      <c r="E8" s="34">
        <v>39083</v>
      </c>
      <c r="F8" s="1">
        <v>3.9</v>
      </c>
      <c r="G8" s="34">
        <v>39083</v>
      </c>
      <c r="H8" s="1">
        <v>1.9</v>
      </c>
      <c r="I8" s="34">
        <v>39083</v>
      </c>
      <c r="J8" s="1">
        <v>128.74</v>
      </c>
      <c r="K8" s="34">
        <v>39083</v>
      </c>
      <c r="L8" s="1">
        <v>1876.5</v>
      </c>
      <c r="M8" s="34">
        <v>39083</v>
      </c>
      <c r="N8" s="1">
        <v>348.7</v>
      </c>
      <c r="O8" s="34">
        <v>39083</v>
      </c>
      <c r="P8" s="1">
        <v>204026</v>
      </c>
    </row>
    <row r="9" spans="1:16" x14ac:dyDescent="0.25">
      <c r="A9" s="34">
        <v>39114</v>
      </c>
      <c r="B9" s="1">
        <v>1903.9</v>
      </c>
      <c r="C9" s="34">
        <v>39114</v>
      </c>
      <c r="D9" s="1">
        <v>1246</v>
      </c>
      <c r="E9" s="34">
        <v>39114</v>
      </c>
      <c r="F9" s="1">
        <v>3.9</v>
      </c>
      <c r="G9" s="34">
        <v>39114</v>
      </c>
      <c r="H9" s="1">
        <v>0.92</v>
      </c>
      <c r="I9" s="34">
        <v>39114</v>
      </c>
      <c r="J9" s="1">
        <v>128.99</v>
      </c>
      <c r="K9" s="34">
        <v>39114</v>
      </c>
      <c r="L9" s="1">
        <v>1895.4</v>
      </c>
      <c r="M9" s="34">
        <v>39114</v>
      </c>
      <c r="N9" s="1">
        <v>357.2</v>
      </c>
      <c r="O9" s="34">
        <v>39448</v>
      </c>
      <c r="P9" s="1">
        <v>204597</v>
      </c>
    </row>
    <row r="10" spans="1:16" x14ac:dyDescent="0.25">
      <c r="A10" s="34">
        <v>39142</v>
      </c>
      <c r="B10" s="1">
        <v>1913.2</v>
      </c>
      <c r="C10" s="34">
        <v>39142</v>
      </c>
      <c r="D10" s="1">
        <v>1857</v>
      </c>
      <c r="E10" s="34">
        <v>39142</v>
      </c>
      <c r="F10" s="1">
        <v>3.9</v>
      </c>
      <c r="G10" s="34">
        <v>39142</v>
      </c>
      <c r="H10" s="1">
        <v>0.89</v>
      </c>
      <c r="I10" s="34">
        <v>39142</v>
      </c>
      <c r="J10" s="1">
        <v>129.30000000000001</v>
      </c>
      <c r="K10" s="34">
        <v>39142</v>
      </c>
      <c r="L10" s="1">
        <v>1915.5</v>
      </c>
      <c r="M10" s="34">
        <v>39142</v>
      </c>
      <c r="N10" s="1">
        <v>359.5</v>
      </c>
      <c r="O10" s="34">
        <v>39814</v>
      </c>
      <c r="P10" s="1">
        <v>209860</v>
      </c>
    </row>
    <row r="11" spans="1:16" x14ac:dyDescent="0.25">
      <c r="A11" s="34">
        <v>39173</v>
      </c>
      <c r="B11" s="1">
        <v>1903.7</v>
      </c>
      <c r="C11" s="34">
        <v>39173</v>
      </c>
      <c r="D11" s="1">
        <v>2009</v>
      </c>
      <c r="E11" s="34">
        <v>39173</v>
      </c>
      <c r="F11" s="1">
        <v>3.9</v>
      </c>
      <c r="G11" s="34">
        <v>39173</v>
      </c>
      <c r="H11" s="1">
        <v>-0.35</v>
      </c>
      <c r="I11" s="34">
        <v>39173</v>
      </c>
      <c r="J11" s="1">
        <v>129.03</v>
      </c>
      <c r="K11" s="34">
        <v>39173</v>
      </c>
      <c r="L11" s="1">
        <v>1904.5</v>
      </c>
      <c r="M11" s="34">
        <v>39173</v>
      </c>
      <c r="N11" s="1">
        <v>353.8</v>
      </c>
      <c r="O11" s="34">
        <v>40179</v>
      </c>
      <c r="P11" s="1">
        <v>220819</v>
      </c>
    </row>
    <row r="12" spans="1:16" x14ac:dyDescent="0.25">
      <c r="A12" s="34">
        <v>39203</v>
      </c>
      <c r="B12" s="1">
        <v>1905.7</v>
      </c>
      <c r="C12" s="34">
        <v>39203</v>
      </c>
      <c r="D12" s="1">
        <v>2367</v>
      </c>
      <c r="E12" s="34">
        <v>39203</v>
      </c>
      <c r="F12" s="1">
        <v>3.9</v>
      </c>
      <c r="G12" s="34">
        <v>39203</v>
      </c>
      <c r="H12" s="1">
        <v>0.22</v>
      </c>
      <c r="I12" s="34">
        <v>39203</v>
      </c>
      <c r="J12" s="1">
        <v>129.24</v>
      </c>
      <c r="K12" s="34">
        <v>39203</v>
      </c>
      <c r="L12" s="1">
        <v>1911.6</v>
      </c>
      <c r="M12" s="34">
        <v>39203</v>
      </c>
      <c r="N12" s="1">
        <v>353.6</v>
      </c>
      <c r="O12" s="34">
        <v>40544</v>
      </c>
      <c r="P12" s="1">
        <v>214705</v>
      </c>
    </row>
    <row r="13" spans="1:16" x14ac:dyDescent="0.25">
      <c r="A13" s="34">
        <v>39234</v>
      </c>
      <c r="B13" s="1">
        <v>1912.4</v>
      </c>
      <c r="C13" s="34">
        <v>39234</v>
      </c>
      <c r="D13" s="1">
        <v>2366</v>
      </c>
      <c r="E13" s="34">
        <v>39234</v>
      </c>
      <c r="F13" s="1">
        <v>3.9</v>
      </c>
      <c r="G13" s="34">
        <v>39234</v>
      </c>
      <c r="H13" s="1">
        <v>1.02</v>
      </c>
      <c r="I13" s="34">
        <v>39234</v>
      </c>
      <c r="J13" s="1">
        <v>129.51</v>
      </c>
      <c r="K13" s="34">
        <v>39234</v>
      </c>
      <c r="L13" s="1">
        <v>1917.7</v>
      </c>
      <c r="M13" s="34">
        <v>39234</v>
      </c>
      <c r="N13" s="1">
        <v>351.4</v>
      </c>
      <c r="O13" s="34">
        <v>40909</v>
      </c>
      <c r="P13" s="1">
        <v>219209</v>
      </c>
    </row>
    <row r="14" spans="1:16" x14ac:dyDescent="0.25">
      <c r="A14" s="34">
        <v>39264</v>
      </c>
      <c r="B14" s="1">
        <v>1911.9</v>
      </c>
      <c r="C14" s="34">
        <v>39264</v>
      </c>
      <c r="D14" s="1">
        <v>2027</v>
      </c>
      <c r="E14" s="34">
        <v>39264</v>
      </c>
      <c r="F14" s="1">
        <v>3.8</v>
      </c>
      <c r="G14" s="34">
        <v>39264</v>
      </c>
      <c r="H14" s="1">
        <v>1.32</v>
      </c>
      <c r="I14" s="34">
        <v>39264</v>
      </c>
      <c r="J14" s="1">
        <v>129.9</v>
      </c>
      <c r="K14" s="34">
        <v>39264</v>
      </c>
      <c r="L14" s="1">
        <v>1894</v>
      </c>
      <c r="M14" s="34">
        <v>39264</v>
      </c>
      <c r="N14" s="1">
        <v>340.2</v>
      </c>
      <c r="O14" s="34">
        <v>41275</v>
      </c>
      <c r="P14" s="1">
        <v>222008</v>
      </c>
    </row>
    <row r="15" spans="1:16" x14ac:dyDescent="0.25">
      <c r="A15" s="34">
        <v>39295</v>
      </c>
      <c r="B15" s="1">
        <v>1918.5</v>
      </c>
      <c r="C15" s="34">
        <v>39295</v>
      </c>
      <c r="D15" s="1">
        <v>1659</v>
      </c>
      <c r="E15" s="34">
        <v>39295</v>
      </c>
      <c r="F15" s="1">
        <v>3.7</v>
      </c>
      <c r="G15" s="34">
        <v>39295</v>
      </c>
      <c r="H15" s="1">
        <v>1.75</v>
      </c>
      <c r="I15" s="34">
        <v>39295</v>
      </c>
      <c r="J15" s="1">
        <v>130.52000000000001</v>
      </c>
      <c r="K15" s="34">
        <v>39295</v>
      </c>
      <c r="L15" s="1">
        <v>1911.3</v>
      </c>
      <c r="M15" s="34">
        <v>39295</v>
      </c>
      <c r="N15" s="1">
        <v>346.3</v>
      </c>
    </row>
    <row r="16" spans="1:16" x14ac:dyDescent="0.25">
      <c r="A16" s="34">
        <v>39326</v>
      </c>
      <c r="B16" s="1">
        <v>1923.3</v>
      </c>
      <c r="C16" s="34">
        <v>39326</v>
      </c>
      <c r="D16" s="1">
        <v>2295</v>
      </c>
      <c r="E16" s="34">
        <v>39326</v>
      </c>
      <c r="F16" s="1">
        <v>3.7</v>
      </c>
      <c r="G16" s="34">
        <v>39326</v>
      </c>
      <c r="H16" s="1">
        <v>1.52</v>
      </c>
      <c r="I16" s="34">
        <v>39326</v>
      </c>
      <c r="J16" s="1">
        <v>131.01</v>
      </c>
      <c r="K16" s="34">
        <v>39326</v>
      </c>
      <c r="L16" s="1">
        <v>1922</v>
      </c>
      <c r="M16" s="34">
        <v>39326</v>
      </c>
      <c r="N16" s="1">
        <v>360.2</v>
      </c>
    </row>
    <row r="17" spans="1:14" x14ac:dyDescent="0.25">
      <c r="A17" s="34">
        <v>39356</v>
      </c>
      <c r="B17" s="1">
        <v>1928.4</v>
      </c>
      <c r="C17" s="34">
        <v>39356</v>
      </c>
      <c r="D17" s="1">
        <v>1325</v>
      </c>
      <c r="E17" s="34">
        <v>39356</v>
      </c>
      <c r="F17" s="1">
        <v>3.7</v>
      </c>
      <c r="G17" s="34">
        <v>39356</v>
      </c>
      <c r="H17" s="1">
        <v>1.18</v>
      </c>
      <c r="I17" s="34">
        <v>39356</v>
      </c>
      <c r="J17" s="1">
        <v>131.53</v>
      </c>
      <c r="K17" s="34">
        <v>39356</v>
      </c>
      <c r="L17" s="1">
        <v>1936.5</v>
      </c>
      <c r="M17" s="34">
        <v>39356</v>
      </c>
      <c r="N17" s="1">
        <v>363.3</v>
      </c>
    </row>
    <row r="18" spans="1:14" x14ac:dyDescent="0.25">
      <c r="A18" s="34">
        <v>39387</v>
      </c>
      <c r="B18" s="1">
        <v>1931.3</v>
      </c>
      <c r="C18" s="34">
        <v>39387</v>
      </c>
      <c r="D18" s="1">
        <v>1166</v>
      </c>
      <c r="E18" s="34">
        <v>39387</v>
      </c>
      <c r="F18" s="1">
        <v>3.7</v>
      </c>
      <c r="G18" s="34">
        <v>39387</v>
      </c>
      <c r="H18" s="1">
        <v>0.88</v>
      </c>
      <c r="I18" s="34">
        <v>39387</v>
      </c>
      <c r="J18" s="1">
        <v>131.76</v>
      </c>
      <c r="K18" s="34">
        <v>39387</v>
      </c>
      <c r="L18" s="1">
        <v>1947.1</v>
      </c>
      <c r="M18" s="34">
        <v>39387</v>
      </c>
      <c r="N18" s="1">
        <v>365.9</v>
      </c>
    </row>
    <row r="19" spans="1:14" x14ac:dyDescent="0.25">
      <c r="A19" s="34">
        <v>39417</v>
      </c>
      <c r="B19" s="1">
        <v>1935.1</v>
      </c>
      <c r="C19" s="34">
        <v>39417</v>
      </c>
      <c r="D19" s="1">
        <v>1405</v>
      </c>
      <c r="E19" s="34">
        <v>39417</v>
      </c>
      <c r="F19" s="1">
        <v>3.7</v>
      </c>
      <c r="G19" s="34">
        <v>39417</v>
      </c>
      <c r="H19" s="1">
        <v>1.58</v>
      </c>
      <c r="I19" s="34">
        <v>39417</v>
      </c>
      <c r="J19" s="1">
        <v>132.1</v>
      </c>
      <c r="K19" s="34">
        <v>39417</v>
      </c>
      <c r="L19" s="1">
        <v>1953.5</v>
      </c>
      <c r="M19" s="34">
        <v>39417</v>
      </c>
      <c r="N19" s="1">
        <v>365.3</v>
      </c>
    </row>
    <row r="20" spans="1:14" x14ac:dyDescent="0.25">
      <c r="A20" s="34">
        <v>39448</v>
      </c>
      <c r="B20" s="1">
        <v>1931.9</v>
      </c>
      <c r="C20" s="34">
        <v>39448</v>
      </c>
      <c r="D20" s="1">
        <v>1561</v>
      </c>
      <c r="E20" s="34">
        <v>39448</v>
      </c>
      <c r="F20" s="1">
        <v>3.8</v>
      </c>
      <c r="G20" s="34">
        <v>39448</v>
      </c>
      <c r="H20" s="1">
        <v>0.83</v>
      </c>
      <c r="I20" s="34">
        <v>39448</v>
      </c>
      <c r="J20" s="1">
        <v>132.05000000000001</v>
      </c>
      <c r="K20" s="34">
        <v>39448</v>
      </c>
      <c r="L20" s="1">
        <v>1910.6</v>
      </c>
      <c r="M20" s="34">
        <v>39448</v>
      </c>
      <c r="N20" s="1">
        <v>357.2</v>
      </c>
    </row>
    <row r="21" spans="1:14" x14ac:dyDescent="0.25">
      <c r="A21" s="34">
        <v>39479</v>
      </c>
      <c r="B21" s="1">
        <v>1937.8</v>
      </c>
      <c r="C21" s="34">
        <v>39479</v>
      </c>
      <c r="D21" s="1">
        <v>1311</v>
      </c>
      <c r="E21" s="34">
        <v>39479</v>
      </c>
      <c r="F21" s="1">
        <v>3.8</v>
      </c>
      <c r="G21" s="34">
        <v>39479</v>
      </c>
      <c r="H21" s="1">
        <v>0.81</v>
      </c>
      <c r="I21" s="34">
        <v>39479</v>
      </c>
      <c r="J21" s="1">
        <v>132.25</v>
      </c>
      <c r="K21" s="34">
        <v>39479</v>
      </c>
      <c r="L21" s="1">
        <v>1928.5</v>
      </c>
      <c r="M21" s="34">
        <v>39479</v>
      </c>
      <c r="N21" s="1">
        <v>365.1</v>
      </c>
    </row>
    <row r="22" spans="1:14" x14ac:dyDescent="0.25">
      <c r="A22" s="34">
        <v>39508</v>
      </c>
      <c r="B22" s="1">
        <v>1937.1</v>
      </c>
      <c r="C22" s="34">
        <v>39508</v>
      </c>
      <c r="D22" s="1">
        <v>1494</v>
      </c>
      <c r="E22" s="34">
        <v>39508</v>
      </c>
      <c r="F22" s="1">
        <v>3.8</v>
      </c>
      <c r="G22" s="34">
        <v>39508</v>
      </c>
      <c r="H22" s="1">
        <v>0.14000000000000001</v>
      </c>
      <c r="I22" s="34">
        <v>39508</v>
      </c>
      <c r="J22" s="1">
        <v>132.05000000000001</v>
      </c>
      <c r="K22" s="34">
        <v>39508</v>
      </c>
      <c r="L22" s="1">
        <v>1937.6</v>
      </c>
      <c r="M22" s="34">
        <v>39508</v>
      </c>
      <c r="N22" s="1">
        <v>364.4</v>
      </c>
    </row>
    <row r="23" spans="1:14" x14ac:dyDescent="0.25">
      <c r="A23" s="34">
        <v>39539</v>
      </c>
      <c r="B23" s="1">
        <v>1938.4</v>
      </c>
      <c r="C23" s="34">
        <v>39539</v>
      </c>
      <c r="D23" s="1">
        <v>2094</v>
      </c>
      <c r="E23" s="34">
        <v>39539</v>
      </c>
      <c r="F23" s="1">
        <v>3.9</v>
      </c>
      <c r="G23" s="34">
        <v>39539</v>
      </c>
      <c r="H23" s="1">
        <v>0.22</v>
      </c>
      <c r="I23" s="34">
        <v>39539</v>
      </c>
      <c r="J23" s="1">
        <v>132.11000000000001</v>
      </c>
      <c r="K23" s="34">
        <v>39539</v>
      </c>
      <c r="L23" s="1">
        <v>1939.9</v>
      </c>
      <c r="M23" s="34">
        <v>39539</v>
      </c>
      <c r="N23" s="1">
        <v>366.7</v>
      </c>
    </row>
    <row r="24" spans="1:14" x14ac:dyDescent="0.25">
      <c r="A24" s="34">
        <v>39569</v>
      </c>
      <c r="B24" s="1">
        <v>1939</v>
      </c>
      <c r="C24" s="34">
        <v>39569</v>
      </c>
      <c r="D24" s="1">
        <v>1560</v>
      </c>
      <c r="E24" s="34">
        <v>39569</v>
      </c>
      <c r="F24" s="1">
        <v>4</v>
      </c>
      <c r="G24" s="34">
        <v>39569</v>
      </c>
      <c r="H24" s="1">
        <v>0.16</v>
      </c>
      <c r="I24" s="34">
        <v>39569</v>
      </c>
      <c r="J24" s="1">
        <v>132.12</v>
      </c>
      <c r="K24" s="34">
        <v>39569</v>
      </c>
      <c r="L24" s="1">
        <v>1945.5</v>
      </c>
      <c r="M24" s="34">
        <v>39569</v>
      </c>
      <c r="N24" s="1">
        <v>366.8</v>
      </c>
    </row>
    <row r="25" spans="1:14" x14ac:dyDescent="0.25">
      <c r="A25" s="34">
        <v>39600</v>
      </c>
      <c r="B25" s="1">
        <v>1939.7</v>
      </c>
      <c r="C25" s="34">
        <v>39600</v>
      </c>
      <c r="D25" s="1">
        <v>1209</v>
      </c>
      <c r="E25" s="34">
        <v>39600</v>
      </c>
      <c r="F25" s="1">
        <v>4.0999999999999996</v>
      </c>
      <c r="G25" s="34">
        <v>39600</v>
      </c>
      <c r="H25" s="1">
        <v>0.55000000000000004</v>
      </c>
      <c r="I25" s="34">
        <v>39600</v>
      </c>
      <c r="J25" s="1">
        <v>132.24</v>
      </c>
      <c r="K25" s="34">
        <v>39600</v>
      </c>
      <c r="L25" s="1">
        <v>1940.8</v>
      </c>
      <c r="M25" s="34">
        <v>39600</v>
      </c>
      <c r="N25" s="1">
        <v>361</v>
      </c>
    </row>
    <row r="26" spans="1:14" x14ac:dyDescent="0.25">
      <c r="A26" s="34">
        <v>39630</v>
      </c>
      <c r="B26" s="1">
        <v>1936.7</v>
      </c>
      <c r="C26" s="34">
        <v>39630</v>
      </c>
      <c r="D26" s="1">
        <v>1259</v>
      </c>
      <c r="E26" s="34">
        <v>39630</v>
      </c>
      <c r="F26" s="1">
        <v>4.4000000000000004</v>
      </c>
      <c r="G26" s="34">
        <v>39630</v>
      </c>
      <c r="H26" s="1">
        <v>0.28999999999999998</v>
      </c>
      <c r="I26" s="34">
        <v>39630</v>
      </c>
      <c r="J26" s="1">
        <v>132.16</v>
      </c>
      <c r="K26" s="34">
        <v>39630</v>
      </c>
      <c r="L26" s="1">
        <v>1919.8</v>
      </c>
      <c r="M26" s="34">
        <v>39630</v>
      </c>
      <c r="N26" s="1">
        <v>353.3</v>
      </c>
    </row>
    <row r="27" spans="1:14" x14ac:dyDescent="0.25">
      <c r="A27" s="34">
        <v>39661</v>
      </c>
      <c r="B27" s="1">
        <v>1944</v>
      </c>
      <c r="C27" s="34">
        <v>39661</v>
      </c>
      <c r="D27" s="1">
        <v>1343</v>
      </c>
      <c r="E27" s="34">
        <v>39661</v>
      </c>
      <c r="F27" s="1">
        <v>4.5999999999999996</v>
      </c>
      <c r="G27" s="34">
        <v>39661</v>
      </c>
      <c r="H27" s="1">
        <v>1.04</v>
      </c>
      <c r="I27" s="34">
        <v>39661</v>
      </c>
      <c r="J27" s="1">
        <v>132.83000000000001</v>
      </c>
      <c r="K27" s="34">
        <v>39661</v>
      </c>
      <c r="L27" s="1">
        <v>1938</v>
      </c>
      <c r="M27" s="34">
        <v>39661</v>
      </c>
      <c r="N27" s="1">
        <v>359.4</v>
      </c>
    </row>
    <row r="28" spans="1:14" x14ac:dyDescent="0.25">
      <c r="A28" s="34">
        <v>39692</v>
      </c>
      <c r="B28" s="1">
        <v>1924.1</v>
      </c>
      <c r="C28" s="34">
        <v>39692</v>
      </c>
      <c r="D28" s="1">
        <v>1483</v>
      </c>
      <c r="E28" s="34">
        <v>39692</v>
      </c>
      <c r="F28" s="1">
        <v>4.9000000000000004</v>
      </c>
      <c r="G28" s="34">
        <v>39692</v>
      </c>
      <c r="H28" s="1">
        <v>3.38</v>
      </c>
      <c r="I28" s="34">
        <v>39692</v>
      </c>
      <c r="J28" s="1">
        <v>132.38</v>
      </c>
      <c r="K28" s="34">
        <v>39692</v>
      </c>
      <c r="L28" s="1">
        <v>1922.5</v>
      </c>
      <c r="M28" s="34">
        <v>39692</v>
      </c>
      <c r="N28" s="1">
        <v>365</v>
      </c>
    </row>
    <row r="29" spans="1:14" x14ac:dyDescent="0.25">
      <c r="A29" s="34">
        <v>39722</v>
      </c>
      <c r="B29" s="1">
        <v>1940.6</v>
      </c>
      <c r="C29" s="34">
        <v>39722</v>
      </c>
      <c r="D29" s="1">
        <v>934</v>
      </c>
      <c r="E29" s="34">
        <v>39722</v>
      </c>
      <c r="F29" s="1">
        <v>5.0999999999999996</v>
      </c>
      <c r="G29" s="34">
        <v>39722</v>
      </c>
      <c r="H29" s="1">
        <v>3.41</v>
      </c>
      <c r="I29" s="34">
        <v>39722</v>
      </c>
      <c r="J29" s="1">
        <v>133.55000000000001</v>
      </c>
      <c r="K29" s="34">
        <v>39722</v>
      </c>
      <c r="L29" s="1">
        <v>1950.4</v>
      </c>
      <c r="M29" s="34">
        <v>39722</v>
      </c>
      <c r="N29" s="1">
        <v>371.1</v>
      </c>
    </row>
    <row r="30" spans="1:14" x14ac:dyDescent="0.25">
      <c r="A30" s="34">
        <v>39753</v>
      </c>
      <c r="B30" s="1">
        <v>1942.5</v>
      </c>
      <c r="C30" s="34">
        <v>39753</v>
      </c>
      <c r="D30" s="1">
        <v>578</v>
      </c>
      <c r="E30" s="34">
        <v>39753</v>
      </c>
      <c r="F30" s="1">
        <v>5.3</v>
      </c>
      <c r="G30" s="34">
        <v>39753</v>
      </c>
      <c r="H30" s="1">
        <v>-0.08</v>
      </c>
      <c r="I30" s="34">
        <v>39753</v>
      </c>
      <c r="J30" s="1">
        <v>133.37</v>
      </c>
      <c r="K30" s="34">
        <v>39753</v>
      </c>
      <c r="L30" s="1">
        <v>1957.5</v>
      </c>
      <c r="M30" s="34">
        <v>39753</v>
      </c>
      <c r="N30" s="1">
        <v>373.6</v>
      </c>
    </row>
    <row r="31" spans="1:14" x14ac:dyDescent="0.25">
      <c r="A31" s="34">
        <v>39783</v>
      </c>
      <c r="B31" s="1">
        <v>1940.6</v>
      </c>
      <c r="C31" s="34">
        <v>39783</v>
      </c>
      <c r="D31" s="1">
        <v>750</v>
      </c>
      <c r="E31" s="34">
        <v>39783</v>
      </c>
      <c r="F31" s="1">
        <v>5.5</v>
      </c>
      <c r="G31" s="34">
        <v>39783</v>
      </c>
      <c r="H31" s="1">
        <v>-5.46</v>
      </c>
      <c r="I31" s="34">
        <v>39783</v>
      </c>
      <c r="J31" s="1">
        <v>133.38999999999999</v>
      </c>
      <c r="K31" s="34">
        <v>39783</v>
      </c>
      <c r="L31" s="1">
        <v>1958.8</v>
      </c>
      <c r="M31" s="34">
        <v>39783</v>
      </c>
      <c r="N31" s="1">
        <v>370.9</v>
      </c>
    </row>
    <row r="32" spans="1:14" x14ac:dyDescent="0.25">
      <c r="A32" s="34">
        <v>39814</v>
      </c>
      <c r="B32" s="1">
        <v>1931.4</v>
      </c>
      <c r="C32" s="34">
        <v>39814</v>
      </c>
      <c r="D32" s="1">
        <v>875</v>
      </c>
      <c r="E32" s="34">
        <v>39814</v>
      </c>
      <c r="F32" s="1">
        <v>5.7</v>
      </c>
      <c r="G32" s="34">
        <v>39814</v>
      </c>
      <c r="H32" s="1">
        <v>-5.3</v>
      </c>
      <c r="I32" s="34">
        <v>39814</v>
      </c>
      <c r="J32" s="1">
        <v>132.47999999999999</v>
      </c>
      <c r="K32" s="34">
        <v>39814</v>
      </c>
      <c r="L32" s="1">
        <v>1910.3</v>
      </c>
      <c r="M32" s="34">
        <v>39814</v>
      </c>
      <c r="N32" s="1">
        <v>364.7</v>
      </c>
    </row>
    <row r="33" spans="1:14" x14ac:dyDescent="0.25">
      <c r="A33" s="34">
        <v>39845</v>
      </c>
      <c r="B33" s="1">
        <v>1928.7</v>
      </c>
      <c r="C33" s="34">
        <v>39845</v>
      </c>
      <c r="D33" s="1">
        <v>1112</v>
      </c>
      <c r="E33" s="34">
        <v>39845</v>
      </c>
      <c r="F33" s="1">
        <v>5.9</v>
      </c>
      <c r="G33" s="34">
        <v>39845</v>
      </c>
      <c r="H33" s="1">
        <v>-2.57</v>
      </c>
      <c r="I33" s="34">
        <v>39845</v>
      </c>
      <c r="J33" s="1">
        <v>131.72</v>
      </c>
      <c r="K33" s="34">
        <v>39845</v>
      </c>
      <c r="L33" s="1">
        <v>1917.9</v>
      </c>
      <c r="M33" s="34">
        <v>39845</v>
      </c>
      <c r="N33" s="1">
        <v>371.7</v>
      </c>
    </row>
    <row r="34" spans="1:14" x14ac:dyDescent="0.25">
      <c r="A34" s="34">
        <v>39873</v>
      </c>
      <c r="B34" s="1">
        <v>1917.4</v>
      </c>
      <c r="C34" s="34">
        <v>39873</v>
      </c>
      <c r="D34" s="1">
        <v>1004</v>
      </c>
      <c r="E34" s="34">
        <v>39873</v>
      </c>
      <c r="F34" s="1">
        <v>6.2</v>
      </c>
      <c r="G34" s="34">
        <v>39873</v>
      </c>
      <c r="H34" s="1">
        <v>-3.08</v>
      </c>
      <c r="I34" s="34">
        <v>39873</v>
      </c>
      <c r="J34" s="1">
        <v>130.75</v>
      </c>
      <c r="K34" s="34">
        <v>39873</v>
      </c>
      <c r="L34" s="1">
        <v>1918.2</v>
      </c>
      <c r="M34" s="34">
        <v>39873</v>
      </c>
      <c r="N34" s="1">
        <v>371.5</v>
      </c>
    </row>
    <row r="35" spans="1:14" x14ac:dyDescent="0.25">
      <c r="A35" s="34">
        <v>39904</v>
      </c>
      <c r="B35" s="1">
        <v>1904</v>
      </c>
      <c r="C35" s="34">
        <v>39904</v>
      </c>
      <c r="D35" s="1">
        <v>918</v>
      </c>
      <c r="E35" s="34">
        <v>39904</v>
      </c>
      <c r="F35" s="1">
        <v>6.5</v>
      </c>
      <c r="G35" s="34">
        <v>39904</v>
      </c>
      <c r="H35" s="1">
        <v>-2.7</v>
      </c>
      <c r="I35" s="34">
        <v>39904</v>
      </c>
      <c r="J35" s="1">
        <v>129.75</v>
      </c>
      <c r="K35" s="34">
        <v>39904</v>
      </c>
      <c r="L35" s="1">
        <v>1909.5</v>
      </c>
      <c r="M35" s="34">
        <v>39904</v>
      </c>
      <c r="N35" s="1">
        <v>373.4</v>
      </c>
    </row>
    <row r="36" spans="1:14" x14ac:dyDescent="0.25">
      <c r="A36" s="34">
        <v>39934</v>
      </c>
      <c r="B36" s="1">
        <v>1904.4</v>
      </c>
      <c r="C36" s="34">
        <v>39934</v>
      </c>
      <c r="D36" s="1">
        <v>1228</v>
      </c>
      <c r="E36" s="34">
        <v>39934</v>
      </c>
      <c r="F36" s="1">
        <v>6.7</v>
      </c>
      <c r="G36" s="34">
        <v>39934</v>
      </c>
      <c r="H36" s="1">
        <v>-0.69</v>
      </c>
      <c r="I36" s="34">
        <v>39934</v>
      </c>
      <c r="J36" s="1">
        <v>129.19999999999999</v>
      </c>
      <c r="K36" s="34">
        <v>39934</v>
      </c>
      <c r="L36" s="1">
        <v>1912</v>
      </c>
      <c r="M36" s="34">
        <v>39934</v>
      </c>
      <c r="N36" s="1">
        <v>372.1</v>
      </c>
    </row>
    <row r="37" spans="1:14" x14ac:dyDescent="0.25">
      <c r="A37" s="34">
        <v>39965</v>
      </c>
      <c r="B37" s="1">
        <v>1896.7</v>
      </c>
      <c r="C37" s="34">
        <v>39965</v>
      </c>
      <c r="D37" s="1">
        <v>1427</v>
      </c>
      <c r="E37" s="34">
        <v>39965</v>
      </c>
      <c r="F37" s="1">
        <v>6.9</v>
      </c>
      <c r="G37" s="34">
        <v>39965</v>
      </c>
      <c r="H37" s="1">
        <v>-1.1499999999999999</v>
      </c>
      <c r="I37" s="34">
        <v>39965</v>
      </c>
      <c r="J37" s="1">
        <v>128.38</v>
      </c>
      <c r="K37" s="34">
        <v>39965</v>
      </c>
      <c r="L37" s="1">
        <v>1897</v>
      </c>
      <c r="M37" s="34">
        <v>39965</v>
      </c>
      <c r="N37" s="1">
        <v>365.3</v>
      </c>
    </row>
    <row r="38" spans="1:14" x14ac:dyDescent="0.25">
      <c r="A38" s="34">
        <v>39995</v>
      </c>
      <c r="B38" s="1">
        <v>1894.1</v>
      </c>
      <c r="C38" s="34">
        <v>39995</v>
      </c>
      <c r="D38" s="1">
        <v>1062</v>
      </c>
      <c r="E38" s="34">
        <v>39995</v>
      </c>
      <c r="F38" s="1">
        <v>6.9</v>
      </c>
      <c r="G38" s="34">
        <v>39995</v>
      </c>
      <c r="H38" s="1">
        <v>0.02</v>
      </c>
      <c r="I38" s="34">
        <v>39995</v>
      </c>
      <c r="J38" s="1">
        <v>128.32</v>
      </c>
      <c r="K38" s="34">
        <v>39995</v>
      </c>
      <c r="L38" s="1">
        <v>1881.1</v>
      </c>
      <c r="M38" s="34">
        <v>39995</v>
      </c>
      <c r="N38" s="1">
        <v>355.3</v>
      </c>
    </row>
    <row r="39" spans="1:14" x14ac:dyDescent="0.25">
      <c r="A39" s="34">
        <v>40026</v>
      </c>
      <c r="B39" s="1">
        <v>1894.2</v>
      </c>
      <c r="C39" s="34">
        <v>40026</v>
      </c>
      <c r="D39" s="1">
        <v>1162</v>
      </c>
      <c r="E39" s="34">
        <v>40026</v>
      </c>
      <c r="F39" s="1">
        <v>6.9</v>
      </c>
      <c r="G39" s="34">
        <v>40026</v>
      </c>
      <c r="H39" s="1">
        <v>0.05</v>
      </c>
      <c r="I39" s="34">
        <v>40026</v>
      </c>
      <c r="J39" s="1">
        <v>127.74</v>
      </c>
      <c r="K39" s="34">
        <v>40026</v>
      </c>
      <c r="L39" s="1">
        <v>1885.9</v>
      </c>
      <c r="M39" s="34">
        <v>40026</v>
      </c>
      <c r="N39" s="1">
        <v>357.1</v>
      </c>
    </row>
    <row r="40" spans="1:14" x14ac:dyDescent="0.25">
      <c r="A40" s="34">
        <v>40057</v>
      </c>
      <c r="B40" s="1">
        <v>1892.7</v>
      </c>
      <c r="C40" s="34">
        <v>40057</v>
      </c>
      <c r="D40" s="1">
        <v>1069</v>
      </c>
      <c r="E40" s="34">
        <v>40057</v>
      </c>
      <c r="F40" s="1">
        <v>6.9</v>
      </c>
      <c r="G40" s="34">
        <v>40057</v>
      </c>
      <c r="H40" s="1">
        <v>-0.27</v>
      </c>
      <c r="I40" s="34">
        <v>40057</v>
      </c>
      <c r="J40" s="1">
        <v>127.62</v>
      </c>
      <c r="K40" s="34">
        <v>40057</v>
      </c>
      <c r="L40" s="1">
        <v>1890.9</v>
      </c>
      <c r="M40" s="34">
        <v>40057</v>
      </c>
      <c r="N40" s="1">
        <v>369.6</v>
      </c>
    </row>
    <row r="41" spans="1:14" x14ac:dyDescent="0.25">
      <c r="A41" s="34">
        <v>40087</v>
      </c>
      <c r="B41" s="1">
        <v>1885.7</v>
      </c>
      <c r="C41" s="34">
        <v>40087</v>
      </c>
      <c r="D41" s="1">
        <v>1016</v>
      </c>
      <c r="E41" s="34">
        <v>40087</v>
      </c>
      <c r="F41" s="1">
        <v>6.9</v>
      </c>
      <c r="G41" s="34">
        <v>40087</v>
      </c>
      <c r="H41" s="1">
        <v>-0.27</v>
      </c>
      <c r="I41" s="34">
        <v>40087</v>
      </c>
      <c r="J41" s="1">
        <v>127.16</v>
      </c>
      <c r="K41" s="34">
        <v>40087</v>
      </c>
      <c r="L41" s="1">
        <v>1894.3</v>
      </c>
      <c r="M41" s="34">
        <v>40087</v>
      </c>
      <c r="N41" s="1">
        <v>376.4</v>
      </c>
    </row>
    <row r="42" spans="1:14" x14ac:dyDescent="0.25">
      <c r="A42" s="34">
        <v>40118</v>
      </c>
      <c r="B42" s="1">
        <v>1886</v>
      </c>
      <c r="C42" s="34">
        <v>40118</v>
      </c>
      <c r="D42" s="1">
        <v>711</v>
      </c>
      <c r="E42" s="34">
        <v>40118</v>
      </c>
      <c r="F42" s="1">
        <v>6.9</v>
      </c>
      <c r="G42" s="34">
        <v>40118</v>
      </c>
      <c r="H42" s="1">
        <v>-0.31</v>
      </c>
      <c r="I42" s="34">
        <v>40118</v>
      </c>
      <c r="J42" s="1">
        <v>126.96</v>
      </c>
      <c r="K42" s="34">
        <v>40118</v>
      </c>
      <c r="L42" s="1">
        <v>1901.4</v>
      </c>
      <c r="M42" s="34">
        <v>40118</v>
      </c>
      <c r="N42" s="1">
        <v>377.7</v>
      </c>
    </row>
    <row r="43" spans="1:14" x14ac:dyDescent="0.25">
      <c r="A43" s="34">
        <v>40148</v>
      </c>
      <c r="B43" s="1">
        <v>1878.6</v>
      </c>
      <c r="C43" s="34">
        <v>40148</v>
      </c>
      <c r="D43" s="1">
        <v>909</v>
      </c>
      <c r="E43" s="34">
        <v>40148</v>
      </c>
      <c r="F43" s="1">
        <v>6.9</v>
      </c>
      <c r="G43" s="34">
        <v>40148</v>
      </c>
      <c r="H43" s="1">
        <v>-0.06</v>
      </c>
      <c r="I43" s="34">
        <v>40148</v>
      </c>
      <c r="J43" s="1">
        <v>126.57</v>
      </c>
      <c r="K43" s="34">
        <v>40148</v>
      </c>
      <c r="L43" s="1">
        <v>1895.4</v>
      </c>
      <c r="M43" s="34">
        <v>40148</v>
      </c>
      <c r="N43" s="1">
        <v>375.3</v>
      </c>
    </row>
    <row r="44" spans="1:14" x14ac:dyDescent="0.25">
      <c r="A44" s="34">
        <v>40179</v>
      </c>
      <c r="B44" s="1">
        <v>1876.3</v>
      </c>
      <c r="C44" s="34">
        <v>40179</v>
      </c>
      <c r="D44" s="1">
        <v>724</v>
      </c>
      <c r="E44" s="34">
        <v>40179</v>
      </c>
      <c r="F44" s="1">
        <v>6.9</v>
      </c>
      <c r="G44" s="34">
        <v>40179</v>
      </c>
      <c r="H44" s="1">
        <v>0.24</v>
      </c>
      <c r="I44" s="34">
        <v>40179</v>
      </c>
      <c r="J44" s="1">
        <v>126.55</v>
      </c>
      <c r="K44" s="34">
        <v>40179</v>
      </c>
      <c r="L44" s="1">
        <v>1855.7</v>
      </c>
      <c r="M44" s="34">
        <v>40179</v>
      </c>
      <c r="N44" s="1">
        <v>366.6</v>
      </c>
    </row>
    <row r="45" spans="1:14" x14ac:dyDescent="0.25">
      <c r="A45" s="34">
        <v>40210</v>
      </c>
      <c r="B45" s="1">
        <v>1875</v>
      </c>
      <c r="C45" s="34">
        <v>40210</v>
      </c>
      <c r="D45" s="1">
        <v>829</v>
      </c>
      <c r="E45" s="34">
        <v>40210</v>
      </c>
      <c r="F45" s="1">
        <v>6.9</v>
      </c>
      <c r="G45" s="34">
        <v>40210</v>
      </c>
      <c r="H45" s="1">
        <v>0.88</v>
      </c>
      <c r="I45" s="34">
        <v>40210</v>
      </c>
      <c r="J45" s="1">
        <v>126.5</v>
      </c>
      <c r="K45" s="34">
        <v>40210</v>
      </c>
      <c r="L45" s="1">
        <v>1864.1</v>
      </c>
      <c r="M45" s="34">
        <v>40210</v>
      </c>
      <c r="N45" s="1">
        <v>371.3</v>
      </c>
    </row>
    <row r="46" spans="1:14" x14ac:dyDescent="0.25">
      <c r="A46" s="34">
        <v>40238</v>
      </c>
      <c r="B46" s="1">
        <v>1880.8</v>
      </c>
      <c r="C46" s="34">
        <v>40238</v>
      </c>
      <c r="D46" s="1">
        <v>1192</v>
      </c>
      <c r="E46" s="34">
        <v>40238</v>
      </c>
      <c r="F46" s="1">
        <v>7</v>
      </c>
      <c r="G46" s="34">
        <v>40238</v>
      </c>
      <c r="H46" s="1">
        <v>2.2599999999999998</v>
      </c>
      <c r="I46" s="34">
        <v>40238</v>
      </c>
      <c r="J46" s="1">
        <v>126.89</v>
      </c>
      <c r="K46" s="34">
        <v>40238</v>
      </c>
      <c r="L46" s="1">
        <v>1881.1</v>
      </c>
      <c r="M46" s="34">
        <v>40238</v>
      </c>
      <c r="N46" s="1">
        <v>373.6</v>
      </c>
    </row>
    <row r="47" spans="1:14" x14ac:dyDescent="0.25">
      <c r="A47" s="34">
        <v>40269</v>
      </c>
      <c r="B47" s="1">
        <v>1883.4</v>
      </c>
      <c r="C47" s="34">
        <v>40269</v>
      </c>
      <c r="D47" s="1">
        <v>1178</v>
      </c>
      <c r="E47" s="34">
        <v>40269</v>
      </c>
      <c r="F47" s="1">
        <v>7.1</v>
      </c>
      <c r="G47" s="34">
        <v>40269</v>
      </c>
      <c r="H47" s="1">
        <v>2.48</v>
      </c>
      <c r="I47" s="34">
        <v>40269</v>
      </c>
      <c r="J47" s="1">
        <v>127.29</v>
      </c>
      <c r="K47" s="34">
        <v>40269</v>
      </c>
      <c r="L47" s="1">
        <v>1889.7</v>
      </c>
      <c r="M47" s="34">
        <v>40269</v>
      </c>
      <c r="N47" s="1">
        <v>373.1</v>
      </c>
    </row>
    <row r="48" spans="1:14" x14ac:dyDescent="0.25">
      <c r="A48" s="34">
        <v>40299</v>
      </c>
      <c r="B48" s="1">
        <v>1889.3</v>
      </c>
      <c r="C48" s="34">
        <v>40299</v>
      </c>
      <c r="D48" s="1">
        <v>922</v>
      </c>
      <c r="E48" s="34">
        <v>40299</v>
      </c>
      <c r="F48" s="1">
        <v>7.2</v>
      </c>
      <c r="G48" s="34">
        <v>40299</v>
      </c>
      <c r="H48" s="1">
        <v>1.91</v>
      </c>
      <c r="I48" s="34">
        <v>40299</v>
      </c>
      <c r="J48" s="1">
        <v>127.74</v>
      </c>
      <c r="K48" s="34">
        <v>40299</v>
      </c>
      <c r="L48" s="1">
        <v>1897.7</v>
      </c>
      <c r="M48" s="34">
        <v>40299</v>
      </c>
      <c r="N48" s="1">
        <v>378</v>
      </c>
    </row>
    <row r="49" spans="1:14" x14ac:dyDescent="0.25">
      <c r="A49" s="34">
        <v>40330</v>
      </c>
      <c r="B49" s="1">
        <v>1895.5</v>
      </c>
      <c r="C49" s="34">
        <v>40330</v>
      </c>
      <c r="D49" s="1">
        <v>894</v>
      </c>
      <c r="E49" s="34">
        <v>40330</v>
      </c>
      <c r="F49" s="1">
        <v>7.4</v>
      </c>
      <c r="G49" s="34">
        <v>40330</v>
      </c>
      <c r="H49" s="1">
        <v>0.47</v>
      </c>
      <c r="I49" s="34">
        <v>40330</v>
      </c>
      <c r="J49" s="1">
        <v>128.05000000000001</v>
      </c>
      <c r="K49" s="34">
        <v>40330</v>
      </c>
      <c r="L49" s="1">
        <v>1895.6</v>
      </c>
      <c r="M49" s="34">
        <v>40330</v>
      </c>
      <c r="N49" s="1">
        <v>370.2</v>
      </c>
    </row>
    <row r="50" spans="1:14" x14ac:dyDescent="0.25">
      <c r="A50" s="34">
        <v>40360</v>
      </c>
      <c r="B50" s="1">
        <v>1885.6</v>
      </c>
      <c r="C50" s="34">
        <v>40360</v>
      </c>
      <c r="D50" s="1">
        <v>840</v>
      </c>
      <c r="E50" s="34">
        <v>40360</v>
      </c>
      <c r="F50" s="1">
        <v>7.6</v>
      </c>
      <c r="G50" s="34">
        <v>40360</v>
      </c>
      <c r="H50" s="1">
        <v>0.21</v>
      </c>
      <c r="I50" s="34">
        <v>40360</v>
      </c>
      <c r="J50" s="1">
        <v>128.31</v>
      </c>
      <c r="K50" s="34">
        <v>40360</v>
      </c>
      <c r="L50" s="1">
        <v>1873</v>
      </c>
      <c r="M50" s="34">
        <v>40360</v>
      </c>
      <c r="N50" s="1">
        <v>352.5</v>
      </c>
    </row>
    <row r="51" spans="1:14" x14ac:dyDescent="0.25">
      <c r="A51" s="34">
        <v>40391</v>
      </c>
      <c r="B51" s="1">
        <v>1884.3</v>
      </c>
      <c r="C51" s="34">
        <v>40391</v>
      </c>
      <c r="D51" s="1">
        <v>921</v>
      </c>
      <c r="E51" s="34">
        <v>40391</v>
      </c>
      <c r="F51" s="1">
        <v>7.7</v>
      </c>
      <c r="G51" s="34">
        <v>40391</v>
      </c>
      <c r="H51" s="1">
        <v>-0.31</v>
      </c>
      <c r="I51" s="34">
        <v>40391</v>
      </c>
      <c r="J51" s="1">
        <v>128.33000000000001</v>
      </c>
      <c r="K51" s="34">
        <v>40391</v>
      </c>
      <c r="L51" s="1">
        <v>1876.1</v>
      </c>
      <c r="M51" s="34">
        <v>40391</v>
      </c>
      <c r="N51" s="1">
        <v>353.3</v>
      </c>
    </row>
    <row r="52" spans="1:14" x14ac:dyDescent="0.25">
      <c r="A52" s="34">
        <v>40422</v>
      </c>
      <c r="B52" s="1">
        <v>1882.1</v>
      </c>
      <c r="C52" s="34">
        <v>40422</v>
      </c>
      <c r="D52" s="1">
        <v>965</v>
      </c>
      <c r="E52" s="34">
        <v>40422</v>
      </c>
      <c r="F52" s="1">
        <v>7.8</v>
      </c>
      <c r="G52" s="34">
        <v>40422</v>
      </c>
      <c r="H52" s="1">
        <v>-0.88</v>
      </c>
      <c r="I52" s="34">
        <v>40422</v>
      </c>
      <c r="J52" s="1">
        <v>128.41999999999999</v>
      </c>
      <c r="K52" s="34">
        <v>40422</v>
      </c>
      <c r="L52" s="1">
        <v>1885.6</v>
      </c>
      <c r="M52" s="34">
        <v>40422</v>
      </c>
      <c r="N52" s="1">
        <v>361</v>
      </c>
    </row>
    <row r="53" spans="1:14" x14ac:dyDescent="0.25">
      <c r="A53" s="34">
        <v>40452</v>
      </c>
      <c r="B53" s="1">
        <v>1885.6</v>
      </c>
      <c r="C53" s="34">
        <v>40452</v>
      </c>
      <c r="D53" s="1">
        <v>977</v>
      </c>
      <c r="E53" s="34">
        <v>40452</v>
      </c>
      <c r="F53" s="1">
        <v>7.8</v>
      </c>
      <c r="G53" s="34">
        <v>40452</v>
      </c>
      <c r="H53" s="1">
        <v>-1.23</v>
      </c>
      <c r="I53" s="34">
        <v>40452</v>
      </c>
      <c r="J53" s="1">
        <v>128.22</v>
      </c>
      <c r="K53" s="34">
        <v>40452</v>
      </c>
      <c r="L53" s="1">
        <v>1895.5</v>
      </c>
      <c r="M53" s="34">
        <v>40452</v>
      </c>
      <c r="N53" s="1">
        <v>365.1</v>
      </c>
    </row>
    <row r="54" spans="1:14" x14ac:dyDescent="0.25">
      <c r="A54" s="34">
        <v>40483</v>
      </c>
      <c r="B54" s="1">
        <v>1885</v>
      </c>
      <c r="C54" s="34">
        <v>40483</v>
      </c>
      <c r="D54" s="1">
        <v>814</v>
      </c>
      <c r="E54" s="34">
        <v>40483</v>
      </c>
      <c r="F54" s="1">
        <v>7.8</v>
      </c>
      <c r="G54" s="34">
        <v>40483</v>
      </c>
      <c r="H54" s="1">
        <v>0.11</v>
      </c>
      <c r="I54" s="34">
        <v>40483</v>
      </c>
      <c r="J54" s="1">
        <v>128.12</v>
      </c>
      <c r="K54" s="34">
        <v>40483</v>
      </c>
      <c r="L54" s="1">
        <v>1900.5</v>
      </c>
      <c r="M54" s="34">
        <v>40483</v>
      </c>
      <c r="N54" s="1">
        <v>366.4</v>
      </c>
    </row>
    <row r="55" spans="1:14" x14ac:dyDescent="0.25">
      <c r="A55" s="34">
        <v>40513</v>
      </c>
      <c r="B55" s="1">
        <v>1889.2</v>
      </c>
      <c r="C55" s="34">
        <v>40513</v>
      </c>
      <c r="D55" s="1">
        <v>984</v>
      </c>
      <c r="E55" s="34">
        <v>40513</v>
      </c>
      <c r="F55" s="1">
        <v>7.7</v>
      </c>
      <c r="G55" s="34">
        <v>40513</v>
      </c>
      <c r="H55" s="1">
        <v>0.91</v>
      </c>
      <c r="I55" s="34">
        <v>40513</v>
      </c>
      <c r="J55" s="1">
        <v>128.13999999999999</v>
      </c>
      <c r="K55" s="34">
        <v>40513</v>
      </c>
      <c r="L55" s="1">
        <v>1902.2</v>
      </c>
      <c r="M55" s="34">
        <v>40513</v>
      </c>
      <c r="N55" s="1">
        <v>364.6</v>
      </c>
    </row>
    <row r="56" spans="1:14" x14ac:dyDescent="0.25">
      <c r="A56" s="34">
        <v>40544</v>
      </c>
      <c r="B56" s="1">
        <v>1892.5</v>
      </c>
      <c r="C56" s="34">
        <v>40544</v>
      </c>
      <c r="D56" s="1">
        <v>821</v>
      </c>
      <c r="E56" s="34">
        <v>40544</v>
      </c>
      <c r="F56" s="1">
        <v>7.6</v>
      </c>
      <c r="G56" s="34">
        <v>40544</v>
      </c>
      <c r="H56" s="1">
        <v>1.41</v>
      </c>
      <c r="I56" s="34">
        <v>40544</v>
      </c>
      <c r="J56" s="1">
        <v>128.27000000000001</v>
      </c>
      <c r="K56" s="34">
        <v>40544</v>
      </c>
      <c r="L56" s="1">
        <v>1871.5</v>
      </c>
      <c r="M56" s="34">
        <v>40544</v>
      </c>
      <c r="N56" s="1">
        <v>357.6</v>
      </c>
    </row>
    <row r="57" spans="1:14" x14ac:dyDescent="0.25">
      <c r="A57" s="34">
        <v>40575</v>
      </c>
      <c r="B57" s="1">
        <v>1897.2</v>
      </c>
      <c r="C57" s="34">
        <v>40575</v>
      </c>
      <c r="D57" s="1">
        <v>974</v>
      </c>
      <c r="E57" s="34">
        <v>40575</v>
      </c>
      <c r="F57" s="1">
        <v>7.5</v>
      </c>
      <c r="G57" s="34">
        <v>40575</v>
      </c>
      <c r="H57" s="1">
        <v>0.96</v>
      </c>
      <c r="I57" s="34">
        <v>40575</v>
      </c>
      <c r="J57" s="1">
        <v>128.28</v>
      </c>
      <c r="K57" s="34">
        <v>40575</v>
      </c>
      <c r="L57" s="1">
        <v>1885.6</v>
      </c>
      <c r="M57" s="34">
        <v>40575</v>
      </c>
      <c r="N57" s="1">
        <v>361.8</v>
      </c>
    </row>
    <row r="58" spans="1:14" x14ac:dyDescent="0.25">
      <c r="A58" s="34">
        <v>40603</v>
      </c>
      <c r="B58" s="1">
        <v>1897.6</v>
      </c>
      <c r="C58" s="34">
        <v>40603</v>
      </c>
      <c r="D58" s="1">
        <v>1076</v>
      </c>
      <c r="E58" s="34">
        <v>40603</v>
      </c>
      <c r="F58" s="1">
        <v>7.4</v>
      </c>
      <c r="G58" s="34">
        <v>40603</v>
      </c>
      <c r="H58" s="1">
        <v>0.41</v>
      </c>
      <c r="I58" s="34">
        <v>40603</v>
      </c>
      <c r="J58" s="1">
        <v>128.31</v>
      </c>
      <c r="K58" s="34">
        <v>40603</v>
      </c>
      <c r="L58" s="1">
        <v>1897.6</v>
      </c>
      <c r="M58" s="34">
        <v>40603</v>
      </c>
      <c r="N58" s="1">
        <v>361.8</v>
      </c>
    </row>
    <row r="59" spans="1:14" x14ac:dyDescent="0.25">
      <c r="A59" s="34">
        <v>40634</v>
      </c>
      <c r="B59" s="1">
        <v>1899.1</v>
      </c>
      <c r="C59" s="34">
        <v>40634</v>
      </c>
      <c r="D59" s="1">
        <v>1154</v>
      </c>
      <c r="E59" s="34">
        <v>40634</v>
      </c>
      <c r="F59" s="1">
        <v>7.3</v>
      </c>
      <c r="G59" s="34">
        <v>40634</v>
      </c>
      <c r="H59" s="1">
        <v>0.1</v>
      </c>
      <c r="I59" s="34">
        <v>40634</v>
      </c>
      <c r="J59" s="1">
        <v>128.28</v>
      </c>
      <c r="K59" s="34">
        <v>40634</v>
      </c>
      <c r="L59" s="1">
        <v>1906.3</v>
      </c>
      <c r="M59" s="34">
        <v>40634</v>
      </c>
      <c r="N59" s="1">
        <v>361.6</v>
      </c>
    </row>
    <row r="60" spans="1:14" x14ac:dyDescent="0.25">
      <c r="A60" s="34">
        <v>40664</v>
      </c>
      <c r="B60" s="1">
        <v>1899</v>
      </c>
      <c r="C60" s="34">
        <v>40664</v>
      </c>
      <c r="D60" s="1">
        <v>1393</v>
      </c>
      <c r="E60" s="34">
        <v>40664</v>
      </c>
      <c r="F60" s="1">
        <v>7.2</v>
      </c>
      <c r="G60" s="34">
        <v>40664</v>
      </c>
      <c r="H60" s="1">
        <v>0.09</v>
      </c>
      <c r="I60" s="34">
        <v>40664</v>
      </c>
      <c r="J60" s="1">
        <v>128.30000000000001</v>
      </c>
      <c r="K60" s="34">
        <v>40664</v>
      </c>
      <c r="L60" s="1">
        <v>1908</v>
      </c>
      <c r="M60" s="34">
        <v>40664</v>
      </c>
      <c r="N60" s="1">
        <v>360</v>
      </c>
    </row>
    <row r="61" spans="1:14" x14ac:dyDescent="0.25">
      <c r="A61" s="34">
        <v>40695</v>
      </c>
      <c r="B61" s="1">
        <v>1894.3</v>
      </c>
      <c r="C61" s="34">
        <v>40695</v>
      </c>
      <c r="D61" s="1">
        <v>1201</v>
      </c>
      <c r="E61" s="34">
        <v>40695</v>
      </c>
      <c r="F61" s="1">
        <v>7.2</v>
      </c>
      <c r="G61" s="34">
        <v>40695</v>
      </c>
      <c r="H61" s="1">
        <v>-0.52</v>
      </c>
      <c r="I61" s="34">
        <v>40695</v>
      </c>
      <c r="J61" s="1">
        <v>128.05000000000001</v>
      </c>
      <c r="K61" s="34">
        <v>40695</v>
      </c>
      <c r="L61" s="1">
        <v>1896.3</v>
      </c>
      <c r="M61" s="34">
        <v>40695</v>
      </c>
      <c r="N61" s="1">
        <v>353.8</v>
      </c>
    </row>
    <row r="62" spans="1:14" x14ac:dyDescent="0.25">
      <c r="A62" s="34">
        <v>40725</v>
      </c>
      <c r="B62" s="1">
        <v>1905</v>
      </c>
      <c r="C62" s="34">
        <v>40725</v>
      </c>
      <c r="D62" s="1">
        <v>853</v>
      </c>
      <c r="E62" s="34">
        <v>40725</v>
      </c>
      <c r="F62" s="1">
        <v>7.2</v>
      </c>
      <c r="G62" s="34">
        <v>40725</v>
      </c>
      <c r="H62" s="1">
        <v>0.28000000000000003</v>
      </c>
      <c r="I62" s="34">
        <v>40725</v>
      </c>
      <c r="J62" s="1">
        <v>128.44</v>
      </c>
      <c r="K62" s="34">
        <v>40725</v>
      </c>
      <c r="L62" s="1">
        <v>1887.3</v>
      </c>
      <c r="M62" s="34">
        <v>40725</v>
      </c>
      <c r="N62" s="1">
        <v>343.3</v>
      </c>
    </row>
    <row r="63" spans="1:14" x14ac:dyDescent="0.25">
      <c r="A63" s="34">
        <v>40756</v>
      </c>
      <c r="B63" s="1">
        <v>1903.4</v>
      </c>
      <c r="C63" s="34">
        <v>40756</v>
      </c>
      <c r="D63" s="1">
        <v>1089</v>
      </c>
      <c r="E63" s="34">
        <v>40756</v>
      </c>
      <c r="F63" s="1">
        <v>7.1</v>
      </c>
      <c r="G63" s="34">
        <v>40756</v>
      </c>
      <c r="H63" s="1">
        <v>0.38</v>
      </c>
      <c r="I63" s="34">
        <v>40756</v>
      </c>
      <c r="J63" s="1">
        <v>128.34</v>
      </c>
      <c r="K63" s="34">
        <v>40756</v>
      </c>
      <c r="L63" s="1">
        <v>1894.6</v>
      </c>
      <c r="M63" s="34">
        <v>40756</v>
      </c>
      <c r="N63" s="1">
        <v>344.9</v>
      </c>
    </row>
    <row r="64" spans="1:14" x14ac:dyDescent="0.25">
      <c r="A64" s="34">
        <v>40787</v>
      </c>
      <c r="B64" s="1">
        <v>1906</v>
      </c>
      <c r="C64" s="34">
        <v>40787</v>
      </c>
      <c r="D64" s="1">
        <v>855</v>
      </c>
      <c r="E64" s="34">
        <v>40787</v>
      </c>
      <c r="F64" s="1">
        <v>7.1</v>
      </c>
      <c r="G64" s="34">
        <v>40787</v>
      </c>
      <c r="H64" s="1">
        <v>0.21</v>
      </c>
      <c r="I64" s="34">
        <v>40787</v>
      </c>
      <c r="J64" s="1">
        <v>128.68</v>
      </c>
      <c r="K64" s="34">
        <v>40787</v>
      </c>
      <c r="L64" s="1">
        <v>1909</v>
      </c>
      <c r="M64" s="34">
        <v>40787</v>
      </c>
      <c r="N64" s="1">
        <v>356.7</v>
      </c>
    </row>
    <row r="65" spans="1:14" x14ac:dyDescent="0.25">
      <c r="A65" s="34">
        <v>40817</v>
      </c>
      <c r="B65" s="1">
        <v>1907.2</v>
      </c>
      <c r="C65" s="34">
        <v>40817</v>
      </c>
      <c r="D65" s="1">
        <v>942</v>
      </c>
      <c r="E65" s="34">
        <v>40817</v>
      </c>
      <c r="F65" s="1">
        <v>7.1</v>
      </c>
      <c r="G65" s="34">
        <v>40817</v>
      </c>
      <c r="H65" s="1">
        <v>-0.41</v>
      </c>
      <c r="I65" s="34">
        <v>40817</v>
      </c>
      <c r="J65" s="1">
        <v>128.56</v>
      </c>
      <c r="K65" s="34">
        <v>40817</v>
      </c>
      <c r="L65" s="1">
        <v>1917.2</v>
      </c>
      <c r="M65" s="34">
        <v>40817</v>
      </c>
      <c r="N65" s="1">
        <v>361</v>
      </c>
    </row>
    <row r="66" spans="1:14" x14ac:dyDescent="0.25">
      <c r="A66" s="34">
        <v>40848</v>
      </c>
      <c r="B66" s="1">
        <v>1908.8</v>
      </c>
      <c r="C66" s="34">
        <v>40848</v>
      </c>
      <c r="D66" s="1">
        <v>834</v>
      </c>
      <c r="E66" s="34">
        <v>40848</v>
      </c>
      <c r="F66" s="1">
        <v>7</v>
      </c>
      <c r="G66" s="34">
        <v>40848</v>
      </c>
      <c r="H66" s="1">
        <v>0.02</v>
      </c>
      <c r="I66" s="34">
        <v>40848</v>
      </c>
      <c r="J66" s="1">
        <v>128.87</v>
      </c>
      <c r="K66" s="34">
        <v>40848</v>
      </c>
      <c r="L66" s="1">
        <v>1924.1</v>
      </c>
      <c r="M66" s="34">
        <v>40848</v>
      </c>
      <c r="N66" s="1">
        <v>361.4</v>
      </c>
    </row>
    <row r="67" spans="1:14" x14ac:dyDescent="0.25">
      <c r="A67" s="34">
        <v>40878</v>
      </c>
      <c r="B67" s="1">
        <v>1910.9</v>
      </c>
      <c r="C67" s="34">
        <v>40878</v>
      </c>
      <c r="D67" s="1">
        <v>900</v>
      </c>
      <c r="E67" s="34">
        <v>40878</v>
      </c>
      <c r="F67" s="1">
        <v>7</v>
      </c>
      <c r="G67" s="34">
        <v>40878</v>
      </c>
      <c r="H67" s="1">
        <v>0.84</v>
      </c>
      <c r="I67" s="34">
        <v>40878</v>
      </c>
      <c r="J67" s="1">
        <v>129.08000000000001</v>
      </c>
      <c r="K67" s="34">
        <v>40878</v>
      </c>
      <c r="L67" s="1">
        <v>1923.4</v>
      </c>
      <c r="M67" s="34">
        <v>40878</v>
      </c>
      <c r="N67" s="1">
        <v>358.3</v>
      </c>
    </row>
    <row r="68" spans="1:14" x14ac:dyDescent="0.25">
      <c r="A68" s="34">
        <v>40909</v>
      </c>
      <c r="B68" s="1">
        <v>1914.8</v>
      </c>
      <c r="C68" s="34">
        <v>40909</v>
      </c>
      <c r="D68" s="1">
        <v>889</v>
      </c>
      <c r="E68" s="34">
        <v>40909</v>
      </c>
      <c r="F68" s="1">
        <v>6.9</v>
      </c>
      <c r="G68" s="34">
        <v>40909</v>
      </c>
      <c r="H68" s="1">
        <v>1.65</v>
      </c>
      <c r="I68" s="34">
        <v>40909</v>
      </c>
      <c r="J68" s="1">
        <v>129.65</v>
      </c>
      <c r="K68" s="34">
        <v>40909</v>
      </c>
      <c r="L68" s="1">
        <v>1893.6</v>
      </c>
      <c r="M68" s="34">
        <v>40909</v>
      </c>
      <c r="N68" s="1">
        <v>350</v>
      </c>
    </row>
    <row r="69" spans="1:14" x14ac:dyDescent="0.25">
      <c r="A69" s="34">
        <v>40940</v>
      </c>
      <c r="B69" s="1">
        <v>1917.4</v>
      </c>
      <c r="C69" s="34">
        <v>40940</v>
      </c>
      <c r="D69" s="1">
        <v>1032</v>
      </c>
      <c r="E69" s="34">
        <v>40940</v>
      </c>
      <c r="F69" s="1">
        <v>6.8</v>
      </c>
      <c r="G69" s="34">
        <v>40940</v>
      </c>
      <c r="H69" s="1">
        <v>1.35</v>
      </c>
      <c r="I69" s="34">
        <v>40940</v>
      </c>
      <c r="J69" s="1">
        <v>130.13999999999999</v>
      </c>
      <c r="K69" s="34">
        <v>40940</v>
      </c>
      <c r="L69" s="1">
        <v>1907.9</v>
      </c>
      <c r="M69" s="34">
        <v>40940</v>
      </c>
      <c r="N69" s="1">
        <v>354.2</v>
      </c>
    </row>
    <row r="70" spans="1:14" x14ac:dyDescent="0.25">
      <c r="A70" s="34">
        <v>40969</v>
      </c>
      <c r="B70" s="1">
        <v>1919.2</v>
      </c>
      <c r="C70" s="34">
        <v>40969</v>
      </c>
      <c r="D70" s="1">
        <v>1042</v>
      </c>
      <c r="E70" s="34">
        <v>40969</v>
      </c>
      <c r="F70" s="1">
        <v>6.7</v>
      </c>
      <c r="G70" s="34">
        <v>40969</v>
      </c>
      <c r="H70" s="1">
        <v>0.47</v>
      </c>
      <c r="I70" s="34">
        <v>40969</v>
      </c>
      <c r="J70" s="1">
        <v>130.58000000000001</v>
      </c>
      <c r="K70" s="34">
        <v>40969</v>
      </c>
      <c r="L70" s="1">
        <v>1919.2</v>
      </c>
      <c r="M70" s="34">
        <v>40969</v>
      </c>
      <c r="N70" s="1">
        <v>353.4</v>
      </c>
    </row>
    <row r="71" spans="1:14" x14ac:dyDescent="0.25">
      <c r="A71" s="34">
        <v>41000</v>
      </c>
      <c r="B71" s="1">
        <v>1929.4</v>
      </c>
      <c r="C71" s="34">
        <v>41000</v>
      </c>
      <c r="D71" s="1">
        <v>1084</v>
      </c>
      <c r="E71" s="34">
        <v>41000</v>
      </c>
      <c r="F71" s="1">
        <v>6.7</v>
      </c>
      <c r="G71" s="34">
        <v>41000</v>
      </c>
      <c r="H71" s="1">
        <v>0.28000000000000003</v>
      </c>
      <c r="I71" s="34">
        <v>41000</v>
      </c>
      <c r="J71" s="1">
        <v>130.94999999999999</v>
      </c>
      <c r="K71" s="34">
        <v>41000</v>
      </c>
      <c r="L71" s="1">
        <v>1933.8</v>
      </c>
      <c r="M71" s="34">
        <v>41000</v>
      </c>
      <c r="N71" s="1">
        <v>354.4</v>
      </c>
    </row>
    <row r="72" spans="1:14" x14ac:dyDescent="0.25">
      <c r="A72" s="34">
        <v>41030</v>
      </c>
      <c r="B72" s="1">
        <v>1930.6</v>
      </c>
      <c r="C72" s="34">
        <v>41030</v>
      </c>
      <c r="D72" s="1">
        <v>1094</v>
      </c>
      <c r="E72" s="34">
        <v>41030</v>
      </c>
      <c r="F72" s="1">
        <v>6.7</v>
      </c>
      <c r="G72" s="34">
        <v>41030</v>
      </c>
      <c r="H72" s="1">
        <v>-0.37</v>
      </c>
      <c r="I72" s="34">
        <v>41030</v>
      </c>
      <c r="J72" s="1">
        <v>131.06</v>
      </c>
      <c r="K72" s="34">
        <v>41030</v>
      </c>
      <c r="L72" s="1">
        <v>1940</v>
      </c>
      <c r="M72" s="34">
        <v>41030</v>
      </c>
      <c r="N72" s="1">
        <v>353.3</v>
      </c>
    </row>
    <row r="73" spans="1:14" x14ac:dyDescent="0.25">
      <c r="A73" s="34">
        <v>41061</v>
      </c>
      <c r="B73" s="1">
        <v>1928.1</v>
      </c>
      <c r="C73" s="34">
        <v>41061</v>
      </c>
      <c r="D73" s="1">
        <v>1059</v>
      </c>
      <c r="E73" s="34">
        <v>41061</v>
      </c>
      <c r="F73" s="1">
        <v>6.6</v>
      </c>
      <c r="G73" s="34">
        <v>41061</v>
      </c>
      <c r="H73" s="1">
        <v>-1.29</v>
      </c>
      <c r="I73" s="34">
        <v>41061</v>
      </c>
      <c r="J73" s="1">
        <v>130.94</v>
      </c>
      <c r="K73" s="34">
        <v>41061</v>
      </c>
      <c r="L73" s="1">
        <v>1930.4</v>
      </c>
      <c r="M73" s="34">
        <v>41061</v>
      </c>
      <c r="N73" s="1">
        <v>347.1</v>
      </c>
    </row>
    <row r="74" spans="1:14" x14ac:dyDescent="0.25">
      <c r="A74" s="34">
        <v>41091</v>
      </c>
      <c r="B74" s="1">
        <v>1924.2</v>
      </c>
      <c r="C74" s="34">
        <v>41091</v>
      </c>
      <c r="D74" s="1">
        <v>1049</v>
      </c>
      <c r="E74" s="34">
        <v>41091</v>
      </c>
      <c r="F74" s="1">
        <v>6.5</v>
      </c>
      <c r="G74" s="34">
        <v>41091</v>
      </c>
      <c r="H74" s="1">
        <v>-1.81</v>
      </c>
      <c r="I74" s="34">
        <v>41091</v>
      </c>
      <c r="J74" s="1">
        <v>130.62</v>
      </c>
      <c r="K74" s="34">
        <v>41091</v>
      </c>
      <c r="L74" s="1">
        <v>1906.7</v>
      </c>
      <c r="M74" s="34">
        <v>41091</v>
      </c>
      <c r="N74" s="1">
        <v>335.7</v>
      </c>
    </row>
    <row r="75" spans="1:14" x14ac:dyDescent="0.25">
      <c r="A75" s="34">
        <v>41122</v>
      </c>
      <c r="B75" s="1">
        <v>1923.1</v>
      </c>
      <c r="C75" s="34">
        <v>41122</v>
      </c>
      <c r="D75" s="1">
        <v>1147</v>
      </c>
      <c r="E75" s="34">
        <v>41122</v>
      </c>
      <c r="F75" s="1">
        <v>6.4</v>
      </c>
      <c r="G75" s="34">
        <v>41122</v>
      </c>
      <c r="H75" s="1">
        <v>-0.77</v>
      </c>
      <c r="I75" s="34">
        <v>41122</v>
      </c>
      <c r="J75" s="1">
        <v>130.58000000000001</v>
      </c>
      <c r="K75" s="34">
        <v>41122</v>
      </c>
      <c r="L75" s="1">
        <v>1916.3</v>
      </c>
      <c r="M75" s="34">
        <v>41122</v>
      </c>
      <c r="N75" s="1">
        <v>336.9</v>
      </c>
    </row>
    <row r="76" spans="1:14" x14ac:dyDescent="0.25">
      <c r="A76" s="34">
        <v>41153</v>
      </c>
      <c r="B76" s="1">
        <v>1923.7</v>
      </c>
      <c r="C76" s="34">
        <v>41153</v>
      </c>
      <c r="D76" s="1">
        <v>1123</v>
      </c>
      <c r="E76" s="34">
        <v>41153</v>
      </c>
      <c r="F76" s="1">
        <v>6.3</v>
      </c>
      <c r="G76" s="34">
        <v>41153</v>
      </c>
      <c r="H76" s="1">
        <v>1.66</v>
      </c>
      <c r="I76" s="34">
        <v>41153</v>
      </c>
      <c r="J76" s="1">
        <v>130.63</v>
      </c>
      <c r="K76" s="34">
        <v>41153</v>
      </c>
      <c r="L76" s="1">
        <v>1920.4</v>
      </c>
      <c r="M76" s="34">
        <v>41153</v>
      </c>
      <c r="N76" s="1">
        <v>346</v>
      </c>
    </row>
    <row r="77" spans="1:14" x14ac:dyDescent="0.25">
      <c r="A77" s="34">
        <v>41183</v>
      </c>
      <c r="B77" s="1">
        <v>1927.5</v>
      </c>
      <c r="C77" s="34">
        <v>41183</v>
      </c>
      <c r="D77" s="1">
        <v>1279</v>
      </c>
      <c r="E77" s="34">
        <v>41183</v>
      </c>
      <c r="F77" s="1">
        <v>6.2</v>
      </c>
      <c r="G77" s="34">
        <v>41183</v>
      </c>
      <c r="H77" s="1">
        <v>2.13</v>
      </c>
      <c r="I77" s="34">
        <v>41183</v>
      </c>
      <c r="J77" s="1">
        <v>131.01</v>
      </c>
      <c r="K77" s="34">
        <v>41183</v>
      </c>
      <c r="L77" s="1">
        <v>1937.9</v>
      </c>
      <c r="M77" s="34">
        <v>41183</v>
      </c>
      <c r="N77" s="1">
        <v>351</v>
      </c>
    </row>
    <row r="78" spans="1:14" x14ac:dyDescent="0.25">
      <c r="A78" s="34">
        <v>41214</v>
      </c>
      <c r="B78" s="1">
        <v>1933.8</v>
      </c>
      <c r="C78" s="34">
        <v>41214</v>
      </c>
      <c r="D78" s="1">
        <v>1180</v>
      </c>
      <c r="E78" s="34">
        <v>41214</v>
      </c>
      <c r="F78" s="1">
        <v>6.2</v>
      </c>
      <c r="G78" s="34">
        <v>41214</v>
      </c>
      <c r="H78" s="1">
        <v>1.87</v>
      </c>
      <c r="I78" s="34">
        <v>41214</v>
      </c>
      <c r="J78" s="1">
        <v>131.4</v>
      </c>
      <c r="K78" s="34">
        <v>41214</v>
      </c>
      <c r="L78" s="1">
        <v>1950.9</v>
      </c>
      <c r="M78" s="34">
        <v>41214</v>
      </c>
      <c r="N78" s="1">
        <v>351.8</v>
      </c>
    </row>
    <row r="79" spans="1:14" x14ac:dyDescent="0.25">
      <c r="A79" s="34">
        <v>41244</v>
      </c>
      <c r="B79" s="1">
        <v>1934.8</v>
      </c>
      <c r="C79" s="34">
        <v>41244</v>
      </c>
      <c r="D79" s="1">
        <v>983</v>
      </c>
      <c r="E79" s="34">
        <v>41244</v>
      </c>
      <c r="F79" s="1">
        <v>6.2</v>
      </c>
      <c r="G79" s="34">
        <v>41244</v>
      </c>
      <c r="H79" s="1">
        <v>0.66</v>
      </c>
      <c r="I79" s="34">
        <v>41244</v>
      </c>
      <c r="J79" s="1">
        <v>131.81</v>
      </c>
      <c r="K79" s="34">
        <v>41244</v>
      </c>
      <c r="L79" s="1">
        <v>1950.1</v>
      </c>
      <c r="M79" s="34">
        <v>41244</v>
      </c>
      <c r="N79" s="1">
        <v>350.8</v>
      </c>
    </row>
    <row r="80" spans="1:14" x14ac:dyDescent="0.25">
      <c r="A80" s="34">
        <v>41275</v>
      </c>
      <c r="B80" s="1">
        <v>1938.2</v>
      </c>
      <c r="C80" s="34">
        <v>41275</v>
      </c>
      <c r="D80" s="1">
        <v>1071</v>
      </c>
      <c r="E80" s="34">
        <v>41275</v>
      </c>
      <c r="F80" s="1">
        <v>6.3</v>
      </c>
      <c r="G80" s="34">
        <v>41275</v>
      </c>
      <c r="H80" s="1">
        <v>0.11</v>
      </c>
      <c r="I80" s="34">
        <v>41275</v>
      </c>
      <c r="J80" s="1">
        <v>132.04</v>
      </c>
      <c r="K80" s="34">
        <v>41275</v>
      </c>
      <c r="L80" s="1">
        <v>1917</v>
      </c>
      <c r="M80" s="34">
        <v>41275</v>
      </c>
      <c r="N80" s="1">
        <v>340.5</v>
      </c>
    </row>
    <row r="81" spans="1:14" x14ac:dyDescent="0.25">
      <c r="A81" s="34">
        <v>41306</v>
      </c>
      <c r="B81" s="1">
        <v>1945.1</v>
      </c>
      <c r="C81" s="34">
        <v>41306</v>
      </c>
      <c r="D81" s="1">
        <v>1239</v>
      </c>
      <c r="E81" s="34">
        <v>41306</v>
      </c>
      <c r="F81" s="1">
        <v>6.4</v>
      </c>
      <c r="G81" s="34">
        <v>41306</v>
      </c>
      <c r="H81" s="1">
        <v>0.7</v>
      </c>
      <c r="I81" s="34">
        <v>41306</v>
      </c>
      <c r="J81" s="1">
        <v>132.38999999999999</v>
      </c>
      <c r="K81" s="34">
        <v>41306</v>
      </c>
      <c r="L81" s="1">
        <v>1935.7</v>
      </c>
      <c r="M81" s="34">
        <v>41306</v>
      </c>
      <c r="N81" s="1">
        <v>345.1</v>
      </c>
    </row>
    <row r="82" spans="1:14" x14ac:dyDescent="0.25">
      <c r="A82" s="34">
        <v>41334</v>
      </c>
      <c r="B82" s="1">
        <v>1944.5</v>
      </c>
      <c r="C82" s="34">
        <v>41334</v>
      </c>
      <c r="D82" s="1">
        <v>1299</v>
      </c>
      <c r="E82" s="34">
        <v>41334</v>
      </c>
      <c r="F82" s="1">
        <v>6.4</v>
      </c>
      <c r="G82" s="34">
        <v>41334</v>
      </c>
      <c r="H82" s="1">
        <v>-0.22</v>
      </c>
      <c r="I82" s="34">
        <v>41334</v>
      </c>
      <c r="J82" s="1">
        <v>132.5</v>
      </c>
      <c r="K82" s="34">
        <v>41334</v>
      </c>
      <c r="L82" s="1">
        <v>1944.5</v>
      </c>
      <c r="M82" s="34">
        <v>41334</v>
      </c>
      <c r="N82" s="1">
        <v>344.9</v>
      </c>
    </row>
    <row r="83" spans="1:14" x14ac:dyDescent="0.25">
      <c r="A83" s="34">
        <v>41365</v>
      </c>
      <c r="B83" s="1">
        <v>1946.1</v>
      </c>
      <c r="C83" s="34">
        <v>41365</v>
      </c>
      <c r="D83" s="1">
        <v>1399</v>
      </c>
      <c r="E83" s="34">
        <v>41365</v>
      </c>
      <c r="F83" s="1">
        <v>6.4</v>
      </c>
      <c r="G83" s="34">
        <v>41365</v>
      </c>
      <c r="H83" s="1">
        <v>-0.47</v>
      </c>
      <c r="I83" s="34">
        <v>41365</v>
      </c>
      <c r="J83" s="1">
        <v>132.69</v>
      </c>
      <c r="K83" s="34">
        <v>41365</v>
      </c>
      <c r="L83" s="1">
        <v>1951.1</v>
      </c>
      <c r="M83" s="34">
        <v>41365</v>
      </c>
      <c r="N83" s="1">
        <v>344.7</v>
      </c>
    </row>
    <row r="84" spans="1:14" x14ac:dyDescent="0.25">
      <c r="A84" s="34">
        <v>41395</v>
      </c>
      <c r="B84" s="1">
        <v>1948.5</v>
      </c>
      <c r="C84" s="34">
        <v>41395</v>
      </c>
      <c r="D84" s="1">
        <v>1260</v>
      </c>
      <c r="E84" s="34">
        <v>41395</v>
      </c>
      <c r="F84" s="1">
        <v>6.4</v>
      </c>
      <c r="G84" s="34">
        <v>41395</v>
      </c>
      <c r="H84" s="1">
        <v>-0.54</v>
      </c>
      <c r="I84" s="34">
        <v>41395</v>
      </c>
      <c r="J84" s="1">
        <v>132.76</v>
      </c>
      <c r="K84" s="34">
        <v>41395</v>
      </c>
      <c r="L84" s="1">
        <v>1954.6</v>
      </c>
      <c r="M84" s="34">
        <v>41395</v>
      </c>
      <c r="N84" s="1">
        <v>344.2</v>
      </c>
    </row>
    <row r="85" spans="1:14" x14ac:dyDescent="0.25">
      <c r="A85" s="34">
        <v>41426</v>
      </c>
      <c r="B85" s="1">
        <v>1951.5</v>
      </c>
      <c r="C85" s="34">
        <v>41426</v>
      </c>
      <c r="D85" s="1">
        <v>1193</v>
      </c>
      <c r="E85" s="34">
        <v>41426</v>
      </c>
      <c r="F85" s="1">
        <v>6.4</v>
      </c>
      <c r="G85" s="34">
        <v>41426</v>
      </c>
      <c r="H85" s="1">
        <v>0.67</v>
      </c>
      <c r="I85" s="34">
        <v>41426</v>
      </c>
      <c r="J85" s="1">
        <v>133.06</v>
      </c>
      <c r="K85" s="34">
        <v>41426</v>
      </c>
      <c r="L85" s="1">
        <v>1952.1</v>
      </c>
      <c r="M85" s="34">
        <v>41426</v>
      </c>
      <c r="N85" s="1">
        <v>338.8</v>
      </c>
    </row>
    <row r="86" spans="1:14" x14ac:dyDescent="0.25">
      <c r="A86" s="34">
        <v>41456</v>
      </c>
      <c r="B86" s="1">
        <v>1949.5</v>
      </c>
      <c r="C86" s="34">
        <v>41456</v>
      </c>
      <c r="D86" s="1">
        <v>1185</v>
      </c>
      <c r="E86" s="34">
        <v>41456</v>
      </c>
      <c r="F86" s="1">
        <v>6.4</v>
      </c>
      <c r="G86" s="34">
        <v>41456</v>
      </c>
      <c r="H86" s="1">
        <v>0.74</v>
      </c>
      <c r="I86" s="34">
        <v>41456</v>
      </c>
      <c r="J86" s="1">
        <v>133.16999999999999</v>
      </c>
      <c r="K86" s="34">
        <v>41456</v>
      </c>
      <c r="L86" s="1">
        <v>1932.1</v>
      </c>
      <c r="M86" s="34">
        <v>41456</v>
      </c>
      <c r="N86" s="1">
        <v>328.4</v>
      </c>
    </row>
    <row r="87" spans="1:14" x14ac:dyDescent="0.25">
      <c r="A87" s="34">
        <v>41487</v>
      </c>
      <c r="B87" s="1">
        <v>1953.1</v>
      </c>
      <c r="C87" s="34">
        <v>41487</v>
      </c>
      <c r="D87" s="1">
        <v>1371</v>
      </c>
      <c r="E87" s="34">
        <v>41487</v>
      </c>
      <c r="F87" s="1">
        <v>6.2</v>
      </c>
      <c r="G87" s="34">
        <v>41487</v>
      </c>
      <c r="H87" s="1">
        <v>1.06</v>
      </c>
      <c r="I87" s="34">
        <v>41487</v>
      </c>
      <c r="J87" s="1">
        <v>133.66999999999999</v>
      </c>
      <c r="K87" s="34">
        <v>41487</v>
      </c>
      <c r="L87" s="1">
        <v>1945.9</v>
      </c>
      <c r="M87" s="34">
        <v>41487</v>
      </c>
      <c r="N87" s="1">
        <v>329.7</v>
      </c>
    </row>
    <row r="88" spans="1:14" x14ac:dyDescent="0.25">
      <c r="A88" s="34">
        <v>41518</v>
      </c>
      <c r="B88" s="1">
        <v>1954.8</v>
      </c>
      <c r="C88" s="34">
        <v>41518</v>
      </c>
      <c r="D88" s="1">
        <v>1126</v>
      </c>
      <c r="E88" s="34">
        <v>41518</v>
      </c>
      <c r="F88" s="1">
        <v>6</v>
      </c>
      <c r="G88" s="34">
        <v>41518</v>
      </c>
      <c r="H88" s="1">
        <v>0.27</v>
      </c>
      <c r="I88" s="34">
        <v>41518</v>
      </c>
      <c r="J88" s="1">
        <v>133.72999999999999</v>
      </c>
      <c r="K88" s="34">
        <v>41518</v>
      </c>
      <c r="L88" s="1">
        <v>1951.1</v>
      </c>
      <c r="M88" s="34">
        <v>41518</v>
      </c>
      <c r="N88" s="1">
        <v>339.4</v>
      </c>
    </row>
    <row r="89" spans="1:14" x14ac:dyDescent="0.25">
      <c r="A89" s="34">
        <v>41548</v>
      </c>
      <c r="B89" s="1">
        <v>1964.4</v>
      </c>
      <c r="C89" s="34">
        <v>41548</v>
      </c>
      <c r="D89" s="1">
        <v>1097</v>
      </c>
      <c r="E89" s="34">
        <v>41548</v>
      </c>
      <c r="F89" s="1">
        <v>5.8</v>
      </c>
      <c r="G89" s="34">
        <v>41548</v>
      </c>
      <c r="H89" s="1">
        <v>0.2</v>
      </c>
      <c r="I89" s="34">
        <v>41548</v>
      </c>
      <c r="J89" s="1">
        <v>134.13</v>
      </c>
      <c r="K89" s="34">
        <v>41548</v>
      </c>
      <c r="L89" s="1">
        <v>1973.1</v>
      </c>
      <c r="M89" s="34">
        <v>41548</v>
      </c>
      <c r="N89" s="1">
        <v>344</v>
      </c>
    </row>
    <row r="90" spans="1:14" x14ac:dyDescent="0.25">
      <c r="A90" s="34">
        <v>41579</v>
      </c>
      <c r="B90" s="1">
        <v>1963.4</v>
      </c>
      <c r="C90" s="34">
        <v>41579</v>
      </c>
      <c r="D90" s="1">
        <v>988</v>
      </c>
      <c r="E90" s="34">
        <v>41579</v>
      </c>
      <c r="F90" s="1">
        <v>5.6</v>
      </c>
      <c r="G90" s="34">
        <v>41579</v>
      </c>
      <c r="H90" s="1">
        <v>0.15</v>
      </c>
      <c r="I90" s="34">
        <v>41579</v>
      </c>
      <c r="J90" s="1">
        <v>134.22999999999999</v>
      </c>
      <c r="K90" s="34">
        <v>41579</v>
      </c>
      <c r="L90" s="1">
        <v>1979.6</v>
      </c>
      <c r="M90" s="34">
        <v>41579</v>
      </c>
      <c r="N90" s="1">
        <v>344.8</v>
      </c>
    </row>
    <row r="91" spans="1:14" x14ac:dyDescent="0.25">
      <c r="A91" s="34">
        <v>41609</v>
      </c>
      <c r="B91" s="1">
        <v>1963.2</v>
      </c>
      <c r="C91" s="34">
        <v>41609</v>
      </c>
      <c r="D91" s="1">
        <v>1236</v>
      </c>
      <c r="E91" s="34">
        <v>41609</v>
      </c>
      <c r="F91" s="1">
        <v>5.4</v>
      </c>
      <c r="G91" s="34">
        <v>41609</v>
      </c>
      <c r="H91" s="1">
        <v>-0.14000000000000001</v>
      </c>
      <c r="I91" s="34">
        <v>41609</v>
      </c>
      <c r="J91" s="1">
        <v>134.46</v>
      </c>
      <c r="K91" s="34">
        <v>41609</v>
      </c>
      <c r="L91" s="1">
        <v>1974.9</v>
      </c>
      <c r="M91" s="34">
        <v>41609</v>
      </c>
      <c r="N91" s="1">
        <v>343.4</v>
      </c>
    </row>
    <row r="92" spans="1:14" x14ac:dyDescent="0.25">
      <c r="A92" s="34">
        <v>41640</v>
      </c>
      <c r="B92" s="1">
        <v>1953.1</v>
      </c>
      <c r="C92" s="34">
        <v>41640</v>
      </c>
      <c r="D92" s="1">
        <v>1003</v>
      </c>
      <c r="E92" s="34">
        <v>41640</v>
      </c>
      <c r="F92" s="1">
        <v>4.9000000000000004</v>
      </c>
      <c r="G92" s="34">
        <v>41640</v>
      </c>
      <c r="H92" s="1">
        <v>0.35</v>
      </c>
      <c r="I92" s="34">
        <v>41640</v>
      </c>
      <c r="J92" s="1">
        <v>134.66</v>
      </c>
      <c r="K92" s="34">
        <v>41640</v>
      </c>
      <c r="L92" s="1">
        <v>1939</v>
      </c>
      <c r="M92" s="34">
        <v>41640</v>
      </c>
      <c r="N92" s="1">
        <v>334.3</v>
      </c>
    </row>
    <row r="93" spans="1:14" x14ac:dyDescent="0.25">
      <c r="A93" s="34">
        <v>41671</v>
      </c>
      <c r="B93" s="1">
        <v>1954.5</v>
      </c>
      <c r="C93" s="34">
        <v>41671</v>
      </c>
      <c r="D93" s="1">
        <v>1348</v>
      </c>
      <c r="E93" s="34">
        <v>41671</v>
      </c>
      <c r="F93" s="1">
        <v>4.5</v>
      </c>
      <c r="G93" s="34">
        <v>41671</v>
      </c>
      <c r="H93" s="1">
        <v>0.71</v>
      </c>
      <c r="I93" s="34">
        <v>41671</v>
      </c>
      <c r="J93" s="1">
        <v>134.80000000000001</v>
      </c>
      <c r="K93" s="34">
        <v>41671</v>
      </c>
      <c r="L93" s="1">
        <v>1950</v>
      </c>
      <c r="M93" s="34">
        <v>41671</v>
      </c>
      <c r="N93" s="1">
        <v>338.6</v>
      </c>
    </row>
    <row r="94" spans="1:14" x14ac:dyDescent="0.25">
      <c r="A94" s="34">
        <v>41699</v>
      </c>
      <c r="B94" s="1">
        <v>1955.8</v>
      </c>
      <c r="C94" s="34">
        <v>41699</v>
      </c>
      <c r="D94" s="1">
        <v>1177</v>
      </c>
      <c r="E94" s="34">
        <v>41699</v>
      </c>
      <c r="F94" s="1">
        <v>4.5</v>
      </c>
      <c r="G94" s="34">
        <v>41699</v>
      </c>
      <c r="H94" s="1">
        <v>0.16</v>
      </c>
      <c r="I94" s="34">
        <v>41699</v>
      </c>
      <c r="J94" s="1">
        <v>134.99</v>
      </c>
      <c r="K94" s="34">
        <v>41699</v>
      </c>
      <c r="L94" s="1">
        <v>1959.3</v>
      </c>
      <c r="M94" s="34">
        <v>41699</v>
      </c>
      <c r="N94" s="1">
        <v>338.4</v>
      </c>
    </row>
    <row r="95" spans="1:14" x14ac:dyDescent="0.25">
      <c r="A95" s="34">
        <v>41730</v>
      </c>
      <c r="B95" s="1">
        <v>1959.7</v>
      </c>
      <c r="C95" s="34">
        <v>41730</v>
      </c>
      <c r="D95" s="1">
        <v>1241</v>
      </c>
      <c r="E95" s="34">
        <v>41730</v>
      </c>
      <c r="F95" s="1">
        <v>4.5</v>
      </c>
      <c r="G95" s="34">
        <v>41730</v>
      </c>
      <c r="H95" s="1">
        <v>0.62</v>
      </c>
      <c r="I95" s="34">
        <v>41730</v>
      </c>
      <c r="J95" s="1">
        <v>135.18</v>
      </c>
      <c r="K95" s="34">
        <v>41730</v>
      </c>
      <c r="L95" s="1">
        <v>1966.7</v>
      </c>
      <c r="M95" s="34">
        <v>41730</v>
      </c>
      <c r="N95" s="1">
        <v>338.3</v>
      </c>
    </row>
    <row r="96" spans="1:14" x14ac:dyDescent="0.25">
      <c r="A96" s="34">
        <v>41760</v>
      </c>
      <c r="B96" s="1">
        <v>1968.2</v>
      </c>
      <c r="C96" s="34">
        <v>41760</v>
      </c>
      <c r="D96" s="1">
        <v>1227</v>
      </c>
      <c r="E96" s="34">
        <v>41760</v>
      </c>
      <c r="F96" s="1">
        <v>4.9000000000000004</v>
      </c>
      <c r="G96" s="34">
        <v>41760</v>
      </c>
      <c r="H96" s="1">
        <v>0.79</v>
      </c>
      <c r="I96" s="34">
        <v>41760</v>
      </c>
      <c r="J96" s="1">
        <v>135.44999999999999</v>
      </c>
      <c r="K96" s="34">
        <v>41760</v>
      </c>
      <c r="L96" s="1">
        <v>1975</v>
      </c>
      <c r="M96" s="34">
        <v>41760</v>
      </c>
      <c r="N96" s="1">
        <v>338</v>
      </c>
    </row>
    <row r="97" spans="1:14" x14ac:dyDescent="0.25">
      <c r="A97" s="34">
        <v>41791</v>
      </c>
      <c r="B97" s="1">
        <v>1973.6</v>
      </c>
      <c r="C97" s="34">
        <v>41791</v>
      </c>
      <c r="D97" s="1">
        <v>1214</v>
      </c>
      <c r="E97" s="34">
        <v>41791</v>
      </c>
      <c r="F97" s="1">
        <v>5</v>
      </c>
      <c r="G97" s="34">
        <v>41791</v>
      </c>
      <c r="H97" s="1">
        <v>0.89</v>
      </c>
      <c r="I97" s="34">
        <v>41791</v>
      </c>
      <c r="J97" s="1">
        <v>135.79</v>
      </c>
      <c r="K97" s="34">
        <v>41791</v>
      </c>
      <c r="L97" s="1">
        <v>1975.4</v>
      </c>
      <c r="M97" s="34">
        <v>41791</v>
      </c>
      <c r="N97" s="1">
        <v>332.9</v>
      </c>
    </row>
    <row r="98" spans="1:14" x14ac:dyDescent="0.25">
      <c r="A98" s="34">
        <v>41821</v>
      </c>
      <c r="B98" s="1">
        <v>1981.1</v>
      </c>
      <c r="C98" s="34">
        <v>41821</v>
      </c>
      <c r="D98" s="1">
        <v>1199</v>
      </c>
      <c r="E98" s="34">
        <v>41821</v>
      </c>
      <c r="F98" s="1">
        <v>5.4</v>
      </c>
      <c r="G98" s="34">
        <v>41821</v>
      </c>
      <c r="H98" s="1">
        <v>1.72</v>
      </c>
      <c r="I98" s="34">
        <v>41821</v>
      </c>
      <c r="J98" s="1">
        <v>136.32</v>
      </c>
      <c r="K98" s="34">
        <v>41821</v>
      </c>
      <c r="L98" s="1">
        <v>1967.3</v>
      </c>
      <c r="M98" s="34">
        <v>41821</v>
      </c>
      <c r="N98" s="1">
        <v>322.5</v>
      </c>
    </row>
    <row r="99" spans="1:14" x14ac:dyDescent="0.25">
      <c r="A99" s="34">
        <v>41852</v>
      </c>
      <c r="B99" s="1">
        <v>1983.2</v>
      </c>
      <c r="C99" s="34">
        <v>41852</v>
      </c>
      <c r="D99" s="1">
        <v>1329</v>
      </c>
      <c r="E99" s="34">
        <v>41852</v>
      </c>
      <c r="F99" s="1">
        <v>5.8</v>
      </c>
      <c r="G99" s="34">
        <v>41852</v>
      </c>
      <c r="H99" s="1">
        <v>0.22</v>
      </c>
      <c r="I99" s="34">
        <v>41852</v>
      </c>
      <c r="J99" s="1">
        <v>136.38999999999999</v>
      </c>
      <c r="K99" s="34">
        <v>41852</v>
      </c>
      <c r="L99" s="1">
        <v>1971.9</v>
      </c>
      <c r="M99" s="34">
        <v>41852</v>
      </c>
      <c r="N99" s="1">
        <v>323.8</v>
      </c>
    </row>
    <row r="100" spans="1:14" x14ac:dyDescent="0.25">
      <c r="A100" s="34">
        <v>41883</v>
      </c>
      <c r="B100" s="1">
        <v>1987.7</v>
      </c>
      <c r="C100" s="34">
        <v>41883</v>
      </c>
      <c r="D100" s="1">
        <v>1457</v>
      </c>
      <c r="E100" s="34">
        <v>41883</v>
      </c>
      <c r="F100" s="1">
        <v>6</v>
      </c>
      <c r="G100" s="34">
        <v>41883</v>
      </c>
      <c r="H100" s="1">
        <v>-0.3</v>
      </c>
      <c r="I100" s="34">
        <v>41883</v>
      </c>
      <c r="J100" s="1">
        <v>136.75</v>
      </c>
      <c r="K100" s="34">
        <v>41883</v>
      </c>
      <c r="L100" s="1">
        <v>1981.2</v>
      </c>
      <c r="M100" s="34">
        <v>41883</v>
      </c>
      <c r="N100" s="1">
        <v>333.3</v>
      </c>
    </row>
    <row r="101" spans="1:14" x14ac:dyDescent="0.25">
      <c r="A101" s="34">
        <v>41913</v>
      </c>
      <c r="B101" s="1">
        <v>1987.8</v>
      </c>
      <c r="C101" s="34">
        <v>41913</v>
      </c>
      <c r="D101" s="1">
        <v>1528</v>
      </c>
      <c r="E101" s="34">
        <v>41913</v>
      </c>
      <c r="F101" s="1">
        <v>6.2</v>
      </c>
      <c r="G101" s="34">
        <v>41913</v>
      </c>
      <c r="H101" s="1">
        <v>0.48</v>
      </c>
      <c r="I101" s="34">
        <v>41913</v>
      </c>
      <c r="J101" s="1">
        <v>136.80000000000001</v>
      </c>
      <c r="K101" s="34">
        <v>41913</v>
      </c>
      <c r="L101" s="1">
        <v>1995.8</v>
      </c>
      <c r="M101" s="34">
        <v>41913</v>
      </c>
      <c r="N101" s="1">
        <v>337.8</v>
      </c>
    </row>
    <row r="102" spans="1:14" x14ac:dyDescent="0.25">
      <c r="A102" s="34">
        <v>41944</v>
      </c>
      <c r="B102" s="1">
        <v>1986</v>
      </c>
      <c r="C102" s="34">
        <v>41944</v>
      </c>
      <c r="D102" s="1">
        <v>885</v>
      </c>
      <c r="E102" s="34">
        <v>41944</v>
      </c>
      <c r="F102" s="1">
        <v>6.5</v>
      </c>
      <c r="G102" s="34">
        <v>41944</v>
      </c>
      <c r="H102" s="1">
        <v>-0.3</v>
      </c>
      <c r="I102" s="34">
        <v>41944</v>
      </c>
      <c r="J102" s="1">
        <v>136.72999999999999</v>
      </c>
      <c r="K102" s="34">
        <v>41944</v>
      </c>
      <c r="L102" s="1">
        <v>1999.1</v>
      </c>
      <c r="M102" s="34">
        <v>41944</v>
      </c>
      <c r="N102" s="1">
        <v>338.6</v>
      </c>
    </row>
    <row r="103" spans="1:14" x14ac:dyDescent="0.25">
      <c r="A103" s="34">
        <v>41974</v>
      </c>
      <c r="B103" s="1">
        <v>1992.2</v>
      </c>
      <c r="E103" s="34">
        <v>41974</v>
      </c>
      <c r="F103" s="1">
        <v>6.7</v>
      </c>
      <c r="K103" s="34">
        <v>41974</v>
      </c>
      <c r="L103" s="1">
        <v>2004.1</v>
      </c>
      <c r="M103" s="34">
        <v>41974</v>
      </c>
      <c r="N103" s="1">
        <v>337.8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P103"/>
  <sheetViews>
    <sheetView topLeftCell="A82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173</v>
      </c>
      <c r="C1" s="34" t="s">
        <v>174</v>
      </c>
      <c r="E1" s="34" t="s">
        <v>175</v>
      </c>
      <c r="G1" s="34" t="s">
        <v>176</v>
      </c>
      <c r="I1" s="34" t="s">
        <v>177</v>
      </c>
      <c r="K1" s="34" t="str">
        <f>CONCATENATE(LEFT(A1,2), "NAN")</f>
        <v>MANAN</v>
      </c>
      <c r="M1" s="34" t="str">
        <f>CONCATENATE(LEFT(A1,2), "GOVTN")</f>
        <v>MAGOVTN</v>
      </c>
      <c r="O1" s="34" t="str">
        <f>CONCATENATE(LEFT($A$1,2), "RGSP")</f>
        <v>MARGSP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882</v>
      </c>
      <c r="C5" s="35" t="s">
        <v>439</v>
      </c>
      <c r="E5" s="35" t="s">
        <v>440</v>
      </c>
      <c r="G5" s="35" t="s">
        <v>441</v>
      </c>
      <c r="I5" s="35" t="s">
        <v>442</v>
      </c>
      <c r="K5" s="35" t="s">
        <v>882</v>
      </c>
      <c r="M5" s="35" t="s">
        <v>883</v>
      </c>
      <c r="O5" s="35" t="s">
        <v>801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3289.9</v>
      </c>
      <c r="C8" s="34">
        <v>39083</v>
      </c>
      <c r="D8" s="1">
        <v>1838</v>
      </c>
      <c r="E8" s="34">
        <v>39083</v>
      </c>
      <c r="F8" s="1">
        <v>4.5999999999999996</v>
      </c>
      <c r="G8" s="34">
        <v>39083</v>
      </c>
      <c r="H8" s="1">
        <v>1.31</v>
      </c>
      <c r="I8" s="34">
        <v>39083</v>
      </c>
      <c r="J8" s="1">
        <v>158.6</v>
      </c>
      <c r="K8" s="34">
        <v>39083</v>
      </c>
      <c r="L8" s="1">
        <v>3215.8</v>
      </c>
      <c r="M8" s="34">
        <v>39083</v>
      </c>
      <c r="N8" s="1">
        <v>429.9</v>
      </c>
      <c r="O8" s="34">
        <v>39083</v>
      </c>
      <c r="P8" s="1">
        <v>392651</v>
      </c>
    </row>
    <row r="9" spans="1:16" x14ac:dyDescent="0.25">
      <c r="A9" s="34">
        <v>39114</v>
      </c>
      <c r="B9" s="1">
        <v>3288.4</v>
      </c>
      <c r="C9" s="34">
        <v>39114</v>
      </c>
      <c r="D9" s="1">
        <v>951</v>
      </c>
      <c r="E9" s="34">
        <v>39114</v>
      </c>
      <c r="F9" s="1">
        <v>4.5999999999999996</v>
      </c>
      <c r="G9" s="34">
        <v>39114</v>
      </c>
      <c r="H9" s="1">
        <v>1.52</v>
      </c>
      <c r="I9" s="34">
        <v>39114</v>
      </c>
      <c r="J9" s="1">
        <v>159.29</v>
      </c>
      <c r="K9" s="34">
        <v>39114</v>
      </c>
      <c r="L9" s="1">
        <v>3223.6</v>
      </c>
      <c r="M9" s="34">
        <v>39114</v>
      </c>
      <c r="N9" s="1">
        <v>439.7</v>
      </c>
      <c r="O9" s="34">
        <v>39448</v>
      </c>
      <c r="P9" s="1">
        <v>392554</v>
      </c>
    </row>
    <row r="10" spans="1:16" x14ac:dyDescent="0.25">
      <c r="A10" s="34">
        <v>39142</v>
      </c>
      <c r="B10" s="1">
        <v>3288.2</v>
      </c>
      <c r="C10" s="34">
        <v>39142</v>
      </c>
      <c r="D10" s="1">
        <v>1141</v>
      </c>
      <c r="E10" s="34">
        <v>39142</v>
      </c>
      <c r="F10" s="1">
        <v>4.5</v>
      </c>
      <c r="G10" s="34">
        <v>39142</v>
      </c>
      <c r="H10" s="1">
        <v>1.1200000000000001</v>
      </c>
      <c r="I10" s="34">
        <v>39142</v>
      </c>
      <c r="J10" s="1">
        <v>159.63</v>
      </c>
      <c r="K10" s="34">
        <v>39142</v>
      </c>
      <c r="L10" s="1">
        <v>3238.8</v>
      </c>
      <c r="M10" s="34">
        <v>39142</v>
      </c>
      <c r="N10" s="1">
        <v>440.8</v>
      </c>
      <c r="O10" s="34">
        <v>39814</v>
      </c>
      <c r="P10" s="1">
        <v>383150</v>
      </c>
    </row>
    <row r="11" spans="1:16" x14ac:dyDescent="0.25">
      <c r="A11" s="34">
        <v>39173</v>
      </c>
      <c r="B11" s="1">
        <v>3292.1</v>
      </c>
      <c r="C11" s="34">
        <v>39173</v>
      </c>
      <c r="D11" s="1">
        <v>1159</v>
      </c>
      <c r="E11" s="34">
        <v>39173</v>
      </c>
      <c r="F11" s="1">
        <v>4.5</v>
      </c>
      <c r="G11" s="34">
        <v>39173</v>
      </c>
      <c r="H11" s="1">
        <v>0.92</v>
      </c>
      <c r="I11" s="34">
        <v>39173</v>
      </c>
      <c r="J11" s="1">
        <v>160.01</v>
      </c>
      <c r="K11" s="34">
        <v>39173</v>
      </c>
      <c r="L11" s="1">
        <v>3280.8</v>
      </c>
      <c r="M11" s="34">
        <v>39173</v>
      </c>
      <c r="N11" s="1">
        <v>442</v>
      </c>
      <c r="O11" s="34">
        <v>40179</v>
      </c>
      <c r="P11" s="1">
        <v>396122</v>
      </c>
    </row>
    <row r="12" spans="1:16" x14ac:dyDescent="0.25">
      <c r="A12" s="34">
        <v>39203</v>
      </c>
      <c r="B12" s="1">
        <v>3296.7</v>
      </c>
      <c r="C12" s="34">
        <v>39203</v>
      </c>
      <c r="D12" s="1">
        <v>1697</v>
      </c>
      <c r="E12" s="34">
        <v>39203</v>
      </c>
      <c r="F12" s="1">
        <v>4.5</v>
      </c>
      <c r="G12" s="34">
        <v>39203</v>
      </c>
      <c r="H12" s="1">
        <v>0.97</v>
      </c>
      <c r="I12" s="34">
        <v>39203</v>
      </c>
      <c r="J12" s="1">
        <v>160.4</v>
      </c>
      <c r="K12" s="34">
        <v>39203</v>
      </c>
      <c r="L12" s="1">
        <v>3315.3</v>
      </c>
      <c r="M12" s="34">
        <v>39203</v>
      </c>
      <c r="N12" s="1">
        <v>444.7</v>
      </c>
      <c r="O12" s="34">
        <v>40544</v>
      </c>
      <c r="P12" s="1">
        <v>404929</v>
      </c>
    </row>
    <row r="13" spans="1:16" x14ac:dyDescent="0.25">
      <c r="A13" s="34">
        <v>39234</v>
      </c>
      <c r="B13" s="1">
        <v>3303.7</v>
      </c>
      <c r="C13" s="34">
        <v>39234</v>
      </c>
      <c r="D13" s="1">
        <v>1097</v>
      </c>
      <c r="E13" s="34">
        <v>39234</v>
      </c>
      <c r="F13" s="1">
        <v>4.5</v>
      </c>
      <c r="G13" s="34">
        <v>39234</v>
      </c>
      <c r="H13" s="1">
        <v>0.99</v>
      </c>
      <c r="I13" s="34">
        <v>39234</v>
      </c>
      <c r="J13" s="1">
        <v>160.78</v>
      </c>
      <c r="K13" s="34">
        <v>39234</v>
      </c>
      <c r="L13" s="1">
        <v>3345.8</v>
      </c>
      <c r="M13" s="34">
        <v>39234</v>
      </c>
      <c r="N13" s="1">
        <v>435.9</v>
      </c>
      <c r="O13" s="34">
        <v>40909</v>
      </c>
      <c r="P13" s="1">
        <v>414144</v>
      </c>
    </row>
    <row r="14" spans="1:16" x14ac:dyDescent="0.25">
      <c r="A14" s="34">
        <v>39264</v>
      </c>
      <c r="B14" s="1">
        <v>3303</v>
      </c>
      <c r="C14" s="34">
        <v>39264</v>
      </c>
      <c r="D14" s="1">
        <v>1479</v>
      </c>
      <c r="E14" s="34">
        <v>39264</v>
      </c>
      <c r="F14" s="1">
        <v>4.5</v>
      </c>
      <c r="G14" s="34">
        <v>39264</v>
      </c>
      <c r="H14" s="1">
        <v>1.01</v>
      </c>
      <c r="I14" s="34">
        <v>39264</v>
      </c>
      <c r="J14" s="1">
        <v>161.16</v>
      </c>
      <c r="K14" s="34">
        <v>39264</v>
      </c>
      <c r="L14" s="1">
        <v>3313.2</v>
      </c>
      <c r="M14" s="34">
        <v>39264</v>
      </c>
      <c r="N14" s="1">
        <v>401.5</v>
      </c>
      <c r="O14" s="34">
        <v>41275</v>
      </c>
      <c r="P14" s="1">
        <v>420748</v>
      </c>
    </row>
    <row r="15" spans="1:16" x14ac:dyDescent="0.25">
      <c r="A15" s="34">
        <v>39295</v>
      </c>
      <c r="B15" s="1">
        <v>3302.9</v>
      </c>
      <c r="C15" s="34">
        <v>39295</v>
      </c>
      <c r="D15" s="1">
        <v>1091</v>
      </c>
      <c r="E15" s="34">
        <v>39295</v>
      </c>
      <c r="F15" s="1">
        <v>4.5</v>
      </c>
      <c r="G15" s="34">
        <v>39295</v>
      </c>
      <c r="H15" s="1">
        <v>1.1499999999999999</v>
      </c>
      <c r="I15" s="34">
        <v>39295</v>
      </c>
      <c r="J15" s="1">
        <v>161.54</v>
      </c>
      <c r="K15" s="34">
        <v>39295</v>
      </c>
      <c r="L15" s="1">
        <v>3306.5</v>
      </c>
      <c r="M15" s="34">
        <v>39295</v>
      </c>
      <c r="N15" s="1">
        <v>394.9</v>
      </c>
    </row>
    <row r="16" spans="1:16" x14ac:dyDescent="0.25">
      <c r="A16" s="34">
        <v>39326</v>
      </c>
      <c r="B16" s="1">
        <v>3302.1</v>
      </c>
      <c r="C16" s="34">
        <v>39326</v>
      </c>
      <c r="D16" s="1">
        <v>1005</v>
      </c>
      <c r="E16" s="34">
        <v>39326</v>
      </c>
      <c r="F16" s="1">
        <v>4.5</v>
      </c>
      <c r="G16" s="34">
        <v>39326</v>
      </c>
      <c r="H16" s="1">
        <v>1.24</v>
      </c>
      <c r="I16" s="34">
        <v>39326</v>
      </c>
      <c r="J16" s="1">
        <v>161.91999999999999</v>
      </c>
      <c r="K16" s="34">
        <v>39326</v>
      </c>
      <c r="L16" s="1">
        <v>3324.9</v>
      </c>
      <c r="M16" s="34">
        <v>39326</v>
      </c>
      <c r="N16" s="1">
        <v>433.7</v>
      </c>
    </row>
    <row r="17" spans="1:14" x14ac:dyDescent="0.25">
      <c r="A17" s="34">
        <v>39356</v>
      </c>
      <c r="B17" s="1">
        <v>3306.5</v>
      </c>
      <c r="C17" s="34">
        <v>39356</v>
      </c>
      <c r="D17" s="1">
        <v>1091</v>
      </c>
      <c r="E17" s="34">
        <v>39356</v>
      </c>
      <c r="F17" s="1">
        <v>4.5</v>
      </c>
      <c r="G17" s="34">
        <v>39356</v>
      </c>
      <c r="H17" s="1">
        <v>1.1499999999999999</v>
      </c>
      <c r="I17" s="34">
        <v>39356</v>
      </c>
      <c r="J17" s="1">
        <v>162.32</v>
      </c>
      <c r="K17" s="34">
        <v>39356</v>
      </c>
      <c r="L17" s="1">
        <v>3337.9</v>
      </c>
      <c r="M17" s="34">
        <v>39356</v>
      </c>
      <c r="N17" s="1">
        <v>441.8</v>
      </c>
    </row>
    <row r="18" spans="1:14" x14ac:dyDescent="0.25">
      <c r="A18" s="34">
        <v>39387</v>
      </c>
      <c r="B18" s="1">
        <v>3310.8</v>
      </c>
      <c r="C18" s="34">
        <v>39387</v>
      </c>
      <c r="D18" s="1">
        <v>899</v>
      </c>
      <c r="E18" s="34">
        <v>39387</v>
      </c>
      <c r="F18" s="1">
        <v>4.5</v>
      </c>
      <c r="G18" s="34">
        <v>39387</v>
      </c>
      <c r="H18" s="1">
        <v>1.1100000000000001</v>
      </c>
      <c r="I18" s="34">
        <v>39387</v>
      </c>
      <c r="J18" s="1">
        <v>162.72999999999999</v>
      </c>
      <c r="K18" s="34">
        <v>39387</v>
      </c>
      <c r="L18" s="1">
        <v>3344.7</v>
      </c>
      <c r="M18" s="34">
        <v>39387</v>
      </c>
      <c r="N18" s="1">
        <v>444</v>
      </c>
    </row>
    <row r="19" spans="1:14" x14ac:dyDescent="0.25">
      <c r="A19" s="34">
        <v>39417</v>
      </c>
      <c r="B19" s="1">
        <v>3312.1</v>
      </c>
      <c r="C19" s="34">
        <v>39417</v>
      </c>
      <c r="D19" s="1">
        <v>982</v>
      </c>
      <c r="E19" s="34">
        <v>39417</v>
      </c>
      <c r="F19" s="1">
        <v>4.5</v>
      </c>
      <c r="G19" s="34">
        <v>39417</v>
      </c>
      <c r="H19" s="1">
        <v>1.17</v>
      </c>
      <c r="I19" s="34">
        <v>39417</v>
      </c>
      <c r="J19" s="1">
        <v>163.12</v>
      </c>
      <c r="K19" s="34">
        <v>39417</v>
      </c>
      <c r="L19" s="1">
        <v>3342.1</v>
      </c>
      <c r="M19" s="34">
        <v>39417</v>
      </c>
      <c r="N19" s="1">
        <v>443.2</v>
      </c>
    </row>
    <row r="20" spans="1:14" x14ac:dyDescent="0.25">
      <c r="A20" s="34">
        <v>39448</v>
      </c>
      <c r="B20" s="1">
        <v>3318.7</v>
      </c>
      <c r="C20" s="34">
        <v>39448</v>
      </c>
      <c r="D20" s="1">
        <v>538</v>
      </c>
      <c r="E20" s="34">
        <v>39448</v>
      </c>
      <c r="F20" s="1">
        <v>4.5</v>
      </c>
      <c r="G20" s="34">
        <v>39448</v>
      </c>
      <c r="H20" s="1">
        <v>0.51</v>
      </c>
      <c r="I20" s="34">
        <v>39448</v>
      </c>
      <c r="J20" s="1">
        <v>163.24</v>
      </c>
      <c r="K20" s="34">
        <v>39448</v>
      </c>
      <c r="L20" s="1">
        <v>3246.2</v>
      </c>
      <c r="M20" s="34">
        <v>39448</v>
      </c>
      <c r="N20" s="1">
        <v>433.3</v>
      </c>
    </row>
    <row r="21" spans="1:14" x14ac:dyDescent="0.25">
      <c r="A21" s="34">
        <v>39479</v>
      </c>
      <c r="B21" s="1">
        <v>3322.6</v>
      </c>
      <c r="C21" s="34">
        <v>39479</v>
      </c>
      <c r="D21" s="1">
        <v>451</v>
      </c>
      <c r="E21" s="34">
        <v>39479</v>
      </c>
      <c r="F21" s="1">
        <v>4.5999999999999996</v>
      </c>
      <c r="G21" s="34">
        <v>39479</v>
      </c>
      <c r="H21" s="1">
        <v>0.68</v>
      </c>
      <c r="I21" s="34">
        <v>39479</v>
      </c>
      <c r="J21" s="1">
        <v>163.65</v>
      </c>
      <c r="K21" s="34">
        <v>39479</v>
      </c>
      <c r="L21" s="1">
        <v>3258.9</v>
      </c>
      <c r="M21" s="34">
        <v>39479</v>
      </c>
      <c r="N21" s="1">
        <v>444.9</v>
      </c>
    </row>
    <row r="22" spans="1:14" x14ac:dyDescent="0.25">
      <c r="A22" s="34">
        <v>39508</v>
      </c>
      <c r="B22" s="1">
        <v>3322.9</v>
      </c>
      <c r="C22" s="34">
        <v>39508</v>
      </c>
      <c r="D22" s="1">
        <v>987</v>
      </c>
      <c r="E22" s="34">
        <v>39508</v>
      </c>
      <c r="F22" s="1">
        <v>4.5999999999999996</v>
      </c>
      <c r="G22" s="34">
        <v>39508</v>
      </c>
      <c r="H22" s="1">
        <v>-0.24</v>
      </c>
      <c r="I22" s="34">
        <v>39508</v>
      </c>
      <c r="J22" s="1">
        <v>163.41999999999999</v>
      </c>
      <c r="K22" s="34">
        <v>39508</v>
      </c>
      <c r="L22" s="1">
        <v>3274.5</v>
      </c>
      <c r="M22" s="34">
        <v>39508</v>
      </c>
      <c r="N22" s="1">
        <v>445.6</v>
      </c>
    </row>
    <row r="23" spans="1:14" x14ac:dyDescent="0.25">
      <c r="A23" s="34">
        <v>39539</v>
      </c>
      <c r="B23" s="1">
        <v>3325</v>
      </c>
      <c r="C23" s="34">
        <v>39539</v>
      </c>
      <c r="D23" s="1">
        <v>969</v>
      </c>
      <c r="E23" s="34">
        <v>39539</v>
      </c>
      <c r="F23" s="1">
        <v>4.8</v>
      </c>
      <c r="G23" s="34">
        <v>39539</v>
      </c>
      <c r="H23" s="1">
        <v>-0.33</v>
      </c>
      <c r="I23" s="34">
        <v>39539</v>
      </c>
      <c r="J23" s="1">
        <v>163.53</v>
      </c>
      <c r="K23" s="34">
        <v>39539</v>
      </c>
      <c r="L23" s="1">
        <v>3314</v>
      </c>
      <c r="M23" s="34">
        <v>39539</v>
      </c>
      <c r="N23" s="1">
        <v>447.3</v>
      </c>
    </row>
    <row r="24" spans="1:14" x14ac:dyDescent="0.25">
      <c r="A24" s="34">
        <v>39569</v>
      </c>
      <c r="B24" s="1">
        <v>3321.4</v>
      </c>
      <c r="C24" s="34">
        <v>39569</v>
      </c>
      <c r="D24" s="1">
        <v>1019</v>
      </c>
      <c r="E24" s="34">
        <v>39569</v>
      </c>
      <c r="F24" s="1">
        <v>4.9000000000000004</v>
      </c>
      <c r="G24" s="34">
        <v>39569</v>
      </c>
      <c r="H24" s="1">
        <v>-0.59</v>
      </c>
      <c r="I24" s="34">
        <v>39569</v>
      </c>
      <c r="J24" s="1">
        <v>163.29</v>
      </c>
      <c r="K24" s="34">
        <v>39569</v>
      </c>
      <c r="L24" s="1">
        <v>3341</v>
      </c>
      <c r="M24" s="34">
        <v>39569</v>
      </c>
      <c r="N24" s="1">
        <v>448.7</v>
      </c>
    </row>
    <row r="25" spans="1:14" x14ac:dyDescent="0.25">
      <c r="A25" s="34">
        <v>39600</v>
      </c>
      <c r="B25" s="1">
        <v>3319.7</v>
      </c>
      <c r="C25" s="34">
        <v>39600</v>
      </c>
      <c r="D25" s="1">
        <v>2075</v>
      </c>
      <c r="E25" s="34">
        <v>39600</v>
      </c>
      <c r="F25" s="1">
        <v>5.0999999999999996</v>
      </c>
      <c r="G25" s="34">
        <v>39600</v>
      </c>
      <c r="H25" s="1">
        <v>-0.88</v>
      </c>
      <c r="I25" s="34">
        <v>39600</v>
      </c>
      <c r="J25" s="1">
        <v>163.07</v>
      </c>
      <c r="K25" s="34">
        <v>39600</v>
      </c>
      <c r="L25" s="1">
        <v>3357.5</v>
      </c>
      <c r="M25" s="34">
        <v>39600</v>
      </c>
      <c r="N25" s="1">
        <v>438.7</v>
      </c>
    </row>
    <row r="26" spans="1:14" x14ac:dyDescent="0.25">
      <c r="A26" s="34">
        <v>39630</v>
      </c>
      <c r="B26" s="1">
        <v>3317.7</v>
      </c>
      <c r="C26" s="34">
        <v>39630</v>
      </c>
      <c r="D26" s="1">
        <v>805</v>
      </c>
      <c r="E26" s="34">
        <v>39630</v>
      </c>
      <c r="F26" s="1">
        <v>5.3</v>
      </c>
      <c r="G26" s="34">
        <v>39630</v>
      </c>
      <c r="H26" s="1">
        <v>-0.74</v>
      </c>
      <c r="I26" s="34">
        <v>39630</v>
      </c>
      <c r="J26" s="1">
        <v>162.81</v>
      </c>
      <c r="K26" s="34">
        <v>39630</v>
      </c>
      <c r="L26" s="1">
        <v>3329.3</v>
      </c>
      <c r="M26" s="34">
        <v>39630</v>
      </c>
      <c r="N26" s="1">
        <v>406.4</v>
      </c>
    </row>
    <row r="27" spans="1:14" x14ac:dyDescent="0.25">
      <c r="A27" s="34">
        <v>39661</v>
      </c>
      <c r="B27" s="1">
        <v>3313.8</v>
      </c>
      <c r="C27" s="34">
        <v>39661</v>
      </c>
      <c r="D27" s="1">
        <v>636</v>
      </c>
      <c r="E27" s="34">
        <v>39661</v>
      </c>
      <c r="F27" s="1">
        <v>5.5</v>
      </c>
      <c r="G27" s="34">
        <v>39661</v>
      </c>
      <c r="H27" s="1">
        <v>-1.3</v>
      </c>
      <c r="I27" s="34">
        <v>39661</v>
      </c>
      <c r="J27" s="1">
        <v>162.24</v>
      </c>
      <c r="K27" s="34">
        <v>39661</v>
      </c>
      <c r="L27" s="1">
        <v>3317.4</v>
      </c>
      <c r="M27" s="34">
        <v>39661</v>
      </c>
      <c r="N27" s="1">
        <v>399.5</v>
      </c>
    </row>
    <row r="28" spans="1:14" x14ac:dyDescent="0.25">
      <c r="A28" s="34">
        <v>39692</v>
      </c>
      <c r="B28" s="1">
        <v>3307.3</v>
      </c>
      <c r="C28" s="34">
        <v>39692</v>
      </c>
      <c r="D28" s="1">
        <v>700</v>
      </c>
      <c r="E28" s="34">
        <v>39692</v>
      </c>
      <c r="F28" s="1">
        <v>5.8</v>
      </c>
      <c r="G28" s="34">
        <v>39692</v>
      </c>
      <c r="H28" s="1">
        <v>-1.01</v>
      </c>
      <c r="I28" s="34">
        <v>39692</v>
      </c>
      <c r="J28" s="1">
        <v>161.93</v>
      </c>
      <c r="K28" s="34">
        <v>39692</v>
      </c>
      <c r="L28" s="1">
        <v>3330</v>
      </c>
      <c r="M28" s="34">
        <v>39692</v>
      </c>
      <c r="N28" s="1">
        <v>437.6</v>
      </c>
    </row>
    <row r="29" spans="1:14" x14ac:dyDescent="0.25">
      <c r="A29" s="34">
        <v>39722</v>
      </c>
      <c r="B29" s="1">
        <v>3302.1</v>
      </c>
      <c r="C29" s="34">
        <v>39722</v>
      </c>
      <c r="D29" s="1">
        <v>476</v>
      </c>
      <c r="E29" s="34">
        <v>39722</v>
      </c>
      <c r="F29" s="1">
        <v>6</v>
      </c>
      <c r="G29" s="34">
        <v>39722</v>
      </c>
      <c r="H29" s="1">
        <v>-2.15</v>
      </c>
      <c r="I29" s="34">
        <v>39722</v>
      </c>
      <c r="J29" s="1">
        <v>160.96</v>
      </c>
      <c r="K29" s="34">
        <v>39722</v>
      </c>
      <c r="L29" s="1">
        <v>3339.7</v>
      </c>
      <c r="M29" s="34">
        <v>39722</v>
      </c>
      <c r="N29" s="1">
        <v>447.1</v>
      </c>
    </row>
    <row r="30" spans="1:14" x14ac:dyDescent="0.25">
      <c r="A30" s="34">
        <v>39753</v>
      </c>
      <c r="B30" s="1">
        <v>3289.7</v>
      </c>
      <c r="C30" s="34">
        <v>39753</v>
      </c>
      <c r="D30" s="1">
        <v>429</v>
      </c>
      <c r="E30" s="34">
        <v>39753</v>
      </c>
      <c r="F30" s="1">
        <v>6.4</v>
      </c>
      <c r="G30" s="34">
        <v>39753</v>
      </c>
      <c r="H30" s="1">
        <v>-2.27</v>
      </c>
      <c r="I30" s="34">
        <v>39753</v>
      </c>
      <c r="J30" s="1">
        <v>160.31</v>
      </c>
      <c r="K30" s="34">
        <v>39753</v>
      </c>
      <c r="L30" s="1">
        <v>3320.6</v>
      </c>
      <c r="M30" s="34">
        <v>39753</v>
      </c>
      <c r="N30" s="1">
        <v>448.2</v>
      </c>
    </row>
    <row r="31" spans="1:14" x14ac:dyDescent="0.25">
      <c r="A31" s="34">
        <v>39783</v>
      </c>
      <c r="B31" s="1">
        <v>3277</v>
      </c>
      <c r="C31" s="34">
        <v>39783</v>
      </c>
      <c r="D31" s="1">
        <v>548</v>
      </c>
      <c r="E31" s="34">
        <v>39783</v>
      </c>
      <c r="F31" s="1">
        <v>6.7</v>
      </c>
      <c r="G31" s="34">
        <v>39783</v>
      </c>
      <c r="H31" s="1">
        <v>-2.27</v>
      </c>
      <c r="I31" s="34">
        <v>39783</v>
      </c>
      <c r="J31" s="1">
        <v>159.56</v>
      </c>
      <c r="K31" s="34">
        <v>39783</v>
      </c>
      <c r="L31" s="1">
        <v>3304.7</v>
      </c>
      <c r="M31" s="34">
        <v>39783</v>
      </c>
      <c r="N31" s="1">
        <v>446.8</v>
      </c>
    </row>
    <row r="32" spans="1:14" x14ac:dyDescent="0.25">
      <c r="A32" s="34">
        <v>39814</v>
      </c>
      <c r="B32" s="1">
        <v>3244</v>
      </c>
      <c r="C32" s="34">
        <v>39814</v>
      </c>
      <c r="D32" s="1">
        <v>321</v>
      </c>
      <c r="E32" s="34">
        <v>39814</v>
      </c>
      <c r="F32" s="1">
        <v>7</v>
      </c>
      <c r="G32" s="34">
        <v>39814</v>
      </c>
      <c r="H32" s="1">
        <v>-2.67</v>
      </c>
      <c r="I32" s="34">
        <v>39814</v>
      </c>
      <c r="J32" s="1">
        <v>158.52000000000001</v>
      </c>
      <c r="K32" s="34">
        <v>39814</v>
      </c>
      <c r="L32" s="1">
        <v>3181.2</v>
      </c>
      <c r="M32" s="34">
        <v>39814</v>
      </c>
      <c r="N32" s="1">
        <v>435.8</v>
      </c>
    </row>
    <row r="33" spans="1:14" x14ac:dyDescent="0.25">
      <c r="A33" s="34">
        <v>39845</v>
      </c>
      <c r="B33" s="1">
        <v>3236.3</v>
      </c>
      <c r="C33" s="34">
        <v>39845</v>
      </c>
      <c r="D33" s="1">
        <v>1031</v>
      </c>
      <c r="E33" s="34">
        <v>39845</v>
      </c>
      <c r="F33" s="1">
        <v>7.4</v>
      </c>
      <c r="G33" s="34">
        <v>39845</v>
      </c>
      <c r="H33" s="1">
        <v>-1.77</v>
      </c>
      <c r="I33" s="34">
        <v>39845</v>
      </c>
      <c r="J33" s="1">
        <v>158.09</v>
      </c>
      <c r="K33" s="34">
        <v>39845</v>
      </c>
      <c r="L33" s="1">
        <v>3180.3</v>
      </c>
      <c r="M33" s="34">
        <v>39845</v>
      </c>
      <c r="N33" s="1">
        <v>448.2</v>
      </c>
    </row>
    <row r="34" spans="1:14" x14ac:dyDescent="0.25">
      <c r="A34" s="34">
        <v>39873</v>
      </c>
      <c r="B34" s="1">
        <v>3224</v>
      </c>
      <c r="C34" s="34">
        <v>39873</v>
      </c>
      <c r="D34" s="1">
        <v>433</v>
      </c>
      <c r="E34" s="34">
        <v>39873</v>
      </c>
      <c r="F34" s="1">
        <v>7.6</v>
      </c>
      <c r="G34" s="34">
        <v>39873</v>
      </c>
      <c r="H34" s="1">
        <v>-2.04</v>
      </c>
      <c r="I34" s="34">
        <v>39873</v>
      </c>
      <c r="J34" s="1">
        <v>157.30000000000001</v>
      </c>
      <c r="K34" s="34">
        <v>39873</v>
      </c>
      <c r="L34" s="1">
        <v>3177.2</v>
      </c>
      <c r="M34" s="34">
        <v>39873</v>
      </c>
      <c r="N34" s="1">
        <v>447.6</v>
      </c>
    </row>
    <row r="35" spans="1:14" x14ac:dyDescent="0.25">
      <c r="A35" s="34">
        <v>39904</v>
      </c>
      <c r="B35" s="1">
        <v>3210.5</v>
      </c>
      <c r="C35" s="34">
        <v>39904</v>
      </c>
      <c r="D35" s="1">
        <v>399</v>
      </c>
      <c r="E35" s="34">
        <v>39904</v>
      </c>
      <c r="F35" s="1">
        <v>7.9</v>
      </c>
      <c r="G35" s="34">
        <v>39904</v>
      </c>
      <c r="H35" s="1">
        <v>-1.31</v>
      </c>
      <c r="I35" s="34">
        <v>39904</v>
      </c>
      <c r="J35" s="1">
        <v>156.85</v>
      </c>
      <c r="K35" s="34">
        <v>39904</v>
      </c>
      <c r="L35" s="1">
        <v>3209.1</v>
      </c>
      <c r="M35" s="34">
        <v>39904</v>
      </c>
      <c r="N35" s="1">
        <v>453</v>
      </c>
    </row>
    <row r="36" spans="1:14" x14ac:dyDescent="0.25">
      <c r="A36" s="34">
        <v>39934</v>
      </c>
      <c r="B36" s="1">
        <v>3205.9</v>
      </c>
      <c r="C36" s="34">
        <v>39934</v>
      </c>
      <c r="D36" s="1">
        <v>545</v>
      </c>
      <c r="E36" s="34">
        <v>39934</v>
      </c>
      <c r="F36" s="1">
        <v>8.1</v>
      </c>
      <c r="G36" s="34">
        <v>39934</v>
      </c>
      <c r="H36" s="1">
        <v>-0.7</v>
      </c>
      <c r="I36" s="34">
        <v>39934</v>
      </c>
      <c r="J36" s="1">
        <v>156.4</v>
      </c>
      <c r="K36" s="34">
        <v>39934</v>
      </c>
      <c r="L36" s="1">
        <v>3225.3</v>
      </c>
      <c r="M36" s="34">
        <v>39934</v>
      </c>
      <c r="N36" s="1">
        <v>450.2</v>
      </c>
    </row>
    <row r="37" spans="1:14" x14ac:dyDescent="0.25">
      <c r="A37" s="34">
        <v>39965</v>
      </c>
      <c r="B37" s="1">
        <v>3198.3</v>
      </c>
      <c r="C37" s="34">
        <v>39965</v>
      </c>
      <c r="D37" s="1">
        <v>533</v>
      </c>
      <c r="E37" s="34">
        <v>39965</v>
      </c>
      <c r="F37" s="1">
        <v>8.3000000000000007</v>
      </c>
      <c r="G37" s="34">
        <v>39965</v>
      </c>
      <c r="H37" s="1">
        <v>0.24</v>
      </c>
      <c r="I37" s="34">
        <v>39965</v>
      </c>
      <c r="J37" s="1">
        <v>156.25</v>
      </c>
      <c r="K37" s="34">
        <v>39965</v>
      </c>
      <c r="L37" s="1">
        <v>3232.1</v>
      </c>
      <c r="M37" s="34">
        <v>39965</v>
      </c>
      <c r="N37" s="1">
        <v>439</v>
      </c>
    </row>
    <row r="38" spans="1:14" x14ac:dyDescent="0.25">
      <c r="A38" s="34">
        <v>39995</v>
      </c>
      <c r="B38" s="1">
        <v>3188.7</v>
      </c>
      <c r="C38" s="34">
        <v>39995</v>
      </c>
      <c r="D38" s="1">
        <v>524</v>
      </c>
      <c r="E38" s="34">
        <v>39995</v>
      </c>
      <c r="F38" s="1">
        <v>8.4</v>
      </c>
      <c r="G38" s="34">
        <v>39995</v>
      </c>
      <c r="H38" s="1">
        <v>0.34</v>
      </c>
      <c r="I38" s="34">
        <v>39995</v>
      </c>
      <c r="J38" s="1">
        <v>156.09</v>
      </c>
      <c r="K38" s="34">
        <v>39995</v>
      </c>
      <c r="L38" s="1">
        <v>3200.1</v>
      </c>
      <c r="M38" s="34">
        <v>39995</v>
      </c>
      <c r="N38" s="1">
        <v>405.4</v>
      </c>
    </row>
    <row r="39" spans="1:14" x14ac:dyDescent="0.25">
      <c r="A39" s="34">
        <v>40026</v>
      </c>
      <c r="B39" s="1">
        <v>3188</v>
      </c>
      <c r="C39" s="34">
        <v>40026</v>
      </c>
      <c r="D39" s="1">
        <v>679</v>
      </c>
      <c r="E39" s="34">
        <v>40026</v>
      </c>
      <c r="F39" s="1">
        <v>8.5</v>
      </c>
      <c r="G39" s="34">
        <v>40026</v>
      </c>
      <c r="H39" s="1">
        <v>0.3</v>
      </c>
      <c r="I39" s="34">
        <v>40026</v>
      </c>
      <c r="J39" s="1">
        <v>155.94999999999999</v>
      </c>
      <c r="K39" s="34">
        <v>40026</v>
      </c>
      <c r="L39" s="1">
        <v>3184.8</v>
      </c>
      <c r="M39" s="34">
        <v>40026</v>
      </c>
      <c r="N39" s="1">
        <v>397.6</v>
      </c>
    </row>
    <row r="40" spans="1:14" x14ac:dyDescent="0.25">
      <c r="A40" s="34">
        <v>40057</v>
      </c>
      <c r="B40" s="1">
        <v>3186.6</v>
      </c>
      <c r="C40" s="34">
        <v>40057</v>
      </c>
      <c r="D40" s="1">
        <v>549</v>
      </c>
      <c r="E40" s="34">
        <v>40057</v>
      </c>
      <c r="F40" s="1">
        <v>8.6</v>
      </c>
      <c r="G40" s="34">
        <v>40057</v>
      </c>
      <c r="H40" s="1">
        <v>0.48</v>
      </c>
      <c r="I40" s="34">
        <v>40057</v>
      </c>
      <c r="J40" s="1">
        <v>155.86000000000001</v>
      </c>
      <c r="K40" s="34">
        <v>40057</v>
      </c>
      <c r="L40" s="1">
        <v>3207.2</v>
      </c>
      <c r="M40" s="34">
        <v>40057</v>
      </c>
      <c r="N40" s="1">
        <v>434.6</v>
      </c>
    </row>
    <row r="41" spans="1:14" x14ac:dyDescent="0.25">
      <c r="A41" s="34">
        <v>40087</v>
      </c>
      <c r="B41" s="1">
        <v>3184.2</v>
      </c>
      <c r="C41" s="34">
        <v>40087</v>
      </c>
      <c r="D41" s="1">
        <v>584</v>
      </c>
      <c r="E41" s="34">
        <v>40087</v>
      </c>
      <c r="F41" s="1">
        <v>8.6999999999999993</v>
      </c>
      <c r="G41" s="34">
        <v>40087</v>
      </c>
      <c r="H41" s="1">
        <v>1.1399999999999999</v>
      </c>
      <c r="I41" s="34">
        <v>40087</v>
      </c>
      <c r="J41" s="1">
        <v>156.09</v>
      </c>
      <c r="K41" s="34">
        <v>40087</v>
      </c>
      <c r="L41" s="1">
        <v>3223.1</v>
      </c>
      <c r="M41" s="34">
        <v>40087</v>
      </c>
      <c r="N41" s="1">
        <v>447.3</v>
      </c>
    </row>
    <row r="42" spans="1:14" x14ac:dyDescent="0.25">
      <c r="A42" s="34">
        <v>40118</v>
      </c>
      <c r="B42" s="1">
        <v>3187.5</v>
      </c>
      <c r="C42" s="34">
        <v>40118</v>
      </c>
      <c r="D42" s="1">
        <v>498</v>
      </c>
      <c r="E42" s="34">
        <v>40118</v>
      </c>
      <c r="F42" s="1">
        <v>8.6999999999999993</v>
      </c>
      <c r="G42" s="34">
        <v>40118</v>
      </c>
      <c r="H42" s="1">
        <v>1.35</v>
      </c>
      <c r="I42" s="34">
        <v>40118</v>
      </c>
      <c r="J42" s="1">
        <v>156.31</v>
      </c>
      <c r="K42" s="34">
        <v>40118</v>
      </c>
      <c r="L42" s="1">
        <v>3217</v>
      </c>
      <c r="M42" s="34">
        <v>40118</v>
      </c>
      <c r="N42" s="1">
        <v>447</v>
      </c>
    </row>
    <row r="43" spans="1:14" x14ac:dyDescent="0.25">
      <c r="A43" s="34">
        <v>40148</v>
      </c>
      <c r="B43" s="1">
        <v>3195.6</v>
      </c>
      <c r="C43" s="34">
        <v>40148</v>
      </c>
      <c r="D43" s="1">
        <v>861</v>
      </c>
      <c r="E43" s="34">
        <v>40148</v>
      </c>
      <c r="F43" s="1">
        <v>8.6999999999999993</v>
      </c>
      <c r="G43" s="34">
        <v>40148</v>
      </c>
      <c r="H43" s="1">
        <v>1.59</v>
      </c>
      <c r="I43" s="34">
        <v>40148</v>
      </c>
      <c r="J43" s="1">
        <v>156.57</v>
      </c>
      <c r="K43" s="34">
        <v>40148</v>
      </c>
      <c r="L43" s="1">
        <v>3219.8</v>
      </c>
      <c r="M43" s="34">
        <v>40148</v>
      </c>
      <c r="N43" s="1">
        <v>449.6</v>
      </c>
    </row>
    <row r="44" spans="1:14" x14ac:dyDescent="0.25">
      <c r="A44" s="34">
        <v>40179</v>
      </c>
      <c r="B44" s="1">
        <v>3203.3</v>
      </c>
      <c r="C44" s="34">
        <v>40179</v>
      </c>
      <c r="D44" s="1">
        <v>463</v>
      </c>
      <c r="E44" s="34">
        <v>40179</v>
      </c>
      <c r="F44" s="1">
        <v>8.6999999999999993</v>
      </c>
      <c r="G44" s="34">
        <v>40179</v>
      </c>
      <c r="H44" s="1">
        <v>2.16</v>
      </c>
      <c r="I44" s="34">
        <v>40179</v>
      </c>
      <c r="J44" s="1">
        <v>157.13999999999999</v>
      </c>
      <c r="K44" s="34">
        <v>40179</v>
      </c>
      <c r="L44" s="1">
        <v>3140.3</v>
      </c>
      <c r="M44" s="34">
        <v>40179</v>
      </c>
      <c r="N44" s="1">
        <v>438.5</v>
      </c>
    </row>
    <row r="45" spans="1:14" x14ac:dyDescent="0.25">
      <c r="A45" s="34">
        <v>40210</v>
      </c>
      <c r="B45" s="1">
        <v>3200</v>
      </c>
      <c r="C45" s="34">
        <v>40210</v>
      </c>
      <c r="D45" s="1">
        <v>534</v>
      </c>
      <c r="E45" s="34">
        <v>40210</v>
      </c>
      <c r="F45" s="1">
        <v>8.6</v>
      </c>
      <c r="G45" s="34">
        <v>40210</v>
      </c>
      <c r="H45" s="1">
        <v>2.39</v>
      </c>
      <c r="I45" s="34">
        <v>40210</v>
      </c>
      <c r="J45" s="1">
        <v>157.68</v>
      </c>
      <c r="K45" s="34">
        <v>40210</v>
      </c>
      <c r="L45" s="1">
        <v>3143.5</v>
      </c>
      <c r="M45" s="34">
        <v>40210</v>
      </c>
      <c r="N45" s="1">
        <v>446.2</v>
      </c>
    </row>
    <row r="46" spans="1:14" x14ac:dyDescent="0.25">
      <c r="A46" s="34">
        <v>40238</v>
      </c>
      <c r="B46" s="1">
        <v>3203.2</v>
      </c>
      <c r="C46" s="34">
        <v>40238</v>
      </c>
      <c r="D46" s="1">
        <v>532</v>
      </c>
      <c r="E46" s="34">
        <v>40238</v>
      </c>
      <c r="F46" s="1">
        <v>8.5</v>
      </c>
      <c r="G46" s="34">
        <v>40238</v>
      </c>
      <c r="H46" s="1">
        <v>2.2400000000000002</v>
      </c>
      <c r="I46" s="34">
        <v>40238</v>
      </c>
      <c r="J46" s="1">
        <v>158.22</v>
      </c>
      <c r="K46" s="34">
        <v>40238</v>
      </c>
      <c r="L46" s="1">
        <v>3156.4</v>
      </c>
      <c r="M46" s="34">
        <v>40238</v>
      </c>
      <c r="N46" s="1">
        <v>447.3</v>
      </c>
    </row>
    <row r="47" spans="1:14" x14ac:dyDescent="0.25">
      <c r="A47" s="34">
        <v>40269</v>
      </c>
      <c r="B47" s="1">
        <v>3211.3</v>
      </c>
      <c r="C47" s="34">
        <v>40269</v>
      </c>
      <c r="D47" s="1">
        <v>714</v>
      </c>
      <c r="E47" s="34">
        <v>40269</v>
      </c>
      <c r="F47" s="1">
        <v>8.4</v>
      </c>
      <c r="G47" s="34">
        <v>40269</v>
      </c>
      <c r="H47" s="1">
        <v>2.17</v>
      </c>
      <c r="I47" s="34">
        <v>40269</v>
      </c>
      <c r="J47" s="1">
        <v>158.76</v>
      </c>
      <c r="K47" s="34">
        <v>40269</v>
      </c>
      <c r="L47" s="1">
        <v>3210.1</v>
      </c>
      <c r="M47" s="34">
        <v>40269</v>
      </c>
      <c r="N47" s="1">
        <v>451.4</v>
      </c>
    </row>
    <row r="48" spans="1:14" x14ac:dyDescent="0.25">
      <c r="A48" s="34">
        <v>40299</v>
      </c>
      <c r="B48" s="1">
        <v>3225.5</v>
      </c>
      <c r="C48" s="34">
        <v>40299</v>
      </c>
      <c r="D48" s="1">
        <v>526</v>
      </c>
      <c r="E48" s="34">
        <v>40299</v>
      </c>
      <c r="F48" s="1">
        <v>8.3000000000000007</v>
      </c>
      <c r="G48" s="34">
        <v>40299</v>
      </c>
      <c r="H48" s="1">
        <v>1.99</v>
      </c>
      <c r="I48" s="34">
        <v>40299</v>
      </c>
      <c r="J48" s="1">
        <v>159.28</v>
      </c>
      <c r="K48" s="34">
        <v>40299</v>
      </c>
      <c r="L48" s="1">
        <v>3245.2</v>
      </c>
      <c r="M48" s="34">
        <v>40299</v>
      </c>
      <c r="N48" s="1">
        <v>460.2</v>
      </c>
    </row>
    <row r="49" spans="1:14" x14ac:dyDescent="0.25">
      <c r="A49" s="34">
        <v>40330</v>
      </c>
      <c r="B49" s="1">
        <v>3213.3</v>
      </c>
      <c r="C49" s="34">
        <v>40330</v>
      </c>
      <c r="D49" s="1">
        <v>1351</v>
      </c>
      <c r="E49" s="34">
        <v>40330</v>
      </c>
      <c r="F49" s="1">
        <v>8.1999999999999993</v>
      </c>
      <c r="G49" s="34">
        <v>40330</v>
      </c>
      <c r="H49" s="1">
        <v>1.44</v>
      </c>
      <c r="I49" s="34">
        <v>40330</v>
      </c>
      <c r="J49" s="1">
        <v>159.49</v>
      </c>
      <c r="K49" s="34">
        <v>40330</v>
      </c>
      <c r="L49" s="1">
        <v>3247.8</v>
      </c>
      <c r="M49" s="34">
        <v>40330</v>
      </c>
      <c r="N49" s="1">
        <v>442</v>
      </c>
    </row>
    <row r="50" spans="1:14" x14ac:dyDescent="0.25">
      <c r="A50" s="34">
        <v>40360</v>
      </c>
      <c r="B50" s="1">
        <v>3218.4</v>
      </c>
      <c r="C50" s="34">
        <v>40360</v>
      </c>
      <c r="D50" s="1">
        <v>853</v>
      </c>
      <c r="E50" s="34">
        <v>40360</v>
      </c>
      <c r="F50" s="1">
        <v>8.1999999999999993</v>
      </c>
      <c r="G50" s="34">
        <v>40360</v>
      </c>
      <c r="H50" s="1">
        <v>1.62</v>
      </c>
      <c r="I50" s="34">
        <v>40360</v>
      </c>
      <c r="J50" s="1">
        <v>160.03</v>
      </c>
      <c r="K50" s="34">
        <v>40360</v>
      </c>
      <c r="L50" s="1">
        <v>3232</v>
      </c>
      <c r="M50" s="34">
        <v>40360</v>
      </c>
      <c r="N50" s="1">
        <v>405.7</v>
      </c>
    </row>
    <row r="51" spans="1:14" x14ac:dyDescent="0.25">
      <c r="A51" s="34">
        <v>40391</v>
      </c>
      <c r="B51" s="1">
        <v>3219.5</v>
      </c>
      <c r="C51" s="34">
        <v>40391</v>
      </c>
      <c r="D51" s="1">
        <v>721</v>
      </c>
      <c r="E51" s="34">
        <v>40391</v>
      </c>
      <c r="F51" s="1">
        <v>8.1</v>
      </c>
      <c r="G51" s="34">
        <v>40391</v>
      </c>
      <c r="H51" s="1">
        <v>1.1399999999999999</v>
      </c>
      <c r="I51" s="34">
        <v>40391</v>
      </c>
      <c r="J51" s="1">
        <v>160.24</v>
      </c>
      <c r="K51" s="34">
        <v>40391</v>
      </c>
      <c r="L51" s="1">
        <v>3217.1</v>
      </c>
      <c r="M51" s="34">
        <v>40391</v>
      </c>
      <c r="N51" s="1">
        <v>397.5</v>
      </c>
    </row>
    <row r="52" spans="1:14" x14ac:dyDescent="0.25">
      <c r="A52" s="34">
        <v>40422</v>
      </c>
      <c r="B52" s="1">
        <v>3215.5</v>
      </c>
      <c r="C52" s="34">
        <v>40422</v>
      </c>
      <c r="D52" s="1">
        <v>819</v>
      </c>
      <c r="E52" s="34">
        <v>40422</v>
      </c>
      <c r="F52" s="1">
        <v>8.1</v>
      </c>
      <c r="G52" s="34">
        <v>40422</v>
      </c>
      <c r="H52" s="1">
        <v>1.66</v>
      </c>
      <c r="I52" s="34">
        <v>40422</v>
      </c>
      <c r="J52" s="1">
        <v>160.77000000000001</v>
      </c>
      <c r="K52" s="34">
        <v>40422</v>
      </c>
      <c r="L52" s="1">
        <v>3235.7</v>
      </c>
      <c r="M52" s="34">
        <v>40422</v>
      </c>
      <c r="N52" s="1">
        <v>436.6</v>
      </c>
    </row>
    <row r="53" spans="1:14" x14ac:dyDescent="0.25">
      <c r="A53" s="34">
        <v>40452</v>
      </c>
      <c r="B53" s="1">
        <v>3230.7</v>
      </c>
      <c r="C53" s="34">
        <v>40452</v>
      </c>
      <c r="D53" s="1">
        <v>614</v>
      </c>
      <c r="E53" s="34">
        <v>40452</v>
      </c>
      <c r="F53" s="1">
        <v>8</v>
      </c>
      <c r="G53" s="34">
        <v>40452</v>
      </c>
      <c r="H53" s="1">
        <v>1.17</v>
      </c>
      <c r="I53" s="34">
        <v>40452</v>
      </c>
      <c r="J53" s="1">
        <v>160.99</v>
      </c>
      <c r="K53" s="34">
        <v>40452</v>
      </c>
      <c r="L53" s="1">
        <v>3263.9</v>
      </c>
      <c r="M53" s="34">
        <v>40452</v>
      </c>
      <c r="N53" s="1">
        <v>446.8</v>
      </c>
    </row>
    <row r="54" spans="1:14" x14ac:dyDescent="0.25">
      <c r="A54" s="34">
        <v>40483</v>
      </c>
      <c r="B54" s="1">
        <v>3231.9</v>
      </c>
      <c r="C54" s="34">
        <v>40483</v>
      </c>
      <c r="D54" s="1">
        <v>828</v>
      </c>
      <c r="E54" s="34">
        <v>40483</v>
      </c>
      <c r="F54" s="1">
        <v>8</v>
      </c>
      <c r="G54" s="34">
        <v>40483</v>
      </c>
      <c r="H54" s="1">
        <v>1.82</v>
      </c>
      <c r="I54" s="34">
        <v>40483</v>
      </c>
      <c r="J54" s="1">
        <v>161.59</v>
      </c>
      <c r="K54" s="34">
        <v>40483</v>
      </c>
      <c r="L54" s="1">
        <v>3261.4</v>
      </c>
      <c r="M54" s="34">
        <v>40483</v>
      </c>
      <c r="N54" s="1">
        <v>450.5</v>
      </c>
    </row>
    <row r="55" spans="1:14" x14ac:dyDescent="0.25">
      <c r="A55" s="34">
        <v>40513</v>
      </c>
      <c r="B55" s="1">
        <v>3234.5</v>
      </c>
      <c r="C55" s="34">
        <v>40513</v>
      </c>
      <c r="D55" s="1">
        <v>737</v>
      </c>
      <c r="E55" s="34">
        <v>40513</v>
      </c>
      <c r="F55" s="1">
        <v>7.9</v>
      </c>
      <c r="G55" s="34">
        <v>40513</v>
      </c>
      <c r="H55" s="1">
        <v>2.5099999999999998</v>
      </c>
      <c r="I55" s="34">
        <v>40513</v>
      </c>
      <c r="J55" s="1">
        <v>162.43</v>
      </c>
      <c r="K55" s="34">
        <v>40513</v>
      </c>
      <c r="L55" s="1">
        <v>3261.5</v>
      </c>
      <c r="M55" s="34">
        <v>40513</v>
      </c>
      <c r="N55" s="1">
        <v>449.2</v>
      </c>
    </row>
    <row r="56" spans="1:14" x14ac:dyDescent="0.25">
      <c r="A56" s="34">
        <v>40544</v>
      </c>
      <c r="B56" s="1">
        <v>3236.1</v>
      </c>
      <c r="C56" s="34">
        <v>40544</v>
      </c>
      <c r="D56" s="1">
        <v>368</v>
      </c>
      <c r="E56" s="34">
        <v>40544</v>
      </c>
      <c r="F56" s="1">
        <v>7.7</v>
      </c>
      <c r="G56" s="34">
        <v>40544</v>
      </c>
      <c r="H56" s="1">
        <v>2.04</v>
      </c>
      <c r="I56" s="34">
        <v>40544</v>
      </c>
      <c r="J56" s="1">
        <v>162.93</v>
      </c>
      <c r="K56" s="34">
        <v>40544</v>
      </c>
      <c r="L56" s="1">
        <v>3162.9</v>
      </c>
      <c r="M56" s="34">
        <v>40544</v>
      </c>
      <c r="N56" s="1">
        <v>432.8</v>
      </c>
    </row>
    <row r="57" spans="1:14" x14ac:dyDescent="0.25">
      <c r="A57" s="34">
        <v>40575</v>
      </c>
      <c r="B57" s="1">
        <v>3233.9</v>
      </c>
      <c r="C57" s="34">
        <v>40575</v>
      </c>
      <c r="D57" s="1">
        <v>289</v>
      </c>
      <c r="E57" s="34">
        <v>40575</v>
      </c>
      <c r="F57" s="1">
        <v>7.6</v>
      </c>
      <c r="G57" s="34">
        <v>40575</v>
      </c>
      <c r="H57" s="1">
        <v>1.55</v>
      </c>
      <c r="I57" s="34">
        <v>40575</v>
      </c>
      <c r="J57" s="1">
        <v>163.47</v>
      </c>
      <c r="K57" s="34">
        <v>40575</v>
      </c>
      <c r="L57" s="1">
        <v>3176.5</v>
      </c>
      <c r="M57" s="34">
        <v>40575</v>
      </c>
      <c r="N57" s="1">
        <v>445.2</v>
      </c>
    </row>
    <row r="58" spans="1:14" x14ac:dyDescent="0.25">
      <c r="A58" s="34">
        <v>40603</v>
      </c>
      <c r="B58" s="1">
        <v>3239</v>
      </c>
      <c r="C58" s="34">
        <v>40603</v>
      </c>
      <c r="D58" s="1">
        <v>433</v>
      </c>
      <c r="E58" s="34">
        <v>40603</v>
      </c>
      <c r="F58" s="1">
        <v>7.5</v>
      </c>
      <c r="G58" s="34">
        <v>40603</v>
      </c>
      <c r="H58" s="1">
        <v>1.37</v>
      </c>
      <c r="I58" s="34">
        <v>40603</v>
      </c>
      <c r="J58" s="1">
        <v>163.99</v>
      </c>
      <c r="K58" s="34">
        <v>40603</v>
      </c>
      <c r="L58" s="1">
        <v>3191.8</v>
      </c>
      <c r="M58" s="34">
        <v>40603</v>
      </c>
      <c r="N58" s="1">
        <v>445.6</v>
      </c>
    </row>
    <row r="59" spans="1:14" x14ac:dyDescent="0.25">
      <c r="A59" s="34">
        <v>40634</v>
      </c>
      <c r="B59" s="1">
        <v>3249.8</v>
      </c>
      <c r="C59" s="34">
        <v>40634</v>
      </c>
      <c r="D59" s="1">
        <v>455</v>
      </c>
      <c r="E59" s="34">
        <v>40634</v>
      </c>
      <c r="F59" s="1">
        <v>7.4</v>
      </c>
      <c r="G59" s="34">
        <v>40634</v>
      </c>
      <c r="H59" s="1">
        <v>1.06</v>
      </c>
      <c r="I59" s="34">
        <v>40634</v>
      </c>
      <c r="J59" s="1">
        <v>164.2</v>
      </c>
      <c r="K59" s="34">
        <v>40634</v>
      </c>
      <c r="L59" s="1">
        <v>3248.7</v>
      </c>
      <c r="M59" s="34">
        <v>40634</v>
      </c>
      <c r="N59" s="1">
        <v>445.5</v>
      </c>
    </row>
    <row r="60" spans="1:14" x14ac:dyDescent="0.25">
      <c r="A60" s="34">
        <v>40664</v>
      </c>
      <c r="B60" s="1">
        <v>3248.4</v>
      </c>
      <c r="C60" s="34">
        <v>40664</v>
      </c>
      <c r="D60" s="1">
        <v>865</v>
      </c>
      <c r="E60" s="34">
        <v>40664</v>
      </c>
      <c r="F60" s="1">
        <v>7.4</v>
      </c>
      <c r="G60" s="34">
        <v>40664</v>
      </c>
      <c r="H60" s="1">
        <v>0.77</v>
      </c>
      <c r="I60" s="34">
        <v>40664</v>
      </c>
      <c r="J60" s="1">
        <v>164.45</v>
      </c>
      <c r="K60" s="34">
        <v>40664</v>
      </c>
      <c r="L60" s="1">
        <v>3268.4</v>
      </c>
      <c r="M60" s="34">
        <v>40664</v>
      </c>
      <c r="N60" s="1">
        <v>447.4</v>
      </c>
    </row>
    <row r="61" spans="1:14" x14ac:dyDescent="0.25">
      <c r="A61" s="34">
        <v>40695</v>
      </c>
      <c r="B61" s="1">
        <v>3241.8</v>
      </c>
      <c r="C61" s="34">
        <v>40695</v>
      </c>
      <c r="D61" s="1">
        <v>930</v>
      </c>
      <c r="E61" s="34">
        <v>40695</v>
      </c>
      <c r="F61" s="1">
        <v>7.4</v>
      </c>
      <c r="G61" s="34">
        <v>40695</v>
      </c>
      <c r="H61" s="1">
        <v>0.86</v>
      </c>
      <c r="I61" s="34">
        <v>40695</v>
      </c>
      <c r="J61" s="1">
        <v>164.74</v>
      </c>
      <c r="K61" s="34">
        <v>40695</v>
      </c>
      <c r="L61" s="1">
        <v>3283.9</v>
      </c>
      <c r="M61" s="34">
        <v>40695</v>
      </c>
      <c r="N61" s="1">
        <v>436</v>
      </c>
    </row>
    <row r="62" spans="1:14" x14ac:dyDescent="0.25">
      <c r="A62" s="34">
        <v>40725</v>
      </c>
      <c r="B62" s="1">
        <v>3265.7</v>
      </c>
      <c r="C62" s="34">
        <v>40725</v>
      </c>
      <c r="D62" s="1">
        <v>449</v>
      </c>
      <c r="E62" s="34">
        <v>40725</v>
      </c>
      <c r="F62" s="1">
        <v>7.4</v>
      </c>
      <c r="G62" s="34">
        <v>40725</v>
      </c>
      <c r="H62" s="1">
        <v>1.66</v>
      </c>
      <c r="I62" s="34">
        <v>40725</v>
      </c>
      <c r="J62" s="1">
        <v>165.36</v>
      </c>
      <c r="K62" s="34">
        <v>40725</v>
      </c>
      <c r="L62" s="1">
        <v>3278.4</v>
      </c>
      <c r="M62" s="34">
        <v>40725</v>
      </c>
      <c r="N62" s="1">
        <v>401.9</v>
      </c>
    </row>
    <row r="63" spans="1:14" x14ac:dyDescent="0.25">
      <c r="A63" s="34">
        <v>40756</v>
      </c>
      <c r="B63" s="1">
        <v>3264.5</v>
      </c>
      <c r="C63" s="34">
        <v>40756</v>
      </c>
      <c r="D63" s="1">
        <v>530</v>
      </c>
      <c r="E63" s="34">
        <v>40756</v>
      </c>
      <c r="F63" s="1">
        <v>7.3</v>
      </c>
      <c r="G63" s="34">
        <v>40756</v>
      </c>
      <c r="H63" s="1">
        <v>2.1</v>
      </c>
      <c r="I63" s="34">
        <v>40756</v>
      </c>
      <c r="J63" s="1">
        <v>165.96</v>
      </c>
      <c r="K63" s="34">
        <v>40756</v>
      </c>
      <c r="L63" s="1">
        <v>3262.4</v>
      </c>
      <c r="M63" s="34">
        <v>40756</v>
      </c>
      <c r="N63" s="1">
        <v>393.4</v>
      </c>
    </row>
    <row r="64" spans="1:14" x14ac:dyDescent="0.25">
      <c r="A64" s="34">
        <v>40787</v>
      </c>
      <c r="B64" s="1">
        <v>3272.5</v>
      </c>
      <c r="C64" s="34">
        <v>40787</v>
      </c>
      <c r="D64" s="1">
        <v>486</v>
      </c>
      <c r="E64" s="34">
        <v>40787</v>
      </c>
      <c r="F64" s="1">
        <v>7.2</v>
      </c>
      <c r="G64" s="34">
        <v>40787</v>
      </c>
      <c r="H64" s="1">
        <v>2.27</v>
      </c>
      <c r="I64" s="34">
        <v>40787</v>
      </c>
      <c r="J64" s="1">
        <v>166.57</v>
      </c>
      <c r="K64" s="34">
        <v>40787</v>
      </c>
      <c r="L64" s="1">
        <v>3291.9</v>
      </c>
      <c r="M64" s="34">
        <v>40787</v>
      </c>
      <c r="N64" s="1">
        <v>436.3</v>
      </c>
    </row>
    <row r="65" spans="1:14" x14ac:dyDescent="0.25">
      <c r="A65" s="34">
        <v>40817</v>
      </c>
      <c r="B65" s="1">
        <v>3273.4</v>
      </c>
      <c r="C65" s="34">
        <v>40817</v>
      </c>
      <c r="D65" s="1">
        <v>826</v>
      </c>
      <c r="E65" s="34">
        <v>40817</v>
      </c>
      <c r="F65" s="1">
        <v>7.1</v>
      </c>
      <c r="G65" s="34">
        <v>40817</v>
      </c>
      <c r="H65" s="1">
        <v>2.4900000000000002</v>
      </c>
      <c r="I65" s="34">
        <v>40817</v>
      </c>
      <c r="J65" s="1">
        <v>167.18</v>
      </c>
      <c r="K65" s="34">
        <v>40817</v>
      </c>
      <c r="L65" s="1">
        <v>3306.7</v>
      </c>
      <c r="M65" s="34">
        <v>40817</v>
      </c>
      <c r="N65" s="1">
        <v>443.1</v>
      </c>
    </row>
    <row r="66" spans="1:14" x14ac:dyDescent="0.25">
      <c r="A66" s="34">
        <v>40848</v>
      </c>
      <c r="B66" s="1">
        <v>3274.5</v>
      </c>
      <c r="C66" s="34">
        <v>40848</v>
      </c>
      <c r="D66" s="1">
        <v>830</v>
      </c>
      <c r="E66" s="34">
        <v>40848</v>
      </c>
      <c r="F66" s="1">
        <v>7</v>
      </c>
      <c r="G66" s="34">
        <v>40848</v>
      </c>
      <c r="H66" s="1">
        <v>2.44</v>
      </c>
      <c r="I66" s="34">
        <v>40848</v>
      </c>
      <c r="J66" s="1">
        <v>167.83</v>
      </c>
      <c r="K66" s="34">
        <v>40848</v>
      </c>
      <c r="L66" s="1">
        <v>3304.2</v>
      </c>
      <c r="M66" s="34">
        <v>40848</v>
      </c>
      <c r="N66" s="1">
        <v>443.7</v>
      </c>
    </row>
    <row r="67" spans="1:14" x14ac:dyDescent="0.25">
      <c r="A67" s="34">
        <v>40878</v>
      </c>
      <c r="B67" s="1">
        <v>3278.4</v>
      </c>
      <c r="C67" s="34">
        <v>40878</v>
      </c>
      <c r="D67" s="1">
        <v>894</v>
      </c>
      <c r="E67" s="34">
        <v>40878</v>
      </c>
      <c r="F67" s="1">
        <v>6.9</v>
      </c>
      <c r="G67" s="34">
        <v>40878</v>
      </c>
      <c r="H67" s="1">
        <v>2.4300000000000002</v>
      </c>
      <c r="I67" s="34">
        <v>40878</v>
      </c>
      <c r="J67" s="1">
        <v>168.5</v>
      </c>
      <c r="K67" s="34">
        <v>40878</v>
      </c>
      <c r="L67" s="1">
        <v>3304.8</v>
      </c>
      <c r="M67" s="34">
        <v>40878</v>
      </c>
      <c r="N67" s="1">
        <v>445.8</v>
      </c>
    </row>
    <row r="68" spans="1:14" x14ac:dyDescent="0.25">
      <c r="A68" s="34">
        <v>40909</v>
      </c>
      <c r="B68" s="1">
        <v>3289.4</v>
      </c>
      <c r="C68" s="34">
        <v>40909</v>
      </c>
      <c r="D68" s="1">
        <v>429</v>
      </c>
      <c r="E68" s="34">
        <v>40909</v>
      </c>
      <c r="F68" s="1">
        <v>6.8</v>
      </c>
      <c r="G68" s="34">
        <v>40909</v>
      </c>
      <c r="H68" s="1">
        <v>2.39</v>
      </c>
      <c r="I68" s="34">
        <v>40909</v>
      </c>
      <c r="J68" s="1">
        <v>169.18</v>
      </c>
      <c r="K68" s="34">
        <v>40909</v>
      </c>
      <c r="L68" s="1">
        <v>3215</v>
      </c>
      <c r="M68" s="34">
        <v>40909</v>
      </c>
      <c r="N68" s="1">
        <v>431.7</v>
      </c>
    </row>
    <row r="69" spans="1:14" x14ac:dyDescent="0.25">
      <c r="A69" s="34">
        <v>40940</v>
      </c>
      <c r="B69" s="1">
        <v>3292.4</v>
      </c>
      <c r="C69" s="34">
        <v>40940</v>
      </c>
      <c r="D69" s="1">
        <v>1082</v>
      </c>
      <c r="E69" s="34">
        <v>40940</v>
      </c>
      <c r="F69" s="1">
        <v>6.7</v>
      </c>
      <c r="G69" s="34">
        <v>40940</v>
      </c>
      <c r="H69" s="1">
        <v>2</v>
      </c>
      <c r="I69" s="34">
        <v>40940</v>
      </c>
      <c r="J69" s="1">
        <v>169.55</v>
      </c>
      <c r="K69" s="34">
        <v>40940</v>
      </c>
      <c r="L69" s="1">
        <v>3227</v>
      </c>
      <c r="M69" s="34">
        <v>40940</v>
      </c>
      <c r="N69" s="1">
        <v>443.9</v>
      </c>
    </row>
    <row r="70" spans="1:14" x14ac:dyDescent="0.25">
      <c r="A70" s="34">
        <v>40969</v>
      </c>
      <c r="B70" s="1">
        <v>3302.2</v>
      </c>
      <c r="C70" s="34">
        <v>40969</v>
      </c>
      <c r="D70" s="1">
        <v>601</v>
      </c>
      <c r="E70" s="34">
        <v>40969</v>
      </c>
      <c r="F70" s="1">
        <v>6.7</v>
      </c>
      <c r="G70" s="34">
        <v>40969</v>
      </c>
      <c r="H70" s="1">
        <v>1.83</v>
      </c>
      <c r="I70" s="34">
        <v>40969</v>
      </c>
      <c r="J70" s="1">
        <v>169.96</v>
      </c>
      <c r="K70" s="34">
        <v>40969</v>
      </c>
      <c r="L70" s="1">
        <v>3254.7</v>
      </c>
      <c r="M70" s="34">
        <v>40969</v>
      </c>
      <c r="N70" s="1">
        <v>447</v>
      </c>
    </row>
    <row r="71" spans="1:14" x14ac:dyDescent="0.25">
      <c r="A71" s="34">
        <v>41000</v>
      </c>
      <c r="B71" s="1">
        <v>3298.1</v>
      </c>
      <c r="C71" s="34">
        <v>41000</v>
      </c>
      <c r="D71" s="1">
        <v>1026</v>
      </c>
      <c r="E71" s="34">
        <v>41000</v>
      </c>
      <c r="F71" s="1">
        <v>6.7</v>
      </c>
      <c r="G71" s="34">
        <v>41000</v>
      </c>
      <c r="H71" s="1">
        <v>1.73</v>
      </c>
      <c r="I71" s="34">
        <v>41000</v>
      </c>
      <c r="J71" s="1">
        <v>170.36</v>
      </c>
      <c r="K71" s="34">
        <v>41000</v>
      </c>
      <c r="L71" s="1">
        <v>3292.3</v>
      </c>
      <c r="M71" s="34">
        <v>41000</v>
      </c>
      <c r="N71" s="1">
        <v>446.7</v>
      </c>
    </row>
    <row r="72" spans="1:14" x14ac:dyDescent="0.25">
      <c r="A72" s="34">
        <v>41030</v>
      </c>
      <c r="B72" s="1">
        <v>3299.9</v>
      </c>
      <c r="C72" s="34">
        <v>41030</v>
      </c>
      <c r="D72" s="1">
        <v>1072</v>
      </c>
      <c r="E72" s="34">
        <v>41030</v>
      </c>
      <c r="F72" s="1">
        <v>6.7</v>
      </c>
      <c r="G72" s="34">
        <v>41030</v>
      </c>
      <c r="H72" s="1">
        <v>1.21</v>
      </c>
      <c r="I72" s="34">
        <v>41030</v>
      </c>
      <c r="J72" s="1">
        <v>170.48</v>
      </c>
      <c r="K72" s="34">
        <v>41030</v>
      </c>
      <c r="L72" s="1">
        <v>3319.9</v>
      </c>
      <c r="M72" s="34">
        <v>41030</v>
      </c>
      <c r="N72" s="1">
        <v>448.3</v>
      </c>
    </row>
    <row r="73" spans="1:14" x14ac:dyDescent="0.25">
      <c r="A73" s="34">
        <v>41061</v>
      </c>
      <c r="B73" s="1">
        <v>3311.9</v>
      </c>
      <c r="C73" s="34">
        <v>41061</v>
      </c>
      <c r="D73" s="1">
        <v>675</v>
      </c>
      <c r="E73" s="34">
        <v>41061</v>
      </c>
      <c r="F73" s="1">
        <v>6.8</v>
      </c>
      <c r="G73" s="34">
        <v>41061</v>
      </c>
      <c r="H73" s="1">
        <v>1.57</v>
      </c>
      <c r="I73" s="34">
        <v>41061</v>
      </c>
      <c r="J73" s="1">
        <v>170.98</v>
      </c>
      <c r="K73" s="34">
        <v>41061</v>
      </c>
      <c r="L73" s="1">
        <v>3355.5</v>
      </c>
      <c r="M73" s="34">
        <v>41061</v>
      </c>
      <c r="N73" s="1">
        <v>438.9</v>
      </c>
    </row>
    <row r="74" spans="1:14" x14ac:dyDescent="0.25">
      <c r="A74" s="34">
        <v>41091</v>
      </c>
      <c r="B74" s="1">
        <v>3311</v>
      </c>
      <c r="C74" s="34">
        <v>41091</v>
      </c>
      <c r="D74" s="1">
        <v>715</v>
      </c>
      <c r="E74" s="34">
        <v>41091</v>
      </c>
      <c r="F74" s="1">
        <v>6.8</v>
      </c>
      <c r="G74" s="34">
        <v>41091</v>
      </c>
      <c r="H74" s="1">
        <v>1.95</v>
      </c>
      <c r="I74" s="34">
        <v>41091</v>
      </c>
      <c r="J74" s="1">
        <v>171.45</v>
      </c>
      <c r="K74" s="34">
        <v>41091</v>
      </c>
      <c r="L74" s="1">
        <v>3324.8</v>
      </c>
      <c r="M74" s="34">
        <v>41091</v>
      </c>
      <c r="N74" s="1">
        <v>403.7</v>
      </c>
    </row>
    <row r="75" spans="1:14" x14ac:dyDescent="0.25">
      <c r="A75" s="34">
        <v>41122</v>
      </c>
      <c r="B75" s="1">
        <v>3312.5</v>
      </c>
      <c r="C75" s="34">
        <v>41122</v>
      </c>
      <c r="D75" s="1">
        <v>1076</v>
      </c>
      <c r="E75" s="34">
        <v>41122</v>
      </c>
      <c r="F75" s="1">
        <v>6.8</v>
      </c>
      <c r="G75" s="34">
        <v>41122</v>
      </c>
      <c r="H75" s="1">
        <v>1.83</v>
      </c>
      <c r="I75" s="34">
        <v>41122</v>
      </c>
      <c r="J75" s="1">
        <v>171.94</v>
      </c>
      <c r="K75" s="34">
        <v>41122</v>
      </c>
      <c r="L75" s="1">
        <v>3316.6</v>
      </c>
      <c r="M75" s="34">
        <v>41122</v>
      </c>
      <c r="N75" s="1">
        <v>397.7</v>
      </c>
    </row>
    <row r="76" spans="1:14" x14ac:dyDescent="0.25">
      <c r="A76" s="34">
        <v>41153</v>
      </c>
      <c r="B76" s="1">
        <v>3319.1</v>
      </c>
      <c r="C76" s="34">
        <v>41153</v>
      </c>
      <c r="D76" s="1">
        <v>670</v>
      </c>
      <c r="E76" s="34">
        <v>41153</v>
      </c>
      <c r="F76" s="1">
        <v>6.8</v>
      </c>
      <c r="G76" s="34">
        <v>41153</v>
      </c>
      <c r="H76" s="1">
        <v>1.75</v>
      </c>
      <c r="I76" s="34">
        <v>41153</v>
      </c>
      <c r="J76" s="1">
        <v>172.42</v>
      </c>
      <c r="K76" s="34">
        <v>41153</v>
      </c>
      <c r="L76" s="1">
        <v>3338.2</v>
      </c>
      <c r="M76" s="34">
        <v>41153</v>
      </c>
      <c r="N76" s="1">
        <v>440.2</v>
      </c>
    </row>
    <row r="77" spans="1:14" x14ac:dyDescent="0.25">
      <c r="A77" s="34">
        <v>41183</v>
      </c>
      <c r="B77" s="1">
        <v>3322.4</v>
      </c>
      <c r="C77" s="34">
        <v>41183</v>
      </c>
      <c r="D77" s="1">
        <v>770</v>
      </c>
      <c r="E77" s="34">
        <v>41183</v>
      </c>
      <c r="F77" s="1">
        <v>6.8</v>
      </c>
      <c r="G77" s="34">
        <v>41183</v>
      </c>
      <c r="H77" s="1">
        <v>1.66</v>
      </c>
      <c r="I77" s="34">
        <v>41183</v>
      </c>
      <c r="J77" s="1">
        <v>172.89</v>
      </c>
      <c r="K77" s="34">
        <v>41183</v>
      </c>
      <c r="L77" s="1">
        <v>3355.5</v>
      </c>
      <c r="M77" s="34">
        <v>41183</v>
      </c>
      <c r="N77" s="1">
        <v>447</v>
      </c>
    </row>
    <row r="78" spans="1:14" x14ac:dyDescent="0.25">
      <c r="A78" s="34">
        <v>41214</v>
      </c>
      <c r="B78" s="1">
        <v>3329.2</v>
      </c>
      <c r="C78" s="34">
        <v>41214</v>
      </c>
      <c r="D78" s="1">
        <v>967</v>
      </c>
      <c r="E78" s="34">
        <v>41214</v>
      </c>
      <c r="F78" s="1">
        <v>6.8</v>
      </c>
      <c r="G78" s="34">
        <v>41214</v>
      </c>
      <c r="H78" s="1">
        <v>1.32</v>
      </c>
      <c r="I78" s="34">
        <v>41214</v>
      </c>
      <c r="J78" s="1">
        <v>173.06</v>
      </c>
      <c r="K78" s="34">
        <v>41214</v>
      </c>
      <c r="L78" s="1">
        <v>3360.3</v>
      </c>
      <c r="M78" s="34">
        <v>41214</v>
      </c>
      <c r="N78" s="1">
        <v>451.6</v>
      </c>
    </row>
    <row r="79" spans="1:14" x14ac:dyDescent="0.25">
      <c r="A79" s="34">
        <v>41244</v>
      </c>
      <c r="B79" s="1">
        <v>3331.5</v>
      </c>
      <c r="C79" s="34">
        <v>41244</v>
      </c>
      <c r="D79" s="1">
        <v>1028</v>
      </c>
      <c r="E79" s="34">
        <v>41244</v>
      </c>
      <c r="F79" s="1">
        <v>6.9</v>
      </c>
      <c r="G79" s="34">
        <v>41244</v>
      </c>
      <c r="H79" s="1">
        <v>1.66</v>
      </c>
      <c r="I79" s="34">
        <v>41244</v>
      </c>
      <c r="J79" s="1">
        <v>173.61</v>
      </c>
      <c r="K79" s="34">
        <v>41244</v>
      </c>
      <c r="L79" s="1">
        <v>3353.8</v>
      </c>
      <c r="M79" s="34">
        <v>41244</v>
      </c>
      <c r="N79" s="1">
        <v>449.6</v>
      </c>
    </row>
    <row r="80" spans="1:14" x14ac:dyDescent="0.25">
      <c r="A80" s="34">
        <v>41275</v>
      </c>
      <c r="B80" s="1">
        <v>3332.2</v>
      </c>
      <c r="C80" s="34">
        <v>41275</v>
      </c>
      <c r="D80" s="1">
        <v>762</v>
      </c>
      <c r="E80" s="34">
        <v>41275</v>
      </c>
      <c r="F80" s="1">
        <v>6.9</v>
      </c>
      <c r="G80" s="34">
        <v>41275</v>
      </c>
      <c r="H80" s="1">
        <v>2.0099999999999998</v>
      </c>
      <c r="I80" s="34">
        <v>41275</v>
      </c>
      <c r="J80" s="1">
        <v>174.12</v>
      </c>
      <c r="K80" s="34">
        <v>41275</v>
      </c>
      <c r="L80" s="1">
        <v>3257.2</v>
      </c>
      <c r="M80" s="34">
        <v>41275</v>
      </c>
      <c r="N80" s="1">
        <v>433.8</v>
      </c>
    </row>
    <row r="81" spans="1:14" x14ac:dyDescent="0.25">
      <c r="A81" s="34">
        <v>41306</v>
      </c>
      <c r="B81" s="1">
        <v>3339</v>
      </c>
      <c r="C81" s="34">
        <v>41306</v>
      </c>
      <c r="D81" s="1">
        <v>694</v>
      </c>
      <c r="E81" s="34">
        <v>41306</v>
      </c>
      <c r="F81" s="1">
        <v>6.9</v>
      </c>
      <c r="G81" s="34">
        <v>41306</v>
      </c>
      <c r="H81" s="1">
        <v>1.9</v>
      </c>
      <c r="I81" s="34">
        <v>41306</v>
      </c>
      <c r="J81" s="1">
        <v>174.6</v>
      </c>
      <c r="K81" s="34">
        <v>41306</v>
      </c>
      <c r="L81" s="1">
        <v>3273.7</v>
      </c>
      <c r="M81" s="34">
        <v>41306</v>
      </c>
      <c r="N81" s="1">
        <v>451.1</v>
      </c>
    </row>
    <row r="82" spans="1:14" x14ac:dyDescent="0.25">
      <c r="A82" s="34">
        <v>41334</v>
      </c>
      <c r="B82" s="1">
        <v>3346</v>
      </c>
      <c r="C82" s="34">
        <v>41334</v>
      </c>
      <c r="D82" s="1">
        <v>900</v>
      </c>
      <c r="E82" s="34">
        <v>41334</v>
      </c>
      <c r="F82" s="1">
        <v>6.9</v>
      </c>
      <c r="G82" s="34">
        <v>41334</v>
      </c>
      <c r="H82" s="1">
        <v>1.32</v>
      </c>
      <c r="I82" s="34">
        <v>41334</v>
      </c>
      <c r="J82" s="1">
        <v>174.77</v>
      </c>
      <c r="K82" s="34">
        <v>41334</v>
      </c>
      <c r="L82" s="1">
        <v>3299</v>
      </c>
      <c r="M82" s="34">
        <v>41334</v>
      </c>
      <c r="N82" s="1">
        <v>452.4</v>
      </c>
    </row>
    <row r="83" spans="1:14" x14ac:dyDescent="0.25">
      <c r="A83" s="34">
        <v>41365</v>
      </c>
      <c r="B83" s="1">
        <v>3349.7</v>
      </c>
      <c r="C83" s="34">
        <v>41365</v>
      </c>
      <c r="D83" s="1">
        <v>1068</v>
      </c>
      <c r="E83" s="34">
        <v>41365</v>
      </c>
      <c r="F83" s="1">
        <v>7</v>
      </c>
      <c r="G83" s="34">
        <v>41365</v>
      </c>
      <c r="H83" s="1">
        <v>1.66</v>
      </c>
      <c r="I83" s="34">
        <v>41365</v>
      </c>
      <c r="J83" s="1">
        <v>175.26</v>
      </c>
      <c r="K83" s="34">
        <v>41365</v>
      </c>
      <c r="L83" s="1">
        <v>3344.1</v>
      </c>
      <c r="M83" s="34">
        <v>41365</v>
      </c>
      <c r="N83" s="1">
        <v>455.5</v>
      </c>
    </row>
    <row r="84" spans="1:14" x14ac:dyDescent="0.25">
      <c r="A84" s="34">
        <v>41395</v>
      </c>
      <c r="B84" s="1">
        <v>3354.9</v>
      </c>
      <c r="C84" s="34">
        <v>41395</v>
      </c>
      <c r="D84" s="1">
        <v>996</v>
      </c>
      <c r="E84" s="34">
        <v>41395</v>
      </c>
      <c r="F84" s="1">
        <v>7</v>
      </c>
      <c r="G84" s="34">
        <v>41395</v>
      </c>
      <c r="H84" s="1">
        <v>1.1399999999999999</v>
      </c>
      <c r="I84" s="34">
        <v>41395</v>
      </c>
      <c r="J84" s="1">
        <v>175.36</v>
      </c>
      <c r="K84" s="34">
        <v>41395</v>
      </c>
      <c r="L84" s="1">
        <v>3377.1</v>
      </c>
      <c r="M84" s="34">
        <v>41395</v>
      </c>
      <c r="N84" s="1">
        <v>457.1</v>
      </c>
    </row>
    <row r="85" spans="1:14" x14ac:dyDescent="0.25">
      <c r="A85" s="34">
        <v>41426</v>
      </c>
      <c r="B85" s="1">
        <v>3360.6</v>
      </c>
      <c r="C85" s="34">
        <v>41426</v>
      </c>
      <c r="D85" s="1">
        <v>1724</v>
      </c>
      <c r="E85" s="34">
        <v>41426</v>
      </c>
      <c r="F85" s="1">
        <v>7.1</v>
      </c>
      <c r="G85" s="34">
        <v>41426</v>
      </c>
      <c r="H85" s="1">
        <v>1.1399999999999999</v>
      </c>
      <c r="I85" s="34">
        <v>41426</v>
      </c>
      <c r="J85" s="1">
        <v>175.49</v>
      </c>
      <c r="K85" s="34">
        <v>41426</v>
      </c>
      <c r="L85" s="1">
        <v>3398.4</v>
      </c>
      <c r="M85" s="34">
        <v>41426</v>
      </c>
      <c r="N85" s="1">
        <v>441.5</v>
      </c>
    </row>
    <row r="86" spans="1:14" x14ac:dyDescent="0.25">
      <c r="A86" s="34">
        <v>41456</v>
      </c>
      <c r="B86" s="1">
        <v>3354.8</v>
      </c>
      <c r="C86" s="34">
        <v>41456</v>
      </c>
      <c r="D86" s="1">
        <v>1880</v>
      </c>
      <c r="E86" s="34">
        <v>41456</v>
      </c>
      <c r="F86" s="1">
        <v>7.2</v>
      </c>
      <c r="G86" s="34">
        <v>41456</v>
      </c>
      <c r="H86" s="1">
        <v>1.31</v>
      </c>
      <c r="I86" s="34">
        <v>41456</v>
      </c>
      <c r="J86" s="1">
        <v>175.95</v>
      </c>
      <c r="K86" s="34">
        <v>41456</v>
      </c>
      <c r="L86" s="1">
        <v>3368.5</v>
      </c>
      <c r="M86" s="34">
        <v>41456</v>
      </c>
      <c r="N86" s="1">
        <v>403.9</v>
      </c>
    </row>
    <row r="87" spans="1:14" x14ac:dyDescent="0.25">
      <c r="A87" s="34">
        <v>41487</v>
      </c>
      <c r="B87" s="1">
        <v>3360.9</v>
      </c>
      <c r="C87" s="34">
        <v>41487</v>
      </c>
      <c r="D87" s="1">
        <v>1060</v>
      </c>
      <c r="E87" s="34">
        <v>41487</v>
      </c>
      <c r="F87" s="1">
        <v>7.2</v>
      </c>
      <c r="G87" s="34">
        <v>41487</v>
      </c>
      <c r="H87" s="1">
        <v>1.71</v>
      </c>
      <c r="I87" s="34">
        <v>41487</v>
      </c>
      <c r="J87" s="1">
        <v>176.34</v>
      </c>
      <c r="K87" s="34">
        <v>41487</v>
      </c>
      <c r="L87" s="1">
        <v>3364.7</v>
      </c>
      <c r="M87" s="34">
        <v>41487</v>
      </c>
      <c r="N87" s="1">
        <v>398.2</v>
      </c>
    </row>
    <row r="88" spans="1:14" x14ac:dyDescent="0.25">
      <c r="A88" s="34">
        <v>41518</v>
      </c>
      <c r="B88" s="1">
        <v>3360.9</v>
      </c>
      <c r="C88" s="34">
        <v>41518</v>
      </c>
      <c r="D88" s="1">
        <v>1248</v>
      </c>
      <c r="E88" s="34">
        <v>41518</v>
      </c>
      <c r="F88" s="1">
        <v>7.2</v>
      </c>
      <c r="G88" s="34">
        <v>41518</v>
      </c>
      <c r="H88" s="1">
        <v>1.51</v>
      </c>
      <c r="I88" s="34">
        <v>41518</v>
      </c>
      <c r="J88" s="1">
        <v>176.74</v>
      </c>
      <c r="K88" s="34">
        <v>41518</v>
      </c>
      <c r="L88" s="1">
        <v>3379.9</v>
      </c>
      <c r="M88" s="34">
        <v>41518</v>
      </c>
      <c r="N88" s="1">
        <v>437.5</v>
      </c>
    </row>
    <row r="89" spans="1:14" x14ac:dyDescent="0.25">
      <c r="A89" s="34">
        <v>41548</v>
      </c>
      <c r="B89" s="1">
        <v>3372</v>
      </c>
      <c r="C89" s="34">
        <v>41548</v>
      </c>
      <c r="D89" s="1">
        <v>985</v>
      </c>
      <c r="E89" s="34">
        <v>41548</v>
      </c>
      <c r="F89" s="1">
        <v>7.2</v>
      </c>
      <c r="G89" s="34">
        <v>41548</v>
      </c>
      <c r="H89" s="1">
        <v>2.19</v>
      </c>
      <c r="I89" s="34">
        <v>41548</v>
      </c>
      <c r="J89" s="1">
        <v>177.42</v>
      </c>
      <c r="K89" s="34">
        <v>41548</v>
      </c>
      <c r="L89" s="1">
        <v>3408</v>
      </c>
      <c r="M89" s="34">
        <v>41548</v>
      </c>
      <c r="N89" s="1">
        <v>448</v>
      </c>
    </row>
    <row r="90" spans="1:14" x14ac:dyDescent="0.25">
      <c r="A90" s="34">
        <v>41579</v>
      </c>
      <c r="B90" s="1">
        <v>3378.9</v>
      </c>
      <c r="C90" s="34">
        <v>41579</v>
      </c>
      <c r="D90" s="1">
        <v>881</v>
      </c>
      <c r="E90" s="34">
        <v>41579</v>
      </c>
      <c r="F90" s="1">
        <v>7.1</v>
      </c>
      <c r="G90" s="34">
        <v>41579</v>
      </c>
      <c r="H90" s="1">
        <v>1.91</v>
      </c>
      <c r="I90" s="34">
        <v>41579</v>
      </c>
      <c r="J90" s="1">
        <v>177.8</v>
      </c>
      <c r="K90" s="34">
        <v>41579</v>
      </c>
      <c r="L90" s="1">
        <v>3403.9</v>
      </c>
      <c r="M90" s="34">
        <v>41579</v>
      </c>
      <c r="N90" s="1">
        <v>450.4</v>
      </c>
    </row>
    <row r="91" spans="1:14" x14ac:dyDescent="0.25">
      <c r="A91" s="34">
        <v>41609</v>
      </c>
      <c r="B91" s="1">
        <v>3386.7</v>
      </c>
      <c r="C91" s="34">
        <v>41609</v>
      </c>
      <c r="D91" s="1">
        <v>1489</v>
      </c>
      <c r="E91" s="34">
        <v>41609</v>
      </c>
      <c r="F91" s="1">
        <v>7.1</v>
      </c>
      <c r="G91" s="34">
        <v>41609</v>
      </c>
      <c r="H91" s="1">
        <v>3.29</v>
      </c>
      <c r="I91" s="34">
        <v>41609</v>
      </c>
      <c r="J91" s="1">
        <v>179.23</v>
      </c>
      <c r="K91" s="34">
        <v>41609</v>
      </c>
      <c r="L91" s="1">
        <v>3397.3</v>
      </c>
      <c r="M91" s="34">
        <v>41609</v>
      </c>
      <c r="N91" s="1">
        <v>451.1</v>
      </c>
    </row>
    <row r="92" spans="1:14" x14ac:dyDescent="0.25">
      <c r="A92" s="34">
        <v>41640</v>
      </c>
      <c r="B92" s="1">
        <v>3382.8</v>
      </c>
      <c r="C92" s="34">
        <v>41640</v>
      </c>
      <c r="D92" s="1">
        <v>1076</v>
      </c>
      <c r="E92" s="34">
        <v>41640</v>
      </c>
      <c r="F92" s="1">
        <v>6.8</v>
      </c>
      <c r="G92" s="34">
        <v>41640</v>
      </c>
      <c r="H92" s="1">
        <v>4.1100000000000003</v>
      </c>
      <c r="I92" s="34">
        <v>41640</v>
      </c>
      <c r="J92" s="1">
        <v>180.53</v>
      </c>
      <c r="K92" s="34">
        <v>41640</v>
      </c>
      <c r="L92" s="1">
        <v>3307.9</v>
      </c>
      <c r="M92" s="34">
        <v>41640</v>
      </c>
      <c r="N92" s="1">
        <v>435.3</v>
      </c>
    </row>
    <row r="93" spans="1:14" x14ac:dyDescent="0.25">
      <c r="A93" s="34">
        <v>41671</v>
      </c>
      <c r="B93" s="1">
        <v>3388.3</v>
      </c>
      <c r="C93" s="34">
        <v>41671</v>
      </c>
      <c r="D93" s="1">
        <v>900</v>
      </c>
      <c r="E93" s="34">
        <v>41671</v>
      </c>
      <c r="F93" s="1">
        <v>6.5</v>
      </c>
      <c r="G93" s="34">
        <v>41671</v>
      </c>
      <c r="H93" s="1">
        <v>3.37</v>
      </c>
      <c r="I93" s="34">
        <v>41671</v>
      </c>
      <c r="J93" s="1">
        <v>181.5</v>
      </c>
      <c r="K93" s="34">
        <v>41671</v>
      </c>
      <c r="L93" s="1">
        <v>3321.2</v>
      </c>
      <c r="M93" s="34">
        <v>41671</v>
      </c>
      <c r="N93" s="1">
        <v>447.4</v>
      </c>
    </row>
    <row r="94" spans="1:14" x14ac:dyDescent="0.25">
      <c r="A94" s="34">
        <v>41699</v>
      </c>
      <c r="B94" s="1">
        <v>3397.5</v>
      </c>
      <c r="C94" s="34">
        <v>41699</v>
      </c>
      <c r="D94" s="1">
        <v>774</v>
      </c>
      <c r="E94" s="34">
        <v>41699</v>
      </c>
      <c r="F94" s="1">
        <v>6.3</v>
      </c>
      <c r="G94" s="34">
        <v>41699</v>
      </c>
      <c r="H94" s="1">
        <v>3.67</v>
      </c>
      <c r="I94" s="34">
        <v>41699</v>
      </c>
      <c r="J94" s="1">
        <v>182.9</v>
      </c>
      <c r="K94" s="34">
        <v>41699</v>
      </c>
      <c r="L94" s="1">
        <v>3342.2</v>
      </c>
      <c r="M94" s="34">
        <v>41699</v>
      </c>
      <c r="N94" s="1">
        <v>448.7</v>
      </c>
    </row>
    <row r="95" spans="1:14" x14ac:dyDescent="0.25">
      <c r="A95" s="34">
        <v>41730</v>
      </c>
      <c r="B95" s="1">
        <v>3395.5</v>
      </c>
      <c r="C95" s="34">
        <v>41730</v>
      </c>
      <c r="D95" s="1">
        <v>1033</v>
      </c>
      <c r="E95" s="34">
        <v>41730</v>
      </c>
      <c r="F95" s="1">
        <v>6</v>
      </c>
      <c r="G95" s="34">
        <v>41730</v>
      </c>
      <c r="H95" s="1">
        <v>4.53</v>
      </c>
      <c r="I95" s="34">
        <v>41730</v>
      </c>
      <c r="J95" s="1">
        <v>184.55</v>
      </c>
      <c r="K95" s="34">
        <v>41730</v>
      </c>
      <c r="L95" s="1">
        <v>3386.2</v>
      </c>
      <c r="M95" s="34">
        <v>41730</v>
      </c>
      <c r="N95" s="1">
        <v>450.8</v>
      </c>
    </row>
    <row r="96" spans="1:14" x14ac:dyDescent="0.25">
      <c r="A96" s="34">
        <v>41760</v>
      </c>
      <c r="B96" s="1">
        <v>3405.8</v>
      </c>
      <c r="C96" s="34">
        <v>41760</v>
      </c>
      <c r="D96" s="1">
        <v>1238</v>
      </c>
      <c r="E96" s="34">
        <v>41760</v>
      </c>
      <c r="F96" s="1">
        <v>5.6</v>
      </c>
      <c r="G96" s="34">
        <v>41760</v>
      </c>
      <c r="H96" s="1">
        <v>2.82</v>
      </c>
      <c r="I96" s="34">
        <v>41760</v>
      </c>
      <c r="J96" s="1">
        <v>185.06</v>
      </c>
      <c r="K96" s="34">
        <v>41760</v>
      </c>
      <c r="L96" s="1">
        <v>3428.7</v>
      </c>
      <c r="M96" s="34">
        <v>41760</v>
      </c>
      <c r="N96" s="1">
        <v>452.5</v>
      </c>
    </row>
    <row r="97" spans="1:14" x14ac:dyDescent="0.25">
      <c r="A97" s="34">
        <v>41791</v>
      </c>
      <c r="B97" s="1">
        <v>3408.3</v>
      </c>
      <c r="C97" s="34">
        <v>41791</v>
      </c>
      <c r="D97" s="1">
        <v>1291</v>
      </c>
      <c r="E97" s="34">
        <v>41791</v>
      </c>
      <c r="F97" s="1">
        <v>5.5</v>
      </c>
      <c r="G97" s="34">
        <v>41791</v>
      </c>
      <c r="H97" s="1">
        <v>0.64</v>
      </c>
      <c r="I97" s="34">
        <v>41791</v>
      </c>
      <c r="J97" s="1">
        <v>184.96</v>
      </c>
      <c r="K97" s="34">
        <v>41791</v>
      </c>
      <c r="L97" s="1">
        <v>3458.8</v>
      </c>
      <c r="M97" s="34">
        <v>41791</v>
      </c>
      <c r="N97" s="1">
        <v>442.6</v>
      </c>
    </row>
    <row r="98" spans="1:14" x14ac:dyDescent="0.25">
      <c r="A98" s="34">
        <v>41821</v>
      </c>
      <c r="B98" s="1">
        <v>3420.5</v>
      </c>
      <c r="C98" s="34">
        <v>41821</v>
      </c>
      <c r="D98" s="1">
        <v>1246</v>
      </c>
      <c r="E98" s="34">
        <v>41821</v>
      </c>
      <c r="F98" s="1">
        <v>5.6</v>
      </c>
      <c r="G98" s="34">
        <v>41821</v>
      </c>
      <c r="H98" s="1">
        <v>-0.37</v>
      </c>
      <c r="I98" s="34">
        <v>41821</v>
      </c>
      <c r="J98" s="1">
        <v>184.6</v>
      </c>
      <c r="K98" s="34">
        <v>41821</v>
      </c>
      <c r="L98" s="1">
        <v>3449.5</v>
      </c>
      <c r="M98" s="34">
        <v>41821</v>
      </c>
      <c r="N98" s="1">
        <v>405.1</v>
      </c>
    </row>
    <row r="99" spans="1:14" x14ac:dyDescent="0.25">
      <c r="A99" s="34">
        <v>41852</v>
      </c>
      <c r="B99" s="1">
        <v>3415.6</v>
      </c>
      <c r="C99" s="34">
        <v>41852</v>
      </c>
      <c r="D99" s="1">
        <v>1112</v>
      </c>
      <c r="E99" s="34">
        <v>41852</v>
      </c>
      <c r="F99" s="1">
        <v>5.8</v>
      </c>
      <c r="G99" s="34">
        <v>41852</v>
      </c>
      <c r="H99" s="1">
        <v>-0.37</v>
      </c>
      <c r="I99" s="34">
        <v>41852</v>
      </c>
      <c r="J99" s="1">
        <v>184.36</v>
      </c>
      <c r="K99" s="34">
        <v>41852</v>
      </c>
      <c r="L99" s="1">
        <v>3428.7</v>
      </c>
      <c r="M99" s="34">
        <v>41852</v>
      </c>
      <c r="N99" s="1">
        <v>399.4</v>
      </c>
    </row>
    <row r="100" spans="1:14" x14ac:dyDescent="0.25">
      <c r="A100" s="34">
        <v>41883</v>
      </c>
      <c r="B100" s="1">
        <v>3423.4</v>
      </c>
      <c r="C100" s="34">
        <v>41883</v>
      </c>
      <c r="D100" s="1">
        <v>1151</v>
      </c>
      <c r="E100" s="34">
        <v>41883</v>
      </c>
      <c r="F100" s="1">
        <v>6</v>
      </c>
      <c r="G100" s="34">
        <v>41883</v>
      </c>
      <c r="H100" s="1">
        <v>1.21</v>
      </c>
      <c r="I100" s="34">
        <v>41883</v>
      </c>
      <c r="J100" s="1">
        <v>184.91</v>
      </c>
      <c r="K100" s="34">
        <v>41883</v>
      </c>
      <c r="L100" s="1">
        <v>3442.8</v>
      </c>
      <c r="M100" s="34">
        <v>41883</v>
      </c>
      <c r="N100" s="1">
        <v>439.2</v>
      </c>
    </row>
    <row r="101" spans="1:14" x14ac:dyDescent="0.25">
      <c r="A101" s="34">
        <v>41913</v>
      </c>
      <c r="B101" s="1">
        <v>3425</v>
      </c>
      <c r="C101" s="34">
        <v>41913</v>
      </c>
      <c r="D101" s="1">
        <v>1112</v>
      </c>
      <c r="E101" s="34">
        <v>41913</v>
      </c>
      <c r="F101" s="1">
        <v>6</v>
      </c>
      <c r="G101" s="34">
        <v>41913</v>
      </c>
      <c r="H101" s="1">
        <v>2.8</v>
      </c>
      <c r="I101" s="34">
        <v>41913</v>
      </c>
      <c r="J101" s="1">
        <v>186.05</v>
      </c>
      <c r="K101" s="34">
        <v>41913</v>
      </c>
      <c r="L101" s="1">
        <v>3466.2</v>
      </c>
      <c r="M101" s="34">
        <v>41913</v>
      </c>
      <c r="N101" s="1">
        <v>450.3</v>
      </c>
    </row>
    <row r="102" spans="1:14" x14ac:dyDescent="0.25">
      <c r="A102" s="34">
        <v>41944</v>
      </c>
      <c r="B102" s="1">
        <v>3436.7</v>
      </c>
      <c r="C102" s="34">
        <v>41944</v>
      </c>
      <c r="D102" s="1">
        <v>1397</v>
      </c>
      <c r="E102" s="34">
        <v>41944</v>
      </c>
      <c r="F102" s="1">
        <v>5.8</v>
      </c>
      <c r="G102" s="34">
        <v>41944</v>
      </c>
      <c r="H102" s="1">
        <v>2.2400000000000002</v>
      </c>
      <c r="I102" s="34">
        <v>41944</v>
      </c>
      <c r="J102" s="1">
        <v>186.58</v>
      </c>
      <c r="K102" s="34">
        <v>41944</v>
      </c>
      <c r="L102" s="1">
        <v>3462.3</v>
      </c>
      <c r="M102" s="34">
        <v>41944</v>
      </c>
      <c r="N102" s="1">
        <v>452.9</v>
      </c>
    </row>
    <row r="103" spans="1:14" x14ac:dyDescent="0.25">
      <c r="A103" s="34">
        <v>41974</v>
      </c>
      <c r="B103" s="1">
        <v>3447.6</v>
      </c>
      <c r="E103" s="34">
        <v>41974</v>
      </c>
      <c r="F103" s="1">
        <v>5.5</v>
      </c>
      <c r="K103" s="34">
        <v>41974</v>
      </c>
      <c r="L103" s="1">
        <v>3459.3</v>
      </c>
      <c r="M103" s="34">
        <v>41974</v>
      </c>
      <c r="N103" s="1">
        <v>453.7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P103"/>
  <sheetViews>
    <sheetView topLeftCell="A82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178</v>
      </c>
      <c r="C1" s="34" t="s">
        <v>179</v>
      </c>
      <c r="E1" s="34" t="s">
        <v>180</v>
      </c>
      <c r="G1" s="34" t="s">
        <v>181</v>
      </c>
      <c r="I1" s="34" t="s">
        <v>182</v>
      </c>
      <c r="K1" s="34" t="str">
        <f>CONCATENATE(LEFT(A1,2), "NAN")</f>
        <v>MDNAN</v>
      </c>
      <c r="M1" s="34" t="str">
        <f>CONCATENATE(LEFT(A1,2), "GOVTN")</f>
        <v>MDGOVTN</v>
      </c>
      <c r="O1" s="34" t="str">
        <f>CONCATENATE(LEFT($A$1,2), "RGSP")</f>
        <v>MDRGSP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884</v>
      </c>
      <c r="C5" s="35" t="s">
        <v>435</v>
      </c>
      <c r="E5" s="35" t="s">
        <v>436</v>
      </c>
      <c r="G5" s="35" t="s">
        <v>437</v>
      </c>
      <c r="I5" s="35" t="s">
        <v>438</v>
      </c>
      <c r="K5" s="35" t="s">
        <v>884</v>
      </c>
      <c r="M5" s="35" t="s">
        <v>885</v>
      </c>
      <c r="O5" s="35" t="s">
        <v>800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2605.6</v>
      </c>
      <c r="C8" s="34">
        <v>39083</v>
      </c>
      <c r="D8" s="1">
        <v>1209</v>
      </c>
      <c r="E8" s="34">
        <v>39083</v>
      </c>
      <c r="F8" s="1">
        <v>3.6</v>
      </c>
      <c r="G8" s="34">
        <v>39083</v>
      </c>
      <c r="H8" s="1">
        <v>0.96</v>
      </c>
      <c r="I8" s="34">
        <v>39083</v>
      </c>
      <c r="J8" s="1">
        <v>148.91999999999999</v>
      </c>
      <c r="K8" s="34">
        <v>39083</v>
      </c>
      <c r="L8" s="1">
        <v>2549.8000000000002</v>
      </c>
      <c r="M8" s="34">
        <v>39083</v>
      </c>
      <c r="N8" s="1">
        <v>467.4</v>
      </c>
      <c r="O8" s="34">
        <v>39083</v>
      </c>
      <c r="P8" s="1">
        <v>302747</v>
      </c>
    </row>
    <row r="9" spans="1:16" x14ac:dyDescent="0.25">
      <c r="A9" s="34">
        <v>39114</v>
      </c>
      <c r="B9" s="1">
        <v>2599</v>
      </c>
      <c r="C9" s="34">
        <v>39114</v>
      </c>
      <c r="D9" s="1">
        <v>1881</v>
      </c>
      <c r="E9" s="34">
        <v>39114</v>
      </c>
      <c r="F9" s="1">
        <v>3.5</v>
      </c>
      <c r="G9" s="34">
        <v>39114</v>
      </c>
      <c r="H9" s="1">
        <v>0.77</v>
      </c>
      <c r="I9" s="34">
        <v>39114</v>
      </c>
      <c r="J9" s="1">
        <v>149.19</v>
      </c>
      <c r="K9" s="34">
        <v>39114</v>
      </c>
      <c r="L9" s="1">
        <v>2553.1999999999998</v>
      </c>
      <c r="M9" s="34">
        <v>39114</v>
      </c>
      <c r="N9" s="1">
        <v>478.5</v>
      </c>
      <c r="O9" s="34">
        <v>39448</v>
      </c>
      <c r="P9" s="1">
        <v>305480</v>
      </c>
    </row>
    <row r="10" spans="1:16" x14ac:dyDescent="0.25">
      <c r="A10" s="34">
        <v>39142</v>
      </c>
      <c r="B10" s="1">
        <v>2609.1999999999998</v>
      </c>
      <c r="C10" s="34">
        <v>39142</v>
      </c>
      <c r="D10" s="1">
        <v>2366</v>
      </c>
      <c r="E10" s="34">
        <v>39142</v>
      </c>
      <c r="F10" s="1">
        <v>3.4</v>
      </c>
      <c r="G10" s="34">
        <v>39142</v>
      </c>
      <c r="H10" s="1">
        <v>0.36</v>
      </c>
      <c r="I10" s="34">
        <v>39142</v>
      </c>
      <c r="J10" s="1">
        <v>149.41</v>
      </c>
      <c r="K10" s="34">
        <v>39142</v>
      </c>
      <c r="L10" s="1">
        <v>2587.1</v>
      </c>
      <c r="M10" s="34">
        <v>39142</v>
      </c>
      <c r="N10" s="1">
        <v>484.2</v>
      </c>
      <c r="O10" s="34">
        <v>39814</v>
      </c>
      <c r="P10" s="1">
        <v>304414</v>
      </c>
    </row>
    <row r="11" spans="1:16" x14ac:dyDescent="0.25">
      <c r="A11" s="34">
        <v>39173</v>
      </c>
      <c r="B11" s="1">
        <v>2603.4</v>
      </c>
      <c r="C11" s="34">
        <v>39173</v>
      </c>
      <c r="D11" s="1">
        <v>1539</v>
      </c>
      <c r="E11" s="34">
        <v>39173</v>
      </c>
      <c r="F11" s="1">
        <v>3.4</v>
      </c>
      <c r="G11" s="34">
        <v>39173</v>
      </c>
      <c r="H11" s="1">
        <v>0.2</v>
      </c>
      <c r="I11" s="34">
        <v>39173</v>
      </c>
      <c r="J11" s="1">
        <v>149.6</v>
      </c>
      <c r="K11" s="34">
        <v>39173</v>
      </c>
      <c r="L11" s="1">
        <v>2599.6</v>
      </c>
      <c r="M11" s="34">
        <v>39173</v>
      </c>
      <c r="N11" s="1">
        <v>483.1</v>
      </c>
      <c r="O11" s="34">
        <v>40179</v>
      </c>
      <c r="P11" s="1">
        <v>313016</v>
      </c>
    </row>
    <row r="12" spans="1:16" x14ac:dyDescent="0.25">
      <c r="A12" s="34">
        <v>39203</v>
      </c>
      <c r="B12" s="1">
        <v>2607</v>
      </c>
      <c r="C12" s="34">
        <v>39203</v>
      </c>
      <c r="D12" s="1">
        <v>2879</v>
      </c>
      <c r="E12" s="34">
        <v>39203</v>
      </c>
      <c r="F12" s="1">
        <v>3.4</v>
      </c>
      <c r="G12" s="34">
        <v>39203</v>
      </c>
      <c r="H12" s="1">
        <v>0.26</v>
      </c>
      <c r="I12" s="34">
        <v>39203</v>
      </c>
      <c r="J12" s="1">
        <v>149.75</v>
      </c>
      <c r="K12" s="34">
        <v>39203</v>
      </c>
      <c r="L12" s="1">
        <v>2621.9</v>
      </c>
      <c r="M12" s="34">
        <v>39203</v>
      </c>
      <c r="N12" s="1">
        <v>485.9</v>
      </c>
      <c r="O12" s="34">
        <v>40544</v>
      </c>
      <c r="P12" s="1">
        <v>318242</v>
      </c>
    </row>
    <row r="13" spans="1:16" x14ac:dyDescent="0.25">
      <c r="A13" s="34">
        <v>39234</v>
      </c>
      <c r="B13" s="1">
        <v>2607.6</v>
      </c>
      <c r="C13" s="34">
        <v>39234</v>
      </c>
      <c r="D13" s="1">
        <v>1862</v>
      </c>
      <c r="E13" s="34">
        <v>39234</v>
      </c>
      <c r="F13" s="1">
        <v>3.4</v>
      </c>
      <c r="G13" s="34">
        <v>39234</v>
      </c>
      <c r="H13" s="1">
        <v>0.08</v>
      </c>
      <c r="I13" s="34">
        <v>39234</v>
      </c>
      <c r="J13" s="1">
        <v>149.85</v>
      </c>
      <c r="K13" s="34">
        <v>39234</v>
      </c>
      <c r="L13" s="1">
        <v>2634.9</v>
      </c>
      <c r="M13" s="34">
        <v>39234</v>
      </c>
      <c r="N13" s="1">
        <v>473.6</v>
      </c>
      <c r="O13" s="34">
        <v>40909</v>
      </c>
      <c r="P13" s="1">
        <v>322188</v>
      </c>
    </row>
    <row r="14" spans="1:16" x14ac:dyDescent="0.25">
      <c r="A14" s="34">
        <v>39264</v>
      </c>
      <c r="B14" s="1">
        <v>2609.3000000000002</v>
      </c>
      <c r="C14" s="34">
        <v>39264</v>
      </c>
      <c r="D14" s="1">
        <v>1734</v>
      </c>
      <c r="E14" s="34">
        <v>39264</v>
      </c>
      <c r="F14" s="1">
        <v>3.5</v>
      </c>
      <c r="G14" s="34">
        <v>39264</v>
      </c>
      <c r="H14" s="1">
        <v>0.45</v>
      </c>
      <c r="I14" s="34">
        <v>39264</v>
      </c>
      <c r="J14" s="1">
        <v>149.94</v>
      </c>
      <c r="K14" s="34">
        <v>39264</v>
      </c>
      <c r="L14" s="1">
        <v>2618.9</v>
      </c>
      <c r="M14" s="34">
        <v>39264</v>
      </c>
      <c r="N14" s="1">
        <v>461.9</v>
      </c>
      <c r="O14" s="34">
        <v>41275</v>
      </c>
      <c r="P14" s="1">
        <v>322234</v>
      </c>
    </row>
    <row r="15" spans="1:16" x14ac:dyDescent="0.25">
      <c r="A15" s="34">
        <v>39295</v>
      </c>
      <c r="B15" s="1">
        <v>2609.5</v>
      </c>
      <c r="C15" s="34">
        <v>39295</v>
      </c>
      <c r="D15" s="1">
        <v>1998</v>
      </c>
      <c r="E15" s="34">
        <v>39295</v>
      </c>
      <c r="F15" s="1">
        <v>3.5</v>
      </c>
      <c r="G15" s="34">
        <v>39295</v>
      </c>
      <c r="H15" s="1">
        <v>0.48</v>
      </c>
      <c r="I15" s="34">
        <v>39295</v>
      </c>
      <c r="J15" s="1">
        <v>150.04</v>
      </c>
      <c r="K15" s="34">
        <v>39295</v>
      </c>
      <c r="L15" s="1">
        <v>2616.9</v>
      </c>
      <c r="M15" s="34">
        <v>39295</v>
      </c>
      <c r="N15" s="1">
        <v>461.4</v>
      </c>
    </row>
    <row r="16" spans="1:16" x14ac:dyDescent="0.25">
      <c r="A16" s="34">
        <v>39326</v>
      </c>
      <c r="B16" s="1">
        <v>2608</v>
      </c>
      <c r="C16" s="34">
        <v>39326</v>
      </c>
      <c r="D16" s="1">
        <v>948</v>
      </c>
      <c r="E16" s="34">
        <v>39326</v>
      </c>
      <c r="F16" s="1">
        <v>3.5</v>
      </c>
      <c r="G16" s="34">
        <v>39326</v>
      </c>
      <c r="H16" s="1">
        <v>0.55000000000000004</v>
      </c>
      <c r="I16" s="34">
        <v>39326</v>
      </c>
      <c r="J16" s="1">
        <v>150.16</v>
      </c>
      <c r="K16" s="34">
        <v>39326</v>
      </c>
      <c r="L16" s="1">
        <v>2616.6</v>
      </c>
      <c r="M16" s="34">
        <v>39326</v>
      </c>
      <c r="N16" s="1">
        <v>475</v>
      </c>
    </row>
    <row r="17" spans="1:14" x14ac:dyDescent="0.25">
      <c r="A17" s="34">
        <v>39356</v>
      </c>
      <c r="B17" s="1">
        <v>2608</v>
      </c>
      <c r="C17" s="34">
        <v>39356</v>
      </c>
      <c r="D17" s="1">
        <v>1429</v>
      </c>
      <c r="E17" s="34">
        <v>39356</v>
      </c>
      <c r="F17" s="1">
        <v>3.4</v>
      </c>
      <c r="G17" s="34">
        <v>39356</v>
      </c>
      <c r="H17" s="1">
        <v>0.45</v>
      </c>
      <c r="I17" s="34">
        <v>39356</v>
      </c>
      <c r="J17" s="1">
        <v>150.29</v>
      </c>
      <c r="K17" s="34">
        <v>39356</v>
      </c>
      <c r="L17" s="1">
        <v>2620.5</v>
      </c>
      <c r="M17" s="34">
        <v>39356</v>
      </c>
      <c r="N17" s="1">
        <v>487.2</v>
      </c>
    </row>
    <row r="18" spans="1:14" x14ac:dyDescent="0.25">
      <c r="A18" s="34">
        <v>39387</v>
      </c>
      <c r="B18" s="1">
        <v>2609.4</v>
      </c>
      <c r="C18" s="34">
        <v>39387</v>
      </c>
      <c r="D18" s="1">
        <v>954</v>
      </c>
      <c r="E18" s="34">
        <v>39387</v>
      </c>
      <c r="F18" s="1">
        <v>3.3</v>
      </c>
      <c r="G18" s="34">
        <v>39387</v>
      </c>
      <c r="H18" s="1">
        <v>-0.04</v>
      </c>
      <c r="I18" s="34">
        <v>39387</v>
      </c>
      <c r="J18" s="1">
        <v>150.38999999999999</v>
      </c>
      <c r="K18" s="34">
        <v>39387</v>
      </c>
      <c r="L18" s="1">
        <v>2629.7</v>
      </c>
      <c r="M18" s="34">
        <v>39387</v>
      </c>
      <c r="N18" s="1">
        <v>491.6</v>
      </c>
    </row>
    <row r="19" spans="1:14" x14ac:dyDescent="0.25">
      <c r="A19" s="34">
        <v>39417</v>
      </c>
      <c r="B19" s="1">
        <v>2612.4</v>
      </c>
      <c r="C19" s="34">
        <v>39417</v>
      </c>
      <c r="D19" s="1">
        <v>1111</v>
      </c>
      <c r="E19" s="34">
        <v>39417</v>
      </c>
      <c r="F19" s="1">
        <v>3.3</v>
      </c>
      <c r="G19" s="34">
        <v>39417</v>
      </c>
      <c r="H19" s="1">
        <v>-0.18</v>
      </c>
      <c r="I19" s="34">
        <v>39417</v>
      </c>
      <c r="J19" s="1">
        <v>150.46</v>
      </c>
      <c r="K19" s="34">
        <v>39417</v>
      </c>
      <c r="L19" s="1">
        <v>2638.1</v>
      </c>
      <c r="M19" s="34">
        <v>39417</v>
      </c>
      <c r="N19" s="1">
        <v>491.3</v>
      </c>
    </row>
    <row r="20" spans="1:14" x14ac:dyDescent="0.25">
      <c r="A20" s="34">
        <v>39448</v>
      </c>
      <c r="B20" s="1">
        <v>2615.1</v>
      </c>
      <c r="C20" s="34">
        <v>39448</v>
      </c>
      <c r="D20" s="1">
        <v>1113</v>
      </c>
      <c r="E20" s="34">
        <v>39448</v>
      </c>
      <c r="F20" s="1">
        <v>3.3</v>
      </c>
      <c r="G20" s="34">
        <v>39448</v>
      </c>
      <c r="H20" s="1">
        <v>-0.56999999999999995</v>
      </c>
      <c r="I20" s="34">
        <v>39448</v>
      </c>
      <c r="J20" s="1">
        <v>150.47</v>
      </c>
      <c r="K20" s="34">
        <v>39448</v>
      </c>
      <c r="L20" s="1">
        <v>2558.1</v>
      </c>
      <c r="M20" s="34">
        <v>39448</v>
      </c>
      <c r="N20" s="1">
        <v>475.8</v>
      </c>
    </row>
    <row r="21" spans="1:14" x14ac:dyDescent="0.25">
      <c r="A21" s="34">
        <v>39479</v>
      </c>
      <c r="B21" s="1">
        <v>2615.9</v>
      </c>
      <c r="C21" s="34">
        <v>39479</v>
      </c>
      <c r="D21" s="1">
        <v>1238</v>
      </c>
      <c r="E21" s="34">
        <v>39479</v>
      </c>
      <c r="F21" s="1">
        <v>3.3</v>
      </c>
      <c r="G21" s="34">
        <v>39479</v>
      </c>
      <c r="H21" s="1">
        <v>-1.17</v>
      </c>
      <c r="I21" s="34">
        <v>39479</v>
      </c>
      <c r="J21" s="1">
        <v>150.38999999999999</v>
      </c>
      <c r="K21" s="34">
        <v>39479</v>
      </c>
      <c r="L21" s="1">
        <v>2569.1999999999998</v>
      </c>
      <c r="M21" s="34">
        <v>39479</v>
      </c>
      <c r="N21" s="1">
        <v>488.9</v>
      </c>
    </row>
    <row r="22" spans="1:14" x14ac:dyDescent="0.25">
      <c r="A22" s="34">
        <v>39508</v>
      </c>
      <c r="B22" s="1">
        <v>2611.5</v>
      </c>
      <c r="C22" s="34">
        <v>39508</v>
      </c>
      <c r="D22" s="1">
        <v>1311</v>
      </c>
      <c r="E22" s="34">
        <v>39508</v>
      </c>
      <c r="F22" s="1">
        <v>3.4</v>
      </c>
      <c r="G22" s="34">
        <v>39508</v>
      </c>
      <c r="H22" s="1">
        <v>-1.38</v>
      </c>
      <c r="I22" s="34">
        <v>39508</v>
      </c>
      <c r="J22" s="1">
        <v>150.21</v>
      </c>
      <c r="K22" s="34">
        <v>39508</v>
      </c>
      <c r="L22" s="1">
        <v>2588.9</v>
      </c>
      <c r="M22" s="34">
        <v>39508</v>
      </c>
      <c r="N22" s="1">
        <v>492.9</v>
      </c>
    </row>
    <row r="23" spans="1:14" x14ac:dyDescent="0.25">
      <c r="A23" s="34">
        <v>39539</v>
      </c>
      <c r="B23" s="1">
        <v>2612.5</v>
      </c>
      <c r="C23" s="34">
        <v>39539</v>
      </c>
      <c r="D23" s="1">
        <v>1110</v>
      </c>
      <c r="E23" s="34">
        <v>39539</v>
      </c>
      <c r="F23" s="1">
        <v>3.6</v>
      </c>
      <c r="G23" s="34">
        <v>39539</v>
      </c>
      <c r="H23" s="1">
        <v>-1.67</v>
      </c>
      <c r="I23" s="34">
        <v>39539</v>
      </c>
      <c r="J23" s="1">
        <v>149.91</v>
      </c>
      <c r="K23" s="34">
        <v>39539</v>
      </c>
      <c r="L23" s="1">
        <v>2610.1</v>
      </c>
      <c r="M23" s="34">
        <v>39539</v>
      </c>
      <c r="N23" s="1">
        <v>493.7</v>
      </c>
    </row>
    <row r="24" spans="1:14" x14ac:dyDescent="0.25">
      <c r="A24" s="34">
        <v>39569</v>
      </c>
      <c r="B24" s="1">
        <v>2606.9</v>
      </c>
      <c r="C24" s="34">
        <v>39569</v>
      </c>
      <c r="D24" s="1">
        <v>1145</v>
      </c>
      <c r="E24" s="34">
        <v>39569</v>
      </c>
      <c r="F24" s="1">
        <v>3.8</v>
      </c>
      <c r="G24" s="34">
        <v>39569</v>
      </c>
      <c r="H24" s="1">
        <v>-2.09</v>
      </c>
      <c r="I24" s="34">
        <v>39569</v>
      </c>
      <c r="J24" s="1">
        <v>149.52000000000001</v>
      </c>
      <c r="K24" s="34">
        <v>39569</v>
      </c>
      <c r="L24" s="1">
        <v>2624.5</v>
      </c>
      <c r="M24" s="34">
        <v>39569</v>
      </c>
      <c r="N24" s="1">
        <v>494.2</v>
      </c>
    </row>
    <row r="25" spans="1:14" x14ac:dyDescent="0.25">
      <c r="A25" s="34">
        <v>39600</v>
      </c>
      <c r="B25" s="1">
        <v>2598.6999999999998</v>
      </c>
      <c r="C25" s="34">
        <v>39600</v>
      </c>
      <c r="D25" s="1">
        <v>1654</v>
      </c>
      <c r="E25" s="34">
        <v>39600</v>
      </c>
      <c r="F25" s="1">
        <v>4.0999999999999996</v>
      </c>
      <c r="G25" s="34">
        <v>39600</v>
      </c>
      <c r="H25" s="1">
        <v>-2.09</v>
      </c>
      <c r="I25" s="34">
        <v>39600</v>
      </c>
      <c r="J25" s="1">
        <v>149.05000000000001</v>
      </c>
      <c r="K25" s="34">
        <v>39600</v>
      </c>
      <c r="L25" s="1">
        <v>2626.7</v>
      </c>
      <c r="M25" s="34">
        <v>39600</v>
      </c>
      <c r="N25" s="1">
        <v>482.6</v>
      </c>
    </row>
    <row r="26" spans="1:14" x14ac:dyDescent="0.25">
      <c r="A26" s="34">
        <v>39630</v>
      </c>
      <c r="B26" s="1">
        <v>2601.9</v>
      </c>
      <c r="C26" s="34">
        <v>39630</v>
      </c>
      <c r="D26" s="1">
        <v>1632</v>
      </c>
      <c r="E26" s="34">
        <v>39630</v>
      </c>
      <c r="F26" s="1">
        <v>4.3</v>
      </c>
      <c r="G26" s="34">
        <v>39630</v>
      </c>
      <c r="H26" s="1">
        <v>-2.42</v>
      </c>
      <c r="I26" s="34">
        <v>39630</v>
      </c>
      <c r="J26" s="1">
        <v>148.51</v>
      </c>
      <c r="K26" s="34">
        <v>39630</v>
      </c>
      <c r="L26" s="1">
        <v>2611.3000000000002</v>
      </c>
      <c r="M26" s="34">
        <v>39630</v>
      </c>
      <c r="N26" s="1">
        <v>473</v>
      </c>
    </row>
    <row r="27" spans="1:14" x14ac:dyDescent="0.25">
      <c r="A27" s="34">
        <v>39661</v>
      </c>
      <c r="B27" s="1">
        <v>2599</v>
      </c>
      <c r="C27" s="34">
        <v>39661</v>
      </c>
      <c r="D27" s="1">
        <v>1124</v>
      </c>
      <c r="E27" s="34">
        <v>39661</v>
      </c>
      <c r="F27" s="1">
        <v>4.5</v>
      </c>
      <c r="G27" s="34">
        <v>39661</v>
      </c>
      <c r="H27" s="1">
        <v>-2.9</v>
      </c>
      <c r="I27" s="34">
        <v>39661</v>
      </c>
      <c r="J27" s="1">
        <v>147.87</v>
      </c>
      <c r="K27" s="34">
        <v>39661</v>
      </c>
      <c r="L27" s="1">
        <v>2605.1</v>
      </c>
      <c r="M27" s="34">
        <v>39661</v>
      </c>
      <c r="N27" s="1">
        <v>472.3</v>
      </c>
    </row>
    <row r="28" spans="1:14" x14ac:dyDescent="0.25">
      <c r="A28" s="34">
        <v>39692</v>
      </c>
      <c r="B28" s="1">
        <v>2589</v>
      </c>
      <c r="C28" s="34">
        <v>39692</v>
      </c>
      <c r="D28" s="1">
        <v>1063</v>
      </c>
      <c r="E28" s="34">
        <v>39692</v>
      </c>
      <c r="F28" s="1">
        <v>4.8</v>
      </c>
      <c r="G28" s="34">
        <v>39692</v>
      </c>
      <c r="H28" s="1">
        <v>-3.24</v>
      </c>
      <c r="I28" s="34">
        <v>39692</v>
      </c>
      <c r="J28" s="1">
        <v>147.13</v>
      </c>
      <c r="K28" s="34">
        <v>39692</v>
      </c>
      <c r="L28" s="1">
        <v>2598.1</v>
      </c>
      <c r="M28" s="34">
        <v>39692</v>
      </c>
      <c r="N28" s="1">
        <v>483.5</v>
      </c>
    </row>
    <row r="29" spans="1:14" x14ac:dyDescent="0.25">
      <c r="A29" s="34">
        <v>39722</v>
      </c>
      <c r="B29" s="1">
        <v>2586.1999999999998</v>
      </c>
      <c r="C29" s="34">
        <v>39722</v>
      </c>
      <c r="D29" s="1">
        <v>682</v>
      </c>
      <c r="E29" s="34">
        <v>39722</v>
      </c>
      <c r="F29" s="1">
        <v>5.0999999999999996</v>
      </c>
      <c r="G29" s="34">
        <v>39722</v>
      </c>
      <c r="H29" s="1">
        <v>-3.62</v>
      </c>
      <c r="I29" s="34">
        <v>39722</v>
      </c>
      <c r="J29" s="1">
        <v>146.29</v>
      </c>
      <c r="K29" s="34">
        <v>39722</v>
      </c>
      <c r="L29" s="1">
        <v>2602.6999999999998</v>
      </c>
      <c r="M29" s="34">
        <v>39722</v>
      </c>
      <c r="N29" s="1">
        <v>496.7</v>
      </c>
    </row>
    <row r="30" spans="1:14" x14ac:dyDescent="0.25">
      <c r="A30" s="34">
        <v>39753</v>
      </c>
      <c r="B30" s="1">
        <v>2576.3000000000002</v>
      </c>
      <c r="C30" s="34">
        <v>39753</v>
      </c>
      <c r="D30" s="1">
        <v>506</v>
      </c>
      <c r="E30" s="34">
        <v>39753</v>
      </c>
      <c r="F30" s="1">
        <v>5.5</v>
      </c>
      <c r="G30" s="34">
        <v>39753</v>
      </c>
      <c r="H30" s="1">
        <v>-3.74</v>
      </c>
      <c r="I30" s="34">
        <v>39753</v>
      </c>
      <c r="J30" s="1">
        <v>145.37</v>
      </c>
      <c r="K30" s="34">
        <v>39753</v>
      </c>
      <c r="L30" s="1">
        <v>2597.1</v>
      </c>
      <c r="M30" s="34">
        <v>39753</v>
      </c>
      <c r="N30" s="1">
        <v>500</v>
      </c>
    </row>
    <row r="31" spans="1:14" x14ac:dyDescent="0.25">
      <c r="A31" s="34">
        <v>39783</v>
      </c>
      <c r="B31" s="1">
        <v>2567.6</v>
      </c>
      <c r="C31" s="34">
        <v>39783</v>
      </c>
      <c r="D31" s="1">
        <v>701</v>
      </c>
      <c r="E31" s="34">
        <v>39783</v>
      </c>
      <c r="F31" s="1">
        <v>5.9</v>
      </c>
      <c r="G31" s="34">
        <v>39783</v>
      </c>
      <c r="H31" s="1">
        <v>-3.74</v>
      </c>
      <c r="I31" s="34">
        <v>39783</v>
      </c>
      <c r="J31" s="1">
        <v>144.4</v>
      </c>
      <c r="K31" s="34">
        <v>39783</v>
      </c>
      <c r="L31" s="1">
        <v>2592.6999999999998</v>
      </c>
      <c r="M31" s="34">
        <v>39783</v>
      </c>
      <c r="N31" s="1">
        <v>499.3</v>
      </c>
    </row>
    <row r="32" spans="1:14" x14ac:dyDescent="0.25">
      <c r="A32" s="34">
        <v>39814</v>
      </c>
      <c r="B32" s="1">
        <v>2554</v>
      </c>
      <c r="C32" s="34">
        <v>39814</v>
      </c>
      <c r="D32" s="1">
        <v>787</v>
      </c>
      <c r="E32" s="34">
        <v>39814</v>
      </c>
      <c r="F32" s="1">
        <v>6.3</v>
      </c>
      <c r="G32" s="34">
        <v>39814</v>
      </c>
      <c r="H32" s="1">
        <v>-3.59</v>
      </c>
      <c r="I32" s="34">
        <v>39814</v>
      </c>
      <c r="J32" s="1">
        <v>143.43</v>
      </c>
      <c r="K32" s="34">
        <v>39814</v>
      </c>
      <c r="L32" s="1">
        <v>2497.6</v>
      </c>
      <c r="M32" s="34">
        <v>39814</v>
      </c>
      <c r="N32" s="1">
        <v>481.3</v>
      </c>
    </row>
    <row r="33" spans="1:14" x14ac:dyDescent="0.25">
      <c r="A33" s="34">
        <v>39845</v>
      </c>
      <c r="B33" s="1">
        <v>2545</v>
      </c>
      <c r="C33" s="34">
        <v>39845</v>
      </c>
      <c r="D33" s="1">
        <v>607</v>
      </c>
      <c r="E33" s="34">
        <v>39845</v>
      </c>
      <c r="F33" s="1">
        <v>6.6</v>
      </c>
      <c r="G33" s="34">
        <v>39845</v>
      </c>
      <c r="H33" s="1">
        <v>-3.39</v>
      </c>
      <c r="I33" s="34">
        <v>39845</v>
      </c>
      <c r="J33" s="1">
        <v>142.47</v>
      </c>
      <c r="K33" s="34">
        <v>39845</v>
      </c>
      <c r="L33" s="1">
        <v>2498.8000000000002</v>
      </c>
      <c r="M33" s="34">
        <v>39845</v>
      </c>
      <c r="N33" s="1">
        <v>493.9</v>
      </c>
    </row>
    <row r="34" spans="1:14" x14ac:dyDescent="0.25">
      <c r="A34" s="34">
        <v>39873</v>
      </c>
      <c r="B34" s="1">
        <v>2532.5</v>
      </c>
      <c r="C34" s="34">
        <v>39873</v>
      </c>
      <c r="D34" s="1">
        <v>701</v>
      </c>
      <c r="E34" s="34">
        <v>39873</v>
      </c>
      <c r="F34" s="1">
        <v>6.9</v>
      </c>
      <c r="G34" s="34">
        <v>39873</v>
      </c>
      <c r="H34" s="1">
        <v>-2.97</v>
      </c>
      <c r="I34" s="34">
        <v>39873</v>
      </c>
      <c r="J34" s="1">
        <v>141.55000000000001</v>
      </c>
      <c r="K34" s="34">
        <v>39873</v>
      </c>
      <c r="L34" s="1">
        <v>2512.5</v>
      </c>
      <c r="M34" s="34">
        <v>39873</v>
      </c>
      <c r="N34" s="1">
        <v>499.2</v>
      </c>
    </row>
    <row r="35" spans="1:14" x14ac:dyDescent="0.25">
      <c r="A35" s="34">
        <v>39904</v>
      </c>
      <c r="B35" s="1">
        <v>2525.6</v>
      </c>
      <c r="C35" s="34">
        <v>39904</v>
      </c>
      <c r="D35" s="1">
        <v>730</v>
      </c>
      <c r="E35" s="34">
        <v>39904</v>
      </c>
      <c r="F35" s="1">
        <v>7.2</v>
      </c>
      <c r="G35" s="34">
        <v>39904</v>
      </c>
      <c r="H35" s="1">
        <v>-2.29</v>
      </c>
      <c r="I35" s="34">
        <v>39904</v>
      </c>
      <c r="J35" s="1">
        <v>140.72</v>
      </c>
      <c r="K35" s="34">
        <v>39904</v>
      </c>
      <c r="L35" s="1">
        <v>2529.6</v>
      </c>
      <c r="M35" s="34">
        <v>39904</v>
      </c>
      <c r="N35" s="1">
        <v>502.3</v>
      </c>
    </row>
    <row r="36" spans="1:14" x14ac:dyDescent="0.25">
      <c r="A36" s="34">
        <v>39934</v>
      </c>
      <c r="B36" s="1">
        <v>2528.5</v>
      </c>
      <c r="C36" s="34">
        <v>39934</v>
      </c>
      <c r="D36" s="1">
        <v>695</v>
      </c>
      <c r="E36" s="34">
        <v>39934</v>
      </c>
      <c r="F36" s="1">
        <v>7.3</v>
      </c>
      <c r="G36" s="34">
        <v>39934</v>
      </c>
      <c r="H36" s="1">
        <v>-2.29</v>
      </c>
      <c r="I36" s="34">
        <v>39934</v>
      </c>
      <c r="J36" s="1">
        <v>139.96</v>
      </c>
      <c r="K36" s="34">
        <v>39934</v>
      </c>
      <c r="L36" s="1">
        <v>2543.8000000000002</v>
      </c>
      <c r="M36" s="34">
        <v>39934</v>
      </c>
      <c r="N36" s="1">
        <v>502.3</v>
      </c>
    </row>
    <row r="37" spans="1:14" x14ac:dyDescent="0.25">
      <c r="A37" s="34">
        <v>39965</v>
      </c>
      <c r="B37" s="1">
        <v>2524.9</v>
      </c>
      <c r="C37" s="34">
        <v>39965</v>
      </c>
      <c r="D37" s="1">
        <v>1129</v>
      </c>
      <c r="E37" s="34">
        <v>39965</v>
      </c>
      <c r="F37" s="1">
        <v>7.5</v>
      </c>
      <c r="G37" s="34">
        <v>39965</v>
      </c>
      <c r="H37" s="1">
        <v>-1.69</v>
      </c>
      <c r="I37" s="34">
        <v>39965</v>
      </c>
      <c r="J37" s="1">
        <v>139.30000000000001</v>
      </c>
      <c r="K37" s="34">
        <v>39965</v>
      </c>
      <c r="L37" s="1">
        <v>2551.1999999999998</v>
      </c>
      <c r="M37" s="34">
        <v>39965</v>
      </c>
      <c r="N37" s="1">
        <v>490.3</v>
      </c>
    </row>
    <row r="38" spans="1:14" x14ac:dyDescent="0.25">
      <c r="A38" s="34">
        <v>39995</v>
      </c>
      <c r="B38" s="1">
        <v>2518.1</v>
      </c>
      <c r="C38" s="34">
        <v>39995</v>
      </c>
      <c r="D38" s="1">
        <v>840</v>
      </c>
      <c r="E38" s="34">
        <v>39995</v>
      </c>
      <c r="F38" s="1">
        <v>7.6</v>
      </c>
      <c r="G38" s="34">
        <v>39995</v>
      </c>
      <c r="H38" s="1">
        <v>-1.25</v>
      </c>
      <c r="I38" s="34">
        <v>39995</v>
      </c>
      <c r="J38" s="1">
        <v>138.72999999999999</v>
      </c>
      <c r="K38" s="34">
        <v>39995</v>
      </c>
      <c r="L38" s="1">
        <v>2525.6</v>
      </c>
      <c r="M38" s="34">
        <v>39995</v>
      </c>
      <c r="N38" s="1">
        <v>479</v>
      </c>
    </row>
    <row r="39" spans="1:14" x14ac:dyDescent="0.25">
      <c r="A39" s="34">
        <v>40026</v>
      </c>
      <c r="B39" s="1">
        <v>2513.5</v>
      </c>
      <c r="C39" s="34">
        <v>40026</v>
      </c>
      <c r="D39" s="1">
        <v>769</v>
      </c>
      <c r="E39" s="34">
        <v>40026</v>
      </c>
      <c r="F39" s="1">
        <v>7.6</v>
      </c>
      <c r="G39" s="34">
        <v>40026</v>
      </c>
      <c r="H39" s="1">
        <v>-1.38</v>
      </c>
      <c r="I39" s="34">
        <v>40026</v>
      </c>
      <c r="J39" s="1">
        <v>138.22999999999999</v>
      </c>
      <c r="K39" s="34">
        <v>40026</v>
      </c>
      <c r="L39" s="1">
        <v>2515.9</v>
      </c>
      <c r="M39" s="34">
        <v>40026</v>
      </c>
      <c r="N39" s="1">
        <v>475.6</v>
      </c>
    </row>
    <row r="40" spans="1:14" x14ac:dyDescent="0.25">
      <c r="A40" s="34">
        <v>40057</v>
      </c>
      <c r="B40" s="1">
        <v>2508.6999999999998</v>
      </c>
      <c r="C40" s="34">
        <v>40057</v>
      </c>
      <c r="D40" s="1">
        <v>803</v>
      </c>
      <c r="E40" s="34">
        <v>40057</v>
      </c>
      <c r="F40" s="1">
        <v>7.7</v>
      </c>
      <c r="G40" s="34">
        <v>40057</v>
      </c>
      <c r="H40" s="1">
        <v>-1.1399999999999999</v>
      </c>
      <c r="I40" s="34">
        <v>40057</v>
      </c>
      <c r="J40" s="1">
        <v>137.79</v>
      </c>
      <c r="K40" s="34">
        <v>40057</v>
      </c>
      <c r="L40" s="1">
        <v>2514.9</v>
      </c>
      <c r="M40" s="34">
        <v>40057</v>
      </c>
      <c r="N40" s="1">
        <v>487.6</v>
      </c>
    </row>
    <row r="41" spans="1:14" x14ac:dyDescent="0.25">
      <c r="A41" s="34">
        <v>40087</v>
      </c>
      <c r="B41" s="1">
        <v>2506.8000000000002</v>
      </c>
      <c r="C41" s="34">
        <v>40087</v>
      </c>
      <c r="D41" s="1">
        <v>623</v>
      </c>
      <c r="E41" s="34">
        <v>40087</v>
      </c>
      <c r="F41" s="1">
        <v>7.8</v>
      </c>
      <c r="G41" s="34">
        <v>40087</v>
      </c>
      <c r="H41" s="1">
        <v>-0.87</v>
      </c>
      <c r="I41" s="34">
        <v>40087</v>
      </c>
      <c r="J41" s="1">
        <v>137.41999999999999</v>
      </c>
      <c r="K41" s="34">
        <v>40087</v>
      </c>
      <c r="L41" s="1">
        <v>2524.9</v>
      </c>
      <c r="M41" s="34">
        <v>40087</v>
      </c>
      <c r="N41" s="1">
        <v>504.6</v>
      </c>
    </row>
    <row r="42" spans="1:14" x14ac:dyDescent="0.25">
      <c r="A42" s="34">
        <v>40118</v>
      </c>
      <c r="B42" s="1">
        <v>2506.6</v>
      </c>
      <c r="C42" s="34">
        <v>40118</v>
      </c>
      <c r="D42" s="1">
        <v>684</v>
      </c>
      <c r="E42" s="34">
        <v>40118</v>
      </c>
      <c r="F42" s="1">
        <v>7.9</v>
      </c>
      <c r="G42" s="34">
        <v>40118</v>
      </c>
      <c r="H42" s="1">
        <v>-0.37</v>
      </c>
      <c r="I42" s="34">
        <v>40118</v>
      </c>
      <c r="J42" s="1">
        <v>137.12</v>
      </c>
      <c r="K42" s="34">
        <v>40118</v>
      </c>
      <c r="L42" s="1">
        <v>2526.9</v>
      </c>
      <c r="M42" s="34">
        <v>40118</v>
      </c>
      <c r="N42" s="1">
        <v>506.6</v>
      </c>
    </row>
    <row r="43" spans="1:14" x14ac:dyDescent="0.25">
      <c r="A43" s="34">
        <v>40148</v>
      </c>
      <c r="B43" s="1">
        <v>2502.3000000000002</v>
      </c>
      <c r="C43" s="34">
        <v>40148</v>
      </c>
      <c r="D43" s="1">
        <v>1667</v>
      </c>
      <c r="E43" s="34">
        <v>40148</v>
      </c>
      <c r="F43" s="1">
        <v>8</v>
      </c>
      <c r="G43" s="34">
        <v>40148</v>
      </c>
      <c r="H43" s="1">
        <v>0.24</v>
      </c>
      <c r="I43" s="34">
        <v>40148</v>
      </c>
      <c r="J43" s="1">
        <v>136.91999999999999</v>
      </c>
      <c r="K43" s="34">
        <v>40148</v>
      </c>
      <c r="L43" s="1">
        <v>2525.9</v>
      </c>
      <c r="M43" s="34">
        <v>40148</v>
      </c>
      <c r="N43" s="1">
        <v>505.2</v>
      </c>
    </row>
    <row r="44" spans="1:14" x14ac:dyDescent="0.25">
      <c r="A44" s="34">
        <v>40179</v>
      </c>
      <c r="B44" s="1">
        <v>2500.6999999999998</v>
      </c>
      <c r="C44" s="34">
        <v>40179</v>
      </c>
      <c r="D44" s="1">
        <v>763</v>
      </c>
      <c r="E44" s="34">
        <v>40179</v>
      </c>
      <c r="F44" s="1">
        <v>8</v>
      </c>
      <c r="G44" s="34">
        <v>40179</v>
      </c>
      <c r="H44" s="1">
        <v>0.5</v>
      </c>
      <c r="I44" s="34">
        <v>40179</v>
      </c>
      <c r="J44" s="1">
        <v>136.81</v>
      </c>
      <c r="K44" s="34">
        <v>40179</v>
      </c>
      <c r="L44" s="1">
        <v>2445.1</v>
      </c>
      <c r="M44" s="34">
        <v>40179</v>
      </c>
      <c r="N44" s="1">
        <v>487.1</v>
      </c>
    </row>
    <row r="45" spans="1:14" x14ac:dyDescent="0.25">
      <c r="A45" s="34">
        <v>40210</v>
      </c>
      <c r="B45" s="1">
        <v>2467.9</v>
      </c>
      <c r="C45" s="34">
        <v>40210</v>
      </c>
      <c r="D45" s="1">
        <v>622</v>
      </c>
      <c r="E45" s="34">
        <v>40210</v>
      </c>
      <c r="F45" s="1">
        <v>8</v>
      </c>
      <c r="G45" s="34">
        <v>40210</v>
      </c>
      <c r="H45" s="1">
        <v>0.72</v>
      </c>
      <c r="I45" s="34">
        <v>40210</v>
      </c>
      <c r="J45" s="1">
        <v>136.79</v>
      </c>
      <c r="K45" s="34">
        <v>40210</v>
      </c>
      <c r="L45" s="1">
        <v>2424.1999999999998</v>
      </c>
      <c r="M45" s="34">
        <v>40210</v>
      </c>
      <c r="N45" s="1">
        <v>497.9</v>
      </c>
    </row>
    <row r="46" spans="1:14" x14ac:dyDescent="0.25">
      <c r="A46" s="34">
        <v>40238</v>
      </c>
      <c r="B46" s="1">
        <v>2500.3000000000002</v>
      </c>
      <c r="C46" s="34">
        <v>40238</v>
      </c>
      <c r="D46" s="1">
        <v>1600</v>
      </c>
      <c r="E46" s="34">
        <v>40238</v>
      </c>
      <c r="F46" s="1">
        <v>8</v>
      </c>
      <c r="G46" s="34">
        <v>40238</v>
      </c>
      <c r="H46" s="1">
        <v>1.18</v>
      </c>
      <c r="I46" s="34">
        <v>40238</v>
      </c>
      <c r="J46" s="1">
        <v>136.87</v>
      </c>
      <c r="K46" s="34">
        <v>40238</v>
      </c>
      <c r="L46" s="1">
        <v>2480.6999999999998</v>
      </c>
      <c r="M46" s="34">
        <v>40238</v>
      </c>
      <c r="N46" s="1">
        <v>505.9</v>
      </c>
    </row>
    <row r="47" spans="1:14" x14ac:dyDescent="0.25">
      <c r="A47" s="34">
        <v>40269</v>
      </c>
      <c r="B47" s="1">
        <v>2515.6</v>
      </c>
      <c r="C47" s="34">
        <v>40269</v>
      </c>
      <c r="D47" s="1">
        <v>904</v>
      </c>
      <c r="E47" s="34">
        <v>40269</v>
      </c>
      <c r="F47" s="1">
        <v>7.9</v>
      </c>
      <c r="G47" s="34">
        <v>40269</v>
      </c>
      <c r="H47" s="1">
        <v>1.1000000000000001</v>
      </c>
      <c r="I47" s="34">
        <v>40269</v>
      </c>
      <c r="J47" s="1">
        <v>137</v>
      </c>
      <c r="K47" s="34">
        <v>40269</v>
      </c>
      <c r="L47" s="1">
        <v>2520.6999999999998</v>
      </c>
      <c r="M47" s="34">
        <v>40269</v>
      </c>
      <c r="N47" s="1">
        <v>509</v>
      </c>
    </row>
    <row r="48" spans="1:14" x14ac:dyDescent="0.25">
      <c r="A48" s="34">
        <v>40299</v>
      </c>
      <c r="B48" s="1">
        <v>2526.8000000000002</v>
      </c>
      <c r="C48" s="34">
        <v>40299</v>
      </c>
      <c r="D48" s="1">
        <v>1493</v>
      </c>
      <c r="E48" s="34">
        <v>40299</v>
      </c>
      <c r="F48" s="1">
        <v>7.9</v>
      </c>
      <c r="G48" s="34">
        <v>40299</v>
      </c>
      <c r="H48" s="1">
        <v>1.25</v>
      </c>
      <c r="I48" s="34">
        <v>40299</v>
      </c>
      <c r="J48" s="1">
        <v>137.19</v>
      </c>
      <c r="K48" s="34">
        <v>40299</v>
      </c>
      <c r="L48" s="1">
        <v>2542.1</v>
      </c>
      <c r="M48" s="34">
        <v>40299</v>
      </c>
      <c r="N48" s="1">
        <v>516</v>
      </c>
    </row>
    <row r="49" spans="1:14" x14ac:dyDescent="0.25">
      <c r="A49" s="34">
        <v>40330</v>
      </c>
      <c r="B49" s="1">
        <v>2527.1999999999998</v>
      </c>
      <c r="C49" s="34">
        <v>40330</v>
      </c>
      <c r="D49" s="1">
        <v>1074</v>
      </c>
      <c r="E49" s="34">
        <v>40330</v>
      </c>
      <c r="F49" s="1">
        <v>7.8</v>
      </c>
      <c r="G49" s="34">
        <v>40330</v>
      </c>
      <c r="H49" s="1">
        <v>0.81</v>
      </c>
      <c r="I49" s="34">
        <v>40330</v>
      </c>
      <c r="J49" s="1">
        <v>137.38999999999999</v>
      </c>
      <c r="K49" s="34">
        <v>40330</v>
      </c>
      <c r="L49" s="1">
        <v>2552.9</v>
      </c>
      <c r="M49" s="34">
        <v>40330</v>
      </c>
      <c r="N49" s="1">
        <v>504</v>
      </c>
    </row>
    <row r="50" spans="1:14" x14ac:dyDescent="0.25">
      <c r="A50" s="34">
        <v>40360</v>
      </c>
      <c r="B50" s="1">
        <v>2525.6</v>
      </c>
      <c r="C50" s="34">
        <v>40360</v>
      </c>
      <c r="D50" s="1">
        <v>1126</v>
      </c>
      <c r="E50" s="34">
        <v>40360</v>
      </c>
      <c r="F50" s="1">
        <v>7.8</v>
      </c>
      <c r="G50" s="34">
        <v>40360</v>
      </c>
      <c r="H50" s="1">
        <v>0.91</v>
      </c>
      <c r="I50" s="34">
        <v>40360</v>
      </c>
      <c r="J50" s="1">
        <v>137.6</v>
      </c>
      <c r="K50" s="34">
        <v>40360</v>
      </c>
      <c r="L50" s="1">
        <v>2532.5</v>
      </c>
      <c r="M50" s="34">
        <v>40360</v>
      </c>
      <c r="N50" s="1">
        <v>487.3</v>
      </c>
    </row>
    <row r="51" spans="1:14" x14ac:dyDescent="0.25">
      <c r="A51" s="34">
        <v>40391</v>
      </c>
      <c r="B51" s="1">
        <v>2525.5</v>
      </c>
      <c r="C51" s="34">
        <v>40391</v>
      </c>
      <c r="D51" s="1">
        <v>1265</v>
      </c>
      <c r="E51" s="34">
        <v>40391</v>
      </c>
      <c r="F51" s="1">
        <v>7.8</v>
      </c>
      <c r="G51" s="34">
        <v>40391</v>
      </c>
      <c r="H51" s="1">
        <v>1.1200000000000001</v>
      </c>
      <c r="I51" s="34">
        <v>40391</v>
      </c>
      <c r="J51" s="1">
        <v>137.81</v>
      </c>
      <c r="K51" s="34">
        <v>40391</v>
      </c>
      <c r="L51" s="1">
        <v>2527.1999999999998</v>
      </c>
      <c r="M51" s="34">
        <v>40391</v>
      </c>
      <c r="N51" s="1">
        <v>485</v>
      </c>
    </row>
    <row r="52" spans="1:14" x14ac:dyDescent="0.25">
      <c r="A52" s="34">
        <v>40422</v>
      </c>
      <c r="B52" s="1">
        <v>2523.1</v>
      </c>
      <c r="C52" s="34">
        <v>40422</v>
      </c>
      <c r="D52" s="1">
        <v>733</v>
      </c>
      <c r="E52" s="34">
        <v>40422</v>
      </c>
      <c r="F52" s="1">
        <v>7.8</v>
      </c>
      <c r="G52" s="34">
        <v>40422</v>
      </c>
      <c r="H52" s="1">
        <v>1.1599999999999999</v>
      </c>
      <c r="I52" s="34">
        <v>40422</v>
      </c>
      <c r="J52" s="1">
        <v>138.04</v>
      </c>
      <c r="K52" s="34">
        <v>40422</v>
      </c>
      <c r="L52" s="1">
        <v>2528.8000000000002</v>
      </c>
      <c r="M52" s="34">
        <v>40422</v>
      </c>
      <c r="N52" s="1">
        <v>496.6</v>
      </c>
    </row>
    <row r="53" spans="1:14" x14ac:dyDescent="0.25">
      <c r="A53" s="34">
        <v>40452</v>
      </c>
      <c r="B53" s="1">
        <v>2530.9</v>
      </c>
      <c r="C53" s="34">
        <v>40452</v>
      </c>
      <c r="D53" s="1">
        <v>676</v>
      </c>
      <c r="E53" s="34">
        <v>40452</v>
      </c>
      <c r="F53" s="1">
        <v>7.8</v>
      </c>
      <c r="G53" s="34">
        <v>40452</v>
      </c>
      <c r="H53" s="1">
        <v>1.51</v>
      </c>
      <c r="I53" s="34">
        <v>40452</v>
      </c>
      <c r="J53" s="1">
        <v>138.30000000000001</v>
      </c>
      <c r="K53" s="34">
        <v>40452</v>
      </c>
      <c r="L53" s="1">
        <v>2544.6</v>
      </c>
      <c r="M53" s="34">
        <v>40452</v>
      </c>
      <c r="N53" s="1">
        <v>507.9</v>
      </c>
    </row>
    <row r="54" spans="1:14" x14ac:dyDescent="0.25">
      <c r="A54" s="34">
        <v>40483</v>
      </c>
      <c r="B54" s="1">
        <v>2527.6</v>
      </c>
      <c r="C54" s="34">
        <v>40483</v>
      </c>
      <c r="D54" s="1">
        <v>694</v>
      </c>
      <c r="E54" s="34">
        <v>40483</v>
      </c>
      <c r="F54" s="1">
        <v>7.7</v>
      </c>
      <c r="G54" s="34">
        <v>40483</v>
      </c>
      <c r="H54" s="1">
        <v>1.57</v>
      </c>
      <c r="I54" s="34">
        <v>40483</v>
      </c>
      <c r="J54" s="1">
        <v>138.61000000000001</v>
      </c>
      <c r="K54" s="34">
        <v>40483</v>
      </c>
      <c r="L54" s="1">
        <v>2548.3000000000002</v>
      </c>
      <c r="M54" s="34">
        <v>40483</v>
      </c>
      <c r="N54" s="1">
        <v>512.5</v>
      </c>
    </row>
    <row r="55" spans="1:14" x14ac:dyDescent="0.25">
      <c r="A55" s="34">
        <v>40513</v>
      </c>
      <c r="B55" s="1">
        <v>2530.8000000000002</v>
      </c>
      <c r="C55" s="34">
        <v>40513</v>
      </c>
      <c r="D55" s="1">
        <v>599</v>
      </c>
      <c r="E55" s="34">
        <v>40513</v>
      </c>
      <c r="F55" s="1">
        <v>7.5</v>
      </c>
      <c r="G55" s="34">
        <v>40513</v>
      </c>
      <c r="H55" s="1">
        <v>1.24</v>
      </c>
      <c r="I55" s="34">
        <v>40513</v>
      </c>
      <c r="J55" s="1">
        <v>138.91</v>
      </c>
      <c r="K55" s="34">
        <v>40513</v>
      </c>
      <c r="L55" s="1">
        <v>2553.1999999999998</v>
      </c>
      <c r="M55" s="34">
        <v>40513</v>
      </c>
      <c r="N55" s="1">
        <v>509.8</v>
      </c>
    </row>
    <row r="56" spans="1:14" x14ac:dyDescent="0.25">
      <c r="A56" s="34">
        <v>40544</v>
      </c>
      <c r="B56" s="1">
        <v>2529.6</v>
      </c>
      <c r="C56" s="34">
        <v>40544</v>
      </c>
      <c r="D56" s="1">
        <v>752</v>
      </c>
      <c r="E56" s="34">
        <v>40544</v>
      </c>
      <c r="F56" s="1">
        <v>7.4</v>
      </c>
      <c r="G56" s="34">
        <v>40544</v>
      </c>
      <c r="H56" s="1">
        <v>1.36</v>
      </c>
      <c r="I56" s="34">
        <v>40544</v>
      </c>
      <c r="J56" s="1">
        <v>139.21</v>
      </c>
      <c r="K56" s="34">
        <v>40544</v>
      </c>
      <c r="L56" s="1">
        <v>2473.3000000000002</v>
      </c>
      <c r="M56" s="34">
        <v>40544</v>
      </c>
      <c r="N56" s="1">
        <v>493.3</v>
      </c>
    </row>
    <row r="57" spans="1:14" x14ac:dyDescent="0.25">
      <c r="A57" s="34">
        <v>40575</v>
      </c>
      <c r="B57" s="1">
        <v>2534.5</v>
      </c>
      <c r="C57" s="34">
        <v>40575</v>
      </c>
      <c r="D57" s="1">
        <v>674</v>
      </c>
      <c r="E57" s="34">
        <v>40575</v>
      </c>
      <c r="F57" s="1">
        <v>7.3</v>
      </c>
      <c r="G57" s="34">
        <v>40575</v>
      </c>
      <c r="H57" s="1">
        <v>1.18</v>
      </c>
      <c r="I57" s="34">
        <v>40575</v>
      </c>
      <c r="J57" s="1">
        <v>139.49</v>
      </c>
      <c r="K57" s="34">
        <v>40575</v>
      </c>
      <c r="L57" s="1">
        <v>2490</v>
      </c>
      <c r="M57" s="34">
        <v>40575</v>
      </c>
      <c r="N57" s="1">
        <v>508.2</v>
      </c>
    </row>
    <row r="58" spans="1:14" x14ac:dyDescent="0.25">
      <c r="A58" s="34">
        <v>40603</v>
      </c>
      <c r="B58" s="1">
        <v>2536.5</v>
      </c>
      <c r="C58" s="34">
        <v>40603</v>
      </c>
      <c r="D58" s="1">
        <v>988</v>
      </c>
      <c r="E58" s="34">
        <v>40603</v>
      </c>
      <c r="F58" s="1">
        <v>7.2</v>
      </c>
      <c r="G58" s="34">
        <v>40603</v>
      </c>
      <c r="H58" s="1">
        <v>0.65</v>
      </c>
      <c r="I58" s="34">
        <v>40603</v>
      </c>
      <c r="J58" s="1">
        <v>139.72999999999999</v>
      </c>
      <c r="K58" s="34">
        <v>40603</v>
      </c>
      <c r="L58" s="1">
        <v>2517.1</v>
      </c>
      <c r="M58" s="34">
        <v>40603</v>
      </c>
      <c r="N58" s="1">
        <v>514.1</v>
      </c>
    </row>
    <row r="59" spans="1:14" x14ac:dyDescent="0.25">
      <c r="A59" s="34">
        <v>40634</v>
      </c>
      <c r="B59" s="1">
        <v>2538</v>
      </c>
      <c r="C59" s="34">
        <v>40634</v>
      </c>
      <c r="D59" s="1">
        <v>769</v>
      </c>
      <c r="E59" s="34">
        <v>40634</v>
      </c>
      <c r="F59" s="1">
        <v>7.2</v>
      </c>
      <c r="G59" s="34">
        <v>40634</v>
      </c>
      <c r="H59" s="1">
        <v>0.34</v>
      </c>
      <c r="I59" s="34">
        <v>40634</v>
      </c>
      <c r="J59" s="1">
        <v>139.9</v>
      </c>
      <c r="K59" s="34">
        <v>40634</v>
      </c>
      <c r="L59" s="1">
        <v>2543.6</v>
      </c>
      <c r="M59" s="34">
        <v>40634</v>
      </c>
      <c r="N59" s="1">
        <v>513.29999999999995</v>
      </c>
    </row>
    <row r="60" spans="1:14" x14ac:dyDescent="0.25">
      <c r="A60" s="34">
        <v>40664</v>
      </c>
      <c r="B60" s="1">
        <v>2539</v>
      </c>
      <c r="C60" s="34">
        <v>40664</v>
      </c>
      <c r="D60" s="1">
        <v>1281</v>
      </c>
      <c r="E60" s="34">
        <v>40664</v>
      </c>
      <c r="F60" s="1">
        <v>7.3</v>
      </c>
      <c r="G60" s="34">
        <v>40664</v>
      </c>
      <c r="H60" s="1">
        <v>0.41</v>
      </c>
      <c r="I60" s="34">
        <v>40664</v>
      </c>
      <c r="J60" s="1">
        <v>140.03</v>
      </c>
      <c r="K60" s="34">
        <v>40664</v>
      </c>
      <c r="L60" s="1">
        <v>2554.4</v>
      </c>
      <c r="M60" s="34">
        <v>40664</v>
      </c>
      <c r="N60" s="1">
        <v>512.5</v>
      </c>
    </row>
    <row r="61" spans="1:14" x14ac:dyDescent="0.25">
      <c r="A61" s="34">
        <v>40695</v>
      </c>
      <c r="B61" s="1">
        <v>2541.1999999999998</v>
      </c>
      <c r="C61" s="34">
        <v>40695</v>
      </c>
      <c r="D61" s="1">
        <v>751</v>
      </c>
      <c r="E61" s="34">
        <v>40695</v>
      </c>
      <c r="F61" s="1">
        <v>7.4</v>
      </c>
      <c r="G61" s="34">
        <v>40695</v>
      </c>
      <c r="H61" s="1">
        <v>0.6</v>
      </c>
      <c r="I61" s="34">
        <v>40695</v>
      </c>
      <c r="J61" s="1">
        <v>140.15</v>
      </c>
      <c r="K61" s="34">
        <v>40695</v>
      </c>
      <c r="L61" s="1">
        <v>2565.4</v>
      </c>
      <c r="M61" s="34">
        <v>40695</v>
      </c>
      <c r="N61" s="1">
        <v>502.8</v>
      </c>
    </row>
    <row r="62" spans="1:14" x14ac:dyDescent="0.25">
      <c r="A62" s="34">
        <v>40725</v>
      </c>
      <c r="B62" s="1">
        <v>2549.3000000000002</v>
      </c>
      <c r="C62" s="34">
        <v>40725</v>
      </c>
      <c r="D62" s="1">
        <v>1092</v>
      </c>
      <c r="E62" s="34">
        <v>40725</v>
      </c>
      <c r="F62" s="1">
        <v>7.5</v>
      </c>
      <c r="G62" s="34">
        <v>40725</v>
      </c>
      <c r="H62" s="1">
        <v>1.02</v>
      </c>
      <c r="I62" s="34">
        <v>40725</v>
      </c>
      <c r="J62" s="1">
        <v>140.29</v>
      </c>
      <c r="K62" s="34">
        <v>40725</v>
      </c>
      <c r="L62" s="1">
        <v>2556.9</v>
      </c>
      <c r="M62" s="34">
        <v>40725</v>
      </c>
      <c r="N62" s="1">
        <v>489.2</v>
      </c>
    </row>
    <row r="63" spans="1:14" x14ac:dyDescent="0.25">
      <c r="A63" s="34">
        <v>40756</v>
      </c>
      <c r="B63" s="1">
        <v>2542.8000000000002</v>
      </c>
      <c r="C63" s="34">
        <v>40756</v>
      </c>
      <c r="D63" s="1">
        <v>1347</v>
      </c>
      <c r="E63" s="34">
        <v>40756</v>
      </c>
      <c r="F63" s="1">
        <v>7.5</v>
      </c>
      <c r="G63" s="34">
        <v>40756</v>
      </c>
      <c r="H63" s="1">
        <v>1.47</v>
      </c>
      <c r="I63" s="34">
        <v>40756</v>
      </c>
      <c r="J63" s="1">
        <v>140.49</v>
      </c>
      <c r="K63" s="34">
        <v>40756</v>
      </c>
      <c r="L63" s="1">
        <v>2543.6999999999998</v>
      </c>
      <c r="M63" s="34">
        <v>40756</v>
      </c>
      <c r="N63" s="1">
        <v>483</v>
      </c>
    </row>
    <row r="64" spans="1:14" x14ac:dyDescent="0.25">
      <c r="A64" s="34">
        <v>40787</v>
      </c>
      <c r="B64" s="1">
        <v>2548.5</v>
      </c>
      <c r="C64" s="34">
        <v>40787</v>
      </c>
      <c r="D64" s="1">
        <v>789</v>
      </c>
      <c r="E64" s="34">
        <v>40787</v>
      </c>
      <c r="F64" s="1">
        <v>7.4</v>
      </c>
      <c r="G64" s="34">
        <v>40787</v>
      </c>
      <c r="H64" s="1">
        <v>1.64</v>
      </c>
      <c r="I64" s="34">
        <v>40787</v>
      </c>
      <c r="J64" s="1">
        <v>140.74</v>
      </c>
      <c r="K64" s="34">
        <v>40787</v>
      </c>
      <c r="L64" s="1">
        <v>2553.6999999999998</v>
      </c>
      <c r="M64" s="34">
        <v>40787</v>
      </c>
      <c r="N64" s="1">
        <v>500.7</v>
      </c>
    </row>
    <row r="65" spans="1:14" x14ac:dyDescent="0.25">
      <c r="A65" s="34">
        <v>40817</v>
      </c>
      <c r="B65" s="1">
        <v>2551.3000000000002</v>
      </c>
      <c r="C65" s="34">
        <v>40817</v>
      </c>
      <c r="D65" s="1">
        <v>775</v>
      </c>
      <c r="E65" s="34">
        <v>40817</v>
      </c>
      <c r="F65" s="1">
        <v>7.3</v>
      </c>
      <c r="G65" s="34">
        <v>40817</v>
      </c>
      <c r="H65" s="1">
        <v>1.8</v>
      </c>
      <c r="I65" s="34">
        <v>40817</v>
      </c>
      <c r="J65" s="1">
        <v>141.05000000000001</v>
      </c>
      <c r="K65" s="34">
        <v>40817</v>
      </c>
      <c r="L65" s="1">
        <v>2565.6</v>
      </c>
      <c r="M65" s="34">
        <v>40817</v>
      </c>
      <c r="N65" s="1">
        <v>514.4</v>
      </c>
    </row>
    <row r="66" spans="1:14" x14ac:dyDescent="0.25">
      <c r="A66" s="34">
        <v>40848</v>
      </c>
      <c r="B66" s="1">
        <v>2551</v>
      </c>
      <c r="C66" s="34">
        <v>40848</v>
      </c>
      <c r="D66" s="1">
        <v>778</v>
      </c>
      <c r="E66" s="34">
        <v>40848</v>
      </c>
      <c r="F66" s="1">
        <v>7.1</v>
      </c>
      <c r="G66" s="34">
        <v>40848</v>
      </c>
      <c r="H66" s="1">
        <v>1.57</v>
      </c>
      <c r="I66" s="34">
        <v>40848</v>
      </c>
      <c r="J66" s="1">
        <v>141.38</v>
      </c>
      <c r="K66" s="34">
        <v>40848</v>
      </c>
      <c r="L66" s="1">
        <v>2571.4</v>
      </c>
      <c r="M66" s="34">
        <v>40848</v>
      </c>
      <c r="N66" s="1">
        <v>512.1</v>
      </c>
    </row>
    <row r="67" spans="1:14" x14ac:dyDescent="0.25">
      <c r="A67" s="34">
        <v>40878</v>
      </c>
      <c r="B67" s="1">
        <v>2555.5</v>
      </c>
      <c r="C67" s="34">
        <v>40878</v>
      </c>
      <c r="D67" s="1">
        <v>1555</v>
      </c>
      <c r="E67" s="34">
        <v>40878</v>
      </c>
      <c r="F67" s="1">
        <v>7</v>
      </c>
      <c r="G67" s="34">
        <v>40878</v>
      </c>
      <c r="H67" s="1">
        <v>1.58</v>
      </c>
      <c r="I67" s="34">
        <v>40878</v>
      </c>
      <c r="J67" s="1">
        <v>141.72</v>
      </c>
      <c r="K67" s="34">
        <v>40878</v>
      </c>
      <c r="L67" s="1">
        <v>2577.6999999999998</v>
      </c>
      <c r="M67" s="34">
        <v>40878</v>
      </c>
      <c r="N67" s="1">
        <v>512.29999999999995</v>
      </c>
    </row>
    <row r="68" spans="1:14" x14ac:dyDescent="0.25">
      <c r="A68" s="34">
        <v>40909</v>
      </c>
      <c r="B68" s="1">
        <v>2563.9</v>
      </c>
      <c r="C68" s="34">
        <v>40909</v>
      </c>
      <c r="D68" s="1">
        <v>894</v>
      </c>
      <c r="E68" s="34">
        <v>40909</v>
      </c>
      <c r="F68" s="1">
        <v>6.9</v>
      </c>
      <c r="G68" s="34">
        <v>40909</v>
      </c>
      <c r="H68" s="1">
        <v>1.49</v>
      </c>
      <c r="I68" s="34">
        <v>40909</v>
      </c>
      <c r="J68" s="1">
        <v>142.05000000000001</v>
      </c>
      <c r="K68" s="34">
        <v>40909</v>
      </c>
      <c r="L68" s="1">
        <v>2507.1999999999998</v>
      </c>
      <c r="M68" s="34">
        <v>40909</v>
      </c>
      <c r="N68" s="1">
        <v>495</v>
      </c>
    </row>
    <row r="69" spans="1:14" x14ac:dyDescent="0.25">
      <c r="A69" s="34">
        <v>40940</v>
      </c>
      <c r="B69" s="1">
        <v>2566.1999999999998</v>
      </c>
      <c r="C69" s="34">
        <v>40940</v>
      </c>
      <c r="D69" s="1">
        <v>1051</v>
      </c>
      <c r="E69" s="34">
        <v>40940</v>
      </c>
      <c r="F69" s="1">
        <v>6.8</v>
      </c>
      <c r="G69" s="34">
        <v>40940</v>
      </c>
      <c r="H69" s="1">
        <v>1.1499999999999999</v>
      </c>
      <c r="I69" s="34">
        <v>40940</v>
      </c>
      <c r="J69" s="1">
        <v>142.34</v>
      </c>
      <c r="K69" s="34">
        <v>40940</v>
      </c>
      <c r="L69" s="1">
        <v>2523.6</v>
      </c>
      <c r="M69" s="34">
        <v>40940</v>
      </c>
      <c r="N69" s="1">
        <v>510.4</v>
      </c>
    </row>
    <row r="70" spans="1:14" x14ac:dyDescent="0.25">
      <c r="A70" s="34">
        <v>40969</v>
      </c>
      <c r="B70" s="1">
        <v>2573.1</v>
      </c>
      <c r="C70" s="34">
        <v>40969</v>
      </c>
      <c r="D70" s="1">
        <v>1066</v>
      </c>
      <c r="E70" s="34">
        <v>40969</v>
      </c>
      <c r="F70" s="1">
        <v>6.8</v>
      </c>
      <c r="G70" s="34">
        <v>40969</v>
      </c>
      <c r="H70" s="1">
        <v>0.85</v>
      </c>
      <c r="I70" s="34">
        <v>40969</v>
      </c>
      <c r="J70" s="1">
        <v>142.59</v>
      </c>
      <c r="K70" s="34">
        <v>40969</v>
      </c>
      <c r="L70" s="1">
        <v>2554</v>
      </c>
      <c r="M70" s="34">
        <v>40969</v>
      </c>
      <c r="N70" s="1">
        <v>516.4</v>
      </c>
    </row>
    <row r="71" spans="1:14" x14ac:dyDescent="0.25">
      <c r="A71" s="34">
        <v>41000</v>
      </c>
      <c r="B71" s="1">
        <v>2566.6</v>
      </c>
      <c r="C71" s="34">
        <v>41000</v>
      </c>
      <c r="D71" s="1">
        <v>925</v>
      </c>
      <c r="E71" s="34">
        <v>41000</v>
      </c>
      <c r="F71" s="1">
        <v>6.8</v>
      </c>
      <c r="G71" s="34">
        <v>41000</v>
      </c>
      <c r="H71" s="1">
        <v>0.43</v>
      </c>
      <c r="I71" s="34">
        <v>41000</v>
      </c>
      <c r="J71" s="1">
        <v>142.77000000000001</v>
      </c>
      <c r="K71" s="34">
        <v>41000</v>
      </c>
      <c r="L71" s="1">
        <v>2568.1</v>
      </c>
      <c r="M71" s="34">
        <v>41000</v>
      </c>
      <c r="N71" s="1">
        <v>514</v>
      </c>
    </row>
    <row r="72" spans="1:14" x14ac:dyDescent="0.25">
      <c r="A72" s="34">
        <v>41030</v>
      </c>
      <c r="B72" s="1">
        <v>2569.8000000000002</v>
      </c>
      <c r="C72" s="34">
        <v>41030</v>
      </c>
      <c r="D72" s="1">
        <v>1147</v>
      </c>
      <c r="E72" s="34">
        <v>41030</v>
      </c>
      <c r="F72" s="1">
        <v>6.9</v>
      </c>
      <c r="G72" s="34">
        <v>41030</v>
      </c>
      <c r="H72" s="1">
        <v>0.44</v>
      </c>
      <c r="I72" s="34">
        <v>41030</v>
      </c>
      <c r="J72" s="1">
        <v>142.91</v>
      </c>
      <c r="K72" s="34">
        <v>41030</v>
      </c>
      <c r="L72" s="1">
        <v>2585.3000000000002</v>
      </c>
      <c r="M72" s="34">
        <v>41030</v>
      </c>
      <c r="N72" s="1">
        <v>512.79999999999995</v>
      </c>
    </row>
    <row r="73" spans="1:14" x14ac:dyDescent="0.25">
      <c r="A73" s="34">
        <v>41061</v>
      </c>
      <c r="B73" s="1">
        <v>2573.5</v>
      </c>
      <c r="C73" s="34">
        <v>41061</v>
      </c>
      <c r="D73" s="1">
        <v>1249</v>
      </c>
      <c r="E73" s="34">
        <v>41061</v>
      </c>
      <c r="F73" s="1">
        <v>7</v>
      </c>
      <c r="G73" s="34">
        <v>41061</v>
      </c>
      <c r="H73" s="1">
        <v>0.65</v>
      </c>
      <c r="I73" s="34">
        <v>41061</v>
      </c>
      <c r="J73" s="1">
        <v>143.05000000000001</v>
      </c>
      <c r="K73" s="34">
        <v>41061</v>
      </c>
      <c r="L73" s="1">
        <v>2598.3000000000002</v>
      </c>
      <c r="M73" s="34">
        <v>41061</v>
      </c>
      <c r="N73" s="1">
        <v>498.8</v>
      </c>
    </row>
    <row r="74" spans="1:14" x14ac:dyDescent="0.25">
      <c r="A74" s="34">
        <v>41091</v>
      </c>
      <c r="B74" s="1">
        <v>2571.1</v>
      </c>
      <c r="C74" s="34">
        <v>41091</v>
      </c>
      <c r="D74" s="1">
        <v>1202</v>
      </c>
      <c r="E74" s="34">
        <v>41091</v>
      </c>
      <c r="F74" s="1">
        <v>7</v>
      </c>
      <c r="G74" s="34">
        <v>41091</v>
      </c>
      <c r="H74" s="1">
        <v>0.56999999999999995</v>
      </c>
      <c r="I74" s="34">
        <v>41091</v>
      </c>
      <c r="J74" s="1">
        <v>143.18</v>
      </c>
      <c r="K74" s="34">
        <v>41091</v>
      </c>
      <c r="L74" s="1">
        <v>2578.8000000000002</v>
      </c>
      <c r="M74" s="34">
        <v>41091</v>
      </c>
      <c r="N74" s="1">
        <v>483</v>
      </c>
    </row>
    <row r="75" spans="1:14" x14ac:dyDescent="0.25">
      <c r="A75" s="34">
        <v>41122</v>
      </c>
      <c r="B75" s="1">
        <v>2573.9</v>
      </c>
      <c r="C75" s="34">
        <v>41122</v>
      </c>
      <c r="D75" s="1">
        <v>1296</v>
      </c>
      <c r="E75" s="34">
        <v>41122</v>
      </c>
      <c r="F75" s="1">
        <v>7</v>
      </c>
      <c r="G75" s="34">
        <v>41122</v>
      </c>
      <c r="H75" s="1">
        <v>0.59</v>
      </c>
      <c r="I75" s="34">
        <v>41122</v>
      </c>
      <c r="J75" s="1">
        <v>143.31</v>
      </c>
      <c r="K75" s="34">
        <v>41122</v>
      </c>
      <c r="L75" s="1">
        <v>2578.5</v>
      </c>
      <c r="M75" s="34">
        <v>41122</v>
      </c>
      <c r="N75" s="1">
        <v>481.2</v>
      </c>
    </row>
    <row r="76" spans="1:14" x14ac:dyDescent="0.25">
      <c r="A76" s="34">
        <v>41153</v>
      </c>
      <c r="B76" s="1">
        <v>2581.5</v>
      </c>
      <c r="C76" s="34">
        <v>41153</v>
      </c>
      <c r="D76" s="1">
        <v>1226</v>
      </c>
      <c r="E76" s="34">
        <v>41153</v>
      </c>
      <c r="F76" s="1">
        <v>7</v>
      </c>
      <c r="G76" s="34">
        <v>41153</v>
      </c>
      <c r="H76" s="1">
        <v>0.75</v>
      </c>
      <c r="I76" s="34">
        <v>41153</v>
      </c>
      <c r="J76" s="1">
        <v>143.46</v>
      </c>
      <c r="K76" s="34">
        <v>41153</v>
      </c>
      <c r="L76" s="1">
        <v>2587.9</v>
      </c>
      <c r="M76" s="34">
        <v>41153</v>
      </c>
      <c r="N76" s="1">
        <v>501.9</v>
      </c>
    </row>
    <row r="77" spans="1:14" x14ac:dyDescent="0.25">
      <c r="A77" s="34">
        <v>41183</v>
      </c>
      <c r="B77" s="1">
        <v>2582.5</v>
      </c>
      <c r="C77" s="34">
        <v>41183</v>
      </c>
      <c r="D77" s="1">
        <v>1086</v>
      </c>
      <c r="E77" s="34">
        <v>41183</v>
      </c>
      <c r="F77" s="1">
        <v>6.9</v>
      </c>
      <c r="G77" s="34">
        <v>41183</v>
      </c>
      <c r="H77" s="1">
        <v>0.57999999999999996</v>
      </c>
      <c r="I77" s="34">
        <v>41183</v>
      </c>
      <c r="J77" s="1">
        <v>143.59</v>
      </c>
      <c r="K77" s="34">
        <v>41183</v>
      </c>
      <c r="L77" s="1">
        <v>2596.9</v>
      </c>
      <c r="M77" s="34">
        <v>41183</v>
      </c>
      <c r="N77" s="1">
        <v>513</v>
      </c>
    </row>
    <row r="78" spans="1:14" x14ac:dyDescent="0.25">
      <c r="A78" s="34">
        <v>41214</v>
      </c>
      <c r="B78" s="1">
        <v>2585.5</v>
      </c>
      <c r="C78" s="34">
        <v>41214</v>
      </c>
      <c r="D78" s="1">
        <v>1409</v>
      </c>
      <c r="E78" s="34">
        <v>41214</v>
      </c>
      <c r="F78" s="1">
        <v>6.9</v>
      </c>
      <c r="G78" s="34">
        <v>41214</v>
      </c>
      <c r="H78" s="1">
        <v>0.68</v>
      </c>
      <c r="I78" s="34">
        <v>41214</v>
      </c>
      <c r="J78" s="1">
        <v>143.72</v>
      </c>
      <c r="K78" s="34">
        <v>41214</v>
      </c>
      <c r="L78" s="1">
        <v>2604.1999999999998</v>
      </c>
      <c r="M78" s="34">
        <v>41214</v>
      </c>
      <c r="N78" s="1">
        <v>514</v>
      </c>
    </row>
    <row r="79" spans="1:14" x14ac:dyDescent="0.25">
      <c r="A79" s="34">
        <v>41244</v>
      </c>
      <c r="B79" s="1">
        <v>2586.4</v>
      </c>
      <c r="C79" s="34">
        <v>41244</v>
      </c>
      <c r="D79" s="1">
        <v>1391</v>
      </c>
      <c r="E79" s="34">
        <v>41244</v>
      </c>
      <c r="F79" s="1">
        <v>6.9</v>
      </c>
      <c r="G79" s="34">
        <v>41244</v>
      </c>
      <c r="H79" s="1">
        <v>0.8</v>
      </c>
      <c r="I79" s="34">
        <v>41244</v>
      </c>
      <c r="J79" s="1">
        <v>143.86000000000001</v>
      </c>
      <c r="K79" s="34">
        <v>41244</v>
      </c>
      <c r="L79" s="1">
        <v>2609.4</v>
      </c>
      <c r="M79" s="34">
        <v>41244</v>
      </c>
      <c r="N79" s="1">
        <v>513.29999999999995</v>
      </c>
    </row>
    <row r="80" spans="1:14" x14ac:dyDescent="0.25">
      <c r="A80" s="34">
        <v>41275</v>
      </c>
      <c r="B80" s="1">
        <v>2591</v>
      </c>
      <c r="C80" s="34">
        <v>41275</v>
      </c>
      <c r="D80" s="1">
        <v>1067</v>
      </c>
      <c r="E80" s="34">
        <v>41275</v>
      </c>
      <c r="F80" s="1">
        <v>6.8</v>
      </c>
      <c r="G80" s="34">
        <v>41275</v>
      </c>
      <c r="H80" s="1">
        <v>0.49</v>
      </c>
      <c r="I80" s="34">
        <v>41275</v>
      </c>
      <c r="J80" s="1">
        <v>143.97999999999999</v>
      </c>
      <c r="K80" s="34">
        <v>41275</v>
      </c>
      <c r="L80" s="1">
        <v>2533.1999999999998</v>
      </c>
      <c r="M80" s="34">
        <v>41275</v>
      </c>
      <c r="N80" s="1">
        <v>494.5</v>
      </c>
    </row>
    <row r="81" spans="1:14" x14ac:dyDescent="0.25">
      <c r="A81" s="34">
        <v>41306</v>
      </c>
      <c r="B81" s="1">
        <v>2595</v>
      </c>
      <c r="C81" s="34">
        <v>41306</v>
      </c>
      <c r="D81" s="1">
        <v>1020</v>
      </c>
      <c r="E81" s="34">
        <v>41306</v>
      </c>
      <c r="F81" s="1">
        <v>6.8</v>
      </c>
      <c r="G81" s="34">
        <v>41306</v>
      </c>
      <c r="H81" s="1">
        <v>0.62</v>
      </c>
      <c r="I81" s="34">
        <v>41306</v>
      </c>
      <c r="J81" s="1">
        <v>144.1</v>
      </c>
      <c r="K81" s="34">
        <v>41306</v>
      </c>
      <c r="L81" s="1">
        <v>2551.5</v>
      </c>
      <c r="M81" s="34">
        <v>41306</v>
      </c>
      <c r="N81" s="1">
        <v>509.4</v>
      </c>
    </row>
    <row r="82" spans="1:14" x14ac:dyDescent="0.25">
      <c r="A82" s="34">
        <v>41334</v>
      </c>
      <c r="B82" s="1">
        <v>2592.5</v>
      </c>
      <c r="C82" s="34">
        <v>41334</v>
      </c>
      <c r="D82" s="1">
        <v>1732</v>
      </c>
      <c r="E82" s="34">
        <v>41334</v>
      </c>
      <c r="F82" s="1">
        <v>6.7</v>
      </c>
      <c r="G82" s="34">
        <v>41334</v>
      </c>
      <c r="H82" s="1">
        <v>0.37</v>
      </c>
      <c r="I82" s="34">
        <v>41334</v>
      </c>
      <c r="J82" s="1">
        <v>144.19999999999999</v>
      </c>
      <c r="K82" s="34">
        <v>41334</v>
      </c>
      <c r="L82" s="1">
        <v>2573.1999999999998</v>
      </c>
      <c r="M82" s="34">
        <v>41334</v>
      </c>
      <c r="N82" s="1">
        <v>513</v>
      </c>
    </row>
    <row r="83" spans="1:14" x14ac:dyDescent="0.25">
      <c r="A83" s="34">
        <v>41365</v>
      </c>
      <c r="B83" s="1">
        <v>2592.1</v>
      </c>
      <c r="C83" s="34">
        <v>41365</v>
      </c>
      <c r="D83" s="1">
        <v>1740</v>
      </c>
      <c r="E83" s="34">
        <v>41365</v>
      </c>
      <c r="F83" s="1">
        <v>6.7</v>
      </c>
      <c r="G83" s="34">
        <v>41365</v>
      </c>
      <c r="H83" s="1">
        <v>0.39</v>
      </c>
      <c r="I83" s="34">
        <v>41365</v>
      </c>
      <c r="J83" s="1">
        <v>144.27000000000001</v>
      </c>
      <c r="K83" s="34">
        <v>41365</v>
      </c>
      <c r="L83" s="1">
        <v>2592.8000000000002</v>
      </c>
      <c r="M83" s="34">
        <v>41365</v>
      </c>
      <c r="N83" s="1">
        <v>514.6</v>
      </c>
    </row>
    <row r="84" spans="1:14" x14ac:dyDescent="0.25">
      <c r="A84" s="34">
        <v>41395</v>
      </c>
      <c r="B84" s="1">
        <v>2594.9</v>
      </c>
      <c r="C84" s="34">
        <v>41395</v>
      </c>
      <c r="D84" s="1">
        <v>1421</v>
      </c>
      <c r="E84" s="34">
        <v>41395</v>
      </c>
      <c r="F84" s="1">
        <v>6.7</v>
      </c>
      <c r="G84" s="34">
        <v>41395</v>
      </c>
      <c r="H84" s="1">
        <v>0.41</v>
      </c>
      <c r="I84" s="34">
        <v>41395</v>
      </c>
      <c r="J84" s="1">
        <v>144.33000000000001</v>
      </c>
      <c r="K84" s="34">
        <v>41395</v>
      </c>
      <c r="L84" s="1">
        <v>2614.5</v>
      </c>
      <c r="M84" s="34">
        <v>41395</v>
      </c>
      <c r="N84" s="1">
        <v>514.20000000000005</v>
      </c>
    </row>
    <row r="85" spans="1:14" x14ac:dyDescent="0.25">
      <c r="A85" s="34">
        <v>41426</v>
      </c>
      <c r="B85" s="1">
        <v>2595.1</v>
      </c>
      <c r="C85" s="34">
        <v>41426</v>
      </c>
      <c r="D85" s="1">
        <v>1930</v>
      </c>
      <c r="E85" s="34">
        <v>41426</v>
      </c>
      <c r="F85" s="1">
        <v>6.7</v>
      </c>
      <c r="G85" s="34">
        <v>41426</v>
      </c>
      <c r="H85" s="1">
        <v>0.55000000000000004</v>
      </c>
      <c r="I85" s="34">
        <v>41426</v>
      </c>
      <c r="J85" s="1">
        <v>144.38999999999999</v>
      </c>
      <c r="K85" s="34">
        <v>41426</v>
      </c>
      <c r="L85" s="1">
        <v>2621.4</v>
      </c>
      <c r="M85" s="34">
        <v>41426</v>
      </c>
      <c r="N85" s="1">
        <v>501.9</v>
      </c>
    </row>
    <row r="86" spans="1:14" x14ac:dyDescent="0.25">
      <c r="A86" s="34">
        <v>41456</v>
      </c>
      <c r="B86" s="1">
        <v>2593.9</v>
      </c>
      <c r="C86" s="34">
        <v>41456</v>
      </c>
      <c r="D86" s="1">
        <v>1254</v>
      </c>
      <c r="E86" s="34">
        <v>41456</v>
      </c>
      <c r="F86" s="1">
        <v>6.7</v>
      </c>
      <c r="G86" s="34">
        <v>41456</v>
      </c>
      <c r="H86" s="1">
        <v>0.89</v>
      </c>
      <c r="I86" s="34">
        <v>41456</v>
      </c>
      <c r="J86" s="1">
        <v>144.49</v>
      </c>
      <c r="K86" s="34">
        <v>41456</v>
      </c>
      <c r="L86" s="1">
        <v>2602.1</v>
      </c>
      <c r="M86" s="34">
        <v>41456</v>
      </c>
      <c r="N86" s="1">
        <v>482.6</v>
      </c>
    </row>
    <row r="87" spans="1:14" x14ac:dyDescent="0.25">
      <c r="A87" s="34">
        <v>41487</v>
      </c>
      <c r="B87" s="1">
        <v>2597</v>
      </c>
      <c r="C87" s="34">
        <v>41487</v>
      </c>
      <c r="D87" s="1">
        <v>1416</v>
      </c>
      <c r="E87" s="34">
        <v>41487</v>
      </c>
      <c r="F87" s="1">
        <v>6.6</v>
      </c>
      <c r="G87" s="34">
        <v>41487</v>
      </c>
      <c r="H87" s="1">
        <v>0.98</v>
      </c>
      <c r="I87" s="34">
        <v>41487</v>
      </c>
      <c r="J87" s="1">
        <v>144.63</v>
      </c>
      <c r="K87" s="34">
        <v>41487</v>
      </c>
      <c r="L87" s="1">
        <v>2601.8000000000002</v>
      </c>
      <c r="M87" s="34">
        <v>41487</v>
      </c>
      <c r="N87" s="1">
        <v>481.7</v>
      </c>
    </row>
    <row r="88" spans="1:14" x14ac:dyDescent="0.25">
      <c r="A88" s="34">
        <v>41518</v>
      </c>
      <c r="B88" s="1">
        <v>2597.5</v>
      </c>
      <c r="C88" s="34">
        <v>41518</v>
      </c>
      <c r="D88" s="1">
        <v>2321</v>
      </c>
      <c r="E88" s="34">
        <v>41518</v>
      </c>
      <c r="F88" s="1">
        <v>6.5</v>
      </c>
      <c r="G88" s="34">
        <v>41518</v>
      </c>
      <c r="H88" s="1">
        <v>1.19</v>
      </c>
      <c r="I88" s="34">
        <v>41518</v>
      </c>
      <c r="J88" s="1">
        <v>144.81</v>
      </c>
      <c r="K88" s="34">
        <v>41518</v>
      </c>
      <c r="L88" s="1">
        <v>2604.3000000000002</v>
      </c>
      <c r="M88" s="34">
        <v>41518</v>
      </c>
      <c r="N88" s="1">
        <v>500.6</v>
      </c>
    </row>
    <row r="89" spans="1:14" x14ac:dyDescent="0.25">
      <c r="A89" s="34">
        <v>41548</v>
      </c>
      <c r="B89" s="1">
        <v>2598.1999999999998</v>
      </c>
      <c r="C89" s="34">
        <v>41548</v>
      </c>
      <c r="D89" s="1">
        <v>1680</v>
      </c>
      <c r="E89" s="34">
        <v>41548</v>
      </c>
      <c r="F89" s="1">
        <v>6.4</v>
      </c>
      <c r="G89" s="34">
        <v>41548</v>
      </c>
      <c r="H89" s="1">
        <v>1.52</v>
      </c>
      <c r="I89" s="34">
        <v>41548</v>
      </c>
      <c r="J89" s="1">
        <v>145.05000000000001</v>
      </c>
      <c r="K89" s="34">
        <v>41548</v>
      </c>
      <c r="L89" s="1">
        <v>2613.5</v>
      </c>
      <c r="M89" s="34">
        <v>41548</v>
      </c>
      <c r="N89" s="1">
        <v>510.4</v>
      </c>
    </row>
    <row r="90" spans="1:14" x14ac:dyDescent="0.25">
      <c r="A90" s="34">
        <v>41579</v>
      </c>
      <c r="B90" s="1">
        <v>2605</v>
      </c>
      <c r="C90" s="34">
        <v>41579</v>
      </c>
      <c r="D90" s="1">
        <v>1455</v>
      </c>
      <c r="E90" s="34">
        <v>41579</v>
      </c>
      <c r="F90" s="1">
        <v>6.2</v>
      </c>
      <c r="G90" s="34">
        <v>41579</v>
      </c>
      <c r="H90" s="1">
        <v>1.52</v>
      </c>
      <c r="I90" s="34">
        <v>41579</v>
      </c>
      <c r="J90" s="1">
        <v>145.33000000000001</v>
      </c>
      <c r="K90" s="34">
        <v>41579</v>
      </c>
      <c r="L90" s="1">
        <v>2622.8</v>
      </c>
      <c r="M90" s="34">
        <v>41579</v>
      </c>
      <c r="N90" s="1">
        <v>512.5</v>
      </c>
    </row>
    <row r="91" spans="1:14" x14ac:dyDescent="0.25">
      <c r="A91" s="34">
        <v>41609</v>
      </c>
      <c r="B91" s="1">
        <v>2609.3000000000002</v>
      </c>
      <c r="C91" s="34">
        <v>41609</v>
      </c>
      <c r="D91" s="1">
        <v>1173</v>
      </c>
      <c r="E91" s="34">
        <v>41609</v>
      </c>
      <c r="F91" s="1">
        <v>6.1</v>
      </c>
      <c r="G91" s="34">
        <v>41609</v>
      </c>
      <c r="H91" s="1">
        <v>1.89</v>
      </c>
      <c r="I91" s="34">
        <v>41609</v>
      </c>
      <c r="J91" s="1">
        <v>145.69</v>
      </c>
      <c r="K91" s="34">
        <v>41609</v>
      </c>
      <c r="L91" s="1">
        <v>2621.8</v>
      </c>
      <c r="M91" s="34">
        <v>41609</v>
      </c>
      <c r="N91" s="1">
        <v>511.9</v>
      </c>
    </row>
    <row r="92" spans="1:14" x14ac:dyDescent="0.25">
      <c r="A92" s="34">
        <v>41640</v>
      </c>
      <c r="B92" s="1">
        <v>2603.1999999999998</v>
      </c>
      <c r="C92" s="34">
        <v>41640</v>
      </c>
      <c r="D92" s="1">
        <v>1233</v>
      </c>
      <c r="E92" s="34">
        <v>41640</v>
      </c>
      <c r="F92" s="1">
        <v>5.8</v>
      </c>
      <c r="G92" s="34">
        <v>41640</v>
      </c>
      <c r="H92" s="1">
        <v>1.54</v>
      </c>
      <c r="I92" s="34">
        <v>41640</v>
      </c>
      <c r="J92" s="1">
        <v>146.05000000000001</v>
      </c>
      <c r="K92" s="34">
        <v>41640</v>
      </c>
      <c r="L92" s="1">
        <v>2543.4</v>
      </c>
      <c r="M92" s="34">
        <v>41640</v>
      </c>
      <c r="N92" s="1">
        <v>490.2</v>
      </c>
    </row>
    <row r="93" spans="1:14" x14ac:dyDescent="0.25">
      <c r="A93" s="34">
        <v>41671</v>
      </c>
      <c r="B93" s="1">
        <v>2604.1999999999998</v>
      </c>
      <c r="C93" s="34">
        <v>41671</v>
      </c>
      <c r="D93" s="1">
        <v>1312</v>
      </c>
      <c r="E93" s="34">
        <v>41671</v>
      </c>
      <c r="F93" s="1">
        <v>5.6</v>
      </c>
      <c r="G93" s="34">
        <v>41671</v>
      </c>
      <c r="H93" s="1">
        <v>0.83</v>
      </c>
      <c r="I93" s="34">
        <v>41671</v>
      </c>
      <c r="J93" s="1">
        <v>146.37</v>
      </c>
      <c r="K93" s="34">
        <v>41671</v>
      </c>
      <c r="L93" s="1">
        <v>2560</v>
      </c>
      <c r="M93" s="34">
        <v>41671</v>
      </c>
      <c r="N93" s="1">
        <v>510.1</v>
      </c>
    </row>
    <row r="94" spans="1:14" x14ac:dyDescent="0.25">
      <c r="A94" s="34">
        <v>41699</v>
      </c>
      <c r="B94" s="1">
        <v>2607.6999999999998</v>
      </c>
      <c r="C94" s="34">
        <v>41699</v>
      </c>
      <c r="D94" s="1">
        <v>1059</v>
      </c>
      <c r="E94" s="34">
        <v>41699</v>
      </c>
      <c r="F94" s="1">
        <v>5.6</v>
      </c>
      <c r="G94" s="34">
        <v>41699</v>
      </c>
      <c r="H94" s="1">
        <v>0.88</v>
      </c>
      <c r="I94" s="34">
        <v>41699</v>
      </c>
      <c r="J94" s="1">
        <v>146.66</v>
      </c>
      <c r="K94" s="34">
        <v>41699</v>
      </c>
      <c r="L94" s="1">
        <v>2586.8000000000002</v>
      </c>
      <c r="M94" s="34">
        <v>41699</v>
      </c>
      <c r="N94" s="1">
        <v>517.6</v>
      </c>
    </row>
    <row r="95" spans="1:14" x14ac:dyDescent="0.25">
      <c r="A95" s="34">
        <v>41730</v>
      </c>
      <c r="B95" s="1">
        <v>2618.3000000000002</v>
      </c>
      <c r="C95" s="34">
        <v>41730</v>
      </c>
      <c r="D95" s="1">
        <v>1290</v>
      </c>
      <c r="E95" s="34">
        <v>41730</v>
      </c>
      <c r="F95" s="1">
        <v>5.5</v>
      </c>
      <c r="G95" s="34">
        <v>41730</v>
      </c>
      <c r="H95" s="1">
        <v>0.16</v>
      </c>
      <c r="I95" s="34">
        <v>41730</v>
      </c>
      <c r="J95" s="1">
        <v>146.85</v>
      </c>
      <c r="K95" s="34">
        <v>41730</v>
      </c>
      <c r="L95" s="1">
        <v>2618</v>
      </c>
      <c r="M95" s="34">
        <v>41730</v>
      </c>
      <c r="N95" s="1">
        <v>518.5</v>
      </c>
    </row>
    <row r="96" spans="1:14" x14ac:dyDescent="0.25">
      <c r="A96" s="34">
        <v>41760</v>
      </c>
      <c r="B96" s="1">
        <v>2611.5</v>
      </c>
      <c r="C96" s="34">
        <v>41760</v>
      </c>
      <c r="D96" s="1">
        <v>1207</v>
      </c>
      <c r="E96" s="34">
        <v>41760</v>
      </c>
      <c r="F96" s="1">
        <v>5.6</v>
      </c>
      <c r="G96" s="34">
        <v>41760</v>
      </c>
      <c r="H96" s="1">
        <v>-0.2</v>
      </c>
      <c r="I96" s="34">
        <v>41760</v>
      </c>
      <c r="J96" s="1">
        <v>146.94</v>
      </c>
      <c r="K96" s="34">
        <v>41760</v>
      </c>
      <c r="L96" s="1">
        <v>2626.8</v>
      </c>
      <c r="M96" s="34">
        <v>41760</v>
      </c>
      <c r="N96" s="1">
        <v>513.6</v>
      </c>
    </row>
    <row r="97" spans="1:14" x14ac:dyDescent="0.25">
      <c r="A97" s="34">
        <v>41791</v>
      </c>
      <c r="B97" s="1">
        <v>2619.1999999999998</v>
      </c>
      <c r="C97" s="34">
        <v>41791</v>
      </c>
      <c r="D97" s="1">
        <v>1429</v>
      </c>
      <c r="E97" s="34">
        <v>41791</v>
      </c>
      <c r="F97" s="1">
        <v>5.8</v>
      </c>
      <c r="G97" s="34">
        <v>41791</v>
      </c>
      <c r="H97" s="1">
        <v>-0.23</v>
      </c>
      <c r="I97" s="34">
        <v>41791</v>
      </c>
      <c r="J97" s="1">
        <v>146.94999999999999</v>
      </c>
      <c r="K97" s="34">
        <v>41791</v>
      </c>
      <c r="L97" s="1">
        <v>2650.6</v>
      </c>
      <c r="M97" s="34">
        <v>41791</v>
      </c>
      <c r="N97" s="1">
        <v>504.1</v>
      </c>
    </row>
    <row r="98" spans="1:14" x14ac:dyDescent="0.25">
      <c r="A98" s="34">
        <v>41821</v>
      </c>
      <c r="B98" s="1">
        <v>2607.6999999999998</v>
      </c>
      <c r="C98" s="34">
        <v>41821</v>
      </c>
      <c r="D98" s="1">
        <v>1898</v>
      </c>
      <c r="E98" s="34">
        <v>41821</v>
      </c>
      <c r="F98" s="1">
        <v>6.1</v>
      </c>
      <c r="G98" s="34">
        <v>41821</v>
      </c>
      <c r="H98" s="1">
        <v>0.4</v>
      </c>
      <c r="I98" s="34">
        <v>41821</v>
      </c>
      <c r="J98" s="1">
        <v>146.96</v>
      </c>
      <c r="K98" s="34">
        <v>41821</v>
      </c>
      <c r="L98" s="1">
        <v>2621.1999999999998</v>
      </c>
      <c r="M98" s="34">
        <v>41821</v>
      </c>
      <c r="N98" s="1">
        <v>478.2</v>
      </c>
    </row>
    <row r="99" spans="1:14" x14ac:dyDescent="0.25">
      <c r="A99" s="34">
        <v>41852</v>
      </c>
      <c r="B99" s="1">
        <v>2608.9</v>
      </c>
      <c r="C99" s="34">
        <v>41852</v>
      </c>
      <c r="D99" s="1">
        <v>1345</v>
      </c>
      <c r="E99" s="34">
        <v>41852</v>
      </c>
      <c r="F99" s="1">
        <v>6.4</v>
      </c>
      <c r="G99" s="34">
        <v>41852</v>
      </c>
      <c r="H99" s="1">
        <v>1.83</v>
      </c>
      <c r="I99" s="34">
        <v>41852</v>
      </c>
      <c r="J99" s="1">
        <v>147.09</v>
      </c>
      <c r="K99" s="34">
        <v>41852</v>
      </c>
      <c r="L99" s="1">
        <v>2615.1999999999998</v>
      </c>
      <c r="M99" s="34">
        <v>41852</v>
      </c>
      <c r="N99" s="1">
        <v>478.5</v>
      </c>
    </row>
    <row r="100" spans="1:14" x14ac:dyDescent="0.25">
      <c r="A100" s="34">
        <v>41883</v>
      </c>
      <c r="B100" s="1">
        <v>2610.5</v>
      </c>
      <c r="C100" s="34">
        <v>41883</v>
      </c>
      <c r="D100" s="1">
        <v>1966</v>
      </c>
      <c r="E100" s="34">
        <v>41883</v>
      </c>
      <c r="F100" s="1">
        <v>6.3</v>
      </c>
      <c r="G100" s="34">
        <v>41883</v>
      </c>
      <c r="H100" s="1">
        <v>2.59</v>
      </c>
      <c r="I100" s="34">
        <v>41883</v>
      </c>
      <c r="J100" s="1">
        <v>147.38</v>
      </c>
      <c r="K100" s="34">
        <v>41883</v>
      </c>
      <c r="L100" s="1">
        <v>2619.4</v>
      </c>
      <c r="M100" s="34">
        <v>41883</v>
      </c>
      <c r="N100" s="1">
        <v>499.3</v>
      </c>
    </row>
    <row r="101" spans="1:14" x14ac:dyDescent="0.25">
      <c r="A101" s="34">
        <v>41913</v>
      </c>
      <c r="B101" s="1">
        <v>2613.3000000000002</v>
      </c>
      <c r="C101" s="34">
        <v>41913</v>
      </c>
      <c r="D101" s="1">
        <v>1163</v>
      </c>
      <c r="E101" s="34">
        <v>41913</v>
      </c>
      <c r="F101" s="1">
        <v>6</v>
      </c>
      <c r="G101" s="34">
        <v>41913</v>
      </c>
      <c r="H101" s="1">
        <v>2.77</v>
      </c>
      <c r="I101" s="34">
        <v>41913</v>
      </c>
      <c r="J101" s="1">
        <v>147.81</v>
      </c>
      <c r="K101" s="34">
        <v>41913</v>
      </c>
      <c r="L101" s="1">
        <v>2632.2</v>
      </c>
      <c r="M101" s="34">
        <v>41913</v>
      </c>
      <c r="N101" s="1">
        <v>508.7</v>
      </c>
    </row>
    <row r="102" spans="1:14" x14ac:dyDescent="0.25">
      <c r="A102" s="34">
        <v>41944</v>
      </c>
      <c r="B102" s="1">
        <v>2618.3000000000002</v>
      </c>
      <c r="C102" s="34">
        <v>41944</v>
      </c>
      <c r="D102" s="1">
        <v>1547</v>
      </c>
      <c r="E102" s="34">
        <v>41944</v>
      </c>
      <c r="F102" s="1">
        <v>5.6</v>
      </c>
      <c r="G102" s="34">
        <v>41944</v>
      </c>
      <c r="H102" s="1">
        <v>2.2799999999999998</v>
      </c>
      <c r="I102" s="34">
        <v>41944</v>
      </c>
      <c r="J102" s="1">
        <v>148.30000000000001</v>
      </c>
      <c r="K102" s="34">
        <v>41944</v>
      </c>
      <c r="L102" s="1">
        <v>2637.9</v>
      </c>
      <c r="M102" s="34">
        <v>41944</v>
      </c>
      <c r="N102" s="1">
        <v>509.7</v>
      </c>
    </row>
    <row r="103" spans="1:14" x14ac:dyDescent="0.25">
      <c r="A103" s="34">
        <v>41974</v>
      </c>
      <c r="B103" s="1">
        <v>2629.3</v>
      </c>
      <c r="E103" s="34">
        <v>41974</v>
      </c>
      <c r="F103" s="1">
        <v>5.5</v>
      </c>
      <c r="K103" s="34">
        <v>41974</v>
      </c>
      <c r="L103" s="1">
        <v>2641.7</v>
      </c>
      <c r="M103" s="34">
        <v>41974</v>
      </c>
      <c r="N103" s="1">
        <v>509.5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P103"/>
  <sheetViews>
    <sheetView topLeftCell="A77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183</v>
      </c>
      <c r="C1" s="34" t="s">
        <v>184</v>
      </c>
      <c r="E1" s="34" t="s">
        <v>185</v>
      </c>
      <c r="G1" s="34" t="s">
        <v>186</v>
      </c>
      <c r="I1" s="34" t="s">
        <v>187</v>
      </c>
      <c r="K1" s="34" t="str">
        <f>CONCATENATE(LEFT(A1,2), "NAN")</f>
        <v>MENAN</v>
      </c>
      <c r="M1" s="34" t="str">
        <f>CONCATENATE(LEFT(A1,2), "GOVTN")</f>
        <v>MEGOVTN</v>
      </c>
      <c r="O1" s="34" t="str">
        <f>CONCATENATE(LEFT($A$1,2), "RGSP")</f>
        <v>MERGSP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886</v>
      </c>
      <c r="C5" s="35" t="s">
        <v>431</v>
      </c>
      <c r="E5" s="35" t="s">
        <v>432</v>
      </c>
      <c r="G5" s="35" t="s">
        <v>433</v>
      </c>
      <c r="I5" s="35" t="s">
        <v>434</v>
      </c>
      <c r="K5" s="35" t="s">
        <v>886</v>
      </c>
      <c r="M5" s="35" t="s">
        <v>887</v>
      </c>
      <c r="O5" s="35" t="s">
        <v>799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617</v>
      </c>
      <c r="C8" s="34">
        <v>39083</v>
      </c>
      <c r="D8" s="1">
        <v>327</v>
      </c>
      <c r="E8" s="34">
        <v>39083</v>
      </c>
      <c r="F8" s="1">
        <v>4.5999999999999996</v>
      </c>
      <c r="G8" s="34">
        <v>39083</v>
      </c>
      <c r="H8" s="1">
        <v>0</v>
      </c>
      <c r="I8" s="34">
        <v>39083</v>
      </c>
      <c r="J8" s="1">
        <v>149.32</v>
      </c>
      <c r="K8" s="34">
        <v>39083</v>
      </c>
      <c r="L8" s="1">
        <v>596.1</v>
      </c>
      <c r="M8" s="34">
        <v>39083</v>
      </c>
      <c r="N8" s="1">
        <v>103.7</v>
      </c>
      <c r="O8" s="34">
        <v>39083</v>
      </c>
      <c r="P8" s="1">
        <v>51647</v>
      </c>
    </row>
    <row r="9" spans="1:16" x14ac:dyDescent="0.25">
      <c r="A9" s="34">
        <v>39114</v>
      </c>
      <c r="B9" s="1">
        <v>617</v>
      </c>
      <c r="C9" s="34">
        <v>39114</v>
      </c>
      <c r="D9" s="1">
        <v>284</v>
      </c>
      <c r="E9" s="34">
        <v>39114</v>
      </c>
      <c r="F9" s="1">
        <v>4.5</v>
      </c>
      <c r="G9" s="34">
        <v>39114</v>
      </c>
      <c r="H9" s="1">
        <v>0.67</v>
      </c>
      <c r="I9" s="34">
        <v>39114</v>
      </c>
      <c r="J9" s="1">
        <v>149.72999999999999</v>
      </c>
      <c r="K9" s="34">
        <v>39114</v>
      </c>
      <c r="L9" s="1">
        <v>596.20000000000005</v>
      </c>
      <c r="M9" s="34">
        <v>39114</v>
      </c>
      <c r="N9" s="1">
        <v>106.3</v>
      </c>
      <c r="O9" s="34">
        <v>39448</v>
      </c>
      <c r="P9" s="1">
        <v>51433</v>
      </c>
    </row>
    <row r="10" spans="1:16" x14ac:dyDescent="0.25">
      <c r="A10" s="34">
        <v>39142</v>
      </c>
      <c r="B10" s="1">
        <v>617.9</v>
      </c>
      <c r="C10" s="34">
        <v>39142</v>
      </c>
      <c r="D10" s="1">
        <v>503</v>
      </c>
      <c r="E10" s="34">
        <v>39142</v>
      </c>
      <c r="F10" s="1">
        <v>4.5</v>
      </c>
      <c r="G10" s="34">
        <v>39142</v>
      </c>
      <c r="H10" s="1">
        <v>0.38</v>
      </c>
      <c r="I10" s="34">
        <v>39142</v>
      </c>
      <c r="J10" s="1">
        <v>149.84</v>
      </c>
      <c r="K10" s="34">
        <v>39142</v>
      </c>
      <c r="L10" s="1">
        <v>599.1</v>
      </c>
      <c r="M10" s="34">
        <v>39142</v>
      </c>
      <c r="N10" s="1">
        <v>107</v>
      </c>
      <c r="O10" s="34">
        <v>39814</v>
      </c>
      <c r="P10" s="1">
        <v>50318</v>
      </c>
    </row>
    <row r="11" spans="1:16" x14ac:dyDescent="0.25">
      <c r="A11" s="34">
        <v>39173</v>
      </c>
      <c r="B11" s="1">
        <v>614.6</v>
      </c>
      <c r="C11" s="34">
        <v>39173</v>
      </c>
      <c r="D11" s="1">
        <v>569</v>
      </c>
      <c r="E11" s="34">
        <v>39173</v>
      </c>
      <c r="F11" s="1">
        <v>4.5999999999999996</v>
      </c>
      <c r="G11" s="34">
        <v>39173</v>
      </c>
      <c r="H11" s="1">
        <v>-0.61</v>
      </c>
      <c r="I11" s="34">
        <v>39173</v>
      </c>
      <c r="J11" s="1">
        <v>149.47999999999999</v>
      </c>
      <c r="K11" s="34">
        <v>39173</v>
      </c>
      <c r="L11" s="1">
        <v>604.4</v>
      </c>
      <c r="M11" s="34">
        <v>39173</v>
      </c>
      <c r="N11" s="1">
        <v>106.5</v>
      </c>
      <c r="O11" s="34">
        <v>40179</v>
      </c>
      <c r="P11" s="1">
        <v>50945</v>
      </c>
    </row>
    <row r="12" spans="1:16" x14ac:dyDescent="0.25">
      <c r="A12" s="34">
        <v>39203</v>
      </c>
      <c r="B12" s="1">
        <v>615.29999999999995</v>
      </c>
      <c r="C12" s="34">
        <v>39203</v>
      </c>
      <c r="D12" s="1">
        <v>618</v>
      </c>
      <c r="E12" s="34">
        <v>39203</v>
      </c>
      <c r="F12" s="1">
        <v>4.7</v>
      </c>
      <c r="G12" s="34">
        <v>39203</v>
      </c>
      <c r="H12" s="1">
        <v>-1.21</v>
      </c>
      <c r="I12" s="34">
        <v>39203</v>
      </c>
      <c r="J12" s="1">
        <v>149.35</v>
      </c>
      <c r="K12" s="34">
        <v>39203</v>
      </c>
      <c r="L12" s="1">
        <v>618.20000000000005</v>
      </c>
      <c r="M12" s="34">
        <v>39203</v>
      </c>
      <c r="N12" s="1">
        <v>107.7</v>
      </c>
      <c r="O12" s="34">
        <v>40544</v>
      </c>
      <c r="P12" s="1">
        <v>50407</v>
      </c>
    </row>
    <row r="13" spans="1:16" x14ac:dyDescent="0.25">
      <c r="A13" s="34">
        <v>39234</v>
      </c>
      <c r="B13" s="1">
        <v>617.1</v>
      </c>
      <c r="C13" s="34">
        <v>39234</v>
      </c>
      <c r="D13" s="1">
        <v>735</v>
      </c>
      <c r="E13" s="34">
        <v>39234</v>
      </c>
      <c r="F13" s="1">
        <v>4.7</v>
      </c>
      <c r="G13" s="34">
        <v>39234</v>
      </c>
      <c r="H13" s="1">
        <v>0.28999999999999998</v>
      </c>
      <c r="I13" s="34">
        <v>39234</v>
      </c>
      <c r="J13" s="1">
        <v>149.94</v>
      </c>
      <c r="K13" s="34">
        <v>39234</v>
      </c>
      <c r="L13" s="1">
        <v>632.4</v>
      </c>
      <c r="M13" s="34">
        <v>39234</v>
      </c>
      <c r="N13" s="1">
        <v>105.1</v>
      </c>
      <c r="O13" s="34">
        <v>40909</v>
      </c>
      <c r="P13" s="1">
        <v>50707</v>
      </c>
    </row>
    <row r="14" spans="1:16" x14ac:dyDescent="0.25">
      <c r="A14" s="34">
        <v>39264</v>
      </c>
      <c r="B14" s="1">
        <v>618.4</v>
      </c>
      <c r="C14" s="34">
        <v>39264</v>
      </c>
      <c r="D14" s="1">
        <v>667</v>
      </c>
      <c r="E14" s="34">
        <v>39264</v>
      </c>
      <c r="F14" s="1">
        <v>4.8</v>
      </c>
      <c r="G14" s="34">
        <v>39264</v>
      </c>
      <c r="H14" s="1">
        <v>0.28999999999999998</v>
      </c>
      <c r="I14" s="34">
        <v>39264</v>
      </c>
      <c r="J14" s="1">
        <v>149.77000000000001</v>
      </c>
      <c r="K14" s="34">
        <v>39264</v>
      </c>
      <c r="L14" s="1">
        <v>629</v>
      </c>
      <c r="M14" s="34">
        <v>39264</v>
      </c>
      <c r="N14" s="1">
        <v>92.2</v>
      </c>
      <c r="O14" s="34">
        <v>41275</v>
      </c>
      <c r="P14" s="1">
        <v>51163</v>
      </c>
    </row>
    <row r="15" spans="1:16" x14ac:dyDescent="0.25">
      <c r="A15" s="34">
        <v>39295</v>
      </c>
      <c r="B15" s="1">
        <v>617.79999999999995</v>
      </c>
      <c r="C15" s="34">
        <v>39295</v>
      </c>
      <c r="D15" s="1">
        <v>612</v>
      </c>
      <c r="E15" s="34">
        <v>39295</v>
      </c>
      <c r="F15" s="1">
        <v>4.9000000000000004</v>
      </c>
      <c r="G15" s="34">
        <v>39295</v>
      </c>
      <c r="H15" s="1">
        <v>-0.3</v>
      </c>
      <c r="I15" s="34">
        <v>39295</v>
      </c>
      <c r="J15" s="1">
        <v>149.52000000000001</v>
      </c>
      <c r="K15" s="34">
        <v>39295</v>
      </c>
      <c r="L15" s="1">
        <v>629</v>
      </c>
      <c r="M15" s="34">
        <v>39295</v>
      </c>
      <c r="N15" s="1">
        <v>91.4</v>
      </c>
    </row>
    <row r="16" spans="1:16" x14ac:dyDescent="0.25">
      <c r="A16" s="34">
        <v>39326</v>
      </c>
      <c r="B16" s="1">
        <v>618.20000000000005</v>
      </c>
      <c r="C16" s="34">
        <v>39326</v>
      </c>
      <c r="D16" s="1">
        <v>497</v>
      </c>
      <c r="E16" s="34">
        <v>39326</v>
      </c>
      <c r="F16" s="1">
        <v>4.9000000000000004</v>
      </c>
      <c r="G16" s="34">
        <v>39326</v>
      </c>
      <c r="H16" s="1">
        <v>-0.4</v>
      </c>
      <c r="I16" s="34">
        <v>39326</v>
      </c>
      <c r="J16" s="1">
        <v>149.69</v>
      </c>
      <c r="K16" s="34">
        <v>39326</v>
      </c>
      <c r="L16" s="1">
        <v>628.6</v>
      </c>
      <c r="M16" s="34">
        <v>39326</v>
      </c>
      <c r="N16" s="1">
        <v>104.7</v>
      </c>
    </row>
    <row r="17" spans="1:14" x14ac:dyDescent="0.25">
      <c r="A17" s="34">
        <v>39356</v>
      </c>
      <c r="B17" s="1">
        <v>618.9</v>
      </c>
      <c r="C17" s="34">
        <v>39356</v>
      </c>
      <c r="D17" s="1">
        <v>526</v>
      </c>
      <c r="E17" s="34">
        <v>39356</v>
      </c>
      <c r="F17" s="1">
        <v>4.9000000000000004</v>
      </c>
      <c r="G17" s="34">
        <v>39356</v>
      </c>
      <c r="H17" s="1">
        <v>-0.21</v>
      </c>
      <c r="I17" s="34">
        <v>39356</v>
      </c>
      <c r="J17" s="1">
        <v>149.62</v>
      </c>
      <c r="K17" s="34">
        <v>39356</v>
      </c>
      <c r="L17" s="1">
        <v>627.79999999999995</v>
      </c>
      <c r="M17" s="34">
        <v>39356</v>
      </c>
      <c r="N17" s="1">
        <v>108.3</v>
      </c>
    </row>
    <row r="18" spans="1:14" x14ac:dyDescent="0.25">
      <c r="A18" s="34">
        <v>39387</v>
      </c>
      <c r="B18" s="1">
        <v>620.70000000000005</v>
      </c>
      <c r="C18" s="34">
        <v>39387</v>
      </c>
      <c r="D18" s="1">
        <v>286</v>
      </c>
      <c r="E18" s="34">
        <v>39387</v>
      </c>
      <c r="F18" s="1">
        <v>4.8</v>
      </c>
      <c r="G18" s="34">
        <v>39387</v>
      </c>
      <c r="H18" s="1">
        <v>0.1</v>
      </c>
      <c r="I18" s="34">
        <v>39387</v>
      </c>
      <c r="J18" s="1">
        <v>149.97999999999999</v>
      </c>
      <c r="K18" s="34">
        <v>39387</v>
      </c>
      <c r="L18" s="1">
        <v>626.6</v>
      </c>
      <c r="M18" s="34">
        <v>39387</v>
      </c>
      <c r="N18" s="1">
        <v>108.8</v>
      </c>
    </row>
    <row r="19" spans="1:14" x14ac:dyDescent="0.25">
      <c r="A19" s="34">
        <v>39417</v>
      </c>
      <c r="B19" s="1">
        <v>620.70000000000005</v>
      </c>
      <c r="C19" s="34">
        <v>39417</v>
      </c>
      <c r="D19" s="1">
        <v>227</v>
      </c>
      <c r="E19" s="34">
        <v>39417</v>
      </c>
      <c r="F19" s="1">
        <v>4.8</v>
      </c>
      <c r="G19" s="34">
        <v>39417</v>
      </c>
      <c r="H19" s="1">
        <v>-1</v>
      </c>
      <c r="I19" s="34">
        <v>39417</v>
      </c>
      <c r="J19" s="1">
        <v>149.56</v>
      </c>
      <c r="K19" s="34">
        <v>39417</v>
      </c>
      <c r="L19" s="1">
        <v>625.20000000000005</v>
      </c>
      <c r="M19" s="34">
        <v>39417</v>
      </c>
      <c r="N19" s="1">
        <v>108.7</v>
      </c>
    </row>
    <row r="20" spans="1:14" x14ac:dyDescent="0.25">
      <c r="A20" s="34">
        <v>39448</v>
      </c>
      <c r="B20" s="1">
        <v>620.70000000000005</v>
      </c>
      <c r="C20" s="34">
        <v>39448</v>
      </c>
      <c r="D20" s="1">
        <v>206</v>
      </c>
      <c r="E20" s="34">
        <v>39448</v>
      </c>
      <c r="F20" s="1">
        <v>4.7</v>
      </c>
      <c r="G20" s="34">
        <v>39448</v>
      </c>
      <c r="H20" s="1">
        <v>-0.91</v>
      </c>
      <c r="I20" s="34">
        <v>39448</v>
      </c>
      <c r="J20" s="1">
        <v>149.82</v>
      </c>
      <c r="K20" s="34">
        <v>39448</v>
      </c>
      <c r="L20" s="1">
        <v>599.70000000000005</v>
      </c>
      <c r="M20" s="34">
        <v>39448</v>
      </c>
      <c r="N20" s="1">
        <v>103.9</v>
      </c>
    </row>
    <row r="21" spans="1:14" x14ac:dyDescent="0.25">
      <c r="A21" s="34">
        <v>39479</v>
      </c>
      <c r="B21" s="1">
        <v>621</v>
      </c>
      <c r="C21" s="34">
        <v>39479</v>
      </c>
      <c r="D21" s="1">
        <v>167</v>
      </c>
      <c r="E21" s="34">
        <v>39479</v>
      </c>
      <c r="F21" s="1">
        <v>4.7</v>
      </c>
      <c r="G21" s="34">
        <v>39479</v>
      </c>
      <c r="H21" s="1">
        <v>-1.2</v>
      </c>
      <c r="I21" s="34">
        <v>39479</v>
      </c>
      <c r="J21" s="1">
        <v>149.6</v>
      </c>
      <c r="K21" s="34">
        <v>39479</v>
      </c>
      <c r="L21" s="1">
        <v>600.1</v>
      </c>
      <c r="M21" s="34">
        <v>39479</v>
      </c>
      <c r="N21" s="1">
        <v>106.5</v>
      </c>
    </row>
    <row r="22" spans="1:14" x14ac:dyDescent="0.25">
      <c r="A22" s="34">
        <v>39508</v>
      </c>
      <c r="B22" s="1">
        <v>620.4</v>
      </c>
      <c r="C22" s="34">
        <v>39508</v>
      </c>
      <c r="D22" s="1">
        <v>297</v>
      </c>
      <c r="E22" s="34">
        <v>39508</v>
      </c>
      <c r="F22" s="1">
        <v>4.8</v>
      </c>
      <c r="G22" s="34">
        <v>39508</v>
      </c>
      <c r="H22" s="1">
        <v>-1.93</v>
      </c>
      <c r="I22" s="34">
        <v>39508</v>
      </c>
      <c r="J22" s="1">
        <v>148.78</v>
      </c>
      <c r="K22" s="34">
        <v>39508</v>
      </c>
      <c r="L22" s="1">
        <v>601.79999999999995</v>
      </c>
      <c r="M22" s="34">
        <v>39508</v>
      </c>
      <c r="N22" s="1">
        <v>107.4</v>
      </c>
    </row>
    <row r="23" spans="1:14" x14ac:dyDescent="0.25">
      <c r="A23" s="34">
        <v>39539</v>
      </c>
      <c r="B23" s="1">
        <v>620.29999999999995</v>
      </c>
      <c r="C23" s="34">
        <v>39539</v>
      </c>
      <c r="D23" s="1">
        <v>328</v>
      </c>
      <c r="E23" s="34">
        <v>39539</v>
      </c>
      <c r="F23" s="1">
        <v>4.9000000000000004</v>
      </c>
      <c r="G23" s="34">
        <v>39539</v>
      </c>
      <c r="H23" s="1">
        <v>-2.86</v>
      </c>
      <c r="I23" s="34">
        <v>39539</v>
      </c>
      <c r="J23" s="1">
        <v>148.16</v>
      </c>
      <c r="K23" s="34">
        <v>39539</v>
      </c>
      <c r="L23" s="1">
        <v>609.6</v>
      </c>
      <c r="M23" s="34">
        <v>39539</v>
      </c>
      <c r="N23" s="1">
        <v>107.7</v>
      </c>
    </row>
    <row r="24" spans="1:14" x14ac:dyDescent="0.25">
      <c r="A24" s="34">
        <v>39569</v>
      </c>
      <c r="B24" s="1">
        <v>620</v>
      </c>
      <c r="C24" s="34">
        <v>39569</v>
      </c>
      <c r="D24" s="1">
        <v>422</v>
      </c>
      <c r="E24" s="34">
        <v>39569</v>
      </c>
      <c r="F24" s="1">
        <v>5</v>
      </c>
      <c r="G24" s="34">
        <v>39569</v>
      </c>
      <c r="H24" s="1">
        <v>-2.68</v>
      </c>
      <c r="I24" s="34">
        <v>39569</v>
      </c>
      <c r="J24" s="1">
        <v>147.44999999999999</v>
      </c>
      <c r="K24" s="34">
        <v>39569</v>
      </c>
      <c r="L24" s="1">
        <v>623</v>
      </c>
      <c r="M24" s="34">
        <v>39569</v>
      </c>
      <c r="N24" s="1">
        <v>107.9</v>
      </c>
    </row>
    <row r="25" spans="1:14" x14ac:dyDescent="0.25">
      <c r="A25" s="34">
        <v>39600</v>
      </c>
      <c r="B25" s="1">
        <v>620.9</v>
      </c>
      <c r="C25" s="34">
        <v>39600</v>
      </c>
      <c r="D25" s="1">
        <v>547</v>
      </c>
      <c r="E25" s="34">
        <v>39600</v>
      </c>
      <c r="F25" s="1">
        <v>5.2</v>
      </c>
      <c r="G25" s="34">
        <v>39600</v>
      </c>
      <c r="H25" s="1">
        <v>-3.53</v>
      </c>
      <c r="I25" s="34">
        <v>39600</v>
      </c>
      <c r="J25" s="1">
        <v>146.07</v>
      </c>
      <c r="K25" s="34">
        <v>39600</v>
      </c>
      <c r="L25" s="1">
        <v>633.6</v>
      </c>
      <c r="M25" s="34">
        <v>39600</v>
      </c>
      <c r="N25" s="1">
        <v>105.2</v>
      </c>
    </row>
    <row r="26" spans="1:14" x14ac:dyDescent="0.25">
      <c r="A26" s="34">
        <v>39630</v>
      </c>
      <c r="B26" s="1">
        <v>618.70000000000005</v>
      </c>
      <c r="C26" s="34">
        <v>39630</v>
      </c>
      <c r="D26" s="1">
        <v>344</v>
      </c>
      <c r="E26" s="34">
        <v>39630</v>
      </c>
      <c r="F26" s="1">
        <v>5.3</v>
      </c>
      <c r="G26" s="34">
        <v>39630</v>
      </c>
      <c r="H26" s="1">
        <v>-3.96</v>
      </c>
      <c r="I26" s="34">
        <v>39630</v>
      </c>
      <c r="J26" s="1">
        <v>145.22999999999999</v>
      </c>
      <c r="K26" s="34">
        <v>39630</v>
      </c>
      <c r="L26" s="1">
        <v>630</v>
      </c>
      <c r="M26" s="34">
        <v>39630</v>
      </c>
      <c r="N26" s="1">
        <v>92.1</v>
      </c>
    </row>
    <row r="27" spans="1:14" x14ac:dyDescent="0.25">
      <c r="A27" s="34">
        <v>39661</v>
      </c>
      <c r="B27" s="1">
        <v>616.79999999999995</v>
      </c>
      <c r="C27" s="34">
        <v>39661</v>
      </c>
      <c r="D27" s="1">
        <v>300</v>
      </c>
      <c r="E27" s="34">
        <v>39661</v>
      </c>
      <c r="F27" s="1">
        <v>5.5</v>
      </c>
      <c r="G27" s="34">
        <v>39661</v>
      </c>
      <c r="H27" s="1">
        <v>-4.1900000000000004</v>
      </c>
      <c r="I27" s="34">
        <v>39661</v>
      </c>
      <c r="J27" s="1">
        <v>143.88999999999999</v>
      </c>
      <c r="K27" s="34">
        <v>39661</v>
      </c>
      <c r="L27" s="1">
        <v>628.1</v>
      </c>
      <c r="M27" s="34">
        <v>39661</v>
      </c>
      <c r="N27" s="1">
        <v>92.3</v>
      </c>
    </row>
    <row r="28" spans="1:14" x14ac:dyDescent="0.25">
      <c r="A28" s="34">
        <v>39692</v>
      </c>
      <c r="B28" s="1">
        <v>614.6</v>
      </c>
      <c r="C28" s="34">
        <v>39692</v>
      </c>
      <c r="D28" s="1">
        <v>343</v>
      </c>
      <c r="E28" s="34">
        <v>39692</v>
      </c>
      <c r="F28" s="1">
        <v>5.7</v>
      </c>
      <c r="G28" s="34">
        <v>39692</v>
      </c>
      <c r="H28" s="1">
        <v>-4.2300000000000004</v>
      </c>
      <c r="I28" s="34">
        <v>39692</v>
      </c>
      <c r="J28" s="1">
        <v>142.69</v>
      </c>
      <c r="K28" s="34">
        <v>39692</v>
      </c>
      <c r="L28" s="1">
        <v>625.79999999999995</v>
      </c>
      <c r="M28" s="34">
        <v>39692</v>
      </c>
      <c r="N28" s="1">
        <v>104.4</v>
      </c>
    </row>
    <row r="29" spans="1:14" x14ac:dyDescent="0.25">
      <c r="A29" s="34">
        <v>39722</v>
      </c>
      <c r="B29" s="1">
        <v>614</v>
      </c>
      <c r="C29" s="34">
        <v>39722</v>
      </c>
      <c r="D29" s="1">
        <v>276</v>
      </c>
      <c r="E29" s="34">
        <v>39722</v>
      </c>
      <c r="F29" s="1">
        <v>6</v>
      </c>
      <c r="G29" s="34">
        <v>39722</v>
      </c>
      <c r="H29" s="1">
        <v>-4.51</v>
      </c>
      <c r="I29" s="34">
        <v>39722</v>
      </c>
      <c r="J29" s="1">
        <v>141.38</v>
      </c>
      <c r="K29" s="34">
        <v>39722</v>
      </c>
      <c r="L29" s="1">
        <v>625</v>
      </c>
      <c r="M29" s="34">
        <v>39722</v>
      </c>
      <c r="N29" s="1">
        <v>108.2</v>
      </c>
    </row>
    <row r="30" spans="1:14" x14ac:dyDescent="0.25">
      <c r="A30" s="34">
        <v>39753</v>
      </c>
      <c r="B30" s="1">
        <v>611.29999999999995</v>
      </c>
      <c r="C30" s="34">
        <v>39753</v>
      </c>
      <c r="D30" s="1">
        <v>213</v>
      </c>
      <c r="E30" s="34">
        <v>39753</v>
      </c>
      <c r="F30" s="1">
        <v>6.4</v>
      </c>
      <c r="G30" s="34">
        <v>39753</v>
      </c>
      <c r="H30" s="1">
        <v>-5.12</v>
      </c>
      <c r="I30" s="34">
        <v>39753</v>
      </c>
      <c r="J30" s="1">
        <v>139.63999999999999</v>
      </c>
      <c r="K30" s="34">
        <v>39753</v>
      </c>
      <c r="L30" s="1">
        <v>617.6</v>
      </c>
      <c r="M30" s="34">
        <v>39753</v>
      </c>
      <c r="N30" s="1">
        <v>108.8</v>
      </c>
    </row>
    <row r="31" spans="1:14" x14ac:dyDescent="0.25">
      <c r="A31" s="34">
        <v>39783</v>
      </c>
      <c r="B31" s="1">
        <v>608.5</v>
      </c>
      <c r="C31" s="34">
        <v>39783</v>
      </c>
      <c r="D31" s="1">
        <v>129</v>
      </c>
      <c r="E31" s="34">
        <v>39783</v>
      </c>
      <c r="F31" s="1">
        <v>6.9</v>
      </c>
      <c r="G31" s="34">
        <v>39783</v>
      </c>
      <c r="H31" s="1">
        <v>-6.48</v>
      </c>
      <c r="I31" s="34">
        <v>39783</v>
      </c>
      <c r="J31" s="1">
        <v>137.57</v>
      </c>
      <c r="K31" s="34">
        <v>39783</v>
      </c>
      <c r="L31" s="1">
        <v>612.6</v>
      </c>
      <c r="M31" s="34">
        <v>39783</v>
      </c>
      <c r="N31" s="1">
        <v>108.5</v>
      </c>
    </row>
    <row r="32" spans="1:14" x14ac:dyDescent="0.25">
      <c r="A32" s="34">
        <v>39814</v>
      </c>
      <c r="B32" s="1">
        <v>604.6</v>
      </c>
      <c r="C32" s="34">
        <v>39814</v>
      </c>
      <c r="D32" s="1">
        <v>112</v>
      </c>
      <c r="E32" s="34">
        <v>39814</v>
      </c>
      <c r="F32" s="1">
        <v>7.3</v>
      </c>
      <c r="G32" s="34">
        <v>39814</v>
      </c>
      <c r="H32" s="1">
        <v>-6.18</v>
      </c>
      <c r="I32" s="34">
        <v>39814</v>
      </c>
      <c r="J32" s="1">
        <v>136</v>
      </c>
      <c r="K32" s="34">
        <v>39814</v>
      </c>
      <c r="L32" s="1">
        <v>584</v>
      </c>
      <c r="M32" s="34">
        <v>39814</v>
      </c>
      <c r="N32" s="1">
        <v>103.5</v>
      </c>
    </row>
    <row r="33" spans="1:14" x14ac:dyDescent="0.25">
      <c r="A33" s="34">
        <v>39845</v>
      </c>
      <c r="B33" s="1">
        <v>601.6</v>
      </c>
      <c r="C33" s="34">
        <v>39845</v>
      </c>
      <c r="D33" s="1">
        <v>126</v>
      </c>
      <c r="E33" s="34">
        <v>39845</v>
      </c>
      <c r="F33" s="1">
        <v>7.7</v>
      </c>
      <c r="G33" s="34">
        <v>39845</v>
      </c>
      <c r="H33" s="1">
        <v>-6.17</v>
      </c>
      <c r="I33" s="34">
        <v>39845</v>
      </c>
      <c r="J33" s="1">
        <v>134.25</v>
      </c>
      <c r="K33" s="34">
        <v>39845</v>
      </c>
      <c r="L33" s="1">
        <v>582.5</v>
      </c>
      <c r="M33" s="34">
        <v>39845</v>
      </c>
      <c r="N33" s="1">
        <v>106.2</v>
      </c>
    </row>
    <row r="34" spans="1:14" x14ac:dyDescent="0.25">
      <c r="A34" s="34">
        <v>39873</v>
      </c>
      <c r="B34" s="1">
        <v>598.29999999999995</v>
      </c>
      <c r="C34" s="34">
        <v>39873</v>
      </c>
      <c r="D34" s="1">
        <v>164</v>
      </c>
      <c r="E34" s="34">
        <v>39873</v>
      </c>
      <c r="F34" s="1">
        <v>8</v>
      </c>
      <c r="G34" s="34">
        <v>39873</v>
      </c>
      <c r="H34" s="1">
        <v>-5.76</v>
      </c>
      <c r="I34" s="34">
        <v>39873</v>
      </c>
      <c r="J34" s="1">
        <v>132.72999999999999</v>
      </c>
      <c r="K34" s="34">
        <v>39873</v>
      </c>
      <c r="L34" s="1">
        <v>579.9</v>
      </c>
      <c r="M34" s="34">
        <v>39873</v>
      </c>
      <c r="N34" s="1">
        <v>106.6</v>
      </c>
    </row>
    <row r="35" spans="1:14" x14ac:dyDescent="0.25">
      <c r="A35" s="34">
        <v>39904</v>
      </c>
      <c r="B35" s="1">
        <v>598.5</v>
      </c>
      <c r="C35" s="34">
        <v>39904</v>
      </c>
      <c r="D35" s="1">
        <v>211</v>
      </c>
      <c r="E35" s="34">
        <v>39904</v>
      </c>
      <c r="F35" s="1">
        <v>8.1999999999999993</v>
      </c>
      <c r="G35" s="34">
        <v>39904</v>
      </c>
      <c r="H35" s="1">
        <v>-4.88</v>
      </c>
      <c r="I35" s="34">
        <v>39904</v>
      </c>
      <c r="J35" s="1">
        <v>131.5</v>
      </c>
      <c r="K35" s="34">
        <v>39904</v>
      </c>
      <c r="L35" s="1">
        <v>588.29999999999995</v>
      </c>
      <c r="M35" s="34">
        <v>39904</v>
      </c>
      <c r="N35" s="1">
        <v>107.4</v>
      </c>
    </row>
    <row r="36" spans="1:14" x14ac:dyDescent="0.25">
      <c r="A36" s="34">
        <v>39934</v>
      </c>
      <c r="B36" s="1">
        <v>598.6</v>
      </c>
      <c r="C36" s="34">
        <v>39934</v>
      </c>
      <c r="D36" s="1">
        <v>292</v>
      </c>
      <c r="E36" s="34">
        <v>39934</v>
      </c>
      <c r="F36" s="1">
        <v>8.3000000000000007</v>
      </c>
      <c r="G36" s="34">
        <v>39934</v>
      </c>
      <c r="H36" s="1">
        <v>-3.78</v>
      </c>
      <c r="I36" s="34">
        <v>39934</v>
      </c>
      <c r="J36" s="1">
        <v>130.44999999999999</v>
      </c>
      <c r="K36" s="34">
        <v>39934</v>
      </c>
      <c r="L36" s="1">
        <v>601.79999999999995</v>
      </c>
      <c r="M36" s="34">
        <v>39934</v>
      </c>
      <c r="N36" s="1">
        <v>107.6</v>
      </c>
    </row>
    <row r="37" spans="1:14" x14ac:dyDescent="0.25">
      <c r="A37" s="34">
        <v>39965</v>
      </c>
      <c r="B37" s="1">
        <v>595.5</v>
      </c>
      <c r="C37" s="34">
        <v>39965</v>
      </c>
      <c r="D37" s="1">
        <v>270</v>
      </c>
      <c r="E37" s="34">
        <v>39965</v>
      </c>
      <c r="F37" s="1">
        <v>8.3000000000000007</v>
      </c>
      <c r="G37" s="34">
        <v>39965</v>
      </c>
      <c r="H37" s="1">
        <v>-2.68</v>
      </c>
      <c r="I37" s="34">
        <v>39965</v>
      </c>
      <c r="J37" s="1">
        <v>129.76</v>
      </c>
      <c r="K37" s="34">
        <v>39965</v>
      </c>
      <c r="L37" s="1">
        <v>607.6</v>
      </c>
      <c r="M37" s="34">
        <v>39965</v>
      </c>
      <c r="N37" s="1">
        <v>104.7</v>
      </c>
    </row>
    <row r="38" spans="1:14" x14ac:dyDescent="0.25">
      <c r="A38" s="34">
        <v>39995</v>
      </c>
      <c r="B38" s="1">
        <v>593.5</v>
      </c>
      <c r="C38" s="34">
        <v>39995</v>
      </c>
      <c r="D38" s="1">
        <v>356</v>
      </c>
      <c r="E38" s="34">
        <v>39995</v>
      </c>
      <c r="F38" s="1">
        <v>8.3000000000000007</v>
      </c>
      <c r="G38" s="34">
        <v>39995</v>
      </c>
      <c r="H38" s="1">
        <v>-2</v>
      </c>
      <c r="I38" s="34">
        <v>39995</v>
      </c>
      <c r="J38" s="1">
        <v>129.04</v>
      </c>
      <c r="K38" s="34">
        <v>39995</v>
      </c>
      <c r="L38" s="1">
        <v>603.9</v>
      </c>
      <c r="M38" s="34">
        <v>39995</v>
      </c>
      <c r="N38" s="1">
        <v>90.8</v>
      </c>
    </row>
    <row r="39" spans="1:14" x14ac:dyDescent="0.25">
      <c r="A39" s="34">
        <v>40026</v>
      </c>
      <c r="B39" s="1">
        <v>592.1</v>
      </c>
      <c r="C39" s="34">
        <v>40026</v>
      </c>
      <c r="D39" s="1">
        <v>221</v>
      </c>
      <c r="E39" s="34">
        <v>40026</v>
      </c>
      <c r="F39" s="1">
        <v>8.3000000000000007</v>
      </c>
      <c r="G39" s="34">
        <v>40026</v>
      </c>
      <c r="H39" s="1">
        <v>-1.6</v>
      </c>
      <c r="I39" s="34">
        <v>40026</v>
      </c>
      <c r="J39" s="1">
        <v>128.49</v>
      </c>
      <c r="K39" s="34">
        <v>40026</v>
      </c>
      <c r="L39" s="1">
        <v>603.9</v>
      </c>
      <c r="M39" s="34">
        <v>40026</v>
      </c>
      <c r="N39" s="1">
        <v>90.8</v>
      </c>
    </row>
    <row r="40" spans="1:14" x14ac:dyDescent="0.25">
      <c r="A40" s="34">
        <v>40057</v>
      </c>
      <c r="B40" s="1">
        <v>594.29999999999995</v>
      </c>
      <c r="C40" s="34">
        <v>40057</v>
      </c>
      <c r="D40" s="1">
        <v>305</v>
      </c>
      <c r="E40" s="34">
        <v>40057</v>
      </c>
      <c r="F40" s="1">
        <v>8.3000000000000007</v>
      </c>
      <c r="G40" s="34">
        <v>40057</v>
      </c>
      <c r="H40" s="1">
        <v>-1.29</v>
      </c>
      <c r="I40" s="34">
        <v>40057</v>
      </c>
      <c r="J40" s="1">
        <v>128.11000000000001</v>
      </c>
      <c r="K40" s="34">
        <v>40057</v>
      </c>
      <c r="L40" s="1">
        <v>605.29999999999995</v>
      </c>
      <c r="M40" s="34">
        <v>40057</v>
      </c>
      <c r="N40" s="1">
        <v>103.9</v>
      </c>
    </row>
    <row r="41" spans="1:14" x14ac:dyDescent="0.25">
      <c r="A41" s="34">
        <v>40087</v>
      </c>
      <c r="B41" s="1">
        <v>592.4</v>
      </c>
      <c r="C41" s="34">
        <v>40087</v>
      </c>
      <c r="D41" s="1">
        <v>242</v>
      </c>
      <c r="E41" s="34">
        <v>40087</v>
      </c>
      <c r="F41" s="1">
        <v>8.3000000000000007</v>
      </c>
      <c r="G41" s="34">
        <v>40087</v>
      </c>
      <c r="H41" s="1">
        <v>-0.68</v>
      </c>
      <c r="I41" s="34">
        <v>40087</v>
      </c>
      <c r="J41" s="1">
        <v>127.93</v>
      </c>
      <c r="K41" s="34">
        <v>40087</v>
      </c>
      <c r="L41" s="1">
        <v>603.79999999999995</v>
      </c>
      <c r="M41" s="34">
        <v>40087</v>
      </c>
      <c r="N41" s="1">
        <v>107.1</v>
      </c>
    </row>
    <row r="42" spans="1:14" x14ac:dyDescent="0.25">
      <c r="A42" s="34">
        <v>40118</v>
      </c>
      <c r="B42" s="1">
        <v>592.6</v>
      </c>
      <c r="C42" s="34">
        <v>40118</v>
      </c>
      <c r="D42" s="1">
        <v>231</v>
      </c>
      <c r="E42" s="34">
        <v>40118</v>
      </c>
      <c r="F42" s="1">
        <v>8.3000000000000007</v>
      </c>
      <c r="G42" s="34">
        <v>40118</v>
      </c>
      <c r="H42" s="1">
        <v>-0.12</v>
      </c>
      <c r="I42" s="34">
        <v>40118</v>
      </c>
      <c r="J42" s="1">
        <v>127.93</v>
      </c>
      <c r="K42" s="34">
        <v>40118</v>
      </c>
      <c r="L42" s="1">
        <v>598.6</v>
      </c>
      <c r="M42" s="34">
        <v>40118</v>
      </c>
      <c r="N42" s="1">
        <v>107.8</v>
      </c>
    </row>
    <row r="43" spans="1:14" x14ac:dyDescent="0.25">
      <c r="A43" s="34">
        <v>40148</v>
      </c>
      <c r="B43" s="1">
        <v>592.6</v>
      </c>
      <c r="C43" s="34">
        <v>40148</v>
      </c>
      <c r="D43" s="1">
        <v>190</v>
      </c>
      <c r="E43" s="34">
        <v>40148</v>
      </c>
      <c r="F43" s="1">
        <v>8.4</v>
      </c>
      <c r="G43" s="34">
        <v>40148</v>
      </c>
      <c r="H43" s="1">
        <v>-0.32</v>
      </c>
      <c r="I43" s="34">
        <v>40148</v>
      </c>
      <c r="J43" s="1">
        <v>127.49</v>
      </c>
      <c r="K43" s="34">
        <v>40148</v>
      </c>
      <c r="L43" s="1">
        <v>595.79999999999995</v>
      </c>
      <c r="M43" s="34">
        <v>40148</v>
      </c>
      <c r="N43" s="1">
        <v>107.5</v>
      </c>
    </row>
    <row r="44" spans="1:14" x14ac:dyDescent="0.25">
      <c r="A44" s="34">
        <v>40179</v>
      </c>
      <c r="B44" s="1">
        <v>592.70000000000005</v>
      </c>
      <c r="C44" s="34">
        <v>40179</v>
      </c>
      <c r="D44" s="1">
        <v>107</v>
      </c>
      <c r="E44" s="34">
        <v>40179</v>
      </c>
      <c r="F44" s="1">
        <v>8.4</v>
      </c>
      <c r="G44" s="34">
        <v>40179</v>
      </c>
      <c r="H44" s="1">
        <v>-0.19</v>
      </c>
      <c r="I44" s="34">
        <v>40179</v>
      </c>
      <c r="J44" s="1">
        <v>127.68</v>
      </c>
      <c r="K44" s="34">
        <v>40179</v>
      </c>
      <c r="L44" s="1">
        <v>572</v>
      </c>
      <c r="M44" s="34">
        <v>40179</v>
      </c>
      <c r="N44" s="1">
        <v>103.7</v>
      </c>
    </row>
    <row r="45" spans="1:14" x14ac:dyDescent="0.25">
      <c r="A45" s="34">
        <v>40210</v>
      </c>
      <c r="B45" s="1">
        <v>591.9</v>
      </c>
      <c r="C45" s="34">
        <v>40210</v>
      </c>
      <c r="D45" s="1">
        <v>218</v>
      </c>
      <c r="E45" s="34">
        <v>40210</v>
      </c>
      <c r="F45" s="1">
        <v>8.4</v>
      </c>
      <c r="G45" s="34">
        <v>40210</v>
      </c>
      <c r="H45" s="1">
        <v>0.68</v>
      </c>
      <c r="I45" s="34">
        <v>40210</v>
      </c>
      <c r="J45" s="1">
        <v>127.78</v>
      </c>
      <c r="K45" s="34">
        <v>40210</v>
      </c>
      <c r="L45" s="1">
        <v>572.9</v>
      </c>
      <c r="M45" s="34">
        <v>40210</v>
      </c>
      <c r="N45" s="1">
        <v>106.3</v>
      </c>
    </row>
    <row r="46" spans="1:14" x14ac:dyDescent="0.25">
      <c r="A46" s="34">
        <v>40238</v>
      </c>
      <c r="B46" s="1">
        <v>593.5</v>
      </c>
      <c r="C46" s="34">
        <v>40238</v>
      </c>
      <c r="D46" s="1">
        <v>197</v>
      </c>
      <c r="E46" s="34">
        <v>40238</v>
      </c>
      <c r="F46" s="1">
        <v>8.4</v>
      </c>
      <c r="G46" s="34">
        <v>40238</v>
      </c>
      <c r="H46" s="1">
        <v>0.77</v>
      </c>
      <c r="I46" s="34">
        <v>40238</v>
      </c>
      <c r="J46" s="1">
        <v>127.77</v>
      </c>
      <c r="K46" s="34">
        <v>40238</v>
      </c>
      <c r="L46" s="1">
        <v>574.79999999999995</v>
      </c>
      <c r="M46" s="34">
        <v>40238</v>
      </c>
      <c r="N46" s="1">
        <v>107.8</v>
      </c>
    </row>
    <row r="47" spans="1:14" x14ac:dyDescent="0.25">
      <c r="A47" s="34">
        <v>40269</v>
      </c>
      <c r="B47" s="1">
        <v>594</v>
      </c>
      <c r="C47" s="34">
        <v>40269</v>
      </c>
      <c r="D47" s="1">
        <v>306</v>
      </c>
      <c r="E47" s="34">
        <v>40269</v>
      </c>
      <c r="F47" s="1">
        <v>8.3000000000000007</v>
      </c>
      <c r="G47" s="34">
        <v>40269</v>
      </c>
      <c r="H47" s="1">
        <v>0.81</v>
      </c>
      <c r="I47" s="34">
        <v>40269</v>
      </c>
      <c r="J47" s="1">
        <v>128.15</v>
      </c>
      <c r="K47" s="34">
        <v>40269</v>
      </c>
      <c r="L47" s="1">
        <v>583.70000000000005</v>
      </c>
      <c r="M47" s="34">
        <v>40269</v>
      </c>
      <c r="N47" s="1">
        <v>107.6</v>
      </c>
    </row>
    <row r="48" spans="1:14" x14ac:dyDescent="0.25">
      <c r="A48" s="34">
        <v>40299</v>
      </c>
      <c r="B48" s="1">
        <v>596</v>
      </c>
      <c r="C48" s="34">
        <v>40299</v>
      </c>
      <c r="D48" s="1">
        <v>392</v>
      </c>
      <c r="E48" s="34">
        <v>40299</v>
      </c>
      <c r="F48" s="1">
        <v>8.1999999999999993</v>
      </c>
      <c r="G48" s="34">
        <v>40299</v>
      </c>
      <c r="H48" s="1">
        <v>1.75</v>
      </c>
      <c r="I48" s="34">
        <v>40299</v>
      </c>
      <c r="J48" s="1">
        <v>128.47</v>
      </c>
      <c r="K48" s="34">
        <v>40299</v>
      </c>
      <c r="L48" s="1">
        <v>599.20000000000005</v>
      </c>
      <c r="M48" s="34">
        <v>40299</v>
      </c>
      <c r="N48" s="1">
        <v>110.1</v>
      </c>
    </row>
    <row r="49" spans="1:14" x14ac:dyDescent="0.25">
      <c r="A49" s="34">
        <v>40330</v>
      </c>
      <c r="B49" s="1">
        <v>593.1</v>
      </c>
      <c r="C49" s="34">
        <v>40330</v>
      </c>
      <c r="D49" s="1">
        <v>342</v>
      </c>
      <c r="E49" s="34">
        <v>40330</v>
      </c>
      <c r="F49" s="1">
        <v>8.1</v>
      </c>
      <c r="G49" s="34">
        <v>40330</v>
      </c>
      <c r="H49" s="1">
        <v>1.32</v>
      </c>
      <c r="I49" s="34">
        <v>40330</v>
      </c>
      <c r="J49" s="1">
        <v>128.66999999999999</v>
      </c>
      <c r="K49" s="34">
        <v>40330</v>
      </c>
      <c r="L49" s="1">
        <v>604.5</v>
      </c>
      <c r="M49" s="34">
        <v>40330</v>
      </c>
      <c r="N49" s="1">
        <v>104.7</v>
      </c>
    </row>
    <row r="50" spans="1:14" x14ac:dyDescent="0.25">
      <c r="A50" s="34">
        <v>40360</v>
      </c>
      <c r="B50" s="1">
        <v>591.79999999999995</v>
      </c>
      <c r="C50" s="34">
        <v>40360</v>
      </c>
      <c r="D50" s="1">
        <v>315</v>
      </c>
      <c r="E50" s="34">
        <v>40360</v>
      </c>
      <c r="F50" s="1">
        <v>8.1</v>
      </c>
      <c r="G50" s="34">
        <v>40360</v>
      </c>
      <c r="H50" s="1">
        <v>0.33</v>
      </c>
      <c r="I50" s="34">
        <v>40360</v>
      </c>
      <c r="J50" s="1">
        <v>128.43</v>
      </c>
      <c r="K50" s="34">
        <v>40360</v>
      </c>
      <c r="L50" s="1">
        <v>602.79999999999995</v>
      </c>
      <c r="M50" s="34">
        <v>40360</v>
      </c>
      <c r="N50" s="1">
        <v>91.9</v>
      </c>
    </row>
    <row r="51" spans="1:14" x14ac:dyDescent="0.25">
      <c r="A51" s="34">
        <v>40391</v>
      </c>
      <c r="B51" s="1">
        <v>590.5</v>
      </c>
      <c r="C51" s="34">
        <v>40391</v>
      </c>
      <c r="D51" s="1">
        <v>280</v>
      </c>
      <c r="E51" s="34">
        <v>40391</v>
      </c>
      <c r="F51" s="1">
        <v>8</v>
      </c>
      <c r="G51" s="34">
        <v>40391</v>
      </c>
      <c r="H51" s="1">
        <v>0.22</v>
      </c>
      <c r="I51" s="34">
        <v>40391</v>
      </c>
      <c r="J51" s="1">
        <v>128.84</v>
      </c>
      <c r="K51" s="34">
        <v>40391</v>
      </c>
      <c r="L51" s="1">
        <v>602.6</v>
      </c>
      <c r="M51" s="34">
        <v>40391</v>
      </c>
      <c r="N51" s="1">
        <v>90.9</v>
      </c>
    </row>
    <row r="52" spans="1:14" x14ac:dyDescent="0.25">
      <c r="A52" s="34">
        <v>40422</v>
      </c>
      <c r="B52" s="1">
        <v>592.6</v>
      </c>
      <c r="C52" s="34">
        <v>40422</v>
      </c>
      <c r="D52" s="1">
        <v>316</v>
      </c>
      <c r="E52" s="34">
        <v>40422</v>
      </c>
      <c r="F52" s="1">
        <v>8</v>
      </c>
      <c r="G52" s="34">
        <v>40422</v>
      </c>
      <c r="H52" s="1">
        <v>0.43</v>
      </c>
      <c r="I52" s="34">
        <v>40422</v>
      </c>
      <c r="J52" s="1">
        <v>128.81</v>
      </c>
      <c r="K52" s="34">
        <v>40422</v>
      </c>
      <c r="L52" s="1">
        <v>604.4</v>
      </c>
      <c r="M52" s="34">
        <v>40422</v>
      </c>
      <c r="N52" s="1">
        <v>103</v>
      </c>
    </row>
    <row r="53" spans="1:14" x14ac:dyDescent="0.25">
      <c r="A53" s="34">
        <v>40452</v>
      </c>
      <c r="B53" s="1">
        <v>593.6</v>
      </c>
      <c r="C53" s="34">
        <v>40452</v>
      </c>
      <c r="D53" s="1">
        <v>248</v>
      </c>
      <c r="E53" s="34">
        <v>40452</v>
      </c>
      <c r="F53" s="1">
        <v>8</v>
      </c>
      <c r="G53" s="34">
        <v>40452</v>
      </c>
      <c r="H53" s="1">
        <v>0.49</v>
      </c>
      <c r="I53" s="34">
        <v>40452</v>
      </c>
      <c r="J53" s="1">
        <v>128.84</v>
      </c>
      <c r="K53" s="34">
        <v>40452</v>
      </c>
      <c r="L53" s="1">
        <v>603.79999999999995</v>
      </c>
      <c r="M53" s="34">
        <v>40452</v>
      </c>
      <c r="N53" s="1">
        <v>106.9</v>
      </c>
    </row>
    <row r="54" spans="1:14" x14ac:dyDescent="0.25">
      <c r="A54" s="34">
        <v>40483</v>
      </c>
      <c r="B54" s="1">
        <v>593.29999999999995</v>
      </c>
      <c r="C54" s="34">
        <v>40483</v>
      </c>
      <c r="D54" s="1">
        <v>216</v>
      </c>
      <c r="E54" s="34">
        <v>40483</v>
      </c>
      <c r="F54" s="1">
        <v>8</v>
      </c>
      <c r="G54" s="34">
        <v>40483</v>
      </c>
      <c r="H54" s="1">
        <v>0.11</v>
      </c>
      <c r="I54" s="34">
        <v>40483</v>
      </c>
      <c r="J54" s="1">
        <v>128.85</v>
      </c>
      <c r="K54" s="34">
        <v>40483</v>
      </c>
      <c r="L54" s="1">
        <v>598.70000000000005</v>
      </c>
      <c r="M54" s="34">
        <v>40483</v>
      </c>
      <c r="N54" s="1">
        <v>107.4</v>
      </c>
    </row>
    <row r="55" spans="1:14" x14ac:dyDescent="0.25">
      <c r="A55" s="34">
        <v>40513</v>
      </c>
      <c r="B55" s="1">
        <v>593.5</v>
      </c>
      <c r="C55" s="34">
        <v>40513</v>
      </c>
      <c r="D55" s="1">
        <v>207</v>
      </c>
      <c r="E55" s="34">
        <v>40513</v>
      </c>
      <c r="F55" s="1">
        <v>8</v>
      </c>
      <c r="G55" s="34">
        <v>40513</v>
      </c>
      <c r="H55" s="1">
        <v>0.02</v>
      </c>
      <c r="I55" s="34">
        <v>40513</v>
      </c>
      <c r="J55" s="1">
        <v>128.77000000000001</v>
      </c>
      <c r="K55" s="34">
        <v>40513</v>
      </c>
      <c r="L55" s="1">
        <v>596.20000000000005</v>
      </c>
      <c r="M55" s="34">
        <v>40513</v>
      </c>
      <c r="N55" s="1">
        <v>107.2</v>
      </c>
    </row>
    <row r="56" spans="1:14" x14ac:dyDescent="0.25">
      <c r="A56" s="34">
        <v>40544</v>
      </c>
      <c r="B56" s="1">
        <v>593</v>
      </c>
      <c r="C56" s="34">
        <v>40544</v>
      </c>
      <c r="D56" s="1">
        <v>126</v>
      </c>
      <c r="E56" s="34">
        <v>40544</v>
      </c>
      <c r="F56" s="1">
        <v>7.9</v>
      </c>
      <c r="G56" s="34">
        <v>40544</v>
      </c>
      <c r="H56" s="1">
        <v>0.52</v>
      </c>
      <c r="I56" s="34">
        <v>40544</v>
      </c>
      <c r="J56" s="1">
        <v>129.13</v>
      </c>
      <c r="K56" s="34">
        <v>40544</v>
      </c>
      <c r="L56" s="1">
        <v>572.5</v>
      </c>
      <c r="M56" s="34">
        <v>40544</v>
      </c>
      <c r="N56" s="1">
        <v>103.1</v>
      </c>
    </row>
    <row r="57" spans="1:14" x14ac:dyDescent="0.25">
      <c r="A57" s="34">
        <v>40575</v>
      </c>
      <c r="B57" s="1">
        <v>593.9</v>
      </c>
      <c r="C57" s="34">
        <v>40575</v>
      </c>
      <c r="D57" s="1">
        <v>73</v>
      </c>
      <c r="E57" s="34">
        <v>40575</v>
      </c>
      <c r="F57" s="1">
        <v>7.9</v>
      </c>
      <c r="G57" s="34">
        <v>40575</v>
      </c>
      <c r="H57" s="1">
        <v>0.01</v>
      </c>
      <c r="I57" s="34">
        <v>40575</v>
      </c>
      <c r="J57" s="1">
        <v>128.88999999999999</v>
      </c>
      <c r="K57" s="34">
        <v>40575</v>
      </c>
      <c r="L57" s="1">
        <v>574.20000000000005</v>
      </c>
      <c r="M57" s="34">
        <v>40575</v>
      </c>
      <c r="N57" s="1">
        <v>105.3</v>
      </c>
    </row>
    <row r="58" spans="1:14" x14ac:dyDescent="0.25">
      <c r="A58" s="34">
        <v>40603</v>
      </c>
      <c r="B58" s="1">
        <v>594.29999999999995</v>
      </c>
      <c r="C58" s="34">
        <v>40603</v>
      </c>
      <c r="D58" s="1">
        <v>141</v>
      </c>
      <c r="E58" s="34">
        <v>40603</v>
      </c>
      <c r="F58" s="1">
        <v>7.8</v>
      </c>
      <c r="G58" s="34">
        <v>40603</v>
      </c>
      <c r="H58" s="1">
        <v>0.17</v>
      </c>
      <c r="I58" s="34">
        <v>40603</v>
      </c>
      <c r="J58" s="1">
        <v>129.21</v>
      </c>
      <c r="K58" s="34">
        <v>40603</v>
      </c>
      <c r="L58" s="1">
        <v>575.4</v>
      </c>
      <c r="M58" s="34">
        <v>40603</v>
      </c>
      <c r="N58" s="1">
        <v>105.6</v>
      </c>
    </row>
    <row r="59" spans="1:14" x14ac:dyDescent="0.25">
      <c r="A59" s="34">
        <v>40634</v>
      </c>
      <c r="B59" s="1">
        <v>593.20000000000005</v>
      </c>
      <c r="C59" s="34">
        <v>40634</v>
      </c>
      <c r="D59" s="1">
        <v>214</v>
      </c>
      <c r="E59" s="34">
        <v>40634</v>
      </c>
      <c r="F59" s="1">
        <v>7.8</v>
      </c>
      <c r="G59" s="34">
        <v>40634</v>
      </c>
      <c r="H59" s="1">
        <v>-0.12</v>
      </c>
      <c r="I59" s="34">
        <v>40634</v>
      </c>
      <c r="J59" s="1">
        <v>129.11000000000001</v>
      </c>
      <c r="K59" s="34">
        <v>40634</v>
      </c>
      <c r="L59" s="1">
        <v>582.9</v>
      </c>
      <c r="M59" s="34">
        <v>40634</v>
      </c>
      <c r="N59" s="1">
        <v>105</v>
      </c>
    </row>
    <row r="60" spans="1:14" x14ac:dyDescent="0.25">
      <c r="A60" s="34">
        <v>40664</v>
      </c>
      <c r="B60" s="1">
        <v>591.29999999999995</v>
      </c>
      <c r="C60" s="34">
        <v>40664</v>
      </c>
      <c r="D60" s="1">
        <v>233</v>
      </c>
      <c r="E60" s="34">
        <v>40664</v>
      </c>
      <c r="F60" s="1">
        <v>7.8</v>
      </c>
      <c r="G60" s="34">
        <v>40664</v>
      </c>
      <c r="H60" s="1">
        <v>-0.64</v>
      </c>
      <c r="I60" s="34">
        <v>40664</v>
      </c>
      <c r="J60" s="1">
        <v>129.02000000000001</v>
      </c>
      <c r="K60" s="34">
        <v>40664</v>
      </c>
      <c r="L60" s="1">
        <v>594.6</v>
      </c>
      <c r="M60" s="34">
        <v>40664</v>
      </c>
      <c r="N60" s="1">
        <v>104.6</v>
      </c>
    </row>
    <row r="61" spans="1:14" x14ac:dyDescent="0.25">
      <c r="A61" s="34">
        <v>40695</v>
      </c>
      <c r="B61" s="1">
        <v>592.70000000000005</v>
      </c>
      <c r="C61" s="34">
        <v>40695</v>
      </c>
      <c r="D61" s="1">
        <v>219</v>
      </c>
      <c r="E61" s="34">
        <v>40695</v>
      </c>
      <c r="F61" s="1">
        <v>7.8</v>
      </c>
      <c r="G61" s="34">
        <v>40695</v>
      </c>
      <c r="H61" s="1">
        <v>-0.66</v>
      </c>
      <c r="I61" s="34">
        <v>40695</v>
      </c>
      <c r="J61" s="1">
        <v>129.09</v>
      </c>
      <c r="K61" s="34">
        <v>40695</v>
      </c>
      <c r="L61" s="1">
        <v>605.9</v>
      </c>
      <c r="M61" s="34">
        <v>40695</v>
      </c>
      <c r="N61" s="1">
        <v>101.7</v>
      </c>
    </row>
    <row r="62" spans="1:14" x14ac:dyDescent="0.25">
      <c r="A62" s="34">
        <v>40725</v>
      </c>
      <c r="B62" s="1">
        <v>596</v>
      </c>
      <c r="C62" s="34">
        <v>40725</v>
      </c>
      <c r="D62" s="1">
        <v>238</v>
      </c>
      <c r="E62" s="34">
        <v>40725</v>
      </c>
      <c r="F62" s="1">
        <v>7.7</v>
      </c>
      <c r="G62" s="34">
        <v>40725</v>
      </c>
      <c r="H62" s="1">
        <v>1.02</v>
      </c>
      <c r="I62" s="34">
        <v>40725</v>
      </c>
      <c r="J62" s="1">
        <v>129.68</v>
      </c>
      <c r="K62" s="34">
        <v>40725</v>
      </c>
      <c r="L62" s="1">
        <v>608.6</v>
      </c>
      <c r="M62" s="34">
        <v>40725</v>
      </c>
      <c r="N62" s="1">
        <v>92.2</v>
      </c>
    </row>
    <row r="63" spans="1:14" x14ac:dyDescent="0.25">
      <c r="A63" s="34">
        <v>40756</v>
      </c>
      <c r="B63" s="1">
        <v>595.70000000000005</v>
      </c>
      <c r="C63" s="34">
        <v>40756</v>
      </c>
      <c r="D63" s="1">
        <v>209</v>
      </c>
      <c r="E63" s="34">
        <v>40756</v>
      </c>
      <c r="F63" s="1">
        <v>7.7</v>
      </c>
      <c r="G63" s="34">
        <v>40756</v>
      </c>
      <c r="H63" s="1">
        <v>1.3</v>
      </c>
      <c r="I63" s="34">
        <v>40756</v>
      </c>
      <c r="J63" s="1">
        <v>129.62</v>
      </c>
      <c r="K63" s="34">
        <v>40756</v>
      </c>
      <c r="L63" s="1">
        <v>608.5</v>
      </c>
      <c r="M63" s="34">
        <v>40756</v>
      </c>
      <c r="N63" s="1">
        <v>91.3</v>
      </c>
    </row>
    <row r="64" spans="1:14" x14ac:dyDescent="0.25">
      <c r="A64" s="34">
        <v>40787</v>
      </c>
      <c r="B64" s="1">
        <v>596.70000000000005</v>
      </c>
      <c r="C64" s="34">
        <v>40787</v>
      </c>
      <c r="D64" s="1">
        <v>201</v>
      </c>
      <c r="E64" s="34">
        <v>40787</v>
      </c>
      <c r="F64" s="1">
        <v>7.6</v>
      </c>
      <c r="G64" s="34">
        <v>40787</v>
      </c>
      <c r="H64" s="1">
        <v>1.41</v>
      </c>
      <c r="I64" s="34">
        <v>40787</v>
      </c>
      <c r="J64" s="1">
        <v>130.07</v>
      </c>
      <c r="K64" s="34">
        <v>40787</v>
      </c>
      <c r="L64" s="1">
        <v>608.9</v>
      </c>
      <c r="M64" s="34">
        <v>40787</v>
      </c>
      <c r="N64" s="1">
        <v>102.3</v>
      </c>
    </row>
    <row r="65" spans="1:14" x14ac:dyDescent="0.25">
      <c r="A65" s="34">
        <v>40817</v>
      </c>
      <c r="B65" s="1">
        <v>595.79999999999995</v>
      </c>
      <c r="C65" s="34">
        <v>40817</v>
      </c>
      <c r="D65" s="1">
        <v>227</v>
      </c>
      <c r="E65" s="34">
        <v>40817</v>
      </c>
      <c r="F65" s="1">
        <v>7.5</v>
      </c>
      <c r="G65" s="34">
        <v>40817</v>
      </c>
      <c r="H65" s="1">
        <v>1.77</v>
      </c>
      <c r="I65" s="34">
        <v>40817</v>
      </c>
      <c r="J65" s="1">
        <v>130.5</v>
      </c>
      <c r="K65" s="34">
        <v>40817</v>
      </c>
      <c r="L65" s="1">
        <v>606.29999999999995</v>
      </c>
      <c r="M65" s="34">
        <v>40817</v>
      </c>
      <c r="N65" s="1">
        <v>104.5</v>
      </c>
    </row>
    <row r="66" spans="1:14" x14ac:dyDescent="0.25">
      <c r="A66" s="34">
        <v>40848</v>
      </c>
      <c r="B66" s="1">
        <v>596.20000000000005</v>
      </c>
      <c r="C66" s="34">
        <v>40848</v>
      </c>
      <c r="D66" s="1">
        <v>223</v>
      </c>
      <c r="E66" s="34">
        <v>40848</v>
      </c>
      <c r="F66" s="1">
        <v>7.5</v>
      </c>
      <c r="G66" s="34">
        <v>40848</v>
      </c>
      <c r="H66" s="1">
        <v>1.3</v>
      </c>
      <c r="I66" s="34">
        <v>40848</v>
      </c>
      <c r="J66" s="1">
        <v>130.32</v>
      </c>
      <c r="K66" s="34">
        <v>40848</v>
      </c>
      <c r="L66" s="1">
        <v>601.29999999999995</v>
      </c>
      <c r="M66" s="34">
        <v>40848</v>
      </c>
      <c r="N66" s="1">
        <v>105.3</v>
      </c>
    </row>
    <row r="67" spans="1:14" x14ac:dyDescent="0.25">
      <c r="A67" s="34">
        <v>40878</v>
      </c>
      <c r="B67" s="1">
        <v>595.6</v>
      </c>
      <c r="C67" s="34">
        <v>40878</v>
      </c>
      <c r="D67" s="1">
        <v>127</v>
      </c>
      <c r="E67" s="34">
        <v>40878</v>
      </c>
      <c r="F67" s="1">
        <v>7.4</v>
      </c>
      <c r="G67" s="34">
        <v>40878</v>
      </c>
      <c r="H67" s="1">
        <v>1.44</v>
      </c>
      <c r="I67" s="34">
        <v>40878</v>
      </c>
      <c r="J67" s="1">
        <v>130.78</v>
      </c>
      <c r="K67" s="34">
        <v>40878</v>
      </c>
      <c r="L67" s="1">
        <v>597.6</v>
      </c>
      <c r="M67" s="34">
        <v>40878</v>
      </c>
      <c r="N67" s="1">
        <v>104.3</v>
      </c>
    </row>
    <row r="68" spans="1:14" x14ac:dyDescent="0.25">
      <c r="A68" s="34">
        <v>40909</v>
      </c>
      <c r="B68" s="1">
        <v>596.1</v>
      </c>
      <c r="C68" s="34">
        <v>40909</v>
      </c>
      <c r="D68" s="1">
        <v>141</v>
      </c>
      <c r="E68" s="34">
        <v>40909</v>
      </c>
      <c r="F68" s="1">
        <v>7.3</v>
      </c>
      <c r="G68" s="34">
        <v>40909</v>
      </c>
      <c r="H68" s="1">
        <v>2.0299999999999998</v>
      </c>
      <c r="I68" s="34">
        <v>40909</v>
      </c>
      <c r="J68" s="1">
        <v>131.36000000000001</v>
      </c>
      <c r="K68" s="34">
        <v>40909</v>
      </c>
      <c r="L68" s="1">
        <v>575</v>
      </c>
      <c r="M68" s="34">
        <v>40909</v>
      </c>
      <c r="N68" s="1">
        <v>101</v>
      </c>
    </row>
    <row r="69" spans="1:14" x14ac:dyDescent="0.25">
      <c r="A69" s="34">
        <v>40940</v>
      </c>
      <c r="B69" s="1">
        <v>597.9</v>
      </c>
      <c r="C69" s="34">
        <v>40940</v>
      </c>
      <c r="D69" s="1">
        <v>144</v>
      </c>
      <c r="E69" s="34">
        <v>40940</v>
      </c>
      <c r="F69" s="1">
        <v>7.3</v>
      </c>
      <c r="G69" s="34">
        <v>40940</v>
      </c>
      <c r="H69" s="1">
        <v>2.04</v>
      </c>
      <c r="I69" s="34">
        <v>40940</v>
      </c>
      <c r="J69" s="1">
        <v>131.41999999999999</v>
      </c>
      <c r="K69" s="34">
        <v>40940</v>
      </c>
      <c r="L69" s="1">
        <v>577.20000000000005</v>
      </c>
      <c r="M69" s="34">
        <v>40940</v>
      </c>
      <c r="N69" s="1">
        <v>103.8</v>
      </c>
    </row>
    <row r="70" spans="1:14" x14ac:dyDescent="0.25">
      <c r="A70" s="34">
        <v>40969</v>
      </c>
      <c r="B70" s="1">
        <v>597.70000000000005</v>
      </c>
      <c r="C70" s="34">
        <v>40969</v>
      </c>
      <c r="D70" s="1">
        <v>160</v>
      </c>
      <c r="E70" s="34">
        <v>40969</v>
      </c>
      <c r="F70" s="1">
        <v>7.3</v>
      </c>
      <c r="G70" s="34">
        <v>40969</v>
      </c>
      <c r="H70" s="1">
        <v>1.62</v>
      </c>
      <c r="I70" s="34">
        <v>40969</v>
      </c>
      <c r="J70" s="1">
        <v>131.59</v>
      </c>
      <c r="K70" s="34">
        <v>40969</v>
      </c>
      <c r="L70" s="1">
        <v>578.70000000000005</v>
      </c>
      <c r="M70" s="34">
        <v>40969</v>
      </c>
      <c r="N70" s="1">
        <v>104.2</v>
      </c>
    </row>
    <row r="71" spans="1:14" x14ac:dyDescent="0.25">
      <c r="A71" s="34">
        <v>41000</v>
      </c>
      <c r="B71" s="1">
        <v>598.70000000000005</v>
      </c>
      <c r="C71" s="34">
        <v>41000</v>
      </c>
      <c r="D71" s="1">
        <v>250</v>
      </c>
      <c r="E71" s="34">
        <v>41000</v>
      </c>
      <c r="F71" s="1">
        <v>7.2</v>
      </c>
      <c r="G71" s="34">
        <v>41000</v>
      </c>
      <c r="H71" s="1">
        <v>2.42</v>
      </c>
      <c r="I71" s="34">
        <v>41000</v>
      </c>
      <c r="J71" s="1">
        <v>132.41999999999999</v>
      </c>
      <c r="K71" s="34">
        <v>41000</v>
      </c>
      <c r="L71" s="1">
        <v>587.70000000000005</v>
      </c>
      <c r="M71" s="34">
        <v>41000</v>
      </c>
      <c r="N71" s="1">
        <v>103.8</v>
      </c>
    </row>
    <row r="72" spans="1:14" x14ac:dyDescent="0.25">
      <c r="A72" s="34">
        <v>41030</v>
      </c>
      <c r="B72" s="1">
        <v>598.9</v>
      </c>
      <c r="C72" s="34">
        <v>41030</v>
      </c>
      <c r="D72" s="1">
        <v>287</v>
      </c>
      <c r="E72" s="34">
        <v>41030</v>
      </c>
      <c r="F72" s="1">
        <v>7.3</v>
      </c>
      <c r="G72" s="34">
        <v>41030</v>
      </c>
      <c r="H72" s="1">
        <v>1.36</v>
      </c>
      <c r="I72" s="34">
        <v>41030</v>
      </c>
      <c r="J72" s="1">
        <v>131.97</v>
      </c>
      <c r="K72" s="34">
        <v>41030</v>
      </c>
      <c r="L72" s="1">
        <v>602.29999999999995</v>
      </c>
      <c r="M72" s="34">
        <v>41030</v>
      </c>
      <c r="N72" s="1">
        <v>104.9</v>
      </c>
    </row>
    <row r="73" spans="1:14" x14ac:dyDescent="0.25">
      <c r="A73" s="34">
        <v>41061</v>
      </c>
      <c r="B73" s="1">
        <v>599.6</v>
      </c>
      <c r="C73" s="34">
        <v>41061</v>
      </c>
      <c r="D73" s="1">
        <v>313</v>
      </c>
      <c r="E73" s="34">
        <v>41061</v>
      </c>
      <c r="F73" s="1">
        <v>7.3</v>
      </c>
      <c r="G73" s="34">
        <v>41061</v>
      </c>
      <c r="H73" s="1">
        <v>0.56999999999999995</v>
      </c>
      <c r="I73" s="34">
        <v>41061</v>
      </c>
      <c r="J73" s="1">
        <v>132.03</v>
      </c>
      <c r="K73" s="34">
        <v>41061</v>
      </c>
      <c r="L73" s="1">
        <v>613.4</v>
      </c>
      <c r="M73" s="34">
        <v>41061</v>
      </c>
      <c r="N73" s="1">
        <v>101</v>
      </c>
    </row>
    <row r="74" spans="1:14" x14ac:dyDescent="0.25">
      <c r="A74" s="34">
        <v>41091</v>
      </c>
      <c r="B74" s="1">
        <v>598.29999999999995</v>
      </c>
      <c r="C74" s="34">
        <v>41091</v>
      </c>
      <c r="D74" s="1">
        <v>265</v>
      </c>
      <c r="E74" s="34">
        <v>41091</v>
      </c>
      <c r="F74" s="1">
        <v>7.2</v>
      </c>
      <c r="G74" s="34">
        <v>41091</v>
      </c>
      <c r="H74" s="1">
        <v>1.05</v>
      </c>
      <c r="I74" s="34">
        <v>41091</v>
      </c>
      <c r="J74" s="1">
        <v>132.5</v>
      </c>
      <c r="K74" s="34">
        <v>41091</v>
      </c>
      <c r="L74" s="1">
        <v>611.5</v>
      </c>
      <c r="M74" s="34">
        <v>41091</v>
      </c>
      <c r="N74" s="1">
        <v>91.9</v>
      </c>
    </row>
    <row r="75" spans="1:14" x14ac:dyDescent="0.25">
      <c r="A75" s="34">
        <v>41122</v>
      </c>
      <c r="B75" s="1">
        <v>598.79999999999995</v>
      </c>
      <c r="C75" s="34">
        <v>41122</v>
      </c>
      <c r="D75" s="1">
        <v>258</v>
      </c>
      <c r="E75" s="34">
        <v>41122</v>
      </c>
      <c r="F75" s="1">
        <v>7.2</v>
      </c>
      <c r="G75" s="34">
        <v>41122</v>
      </c>
      <c r="H75" s="1">
        <v>0.99</v>
      </c>
      <c r="I75" s="34">
        <v>41122</v>
      </c>
      <c r="J75" s="1">
        <v>132.29</v>
      </c>
      <c r="K75" s="34">
        <v>41122</v>
      </c>
      <c r="L75" s="1">
        <v>611.5</v>
      </c>
      <c r="M75" s="34">
        <v>41122</v>
      </c>
      <c r="N75" s="1">
        <v>92</v>
      </c>
    </row>
    <row r="76" spans="1:14" x14ac:dyDescent="0.25">
      <c r="A76" s="34">
        <v>41153</v>
      </c>
      <c r="B76" s="1">
        <v>598.29999999999995</v>
      </c>
      <c r="C76" s="34">
        <v>41153</v>
      </c>
      <c r="D76" s="1">
        <v>290</v>
      </c>
      <c r="E76" s="34">
        <v>41153</v>
      </c>
      <c r="F76" s="1">
        <v>7.1</v>
      </c>
      <c r="G76" s="34">
        <v>41153</v>
      </c>
      <c r="H76" s="1">
        <v>1.2</v>
      </c>
      <c r="I76" s="34">
        <v>41153</v>
      </c>
      <c r="J76" s="1">
        <v>132.74</v>
      </c>
      <c r="K76" s="34">
        <v>41153</v>
      </c>
      <c r="L76" s="1">
        <v>610.70000000000005</v>
      </c>
      <c r="M76" s="34">
        <v>41153</v>
      </c>
      <c r="N76" s="1">
        <v>101.6</v>
      </c>
    </row>
    <row r="77" spans="1:14" x14ac:dyDescent="0.25">
      <c r="A77" s="34">
        <v>41183</v>
      </c>
      <c r="B77" s="1">
        <v>598.6</v>
      </c>
      <c r="C77" s="34">
        <v>41183</v>
      </c>
      <c r="D77" s="1">
        <v>204</v>
      </c>
      <c r="E77" s="34">
        <v>41183</v>
      </c>
      <c r="F77" s="1">
        <v>7.1</v>
      </c>
      <c r="G77" s="34">
        <v>41183</v>
      </c>
      <c r="H77" s="1">
        <v>0.93</v>
      </c>
      <c r="I77" s="34">
        <v>41183</v>
      </c>
      <c r="J77" s="1">
        <v>132.68</v>
      </c>
      <c r="K77" s="34">
        <v>41183</v>
      </c>
      <c r="L77" s="1">
        <v>608.9</v>
      </c>
      <c r="M77" s="34">
        <v>41183</v>
      </c>
      <c r="N77" s="1">
        <v>104.5</v>
      </c>
    </row>
    <row r="78" spans="1:14" x14ac:dyDescent="0.25">
      <c r="A78" s="34">
        <v>41214</v>
      </c>
      <c r="B78" s="1">
        <v>597.20000000000005</v>
      </c>
      <c r="C78" s="34">
        <v>41214</v>
      </c>
      <c r="D78" s="1">
        <v>246</v>
      </c>
      <c r="E78" s="34">
        <v>41214</v>
      </c>
      <c r="F78" s="1">
        <v>7.1</v>
      </c>
      <c r="G78" s="34">
        <v>41214</v>
      </c>
      <c r="H78" s="1">
        <v>0.52</v>
      </c>
      <c r="I78" s="34">
        <v>41214</v>
      </c>
      <c r="J78" s="1">
        <v>132.66999999999999</v>
      </c>
      <c r="K78" s="34">
        <v>41214</v>
      </c>
      <c r="L78" s="1">
        <v>601.70000000000005</v>
      </c>
      <c r="M78" s="34">
        <v>41214</v>
      </c>
      <c r="N78" s="1">
        <v>104.4</v>
      </c>
    </row>
    <row r="79" spans="1:14" x14ac:dyDescent="0.25">
      <c r="A79" s="34">
        <v>41244</v>
      </c>
      <c r="B79" s="1">
        <v>597.79999999999995</v>
      </c>
      <c r="C79" s="34">
        <v>41244</v>
      </c>
      <c r="D79" s="1">
        <v>124</v>
      </c>
      <c r="E79" s="34">
        <v>41244</v>
      </c>
      <c r="F79" s="1">
        <v>7</v>
      </c>
      <c r="G79" s="34">
        <v>41244</v>
      </c>
      <c r="H79" s="1">
        <v>1.31</v>
      </c>
      <c r="I79" s="34">
        <v>41244</v>
      </c>
      <c r="J79" s="1">
        <v>133.31</v>
      </c>
      <c r="K79" s="34">
        <v>41244</v>
      </c>
      <c r="L79" s="1">
        <v>598.79999999999995</v>
      </c>
      <c r="M79" s="34">
        <v>41244</v>
      </c>
      <c r="N79" s="1">
        <v>104.3</v>
      </c>
    </row>
    <row r="80" spans="1:14" x14ac:dyDescent="0.25">
      <c r="A80" s="34">
        <v>41275</v>
      </c>
      <c r="B80" s="1">
        <v>599</v>
      </c>
      <c r="C80" s="34">
        <v>41275</v>
      </c>
      <c r="D80" s="1">
        <v>139</v>
      </c>
      <c r="E80" s="34">
        <v>41275</v>
      </c>
      <c r="F80" s="1">
        <v>7</v>
      </c>
      <c r="G80" s="34">
        <v>41275</v>
      </c>
      <c r="H80" s="1">
        <v>1.02</v>
      </c>
      <c r="I80" s="34">
        <v>41275</v>
      </c>
      <c r="J80" s="1">
        <v>133.28</v>
      </c>
      <c r="K80" s="34">
        <v>41275</v>
      </c>
      <c r="L80" s="1">
        <v>577.70000000000005</v>
      </c>
      <c r="M80" s="34">
        <v>41275</v>
      </c>
      <c r="N80" s="1">
        <v>101.6</v>
      </c>
    </row>
    <row r="81" spans="1:14" x14ac:dyDescent="0.25">
      <c r="A81" s="34">
        <v>41306</v>
      </c>
      <c r="B81" s="1">
        <v>599.1</v>
      </c>
      <c r="C81" s="34">
        <v>41306</v>
      </c>
      <c r="D81" s="1">
        <v>134</v>
      </c>
      <c r="E81" s="34">
        <v>41306</v>
      </c>
      <c r="F81" s="1">
        <v>6.9</v>
      </c>
      <c r="G81" s="34">
        <v>41306</v>
      </c>
      <c r="H81" s="1">
        <v>1.58</v>
      </c>
      <c r="I81" s="34">
        <v>41306</v>
      </c>
      <c r="J81" s="1">
        <v>133.84</v>
      </c>
      <c r="K81" s="34">
        <v>41306</v>
      </c>
      <c r="L81" s="1">
        <v>578.1</v>
      </c>
      <c r="M81" s="34">
        <v>41306</v>
      </c>
      <c r="N81" s="1">
        <v>103</v>
      </c>
    </row>
    <row r="82" spans="1:14" x14ac:dyDescent="0.25">
      <c r="A82" s="34">
        <v>41334</v>
      </c>
      <c r="B82" s="1">
        <v>599.1</v>
      </c>
      <c r="C82" s="34">
        <v>41334</v>
      </c>
      <c r="D82" s="1">
        <v>214</v>
      </c>
      <c r="E82" s="34">
        <v>41334</v>
      </c>
      <c r="F82" s="1">
        <v>6.8</v>
      </c>
      <c r="G82" s="34">
        <v>41334</v>
      </c>
      <c r="H82" s="1">
        <v>2.11</v>
      </c>
      <c r="I82" s="34">
        <v>41334</v>
      </c>
      <c r="J82" s="1">
        <v>134.43</v>
      </c>
      <c r="K82" s="34">
        <v>41334</v>
      </c>
      <c r="L82" s="1">
        <v>579.79999999999995</v>
      </c>
      <c r="M82" s="34">
        <v>41334</v>
      </c>
      <c r="N82" s="1">
        <v>103.6</v>
      </c>
    </row>
    <row r="83" spans="1:14" x14ac:dyDescent="0.25">
      <c r="A83" s="34">
        <v>41365</v>
      </c>
      <c r="B83" s="1">
        <v>599.5</v>
      </c>
      <c r="C83" s="34">
        <v>41365</v>
      </c>
      <c r="D83" s="1">
        <v>291</v>
      </c>
      <c r="E83" s="34">
        <v>41365</v>
      </c>
      <c r="F83" s="1">
        <v>6.8</v>
      </c>
      <c r="G83" s="34">
        <v>41365</v>
      </c>
      <c r="H83" s="1">
        <v>2.02</v>
      </c>
      <c r="I83" s="34">
        <v>41365</v>
      </c>
      <c r="J83" s="1">
        <v>134.51</v>
      </c>
      <c r="K83" s="34">
        <v>41365</v>
      </c>
      <c r="L83" s="1">
        <v>588.29999999999995</v>
      </c>
      <c r="M83" s="34">
        <v>41365</v>
      </c>
      <c r="N83" s="1">
        <v>103.2</v>
      </c>
    </row>
    <row r="84" spans="1:14" x14ac:dyDescent="0.25">
      <c r="A84" s="34">
        <v>41395</v>
      </c>
      <c r="B84" s="1">
        <v>601.1</v>
      </c>
      <c r="C84" s="34">
        <v>41395</v>
      </c>
      <c r="D84" s="1">
        <v>401</v>
      </c>
      <c r="E84" s="34">
        <v>41395</v>
      </c>
      <c r="F84" s="1">
        <v>6.7</v>
      </c>
      <c r="G84" s="34">
        <v>41395</v>
      </c>
      <c r="H84" s="1">
        <v>2.5099999999999998</v>
      </c>
      <c r="I84" s="34">
        <v>41395</v>
      </c>
      <c r="J84" s="1">
        <v>135.31</v>
      </c>
      <c r="K84" s="34">
        <v>41395</v>
      </c>
      <c r="L84" s="1">
        <v>604.70000000000005</v>
      </c>
      <c r="M84" s="34">
        <v>41395</v>
      </c>
      <c r="N84" s="1">
        <v>103.9</v>
      </c>
    </row>
    <row r="85" spans="1:14" x14ac:dyDescent="0.25">
      <c r="A85" s="34">
        <v>41426</v>
      </c>
      <c r="B85" s="1">
        <v>603.4</v>
      </c>
      <c r="C85" s="34">
        <v>41426</v>
      </c>
      <c r="D85" s="1">
        <v>325</v>
      </c>
      <c r="E85" s="34">
        <v>41426</v>
      </c>
      <c r="F85" s="1">
        <v>6.7</v>
      </c>
      <c r="G85" s="34">
        <v>41426</v>
      </c>
      <c r="H85" s="1">
        <v>2.44</v>
      </c>
      <c r="I85" s="34">
        <v>41426</v>
      </c>
      <c r="J85" s="1">
        <v>135.62</v>
      </c>
      <c r="K85" s="34">
        <v>41426</v>
      </c>
      <c r="L85" s="1">
        <v>616.1</v>
      </c>
      <c r="M85" s="34">
        <v>41426</v>
      </c>
      <c r="N85" s="1">
        <v>99.5</v>
      </c>
    </row>
    <row r="86" spans="1:14" x14ac:dyDescent="0.25">
      <c r="A86" s="34">
        <v>41456</v>
      </c>
      <c r="B86" s="1">
        <v>603</v>
      </c>
      <c r="C86" s="34">
        <v>41456</v>
      </c>
      <c r="D86" s="1">
        <v>271</v>
      </c>
      <c r="E86" s="34">
        <v>41456</v>
      </c>
      <c r="F86" s="1">
        <v>6.7</v>
      </c>
      <c r="G86" s="34">
        <v>41456</v>
      </c>
      <c r="H86" s="1">
        <v>2.06</v>
      </c>
      <c r="I86" s="34">
        <v>41456</v>
      </c>
      <c r="J86" s="1">
        <v>135.88</v>
      </c>
      <c r="K86" s="34">
        <v>41456</v>
      </c>
      <c r="L86" s="1">
        <v>617.1</v>
      </c>
      <c r="M86" s="34">
        <v>41456</v>
      </c>
      <c r="N86" s="1">
        <v>90.7</v>
      </c>
    </row>
    <row r="87" spans="1:14" x14ac:dyDescent="0.25">
      <c r="A87" s="34">
        <v>41487</v>
      </c>
      <c r="B87" s="1">
        <v>603.20000000000005</v>
      </c>
      <c r="C87" s="34">
        <v>41487</v>
      </c>
      <c r="D87" s="1">
        <v>279</v>
      </c>
      <c r="E87" s="34">
        <v>41487</v>
      </c>
      <c r="F87" s="1">
        <v>6.7</v>
      </c>
      <c r="G87" s="34">
        <v>41487</v>
      </c>
      <c r="H87" s="1">
        <v>1.49</v>
      </c>
      <c r="I87" s="34">
        <v>41487</v>
      </c>
      <c r="J87" s="1">
        <v>136.1</v>
      </c>
      <c r="K87" s="34">
        <v>41487</v>
      </c>
      <c r="L87" s="1">
        <v>616.4</v>
      </c>
      <c r="M87" s="34">
        <v>41487</v>
      </c>
      <c r="N87" s="1">
        <v>90</v>
      </c>
    </row>
    <row r="88" spans="1:14" x14ac:dyDescent="0.25">
      <c r="A88" s="34">
        <v>41518</v>
      </c>
      <c r="B88" s="1">
        <v>602.4</v>
      </c>
      <c r="C88" s="34">
        <v>41518</v>
      </c>
      <c r="D88" s="1">
        <v>297</v>
      </c>
      <c r="E88" s="34">
        <v>41518</v>
      </c>
      <c r="F88" s="1">
        <v>6.6</v>
      </c>
      <c r="G88" s="34">
        <v>41518</v>
      </c>
      <c r="H88" s="1">
        <v>1.99</v>
      </c>
      <c r="I88" s="34">
        <v>41518</v>
      </c>
      <c r="J88" s="1">
        <v>136.72</v>
      </c>
      <c r="K88" s="34">
        <v>41518</v>
      </c>
      <c r="L88" s="1">
        <v>615</v>
      </c>
      <c r="M88" s="34">
        <v>41518</v>
      </c>
      <c r="N88" s="1">
        <v>100.2</v>
      </c>
    </row>
    <row r="89" spans="1:14" x14ac:dyDescent="0.25">
      <c r="A89" s="34">
        <v>41548</v>
      </c>
      <c r="B89" s="1">
        <v>604.1</v>
      </c>
      <c r="C89" s="34">
        <v>41548</v>
      </c>
      <c r="D89" s="1">
        <v>291</v>
      </c>
      <c r="E89" s="34">
        <v>41548</v>
      </c>
      <c r="F89" s="1">
        <v>6.5</v>
      </c>
      <c r="G89" s="34">
        <v>41548</v>
      </c>
      <c r="H89" s="1">
        <v>2.68</v>
      </c>
      <c r="I89" s="34">
        <v>41548</v>
      </c>
      <c r="J89" s="1">
        <v>137.36000000000001</v>
      </c>
      <c r="K89" s="34">
        <v>41548</v>
      </c>
      <c r="L89" s="1">
        <v>614.5</v>
      </c>
      <c r="M89" s="34">
        <v>41548</v>
      </c>
      <c r="N89" s="1">
        <v>103.2</v>
      </c>
    </row>
    <row r="90" spans="1:14" x14ac:dyDescent="0.25">
      <c r="A90" s="34">
        <v>41579</v>
      </c>
      <c r="B90" s="1">
        <v>602.70000000000005</v>
      </c>
      <c r="C90" s="34">
        <v>41579</v>
      </c>
      <c r="D90" s="1">
        <v>287</v>
      </c>
      <c r="E90" s="34">
        <v>41579</v>
      </c>
      <c r="F90" s="1">
        <v>6.4</v>
      </c>
      <c r="G90" s="34">
        <v>41579</v>
      </c>
      <c r="H90" s="1">
        <v>2.77</v>
      </c>
      <c r="I90" s="34">
        <v>41579</v>
      </c>
      <c r="J90" s="1">
        <v>137.9</v>
      </c>
      <c r="K90" s="34">
        <v>41579</v>
      </c>
      <c r="L90" s="1">
        <v>607.5</v>
      </c>
      <c r="M90" s="34">
        <v>41579</v>
      </c>
      <c r="N90" s="1">
        <v>103.4</v>
      </c>
    </row>
    <row r="91" spans="1:14" x14ac:dyDescent="0.25">
      <c r="A91" s="34">
        <v>41609</v>
      </c>
      <c r="B91" s="1">
        <v>604.1</v>
      </c>
      <c r="C91" s="34">
        <v>41609</v>
      </c>
      <c r="D91" s="1">
        <v>214</v>
      </c>
      <c r="E91" s="34">
        <v>41609</v>
      </c>
      <c r="F91" s="1">
        <v>6.4</v>
      </c>
      <c r="G91" s="34">
        <v>41609</v>
      </c>
      <c r="H91" s="1">
        <v>1.3</v>
      </c>
      <c r="I91" s="34">
        <v>41609</v>
      </c>
      <c r="J91" s="1">
        <v>137.84</v>
      </c>
      <c r="K91" s="34">
        <v>41609</v>
      </c>
      <c r="L91" s="1">
        <v>605.20000000000005</v>
      </c>
      <c r="M91" s="34">
        <v>41609</v>
      </c>
      <c r="N91" s="1">
        <v>103.3</v>
      </c>
    </row>
    <row r="92" spans="1:14" x14ac:dyDescent="0.25">
      <c r="A92" s="34">
        <v>41640</v>
      </c>
      <c r="B92" s="1">
        <v>604.9</v>
      </c>
      <c r="C92" s="34">
        <v>41640</v>
      </c>
      <c r="D92" s="1">
        <v>178</v>
      </c>
      <c r="E92" s="34">
        <v>41640</v>
      </c>
      <c r="F92" s="1">
        <v>6.2</v>
      </c>
      <c r="G92" s="34">
        <v>41640</v>
      </c>
      <c r="H92" s="1">
        <v>2.4500000000000002</v>
      </c>
      <c r="I92" s="34">
        <v>41640</v>
      </c>
      <c r="J92" s="1">
        <v>138.88</v>
      </c>
      <c r="K92" s="34">
        <v>41640</v>
      </c>
      <c r="L92" s="1">
        <v>584.9</v>
      </c>
      <c r="M92" s="34">
        <v>41640</v>
      </c>
      <c r="N92" s="1">
        <v>100.6</v>
      </c>
    </row>
    <row r="93" spans="1:14" x14ac:dyDescent="0.25">
      <c r="A93" s="34">
        <v>41671</v>
      </c>
      <c r="B93" s="1">
        <v>606</v>
      </c>
      <c r="C93" s="34">
        <v>41671</v>
      </c>
      <c r="D93" s="1">
        <v>155</v>
      </c>
      <c r="E93" s="34">
        <v>41671</v>
      </c>
      <c r="F93" s="1">
        <v>6.1</v>
      </c>
      <c r="G93" s="34">
        <v>41671</v>
      </c>
      <c r="H93" s="1">
        <v>2.13</v>
      </c>
      <c r="I93" s="34">
        <v>41671</v>
      </c>
      <c r="J93" s="1">
        <v>139.07</v>
      </c>
      <c r="K93" s="34">
        <v>41671</v>
      </c>
      <c r="L93" s="1">
        <v>586.6</v>
      </c>
      <c r="M93" s="34">
        <v>41671</v>
      </c>
      <c r="N93" s="1">
        <v>102</v>
      </c>
    </row>
    <row r="94" spans="1:14" x14ac:dyDescent="0.25">
      <c r="A94" s="34">
        <v>41699</v>
      </c>
      <c r="B94" s="1">
        <v>607.29999999999995</v>
      </c>
      <c r="C94" s="34">
        <v>41699</v>
      </c>
      <c r="D94" s="1">
        <v>174</v>
      </c>
      <c r="E94" s="34">
        <v>41699</v>
      </c>
      <c r="F94" s="1">
        <v>5.9</v>
      </c>
      <c r="G94" s="34">
        <v>41699</v>
      </c>
      <c r="H94" s="1">
        <v>2.5</v>
      </c>
      <c r="I94" s="34">
        <v>41699</v>
      </c>
      <c r="J94" s="1">
        <v>139.82</v>
      </c>
      <c r="K94" s="34">
        <v>41699</v>
      </c>
      <c r="L94" s="1">
        <v>587.9</v>
      </c>
      <c r="M94" s="34">
        <v>41699</v>
      </c>
      <c r="N94" s="1">
        <v>102.5</v>
      </c>
    </row>
    <row r="95" spans="1:14" x14ac:dyDescent="0.25">
      <c r="A95" s="34">
        <v>41730</v>
      </c>
      <c r="B95" s="1">
        <v>605.4</v>
      </c>
      <c r="C95" s="34">
        <v>41730</v>
      </c>
      <c r="D95" s="1">
        <v>250</v>
      </c>
      <c r="E95" s="34">
        <v>41730</v>
      </c>
      <c r="F95" s="1">
        <v>5.7</v>
      </c>
      <c r="G95" s="34">
        <v>41730</v>
      </c>
      <c r="H95" s="1">
        <v>2.68</v>
      </c>
      <c r="I95" s="34">
        <v>41730</v>
      </c>
      <c r="J95" s="1">
        <v>140.62</v>
      </c>
      <c r="K95" s="34">
        <v>41730</v>
      </c>
      <c r="L95" s="1">
        <v>594</v>
      </c>
      <c r="M95" s="34">
        <v>41730</v>
      </c>
      <c r="N95" s="1">
        <v>102.1</v>
      </c>
    </row>
    <row r="96" spans="1:14" x14ac:dyDescent="0.25">
      <c r="A96" s="34">
        <v>41760</v>
      </c>
      <c r="B96" s="1">
        <v>609.9</v>
      </c>
      <c r="C96" s="34">
        <v>41760</v>
      </c>
      <c r="D96" s="1">
        <v>360</v>
      </c>
      <c r="E96" s="34">
        <v>41760</v>
      </c>
      <c r="F96" s="1">
        <v>5.7</v>
      </c>
      <c r="G96" s="34">
        <v>41760</v>
      </c>
      <c r="H96" s="1">
        <v>1.61</v>
      </c>
      <c r="I96" s="34">
        <v>41760</v>
      </c>
      <c r="J96" s="1">
        <v>140.43</v>
      </c>
      <c r="K96" s="34">
        <v>41760</v>
      </c>
      <c r="L96" s="1">
        <v>611</v>
      </c>
      <c r="M96" s="34">
        <v>41760</v>
      </c>
      <c r="N96" s="1">
        <v>103.1</v>
      </c>
    </row>
    <row r="97" spans="1:14" x14ac:dyDescent="0.25">
      <c r="A97" s="34">
        <v>41791</v>
      </c>
      <c r="B97" s="1">
        <v>611</v>
      </c>
      <c r="C97" s="34">
        <v>41791</v>
      </c>
      <c r="D97" s="1">
        <v>384</v>
      </c>
      <c r="E97" s="34">
        <v>41791</v>
      </c>
      <c r="F97" s="1">
        <v>5.5</v>
      </c>
      <c r="G97" s="34">
        <v>41791</v>
      </c>
      <c r="H97" s="1">
        <v>2.88</v>
      </c>
      <c r="I97" s="34">
        <v>41791</v>
      </c>
      <c r="J97" s="1">
        <v>141.83000000000001</v>
      </c>
      <c r="K97" s="34">
        <v>41791</v>
      </c>
      <c r="L97" s="1">
        <v>623.4</v>
      </c>
      <c r="M97" s="34">
        <v>41791</v>
      </c>
      <c r="N97" s="1">
        <v>98.9</v>
      </c>
    </row>
    <row r="98" spans="1:14" x14ac:dyDescent="0.25">
      <c r="A98" s="34">
        <v>41821</v>
      </c>
      <c r="B98" s="1">
        <v>609.9</v>
      </c>
      <c r="C98" s="34">
        <v>41821</v>
      </c>
      <c r="D98" s="1">
        <v>340</v>
      </c>
      <c r="E98" s="34">
        <v>41821</v>
      </c>
      <c r="F98" s="1">
        <v>5.5</v>
      </c>
      <c r="G98" s="34">
        <v>41821</v>
      </c>
      <c r="H98" s="1">
        <v>3.5</v>
      </c>
      <c r="I98" s="34">
        <v>41821</v>
      </c>
      <c r="J98" s="1">
        <v>142.5</v>
      </c>
      <c r="K98" s="34">
        <v>41821</v>
      </c>
      <c r="L98" s="1">
        <v>626.5</v>
      </c>
      <c r="M98" s="34">
        <v>41821</v>
      </c>
      <c r="N98" s="1">
        <v>90</v>
      </c>
    </row>
    <row r="99" spans="1:14" x14ac:dyDescent="0.25">
      <c r="A99" s="34">
        <v>41852</v>
      </c>
      <c r="B99" s="1">
        <v>611.6</v>
      </c>
      <c r="C99" s="34">
        <v>41852</v>
      </c>
      <c r="D99" s="1">
        <v>294</v>
      </c>
      <c r="E99" s="34">
        <v>41852</v>
      </c>
      <c r="F99" s="1">
        <v>5.6</v>
      </c>
      <c r="G99" s="34">
        <v>41852</v>
      </c>
      <c r="H99" s="1">
        <v>2.64</v>
      </c>
      <c r="I99" s="34">
        <v>41852</v>
      </c>
      <c r="J99" s="1">
        <v>142.76</v>
      </c>
      <c r="K99" s="34">
        <v>41852</v>
      </c>
      <c r="L99" s="1">
        <v>626.4</v>
      </c>
      <c r="M99" s="34">
        <v>41852</v>
      </c>
      <c r="N99" s="1">
        <v>89.4</v>
      </c>
    </row>
    <row r="100" spans="1:14" x14ac:dyDescent="0.25">
      <c r="A100" s="34">
        <v>41883</v>
      </c>
      <c r="B100" s="1">
        <v>611.79999999999995</v>
      </c>
      <c r="C100" s="34">
        <v>41883</v>
      </c>
      <c r="D100" s="1">
        <v>314</v>
      </c>
      <c r="E100" s="34">
        <v>41883</v>
      </c>
      <c r="F100" s="1">
        <v>5.8</v>
      </c>
      <c r="G100" s="34">
        <v>41883</v>
      </c>
      <c r="H100" s="1">
        <v>0.64</v>
      </c>
      <c r="I100" s="34">
        <v>41883</v>
      </c>
      <c r="J100" s="1">
        <v>142.47</v>
      </c>
      <c r="K100" s="34">
        <v>41883</v>
      </c>
      <c r="L100" s="1">
        <v>623.5</v>
      </c>
      <c r="M100" s="34">
        <v>41883</v>
      </c>
      <c r="N100" s="1">
        <v>99.7</v>
      </c>
    </row>
    <row r="101" spans="1:14" x14ac:dyDescent="0.25">
      <c r="A101" s="34">
        <v>41913</v>
      </c>
      <c r="B101" s="1">
        <v>610.1</v>
      </c>
      <c r="C101" s="34">
        <v>41913</v>
      </c>
      <c r="D101" s="1">
        <v>331</v>
      </c>
      <c r="E101" s="34">
        <v>41913</v>
      </c>
      <c r="F101" s="1">
        <v>5.8</v>
      </c>
      <c r="G101" s="34">
        <v>41913</v>
      </c>
      <c r="H101" s="1">
        <v>1.26</v>
      </c>
      <c r="I101" s="34">
        <v>41913</v>
      </c>
      <c r="J101" s="1">
        <v>143.04</v>
      </c>
      <c r="K101" s="34">
        <v>41913</v>
      </c>
      <c r="L101" s="1">
        <v>620.5</v>
      </c>
      <c r="M101" s="34">
        <v>41913</v>
      </c>
      <c r="N101" s="1">
        <v>102.7</v>
      </c>
    </row>
    <row r="102" spans="1:14" x14ac:dyDescent="0.25">
      <c r="A102" s="34">
        <v>41944</v>
      </c>
      <c r="B102" s="1">
        <v>609.70000000000005</v>
      </c>
      <c r="C102" s="34">
        <v>41944</v>
      </c>
      <c r="D102" s="1">
        <v>233</v>
      </c>
      <c r="E102" s="34">
        <v>41944</v>
      </c>
      <c r="F102" s="1">
        <v>5.7</v>
      </c>
      <c r="G102" s="34">
        <v>41944</v>
      </c>
      <c r="H102" s="1">
        <v>1.99</v>
      </c>
      <c r="I102" s="34">
        <v>41944</v>
      </c>
      <c r="J102" s="1">
        <v>143.77000000000001</v>
      </c>
      <c r="K102" s="34">
        <v>41944</v>
      </c>
      <c r="L102" s="1">
        <v>613.9</v>
      </c>
      <c r="M102" s="34">
        <v>41944</v>
      </c>
      <c r="N102" s="1">
        <v>103</v>
      </c>
    </row>
    <row r="103" spans="1:14" x14ac:dyDescent="0.25">
      <c r="A103" s="34">
        <v>41974</v>
      </c>
      <c r="B103" s="1">
        <v>609.20000000000005</v>
      </c>
      <c r="E103" s="34">
        <v>41974</v>
      </c>
      <c r="F103" s="1">
        <v>5.5</v>
      </c>
      <c r="K103" s="34">
        <v>41974</v>
      </c>
      <c r="L103" s="1">
        <v>610.5</v>
      </c>
      <c r="M103" s="34">
        <v>41974</v>
      </c>
      <c r="N103" s="1">
        <v>102.9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103"/>
  <sheetViews>
    <sheetView topLeftCell="A77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188</v>
      </c>
      <c r="C1" s="34" t="s">
        <v>189</v>
      </c>
      <c r="E1" s="34" t="s">
        <v>190</v>
      </c>
      <c r="G1" s="34" t="s">
        <v>191</v>
      </c>
      <c r="I1" s="34" t="s">
        <v>192</v>
      </c>
      <c r="K1" s="34" t="str">
        <f>CONCATENATE(LEFT(A1,2), "NAN")</f>
        <v>MNNAN</v>
      </c>
      <c r="M1" s="34" t="str">
        <f>CONCATENATE(LEFT(A1,2), "GOVTN")</f>
        <v>MNGOVTN</v>
      </c>
      <c r="O1" s="34" t="str">
        <f>CONCATENATE(LEFT($A$1,2), "RGSP")</f>
        <v>MNRGSP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988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888</v>
      </c>
      <c r="C5" s="35" t="s">
        <v>427</v>
      </c>
      <c r="E5" s="35" t="s">
        <v>428</v>
      </c>
      <c r="G5" s="35" t="s">
        <v>429</v>
      </c>
      <c r="I5" s="35" t="s">
        <v>430</v>
      </c>
      <c r="K5" s="35" t="s">
        <v>888</v>
      </c>
      <c r="M5" s="35" t="s">
        <v>889</v>
      </c>
      <c r="O5" s="35" t="s">
        <v>798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2768.3</v>
      </c>
      <c r="C8" s="34">
        <v>39083</v>
      </c>
      <c r="D8" s="1">
        <v>1002</v>
      </c>
      <c r="E8" s="34">
        <v>39083</v>
      </c>
      <c r="F8" s="1">
        <v>4.5</v>
      </c>
      <c r="G8" s="34">
        <v>39083</v>
      </c>
      <c r="H8" s="1">
        <v>0.84</v>
      </c>
      <c r="I8" s="34">
        <v>39083</v>
      </c>
      <c r="J8" s="1">
        <v>150.25</v>
      </c>
      <c r="K8" s="34">
        <v>39083</v>
      </c>
      <c r="L8" s="1">
        <v>2711.5</v>
      </c>
      <c r="M8" s="34">
        <v>39083</v>
      </c>
      <c r="N8" s="1">
        <v>414.2</v>
      </c>
      <c r="O8" s="34">
        <v>39083</v>
      </c>
      <c r="P8" s="1">
        <v>268377</v>
      </c>
    </row>
    <row r="9" spans="1:16" x14ac:dyDescent="0.25">
      <c r="A9" s="34">
        <v>39114</v>
      </c>
      <c r="B9" s="1">
        <v>2771.4</v>
      </c>
      <c r="C9" s="34">
        <v>39114</v>
      </c>
      <c r="D9" s="1">
        <v>712</v>
      </c>
      <c r="E9" s="34">
        <v>39114</v>
      </c>
      <c r="F9" s="1">
        <v>4.5</v>
      </c>
      <c r="G9" s="34">
        <v>39114</v>
      </c>
      <c r="H9" s="1">
        <v>0.59</v>
      </c>
      <c r="I9" s="34">
        <v>39114</v>
      </c>
      <c r="J9" s="1">
        <v>150.53</v>
      </c>
      <c r="K9" s="34">
        <v>39114</v>
      </c>
      <c r="L9" s="1">
        <v>2711.9</v>
      </c>
      <c r="M9" s="34">
        <v>39114</v>
      </c>
      <c r="N9" s="1">
        <v>420.5</v>
      </c>
      <c r="O9" s="34">
        <v>39448</v>
      </c>
      <c r="P9" s="1">
        <v>269762</v>
      </c>
    </row>
    <row r="10" spans="1:16" x14ac:dyDescent="0.25">
      <c r="A10" s="34">
        <v>39142</v>
      </c>
      <c r="B10" s="1">
        <v>2772.4</v>
      </c>
      <c r="C10" s="34">
        <v>39142</v>
      </c>
      <c r="D10" s="1">
        <v>1510</v>
      </c>
      <c r="E10" s="34">
        <v>39142</v>
      </c>
      <c r="F10" s="1">
        <v>4.5999999999999996</v>
      </c>
      <c r="G10" s="34">
        <v>39142</v>
      </c>
      <c r="H10" s="1">
        <v>0.42</v>
      </c>
      <c r="I10" s="34">
        <v>39142</v>
      </c>
      <c r="J10" s="1">
        <v>150.77000000000001</v>
      </c>
      <c r="K10" s="34">
        <v>39142</v>
      </c>
      <c r="L10" s="1">
        <v>2722.2</v>
      </c>
      <c r="M10" s="34">
        <v>39142</v>
      </c>
      <c r="N10" s="1">
        <v>419.6</v>
      </c>
      <c r="O10" s="34">
        <v>39814</v>
      </c>
      <c r="P10" s="1">
        <v>259412</v>
      </c>
    </row>
    <row r="11" spans="1:16" x14ac:dyDescent="0.25">
      <c r="A11" s="34">
        <v>39173</v>
      </c>
      <c r="B11" s="1">
        <v>2771.4</v>
      </c>
      <c r="C11" s="34">
        <v>39173</v>
      </c>
      <c r="D11" s="1">
        <v>1701</v>
      </c>
      <c r="E11" s="34">
        <v>39173</v>
      </c>
      <c r="F11" s="1">
        <v>4.5999999999999996</v>
      </c>
      <c r="G11" s="34">
        <v>39173</v>
      </c>
      <c r="H11" s="1">
        <v>0.72</v>
      </c>
      <c r="I11" s="34">
        <v>39173</v>
      </c>
      <c r="J11" s="1">
        <v>150.97</v>
      </c>
      <c r="K11" s="34">
        <v>39173</v>
      </c>
      <c r="L11" s="1">
        <v>2746.1</v>
      </c>
      <c r="M11" s="34">
        <v>39173</v>
      </c>
      <c r="N11" s="1">
        <v>420.2</v>
      </c>
      <c r="O11" s="34">
        <v>40179</v>
      </c>
      <c r="P11" s="1">
        <v>268941</v>
      </c>
    </row>
    <row r="12" spans="1:16" x14ac:dyDescent="0.25">
      <c r="A12" s="34">
        <v>39203</v>
      </c>
      <c r="B12" s="1">
        <v>2769.8</v>
      </c>
      <c r="C12" s="34">
        <v>39203</v>
      </c>
      <c r="D12" s="1">
        <v>2109</v>
      </c>
      <c r="E12" s="34">
        <v>39203</v>
      </c>
      <c r="F12" s="1">
        <v>4.5999999999999996</v>
      </c>
      <c r="G12" s="34">
        <v>39203</v>
      </c>
      <c r="H12" s="1">
        <v>0.48</v>
      </c>
      <c r="I12" s="34">
        <v>39203</v>
      </c>
      <c r="J12" s="1">
        <v>151.16</v>
      </c>
      <c r="K12" s="34">
        <v>39203</v>
      </c>
      <c r="L12" s="1">
        <v>2793.9</v>
      </c>
      <c r="M12" s="34">
        <v>39203</v>
      </c>
      <c r="N12" s="1">
        <v>424</v>
      </c>
      <c r="O12" s="34">
        <v>40544</v>
      </c>
      <c r="P12" s="1">
        <v>275663</v>
      </c>
    </row>
    <row r="13" spans="1:16" x14ac:dyDescent="0.25">
      <c r="A13" s="34">
        <v>39234</v>
      </c>
      <c r="B13" s="1">
        <v>2773.7</v>
      </c>
      <c r="C13" s="34">
        <v>39234</v>
      </c>
      <c r="D13" s="1">
        <v>1822</v>
      </c>
      <c r="E13" s="34">
        <v>39234</v>
      </c>
      <c r="F13" s="1">
        <v>4.5999999999999996</v>
      </c>
      <c r="G13" s="34">
        <v>39234</v>
      </c>
      <c r="H13" s="1">
        <v>0.32</v>
      </c>
      <c r="I13" s="34">
        <v>39234</v>
      </c>
      <c r="J13" s="1">
        <v>151.31</v>
      </c>
      <c r="K13" s="34">
        <v>39234</v>
      </c>
      <c r="L13" s="1">
        <v>2823.4</v>
      </c>
      <c r="M13" s="34">
        <v>39234</v>
      </c>
      <c r="N13" s="1">
        <v>422.1</v>
      </c>
      <c r="O13" s="34">
        <v>40909</v>
      </c>
      <c r="P13" s="1">
        <v>281284</v>
      </c>
    </row>
    <row r="14" spans="1:16" x14ac:dyDescent="0.25">
      <c r="A14" s="34">
        <v>39264</v>
      </c>
      <c r="B14" s="1">
        <v>2775.3</v>
      </c>
      <c r="C14" s="34">
        <v>39264</v>
      </c>
      <c r="D14" s="1">
        <v>2560</v>
      </c>
      <c r="E14" s="34">
        <v>39264</v>
      </c>
      <c r="F14" s="1">
        <v>4.7</v>
      </c>
      <c r="G14" s="34">
        <v>39264</v>
      </c>
      <c r="H14" s="1">
        <v>-0.26</v>
      </c>
      <c r="I14" s="34">
        <v>39264</v>
      </c>
      <c r="J14" s="1">
        <v>151.38</v>
      </c>
      <c r="K14" s="34">
        <v>39264</v>
      </c>
      <c r="L14" s="1">
        <v>2784.3</v>
      </c>
      <c r="M14" s="34">
        <v>39264</v>
      </c>
      <c r="N14" s="1">
        <v>389.5</v>
      </c>
      <c r="O14" s="34">
        <v>41275</v>
      </c>
      <c r="P14" s="1">
        <v>289125</v>
      </c>
    </row>
    <row r="15" spans="1:16" x14ac:dyDescent="0.25">
      <c r="A15" s="34">
        <v>39295</v>
      </c>
      <c r="B15" s="1">
        <v>2772.5</v>
      </c>
      <c r="C15" s="34">
        <v>39295</v>
      </c>
      <c r="D15" s="1">
        <v>1529</v>
      </c>
      <c r="E15" s="34">
        <v>39295</v>
      </c>
      <c r="F15" s="1">
        <v>4.7</v>
      </c>
      <c r="G15" s="34">
        <v>39295</v>
      </c>
      <c r="H15" s="1">
        <v>0.3</v>
      </c>
      <c r="I15" s="34">
        <v>39295</v>
      </c>
      <c r="J15" s="1">
        <v>151.41999999999999</v>
      </c>
      <c r="K15" s="34">
        <v>39295</v>
      </c>
      <c r="L15" s="1">
        <v>2786.4</v>
      </c>
      <c r="M15" s="34">
        <v>39295</v>
      </c>
      <c r="N15" s="1">
        <v>384</v>
      </c>
    </row>
    <row r="16" spans="1:16" x14ac:dyDescent="0.25">
      <c r="A16" s="34">
        <v>39326</v>
      </c>
      <c r="B16" s="1">
        <v>2769.3</v>
      </c>
      <c r="C16" s="34">
        <v>39326</v>
      </c>
      <c r="D16" s="1">
        <v>1430</v>
      </c>
      <c r="E16" s="34">
        <v>39326</v>
      </c>
      <c r="F16" s="1">
        <v>4.7</v>
      </c>
      <c r="G16" s="34">
        <v>39326</v>
      </c>
      <c r="H16" s="1">
        <v>0.18</v>
      </c>
      <c r="I16" s="34">
        <v>39326</v>
      </c>
      <c r="J16" s="1">
        <v>151.44999999999999</v>
      </c>
      <c r="K16" s="34">
        <v>39326</v>
      </c>
      <c r="L16" s="1">
        <v>2788.4</v>
      </c>
      <c r="M16" s="34">
        <v>39326</v>
      </c>
      <c r="N16" s="1">
        <v>407.6</v>
      </c>
    </row>
    <row r="17" spans="1:14" x14ac:dyDescent="0.25">
      <c r="A17" s="34">
        <v>39356</v>
      </c>
      <c r="B17" s="1">
        <v>2768.9</v>
      </c>
      <c r="C17" s="34">
        <v>39356</v>
      </c>
      <c r="D17" s="1">
        <v>1477</v>
      </c>
      <c r="E17" s="34">
        <v>39356</v>
      </c>
      <c r="F17" s="1">
        <v>4.8</v>
      </c>
      <c r="G17" s="34">
        <v>39356</v>
      </c>
      <c r="H17" s="1">
        <v>0.53</v>
      </c>
      <c r="I17" s="34">
        <v>39356</v>
      </c>
      <c r="J17" s="1">
        <v>151.51</v>
      </c>
      <c r="K17" s="34">
        <v>39356</v>
      </c>
      <c r="L17" s="1">
        <v>2798.9</v>
      </c>
      <c r="M17" s="34">
        <v>39356</v>
      </c>
      <c r="N17" s="1">
        <v>422.5</v>
      </c>
    </row>
    <row r="18" spans="1:14" x14ac:dyDescent="0.25">
      <c r="A18" s="34">
        <v>39387</v>
      </c>
      <c r="B18" s="1">
        <v>2770.1</v>
      </c>
      <c r="C18" s="34">
        <v>39387</v>
      </c>
      <c r="D18" s="1">
        <v>1057</v>
      </c>
      <c r="E18" s="34">
        <v>39387</v>
      </c>
      <c r="F18" s="1">
        <v>4.8</v>
      </c>
      <c r="G18" s="34">
        <v>39387</v>
      </c>
      <c r="H18" s="1">
        <v>1.07</v>
      </c>
      <c r="I18" s="34">
        <v>39387</v>
      </c>
      <c r="J18" s="1">
        <v>151.65</v>
      </c>
      <c r="K18" s="34">
        <v>39387</v>
      </c>
      <c r="L18" s="1">
        <v>2799.7</v>
      </c>
      <c r="M18" s="34">
        <v>39387</v>
      </c>
      <c r="N18" s="1">
        <v>425.9</v>
      </c>
    </row>
    <row r="19" spans="1:14" x14ac:dyDescent="0.25">
      <c r="A19" s="34">
        <v>39417</v>
      </c>
      <c r="B19" s="1">
        <v>2771.5</v>
      </c>
      <c r="C19" s="34">
        <v>39417</v>
      </c>
      <c r="D19" s="1">
        <v>714</v>
      </c>
      <c r="E19" s="34">
        <v>39417</v>
      </c>
      <c r="F19" s="1">
        <v>4.8</v>
      </c>
      <c r="G19" s="34">
        <v>39417</v>
      </c>
      <c r="H19" s="1">
        <v>0.48</v>
      </c>
      <c r="I19" s="34">
        <v>39417</v>
      </c>
      <c r="J19" s="1">
        <v>151.84</v>
      </c>
      <c r="K19" s="34">
        <v>39417</v>
      </c>
      <c r="L19" s="1">
        <v>2789.1</v>
      </c>
      <c r="M19" s="34">
        <v>39417</v>
      </c>
      <c r="N19" s="1">
        <v>425</v>
      </c>
    </row>
    <row r="20" spans="1:14" x14ac:dyDescent="0.25">
      <c r="A20" s="34">
        <v>39448</v>
      </c>
      <c r="B20" s="1">
        <v>2775.7</v>
      </c>
      <c r="C20" s="34">
        <v>39448</v>
      </c>
      <c r="D20" s="1">
        <v>485</v>
      </c>
      <c r="E20" s="34">
        <v>39448</v>
      </c>
      <c r="F20" s="1">
        <v>4.8</v>
      </c>
      <c r="G20" s="34">
        <v>39448</v>
      </c>
      <c r="H20" s="1">
        <v>0.32</v>
      </c>
      <c r="I20" s="34">
        <v>39448</v>
      </c>
      <c r="J20" s="1">
        <v>152.02000000000001</v>
      </c>
      <c r="K20" s="34">
        <v>39448</v>
      </c>
      <c r="L20" s="1">
        <v>2719.1</v>
      </c>
      <c r="M20" s="34">
        <v>39448</v>
      </c>
      <c r="N20" s="1">
        <v>417.1</v>
      </c>
    </row>
    <row r="21" spans="1:14" x14ac:dyDescent="0.25">
      <c r="A21" s="34">
        <v>39479</v>
      </c>
      <c r="B21" s="1">
        <v>2780.9</v>
      </c>
      <c r="C21" s="34">
        <v>39479</v>
      </c>
      <c r="D21" s="1">
        <v>383</v>
      </c>
      <c r="E21" s="34">
        <v>39479</v>
      </c>
      <c r="F21" s="1">
        <v>4.9000000000000004</v>
      </c>
      <c r="G21" s="34">
        <v>39479</v>
      </c>
      <c r="H21" s="1">
        <v>-0.24</v>
      </c>
      <c r="I21" s="34">
        <v>39479</v>
      </c>
      <c r="J21" s="1">
        <v>152.13</v>
      </c>
      <c r="K21" s="34">
        <v>39479</v>
      </c>
      <c r="L21" s="1">
        <v>2721.8</v>
      </c>
      <c r="M21" s="34">
        <v>39479</v>
      </c>
      <c r="N21" s="1">
        <v>423.9</v>
      </c>
    </row>
    <row r="22" spans="1:14" x14ac:dyDescent="0.25">
      <c r="A22" s="34">
        <v>39508</v>
      </c>
      <c r="B22" s="1">
        <v>2779.8</v>
      </c>
      <c r="C22" s="34">
        <v>39508</v>
      </c>
      <c r="D22" s="1">
        <v>772</v>
      </c>
      <c r="E22" s="34">
        <v>39508</v>
      </c>
      <c r="F22" s="1">
        <v>5</v>
      </c>
      <c r="G22" s="34">
        <v>39508</v>
      </c>
      <c r="H22" s="1">
        <v>-0.36</v>
      </c>
      <c r="I22" s="34">
        <v>39508</v>
      </c>
      <c r="J22" s="1">
        <v>152.16999999999999</v>
      </c>
      <c r="K22" s="34">
        <v>39508</v>
      </c>
      <c r="L22" s="1">
        <v>2729.4</v>
      </c>
      <c r="M22" s="34">
        <v>39508</v>
      </c>
      <c r="N22" s="1">
        <v>424.4</v>
      </c>
    </row>
    <row r="23" spans="1:14" x14ac:dyDescent="0.25">
      <c r="A23" s="34">
        <v>39539</v>
      </c>
      <c r="B23" s="1">
        <v>2770.9</v>
      </c>
      <c r="C23" s="34">
        <v>39539</v>
      </c>
      <c r="D23" s="1">
        <v>970</v>
      </c>
      <c r="E23" s="34">
        <v>39539</v>
      </c>
      <c r="F23" s="1">
        <v>5.0999999999999996</v>
      </c>
      <c r="G23" s="34">
        <v>39539</v>
      </c>
      <c r="H23" s="1">
        <v>-0.27</v>
      </c>
      <c r="I23" s="34">
        <v>39539</v>
      </c>
      <c r="J23" s="1">
        <v>152.13</v>
      </c>
      <c r="K23" s="34">
        <v>39539</v>
      </c>
      <c r="L23" s="1">
        <v>2747.2</v>
      </c>
      <c r="M23" s="34">
        <v>39539</v>
      </c>
      <c r="N23" s="1">
        <v>423.9</v>
      </c>
    </row>
    <row r="24" spans="1:14" x14ac:dyDescent="0.25">
      <c r="A24" s="34">
        <v>39569</v>
      </c>
      <c r="B24" s="1">
        <v>2771</v>
      </c>
      <c r="C24" s="34">
        <v>39569</v>
      </c>
      <c r="D24" s="1">
        <v>1405</v>
      </c>
      <c r="E24" s="34">
        <v>39569</v>
      </c>
      <c r="F24" s="1">
        <v>5.2</v>
      </c>
      <c r="G24" s="34">
        <v>39569</v>
      </c>
      <c r="H24" s="1">
        <v>-0.23</v>
      </c>
      <c r="I24" s="34">
        <v>39569</v>
      </c>
      <c r="J24" s="1">
        <v>152.05000000000001</v>
      </c>
      <c r="K24" s="34">
        <v>39569</v>
      </c>
      <c r="L24" s="1">
        <v>2792.1</v>
      </c>
      <c r="M24" s="34">
        <v>39569</v>
      </c>
      <c r="N24" s="1">
        <v>428.2</v>
      </c>
    </row>
    <row r="25" spans="1:14" x14ac:dyDescent="0.25">
      <c r="A25" s="34">
        <v>39600</v>
      </c>
      <c r="B25" s="1">
        <v>2768.4</v>
      </c>
      <c r="C25" s="34">
        <v>39600</v>
      </c>
      <c r="D25" s="1">
        <v>1271</v>
      </c>
      <c r="E25" s="34">
        <v>39600</v>
      </c>
      <c r="F25" s="1">
        <v>5.4</v>
      </c>
      <c r="G25" s="34">
        <v>39600</v>
      </c>
      <c r="H25" s="1">
        <v>-0.05</v>
      </c>
      <c r="I25" s="34">
        <v>39600</v>
      </c>
      <c r="J25" s="1">
        <v>151.94999999999999</v>
      </c>
      <c r="K25" s="34">
        <v>39600</v>
      </c>
      <c r="L25" s="1">
        <v>2814.6</v>
      </c>
      <c r="M25" s="34">
        <v>39600</v>
      </c>
      <c r="N25" s="1">
        <v>426.5</v>
      </c>
    </row>
    <row r="26" spans="1:14" x14ac:dyDescent="0.25">
      <c r="A26" s="34">
        <v>39630</v>
      </c>
      <c r="B26" s="1">
        <v>2766.4</v>
      </c>
      <c r="C26" s="34">
        <v>39630</v>
      </c>
      <c r="D26" s="1">
        <v>1186</v>
      </c>
      <c r="E26" s="34">
        <v>39630</v>
      </c>
      <c r="F26" s="1">
        <v>5.5</v>
      </c>
      <c r="G26" s="34">
        <v>39630</v>
      </c>
      <c r="H26" s="1">
        <v>-0.23</v>
      </c>
      <c r="I26" s="34">
        <v>39630</v>
      </c>
      <c r="J26" s="1">
        <v>151.86000000000001</v>
      </c>
      <c r="K26" s="34">
        <v>39630</v>
      </c>
      <c r="L26" s="1">
        <v>2775.1</v>
      </c>
      <c r="M26" s="34">
        <v>39630</v>
      </c>
      <c r="N26" s="1">
        <v>392.1</v>
      </c>
    </row>
    <row r="27" spans="1:14" x14ac:dyDescent="0.25">
      <c r="A27" s="34">
        <v>39661</v>
      </c>
      <c r="B27" s="1">
        <v>2763.7</v>
      </c>
      <c r="C27" s="34">
        <v>39661</v>
      </c>
      <c r="D27" s="1">
        <v>898</v>
      </c>
      <c r="E27" s="34">
        <v>39661</v>
      </c>
      <c r="F27" s="1">
        <v>5.5</v>
      </c>
      <c r="G27" s="34">
        <v>39661</v>
      </c>
      <c r="H27" s="1">
        <v>-0.72</v>
      </c>
      <c r="I27" s="34">
        <v>39661</v>
      </c>
      <c r="J27" s="1">
        <v>151.72</v>
      </c>
      <c r="K27" s="34">
        <v>39661</v>
      </c>
      <c r="L27" s="1">
        <v>2779.1</v>
      </c>
      <c r="M27" s="34">
        <v>39661</v>
      </c>
      <c r="N27" s="1">
        <v>388.6</v>
      </c>
    </row>
    <row r="28" spans="1:14" x14ac:dyDescent="0.25">
      <c r="A28" s="34">
        <v>39692</v>
      </c>
      <c r="B28" s="1">
        <v>2758.4</v>
      </c>
      <c r="C28" s="34">
        <v>39692</v>
      </c>
      <c r="D28" s="1">
        <v>1418</v>
      </c>
      <c r="E28" s="34">
        <v>39692</v>
      </c>
      <c r="F28" s="1">
        <v>5.6</v>
      </c>
      <c r="G28" s="34">
        <v>39692</v>
      </c>
      <c r="H28" s="1">
        <v>-1.73</v>
      </c>
      <c r="I28" s="34">
        <v>39692</v>
      </c>
      <c r="J28" s="1">
        <v>151.44</v>
      </c>
      <c r="K28" s="34">
        <v>39692</v>
      </c>
      <c r="L28" s="1">
        <v>2777.5</v>
      </c>
      <c r="M28" s="34">
        <v>39692</v>
      </c>
      <c r="N28" s="1">
        <v>413.9</v>
      </c>
    </row>
    <row r="29" spans="1:14" x14ac:dyDescent="0.25">
      <c r="A29" s="34">
        <v>39722</v>
      </c>
      <c r="B29" s="1">
        <v>2754</v>
      </c>
      <c r="C29" s="34">
        <v>39722</v>
      </c>
      <c r="D29" s="1">
        <v>927</v>
      </c>
      <c r="E29" s="34">
        <v>39722</v>
      </c>
      <c r="F29" s="1">
        <v>5.8</v>
      </c>
      <c r="G29" s="34">
        <v>39722</v>
      </c>
      <c r="H29" s="1">
        <v>-2.39</v>
      </c>
      <c r="I29" s="34">
        <v>39722</v>
      </c>
      <c r="J29" s="1">
        <v>150.97</v>
      </c>
      <c r="K29" s="34">
        <v>39722</v>
      </c>
      <c r="L29" s="1">
        <v>2787.8</v>
      </c>
      <c r="M29" s="34">
        <v>39722</v>
      </c>
      <c r="N29" s="1">
        <v>427.3</v>
      </c>
    </row>
    <row r="30" spans="1:14" x14ac:dyDescent="0.25">
      <c r="A30" s="34">
        <v>39753</v>
      </c>
      <c r="B30" s="1">
        <v>2742.7</v>
      </c>
      <c r="C30" s="34">
        <v>39753</v>
      </c>
      <c r="D30" s="1">
        <v>443</v>
      </c>
      <c r="E30" s="34">
        <v>39753</v>
      </c>
      <c r="F30" s="1">
        <v>6.1</v>
      </c>
      <c r="G30" s="34">
        <v>39753</v>
      </c>
      <c r="H30" s="1">
        <v>-3.33</v>
      </c>
      <c r="I30" s="34">
        <v>39753</v>
      </c>
      <c r="J30" s="1">
        <v>150.28</v>
      </c>
      <c r="K30" s="34">
        <v>39753</v>
      </c>
      <c r="L30" s="1">
        <v>2768.5</v>
      </c>
      <c r="M30" s="34">
        <v>39753</v>
      </c>
      <c r="N30" s="1">
        <v>430.6</v>
      </c>
    </row>
    <row r="31" spans="1:14" x14ac:dyDescent="0.25">
      <c r="A31" s="34">
        <v>39783</v>
      </c>
      <c r="B31" s="1">
        <v>2728.6</v>
      </c>
      <c r="C31" s="34">
        <v>39783</v>
      </c>
      <c r="D31" s="1">
        <v>535</v>
      </c>
      <c r="E31" s="34">
        <v>39783</v>
      </c>
      <c r="F31" s="1">
        <v>6.5</v>
      </c>
      <c r="G31" s="34">
        <v>39783</v>
      </c>
      <c r="H31" s="1">
        <v>-3.91</v>
      </c>
      <c r="I31" s="34">
        <v>39783</v>
      </c>
      <c r="J31" s="1">
        <v>149.36000000000001</v>
      </c>
      <c r="K31" s="34">
        <v>39783</v>
      </c>
      <c r="L31" s="1">
        <v>2744.1</v>
      </c>
      <c r="M31" s="34">
        <v>39783</v>
      </c>
      <c r="N31" s="1">
        <v>430</v>
      </c>
    </row>
    <row r="32" spans="1:14" x14ac:dyDescent="0.25">
      <c r="A32" s="34">
        <v>39814</v>
      </c>
      <c r="B32" s="1">
        <v>2710.7</v>
      </c>
      <c r="C32" s="34">
        <v>39814</v>
      </c>
      <c r="D32" s="1">
        <v>798</v>
      </c>
      <c r="E32" s="34">
        <v>39814</v>
      </c>
      <c r="F32" s="1">
        <v>7.5</v>
      </c>
      <c r="G32" s="34">
        <v>39814</v>
      </c>
      <c r="H32" s="1">
        <v>-3.92</v>
      </c>
      <c r="I32" s="34">
        <v>39814</v>
      </c>
      <c r="J32" s="1">
        <v>148.28</v>
      </c>
      <c r="K32" s="34">
        <v>39814</v>
      </c>
      <c r="L32" s="1">
        <v>2654.3</v>
      </c>
      <c r="M32" s="34">
        <v>39814</v>
      </c>
      <c r="N32" s="1">
        <v>417.4</v>
      </c>
    </row>
    <row r="33" spans="1:14" x14ac:dyDescent="0.25">
      <c r="A33" s="34">
        <v>39845</v>
      </c>
      <c r="B33" s="1">
        <v>2694.3</v>
      </c>
      <c r="C33" s="34">
        <v>39845</v>
      </c>
      <c r="D33" s="1">
        <v>441</v>
      </c>
      <c r="E33" s="34">
        <v>39845</v>
      </c>
      <c r="F33" s="1">
        <v>7.9</v>
      </c>
      <c r="G33" s="34">
        <v>39845</v>
      </c>
      <c r="H33" s="1">
        <v>-1.99</v>
      </c>
      <c r="I33" s="34">
        <v>39845</v>
      </c>
      <c r="J33" s="1">
        <v>147.28</v>
      </c>
      <c r="K33" s="34">
        <v>39845</v>
      </c>
      <c r="L33" s="1">
        <v>2640.5</v>
      </c>
      <c r="M33" s="34">
        <v>39845</v>
      </c>
      <c r="N33" s="1">
        <v>425</v>
      </c>
    </row>
    <row r="34" spans="1:14" x14ac:dyDescent="0.25">
      <c r="A34" s="34">
        <v>39873</v>
      </c>
      <c r="B34" s="1">
        <v>2679.5</v>
      </c>
      <c r="C34" s="34">
        <v>39873</v>
      </c>
      <c r="D34" s="1">
        <v>380</v>
      </c>
      <c r="E34" s="34">
        <v>39873</v>
      </c>
      <c r="F34" s="1">
        <v>8.1999999999999993</v>
      </c>
      <c r="G34" s="34">
        <v>39873</v>
      </c>
      <c r="H34" s="1">
        <v>-2.0099999999999998</v>
      </c>
      <c r="I34" s="34">
        <v>39873</v>
      </c>
      <c r="J34" s="1">
        <v>146.44</v>
      </c>
      <c r="K34" s="34">
        <v>39873</v>
      </c>
      <c r="L34" s="1">
        <v>2632</v>
      </c>
      <c r="M34" s="34">
        <v>39873</v>
      </c>
      <c r="N34" s="1">
        <v>425.2</v>
      </c>
    </row>
    <row r="35" spans="1:14" x14ac:dyDescent="0.25">
      <c r="A35" s="34">
        <v>39904</v>
      </c>
      <c r="B35" s="1">
        <v>2662.8</v>
      </c>
      <c r="C35" s="34">
        <v>39904</v>
      </c>
      <c r="D35" s="1">
        <v>597</v>
      </c>
      <c r="E35" s="34">
        <v>39904</v>
      </c>
      <c r="F35" s="1">
        <v>8.3000000000000007</v>
      </c>
      <c r="G35" s="34">
        <v>39904</v>
      </c>
      <c r="H35" s="1">
        <v>-1.6</v>
      </c>
      <c r="I35" s="34">
        <v>39904</v>
      </c>
      <c r="J35" s="1">
        <v>145.77000000000001</v>
      </c>
      <c r="K35" s="34">
        <v>39904</v>
      </c>
      <c r="L35" s="1">
        <v>2653.1</v>
      </c>
      <c r="M35" s="34">
        <v>39904</v>
      </c>
      <c r="N35" s="1">
        <v>426.7</v>
      </c>
    </row>
    <row r="36" spans="1:14" x14ac:dyDescent="0.25">
      <c r="A36" s="34">
        <v>39934</v>
      </c>
      <c r="B36" s="1">
        <v>2662</v>
      </c>
      <c r="C36" s="34">
        <v>39934</v>
      </c>
      <c r="D36" s="1">
        <v>918</v>
      </c>
      <c r="E36" s="34">
        <v>39934</v>
      </c>
      <c r="F36" s="1">
        <v>8.3000000000000007</v>
      </c>
      <c r="G36" s="34">
        <v>39934</v>
      </c>
      <c r="H36" s="1">
        <v>-1.18</v>
      </c>
      <c r="I36" s="34">
        <v>39934</v>
      </c>
      <c r="J36" s="1">
        <v>145.24</v>
      </c>
      <c r="K36" s="34">
        <v>39934</v>
      </c>
      <c r="L36" s="1">
        <v>2683.3</v>
      </c>
      <c r="M36" s="34">
        <v>39934</v>
      </c>
      <c r="N36" s="1">
        <v>428.5</v>
      </c>
    </row>
    <row r="37" spans="1:14" x14ac:dyDescent="0.25">
      <c r="A37" s="34">
        <v>39965</v>
      </c>
      <c r="B37" s="1">
        <v>2647.6</v>
      </c>
      <c r="C37" s="34">
        <v>39965</v>
      </c>
      <c r="D37" s="1">
        <v>874</v>
      </c>
      <c r="E37" s="34">
        <v>39965</v>
      </c>
      <c r="F37" s="1">
        <v>8.3000000000000007</v>
      </c>
      <c r="G37" s="34">
        <v>39965</v>
      </c>
      <c r="H37" s="1">
        <v>-0.84</v>
      </c>
      <c r="I37" s="34">
        <v>39965</v>
      </c>
      <c r="J37" s="1">
        <v>144.82</v>
      </c>
      <c r="K37" s="34">
        <v>39965</v>
      </c>
      <c r="L37" s="1">
        <v>2690.4</v>
      </c>
      <c r="M37" s="34">
        <v>39965</v>
      </c>
      <c r="N37" s="1">
        <v>425.7</v>
      </c>
    </row>
    <row r="38" spans="1:14" x14ac:dyDescent="0.25">
      <c r="A38" s="34">
        <v>39995</v>
      </c>
      <c r="B38" s="1">
        <v>2645.1</v>
      </c>
      <c r="C38" s="34">
        <v>39995</v>
      </c>
      <c r="D38" s="1">
        <v>998</v>
      </c>
      <c r="E38" s="34">
        <v>39995</v>
      </c>
      <c r="F38" s="1">
        <v>8.1999999999999993</v>
      </c>
      <c r="G38" s="34">
        <v>39995</v>
      </c>
      <c r="H38" s="1">
        <v>-0.04</v>
      </c>
      <c r="I38" s="34">
        <v>39995</v>
      </c>
      <c r="J38" s="1">
        <v>144.53</v>
      </c>
      <c r="K38" s="34">
        <v>39995</v>
      </c>
      <c r="L38" s="1">
        <v>2650.4</v>
      </c>
      <c r="M38" s="34">
        <v>39995</v>
      </c>
      <c r="N38" s="1">
        <v>393.1</v>
      </c>
    </row>
    <row r="39" spans="1:14" x14ac:dyDescent="0.25">
      <c r="A39" s="34">
        <v>40026</v>
      </c>
      <c r="B39" s="1">
        <v>2637</v>
      </c>
      <c r="C39" s="34">
        <v>40026</v>
      </c>
      <c r="D39" s="1">
        <v>813</v>
      </c>
      <c r="E39" s="34">
        <v>40026</v>
      </c>
      <c r="F39" s="1">
        <v>8.1</v>
      </c>
      <c r="G39" s="34">
        <v>40026</v>
      </c>
      <c r="H39" s="1">
        <v>0.41</v>
      </c>
      <c r="I39" s="34">
        <v>40026</v>
      </c>
      <c r="J39" s="1">
        <v>144.35</v>
      </c>
      <c r="K39" s="34">
        <v>40026</v>
      </c>
      <c r="L39" s="1">
        <v>2646.9</v>
      </c>
      <c r="M39" s="34">
        <v>40026</v>
      </c>
      <c r="N39" s="1">
        <v>385.3</v>
      </c>
    </row>
    <row r="40" spans="1:14" x14ac:dyDescent="0.25">
      <c r="A40" s="34">
        <v>40057</v>
      </c>
      <c r="B40" s="1">
        <v>2621.9</v>
      </c>
      <c r="C40" s="34">
        <v>40057</v>
      </c>
      <c r="D40" s="1">
        <v>974</v>
      </c>
      <c r="E40" s="34">
        <v>40057</v>
      </c>
      <c r="F40" s="1">
        <v>7.9</v>
      </c>
      <c r="G40" s="34">
        <v>40057</v>
      </c>
      <c r="H40" s="1">
        <v>0.66</v>
      </c>
      <c r="I40" s="34">
        <v>40057</v>
      </c>
      <c r="J40" s="1">
        <v>144.29</v>
      </c>
      <c r="K40" s="34">
        <v>40057</v>
      </c>
      <c r="L40" s="1">
        <v>2639.4</v>
      </c>
      <c r="M40" s="34">
        <v>40057</v>
      </c>
      <c r="N40" s="1">
        <v>404.1</v>
      </c>
    </row>
    <row r="41" spans="1:14" x14ac:dyDescent="0.25">
      <c r="A41" s="34">
        <v>40087</v>
      </c>
      <c r="B41" s="1">
        <v>2631.7</v>
      </c>
      <c r="C41" s="34">
        <v>40087</v>
      </c>
      <c r="D41" s="1">
        <v>994</v>
      </c>
      <c r="E41" s="34">
        <v>40087</v>
      </c>
      <c r="F41" s="1">
        <v>7.8</v>
      </c>
      <c r="G41" s="34">
        <v>40087</v>
      </c>
      <c r="H41" s="1">
        <v>0.43</v>
      </c>
      <c r="I41" s="34">
        <v>40087</v>
      </c>
      <c r="J41" s="1">
        <v>144.28</v>
      </c>
      <c r="K41" s="34">
        <v>40087</v>
      </c>
      <c r="L41" s="1">
        <v>2665.8</v>
      </c>
      <c r="M41" s="34">
        <v>40087</v>
      </c>
      <c r="N41" s="1">
        <v>423.7</v>
      </c>
    </row>
    <row r="42" spans="1:14" x14ac:dyDescent="0.25">
      <c r="A42" s="34">
        <v>40118</v>
      </c>
      <c r="B42" s="1">
        <v>2632.3</v>
      </c>
      <c r="C42" s="34">
        <v>40118</v>
      </c>
      <c r="D42" s="1">
        <v>670</v>
      </c>
      <c r="E42" s="34">
        <v>40118</v>
      </c>
      <c r="F42" s="1">
        <v>7.8</v>
      </c>
      <c r="G42" s="34">
        <v>40118</v>
      </c>
      <c r="H42" s="1">
        <v>0.31</v>
      </c>
      <c r="I42" s="34">
        <v>40118</v>
      </c>
      <c r="J42" s="1">
        <v>144.29</v>
      </c>
      <c r="K42" s="34">
        <v>40118</v>
      </c>
      <c r="L42" s="1">
        <v>2658.1</v>
      </c>
      <c r="M42" s="34">
        <v>40118</v>
      </c>
      <c r="N42" s="1">
        <v>426.5</v>
      </c>
    </row>
    <row r="43" spans="1:14" x14ac:dyDescent="0.25">
      <c r="A43" s="34">
        <v>40148</v>
      </c>
      <c r="B43" s="1">
        <v>2633</v>
      </c>
      <c r="C43" s="34">
        <v>40148</v>
      </c>
      <c r="D43" s="1">
        <v>732</v>
      </c>
      <c r="E43" s="34">
        <v>40148</v>
      </c>
      <c r="F43" s="1">
        <v>7.7</v>
      </c>
      <c r="G43" s="34">
        <v>40148</v>
      </c>
      <c r="H43" s="1">
        <v>0.71</v>
      </c>
      <c r="I43" s="34">
        <v>40148</v>
      </c>
      <c r="J43" s="1">
        <v>144.32</v>
      </c>
      <c r="K43" s="34">
        <v>40148</v>
      </c>
      <c r="L43" s="1">
        <v>2647.1</v>
      </c>
      <c r="M43" s="34">
        <v>40148</v>
      </c>
      <c r="N43" s="1">
        <v>426.1</v>
      </c>
    </row>
    <row r="44" spans="1:14" x14ac:dyDescent="0.25">
      <c r="A44" s="34">
        <v>40179</v>
      </c>
      <c r="B44" s="1">
        <v>2627.1</v>
      </c>
      <c r="C44" s="34">
        <v>40179</v>
      </c>
      <c r="D44" s="1">
        <v>220</v>
      </c>
      <c r="E44" s="34">
        <v>40179</v>
      </c>
      <c r="F44" s="1">
        <v>7.7</v>
      </c>
      <c r="G44" s="34">
        <v>40179</v>
      </c>
      <c r="H44" s="1">
        <v>0.61</v>
      </c>
      <c r="I44" s="34">
        <v>40179</v>
      </c>
      <c r="J44" s="1">
        <v>144.37</v>
      </c>
      <c r="K44" s="34">
        <v>40179</v>
      </c>
      <c r="L44" s="1">
        <v>2570.3000000000002</v>
      </c>
      <c r="M44" s="34">
        <v>40179</v>
      </c>
      <c r="N44" s="1">
        <v>416.7</v>
      </c>
    </row>
    <row r="45" spans="1:14" x14ac:dyDescent="0.25">
      <c r="A45" s="34">
        <v>40210</v>
      </c>
      <c r="B45" s="1">
        <v>2625.2</v>
      </c>
      <c r="C45" s="34">
        <v>40210</v>
      </c>
      <c r="D45" s="1">
        <v>461</v>
      </c>
      <c r="E45" s="34">
        <v>40210</v>
      </c>
      <c r="F45" s="1">
        <v>7.7</v>
      </c>
      <c r="G45" s="34">
        <v>40210</v>
      </c>
      <c r="H45" s="1">
        <v>1.55</v>
      </c>
      <c r="I45" s="34">
        <v>40210</v>
      </c>
      <c r="J45" s="1">
        <v>144.5</v>
      </c>
      <c r="K45" s="34">
        <v>40210</v>
      </c>
      <c r="L45" s="1">
        <v>2571.8000000000002</v>
      </c>
      <c r="M45" s="34">
        <v>40210</v>
      </c>
      <c r="N45" s="1">
        <v>423.5</v>
      </c>
    </row>
    <row r="46" spans="1:14" x14ac:dyDescent="0.25">
      <c r="A46" s="34">
        <v>40238</v>
      </c>
      <c r="B46" s="1">
        <v>2628.5</v>
      </c>
      <c r="C46" s="34">
        <v>40238</v>
      </c>
      <c r="D46" s="1">
        <v>1038</v>
      </c>
      <c r="E46" s="34">
        <v>40238</v>
      </c>
      <c r="F46" s="1">
        <v>7.6</v>
      </c>
      <c r="G46" s="34">
        <v>40238</v>
      </c>
      <c r="H46" s="1">
        <v>2.0499999999999998</v>
      </c>
      <c r="I46" s="34">
        <v>40238</v>
      </c>
      <c r="J46" s="1">
        <v>144.76</v>
      </c>
      <c r="K46" s="34">
        <v>40238</v>
      </c>
      <c r="L46" s="1">
        <v>2581.4</v>
      </c>
      <c r="M46" s="34">
        <v>40238</v>
      </c>
      <c r="N46" s="1">
        <v>425.4</v>
      </c>
    </row>
    <row r="47" spans="1:14" x14ac:dyDescent="0.25">
      <c r="A47" s="34">
        <v>40269</v>
      </c>
      <c r="B47" s="1">
        <v>2636.9</v>
      </c>
      <c r="C47" s="34">
        <v>40269</v>
      </c>
      <c r="D47" s="1">
        <v>972</v>
      </c>
      <c r="E47" s="34">
        <v>40269</v>
      </c>
      <c r="F47" s="1">
        <v>7.5</v>
      </c>
      <c r="G47" s="34">
        <v>40269</v>
      </c>
      <c r="H47" s="1">
        <v>1.7</v>
      </c>
      <c r="I47" s="34">
        <v>40269</v>
      </c>
      <c r="J47" s="1">
        <v>145.1</v>
      </c>
      <c r="K47" s="34">
        <v>40269</v>
      </c>
      <c r="L47" s="1">
        <v>2628.9</v>
      </c>
      <c r="M47" s="34">
        <v>40269</v>
      </c>
      <c r="N47" s="1">
        <v>426.3</v>
      </c>
    </row>
    <row r="48" spans="1:14" x14ac:dyDescent="0.25">
      <c r="A48" s="34">
        <v>40299</v>
      </c>
      <c r="B48" s="1">
        <v>2641.4</v>
      </c>
      <c r="C48" s="34">
        <v>40299</v>
      </c>
      <c r="D48" s="1">
        <v>1263</v>
      </c>
      <c r="E48" s="34">
        <v>40299</v>
      </c>
      <c r="F48" s="1">
        <v>7.4</v>
      </c>
      <c r="G48" s="34">
        <v>40299</v>
      </c>
      <c r="H48" s="1">
        <v>1.4</v>
      </c>
      <c r="I48" s="34">
        <v>40299</v>
      </c>
      <c r="J48" s="1">
        <v>145.47999999999999</v>
      </c>
      <c r="K48" s="34">
        <v>40299</v>
      </c>
      <c r="L48" s="1">
        <v>2663.2</v>
      </c>
      <c r="M48" s="34">
        <v>40299</v>
      </c>
      <c r="N48" s="1">
        <v>430.6</v>
      </c>
    </row>
    <row r="49" spans="1:14" x14ac:dyDescent="0.25">
      <c r="A49" s="34">
        <v>40330</v>
      </c>
      <c r="B49" s="1">
        <v>2641.1</v>
      </c>
      <c r="C49" s="34">
        <v>40330</v>
      </c>
      <c r="D49" s="1">
        <v>778</v>
      </c>
      <c r="E49" s="34">
        <v>40330</v>
      </c>
      <c r="F49" s="1">
        <v>7.3</v>
      </c>
      <c r="G49" s="34">
        <v>40330</v>
      </c>
      <c r="H49" s="1">
        <v>1.0900000000000001</v>
      </c>
      <c r="I49" s="34">
        <v>40330</v>
      </c>
      <c r="J49" s="1">
        <v>145.83000000000001</v>
      </c>
      <c r="K49" s="34">
        <v>40330</v>
      </c>
      <c r="L49" s="1">
        <v>2683</v>
      </c>
      <c r="M49" s="34">
        <v>40330</v>
      </c>
      <c r="N49" s="1">
        <v>425.8</v>
      </c>
    </row>
    <row r="50" spans="1:14" x14ac:dyDescent="0.25">
      <c r="A50" s="34">
        <v>40360</v>
      </c>
      <c r="B50" s="1">
        <v>2644.7</v>
      </c>
      <c r="C50" s="34">
        <v>40360</v>
      </c>
      <c r="D50" s="1">
        <v>743</v>
      </c>
      <c r="E50" s="34">
        <v>40360</v>
      </c>
      <c r="F50" s="1">
        <v>7.3</v>
      </c>
      <c r="G50" s="34">
        <v>40360</v>
      </c>
      <c r="H50" s="1">
        <v>1.23</v>
      </c>
      <c r="I50" s="34">
        <v>40360</v>
      </c>
      <c r="J50" s="1">
        <v>146.13999999999999</v>
      </c>
      <c r="K50" s="34">
        <v>40360</v>
      </c>
      <c r="L50" s="1">
        <v>2649.7</v>
      </c>
      <c r="M50" s="34">
        <v>40360</v>
      </c>
      <c r="N50" s="1">
        <v>389.3</v>
      </c>
    </row>
    <row r="51" spans="1:14" x14ac:dyDescent="0.25">
      <c r="A51" s="34">
        <v>40391</v>
      </c>
      <c r="B51" s="1">
        <v>2644</v>
      </c>
      <c r="C51" s="34">
        <v>40391</v>
      </c>
      <c r="D51" s="1">
        <v>1007</v>
      </c>
      <c r="E51" s="34">
        <v>40391</v>
      </c>
      <c r="F51" s="1">
        <v>7.2</v>
      </c>
      <c r="G51" s="34">
        <v>40391</v>
      </c>
      <c r="H51" s="1">
        <v>1.37</v>
      </c>
      <c r="I51" s="34">
        <v>40391</v>
      </c>
      <c r="J51" s="1">
        <v>146.46</v>
      </c>
      <c r="K51" s="34">
        <v>40391</v>
      </c>
      <c r="L51" s="1">
        <v>2654.8</v>
      </c>
      <c r="M51" s="34">
        <v>40391</v>
      </c>
      <c r="N51" s="1">
        <v>383.2</v>
      </c>
    </row>
    <row r="52" spans="1:14" x14ac:dyDescent="0.25">
      <c r="A52" s="34">
        <v>40422</v>
      </c>
      <c r="B52" s="1">
        <v>2638.3</v>
      </c>
      <c r="C52" s="34">
        <v>40422</v>
      </c>
      <c r="D52" s="1">
        <v>673</v>
      </c>
      <c r="E52" s="34">
        <v>40422</v>
      </c>
      <c r="F52" s="1">
        <v>7.2</v>
      </c>
      <c r="G52" s="34">
        <v>40422</v>
      </c>
      <c r="H52" s="1">
        <v>1.1100000000000001</v>
      </c>
      <c r="I52" s="34">
        <v>40422</v>
      </c>
      <c r="J52" s="1">
        <v>146.78</v>
      </c>
      <c r="K52" s="34">
        <v>40422</v>
      </c>
      <c r="L52" s="1">
        <v>2657</v>
      </c>
      <c r="M52" s="34">
        <v>40422</v>
      </c>
      <c r="N52" s="1">
        <v>404.8</v>
      </c>
    </row>
    <row r="53" spans="1:14" x14ac:dyDescent="0.25">
      <c r="A53" s="34">
        <v>40452</v>
      </c>
      <c r="B53" s="1">
        <v>2654.4</v>
      </c>
      <c r="C53" s="34">
        <v>40452</v>
      </c>
      <c r="D53" s="1">
        <v>1247</v>
      </c>
      <c r="E53" s="34">
        <v>40452</v>
      </c>
      <c r="F53" s="1">
        <v>7.2</v>
      </c>
      <c r="G53" s="34">
        <v>40452</v>
      </c>
      <c r="H53" s="1">
        <v>1.3</v>
      </c>
      <c r="I53" s="34">
        <v>40452</v>
      </c>
      <c r="J53" s="1">
        <v>147.11000000000001</v>
      </c>
      <c r="K53" s="34">
        <v>40452</v>
      </c>
      <c r="L53" s="1">
        <v>2685.6</v>
      </c>
      <c r="M53" s="34">
        <v>40452</v>
      </c>
      <c r="N53" s="1">
        <v>422.3</v>
      </c>
    </row>
    <row r="54" spans="1:14" x14ac:dyDescent="0.25">
      <c r="A54" s="34">
        <v>40483</v>
      </c>
      <c r="B54" s="1">
        <v>2656.2</v>
      </c>
      <c r="C54" s="34">
        <v>40483</v>
      </c>
      <c r="D54" s="1">
        <v>568</v>
      </c>
      <c r="E54" s="34">
        <v>40483</v>
      </c>
      <c r="F54" s="1">
        <v>7.1</v>
      </c>
      <c r="G54" s="34">
        <v>40483</v>
      </c>
      <c r="H54" s="1">
        <v>1.6</v>
      </c>
      <c r="I54" s="34">
        <v>40483</v>
      </c>
      <c r="J54" s="1">
        <v>147.47</v>
      </c>
      <c r="K54" s="34">
        <v>40483</v>
      </c>
      <c r="L54" s="1">
        <v>2681.6</v>
      </c>
      <c r="M54" s="34">
        <v>40483</v>
      </c>
      <c r="N54" s="1">
        <v>425.8</v>
      </c>
    </row>
    <row r="55" spans="1:14" x14ac:dyDescent="0.25">
      <c r="A55" s="34">
        <v>40513</v>
      </c>
      <c r="B55" s="1">
        <v>2655.2</v>
      </c>
      <c r="C55" s="34">
        <v>40513</v>
      </c>
      <c r="D55" s="1">
        <v>596</v>
      </c>
      <c r="E55" s="34">
        <v>40513</v>
      </c>
      <c r="F55" s="1">
        <v>7</v>
      </c>
      <c r="G55" s="34">
        <v>40513</v>
      </c>
      <c r="H55" s="1">
        <v>1.6</v>
      </c>
      <c r="I55" s="34">
        <v>40513</v>
      </c>
      <c r="J55" s="1">
        <v>147.86000000000001</v>
      </c>
      <c r="K55" s="34">
        <v>40513</v>
      </c>
      <c r="L55" s="1">
        <v>2667.9</v>
      </c>
      <c r="M55" s="34">
        <v>40513</v>
      </c>
      <c r="N55" s="1">
        <v>424.8</v>
      </c>
    </row>
    <row r="56" spans="1:14" x14ac:dyDescent="0.25">
      <c r="A56" s="34">
        <v>40544</v>
      </c>
      <c r="B56" s="1">
        <v>2662.7</v>
      </c>
      <c r="C56" s="34">
        <v>40544</v>
      </c>
      <c r="D56" s="1">
        <v>246</v>
      </c>
      <c r="E56" s="34">
        <v>40544</v>
      </c>
      <c r="F56" s="1">
        <v>6.8</v>
      </c>
      <c r="G56" s="34">
        <v>40544</v>
      </c>
      <c r="H56" s="1">
        <v>1.99</v>
      </c>
      <c r="I56" s="34">
        <v>40544</v>
      </c>
      <c r="J56" s="1">
        <v>148.30000000000001</v>
      </c>
      <c r="K56" s="34">
        <v>40544</v>
      </c>
      <c r="L56" s="1">
        <v>2607.4</v>
      </c>
      <c r="M56" s="34">
        <v>40544</v>
      </c>
      <c r="N56" s="1">
        <v>413.6</v>
      </c>
    </row>
    <row r="57" spans="1:14" x14ac:dyDescent="0.25">
      <c r="A57" s="34">
        <v>40575</v>
      </c>
      <c r="B57" s="1">
        <v>2668.1</v>
      </c>
      <c r="C57" s="34">
        <v>40575</v>
      </c>
      <c r="D57" s="1">
        <v>272</v>
      </c>
      <c r="E57" s="34">
        <v>40575</v>
      </c>
      <c r="F57" s="1">
        <v>6.7</v>
      </c>
      <c r="G57" s="34">
        <v>40575</v>
      </c>
      <c r="H57" s="1">
        <v>1.5</v>
      </c>
      <c r="I57" s="34">
        <v>40575</v>
      </c>
      <c r="J57" s="1">
        <v>148.72999999999999</v>
      </c>
      <c r="K57" s="34">
        <v>40575</v>
      </c>
      <c r="L57" s="1">
        <v>2614.6999999999998</v>
      </c>
      <c r="M57" s="34">
        <v>40575</v>
      </c>
      <c r="N57" s="1">
        <v>421.3</v>
      </c>
    </row>
    <row r="58" spans="1:14" x14ac:dyDescent="0.25">
      <c r="A58" s="34">
        <v>40603</v>
      </c>
      <c r="B58" s="1">
        <v>2671.3</v>
      </c>
      <c r="C58" s="34">
        <v>40603</v>
      </c>
      <c r="D58" s="1">
        <v>542</v>
      </c>
      <c r="E58" s="34">
        <v>40603</v>
      </c>
      <c r="F58" s="1">
        <v>6.6</v>
      </c>
      <c r="G58" s="34">
        <v>40603</v>
      </c>
      <c r="H58" s="1">
        <v>1.53</v>
      </c>
      <c r="I58" s="34">
        <v>40603</v>
      </c>
      <c r="J58" s="1">
        <v>149.15</v>
      </c>
      <c r="K58" s="34">
        <v>40603</v>
      </c>
      <c r="L58" s="1">
        <v>2624</v>
      </c>
      <c r="M58" s="34">
        <v>40603</v>
      </c>
      <c r="N58" s="1">
        <v>421</v>
      </c>
    </row>
    <row r="59" spans="1:14" x14ac:dyDescent="0.25">
      <c r="A59" s="34">
        <v>40634</v>
      </c>
      <c r="B59" s="1">
        <v>2680</v>
      </c>
      <c r="C59" s="34">
        <v>40634</v>
      </c>
      <c r="D59" s="1">
        <v>747</v>
      </c>
      <c r="E59" s="34">
        <v>40634</v>
      </c>
      <c r="F59" s="1">
        <v>6.6</v>
      </c>
      <c r="G59" s="34">
        <v>40634</v>
      </c>
      <c r="H59" s="1">
        <v>1.54</v>
      </c>
      <c r="I59" s="34">
        <v>40634</v>
      </c>
      <c r="J59" s="1">
        <v>149.54</v>
      </c>
      <c r="K59" s="34">
        <v>40634</v>
      </c>
      <c r="L59" s="1">
        <v>2673.3</v>
      </c>
      <c r="M59" s="34">
        <v>40634</v>
      </c>
      <c r="N59" s="1">
        <v>422.1</v>
      </c>
    </row>
    <row r="60" spans="1:14" x14ac:dyDescent="0.25">
      <c r="A60" s="34">
        <v>40664</v>
      </c>
      <c r="B60" s="1">
        <v>2687.5</v>
      </c>
      <c r="C60" s="34">
        <v>40664</v>
      </c>
      <c r="D60" s="1">
        <v>703</v>
      </c>
      <c r="E60" s="34">
        <v>40664</v>
      </c>
      <c r="F60" s="1">
        <v>6.7</v>
      </c>
      <c r="G60" s="34">
        <v>40664</v>
      </c>
      <c r="H60" s="1">
        <v>1.1499999999999999</v>
      </c>
      <c r="I60" s="34">
        <v>40664</v>
      </c>
      <c r="J60" s="1">
        <v>149.9</v>
      </c>
      <c r="K60" s="34">
        <v>40664</v>
      </c>
      <c r="L60" s="1">
        <v>2710.2</v>
      </c>
      <c r="M60" s="34">
        <v>40664</v>
      </c>
      <c r="N60" s="1">
        <v>421.6</v>
      </c>
    </row>
    <row r="61" spans="1:14" x14ac:dyDescent="0.25">
      <c r="A61" s="34">
        <v>40695</v>
      </c>
      <c r="B61" s="1">
        <v>2688.9</v>
      </c>
      <c r="C61" s="34">
        <v>40695</v>
      </c>
      <c r="D61" s="1">
        <v>941</v>
      </c>
      <c r="E61" s="34">
        <v>40695</v>
      </c>
      <c r="F61" s="1">
        <v>6.7</v>
      </c>
      <c r="G61" s="34">
        <v>40695</v>
      </c>
      <c r="H61" s="1">
        <v>1.51</v>
      </c>
      <c r="I61" s="34">
        <v>40695</v>
      </c>
      <c r="J61" s="1">
        <v>150.22999999999999</v>
      </c>
      <c r="K61" s="34">
        <v>40695</v>
      </c>
      <c r="L61" s="1">
        <v>2730.8</v>
      </c>
      <c r="M61" s="34">
        <v>40695</v>
      </c>
      <c r="N61" s="1">
        <v>419</v>
      </c>
    </row>
    <row r="62" spans="1:14" x14ac:dyDescent="0.25">
      <c r="A62" s="34">
        <v>40725</v>
      </c>
      <c r="B62" s="1">
        <v>2675.6</v>
      </c>
      <c r="C62" s="34">
        <v>40725</v>
      </c>
      <c r="D62" s="1">
        <v>865</v>
      </c>
      <c r="E62" s="34">
        <v>40725</v>
      </c>
      <c r="F62" s="1">
        <v>6.7</v>
      </c>
      <c r="G62" s="34">
        <v>40725</v>
      </c>
      <c r="H62" s="1">
        <v>1.49</v>
      </c>
      <c r="I62" s="34">
        <v>40725</v>
      </c>
      <c r="J62" s="1">
        <v>150.57</v>
      </c>
      <c r="K62" s="34">
        <v>40725</v>
      </c>
      <c r="L62" s="1">
        <v>2680.2</v>
      </c>
      <c r="M62" s="34">
        <v>40725</v>
      </c>
      <c r="N62" s="1">
        <v>362</v>
      </c>
    </row>
    <row r="63" spans="1:14" x14ac:dyDescent="0.25">
      <c r="A63" s="34">
        <v>40756</v>
      </c>
      <c r="B63" s="1">
        <v>2700.3</v>
      </c>
      <c r="C63" s="34">
        <v>40756</v>
      </c>
      <c r="D63" s="1">
        <v>775</v>
      </c>
      <c r="E63" s="34">
        <v>40756</v>
      </c>
      <c r="F63" s="1">
        <v>6.6</v>
      </c>
      <c r="G63" s="34">
        <v>40756</v>
      </c>
      <c r="H63" s="1">
        <v>1.59</v>
      </c>
      <c r="I63" s="34">
        <v>40756</v>
      </c>
      <c r="J63" s="1">
        <v>150.94</v>
      </c>
      <c r="K63" s="34">
        <v>40756</v>
      </c>
      <c r="L63" s="1">
        <v>2710.7</v>
      </c>
      <c r="M63" s="34">
        <v>40756</v>
      </c>
      <c r="N63" s="1">
        <v>378.4</v>
      </c>
    </row>
    <row r="64" spans="1:14" x14ac:dyDescent="0.25">
      <c r="A64" s="34">
        <v>40787</v>
      </c>
      <c r="B64" s="1">
        <v>2709.1</v>
      </c>
      <c r="C64" s="34">
        <v>40787</v>
      </c>
      <c r="D64" s="1">
        <v>894</v>
      </c>
      <c r="E64" s="34">
        <v>40787</v>
      </c>
      <c r="F64" s="1">
        <v>6.4</v>
      </c>
      <c r="G64" s="34">
        <v>40787</v>
      </c>
      <c r="H64" s="1">
        <v>1.64</v>
      </c>
      <c r="I64" s="34">
        <v>40787</v>
      </c>
      <c r="J64" s="1">
        <v>151.31</v>
      </c>
      <c r="K64" s="34">
        <v>40787</v>
      </c>
      <c r="L64" s="1">
        <v>2728.7</v>
      </c>
      <c r="M64" s="34">
        <v>40787</v>
      </c>
      <c r="N64" s="1">
        <v>405.6</v>
      </c>
    </row>
    <row r="65" spans="1:14" x14ac:dyDescent="0.25">
      <c r="A65" s="34">
        <v>40817</v>
      </c>
      <c r="B65" s="1">
        <v>2702.7</v>
      </c>
      <c r="C65" s="34">
        <v>40817</v>
      </c>
      <c r="D65" s="1">
        <v>835</v>
      </c>
      <c r="E65" s="34">
        <v>40817</v>
      </c>
      <c r="F65" s="1">
        <v>6.1</v>
      </c>
      <c r="G65" s="34">
        <v>40817</v>
      </c>
      <c r="H65" s="1">
        <v>1.61</v>
      </c>
      <c r="I65" s="34">
        <v>40817</v>
      </c>
      <c r="J65" s="1">
        <v>151.69999999999999</v>
      </c>
      <c r="K65" s="34">
        <v>40817</v>
      </c>
      <c r="L65" s="1">
        <v>2734</v>
      </c>
      <c r="M65" s="34">
        <v>40817</v>
      </c>
      <c r="N65" s="1">
        <v>419.5</v>
      </c>
    </row>
    <row r="66" spans="1:14" x14ac:dyDescent="0.25">
      <c r="A66" s="34">
        <v>40848</v>
      </c>
      <c r="B66" s="1">
        <v>2703.9</v>
      </c>
      <c r="C66" s="34">
        <v>40848</v>
      </c>
      <c r="D66" s="1">
        <v>747</v>
      </c>
      <c r="E66" s="34">
        <v>40848</v>
      </c>
      <c r="F66" s="1">
        <v>5.9</v>
      </c>
      <c r="G66" s="34">
        <v>40848</v>
      </c>
      <c r="H66" s="1">
        <v>1.44</v>
      </c>
      <c r="I66" s="34">
        <v>40848</v>
      </c>
      <c r="J66" s="1">
        <v>152.08000000000001</v>
      </c>
      <c r="K66" s="34">
        <v>40848</v>
      </c>
      <c r="L66" s="1">
        <v>2729.1</v>
      </c>
      <c r="M66" s="34">
        <v>40848</v>
      </c>
      <c r="N66" s="1">
        <v>421.5</v>
      </c>
    </row>
    <row r="67" spans="1:14" x14ac:dyDescent="0.25">
      <c r="A67" s="34">
        <v>40878</v>
      </c>
      <c r="B67" s="1">
        <v>2708.9</v>
      </c>
      <c r="C67" s="34">
        <v>40878</v>
      </c>
      <c r="D67" s="1">
        <v>742</v>
      </c>
      <c r="E67" s="34">
        <v>40878</v>
      </c>
      <c r="F67" s="1">
        <v>5.8</v>
      </c>
      <c r="G67" s="34">
        <v>40878</v>
      </c>
      <c r="H67" s="1">
        <v>1.5</v>
      </c>
      <c r="I67" s="34">
        <v>40878</v>
      </c>
      <c r="J67" s="1">
        <v>152.43</v>
      </c>
      <c r="K67" s="34">
        <v>40878</v>
      </c>
      <c r="L67" s="1">
        <v>2720.6</v>
      </c>
      <c r="M67" s="34">
        <v>40878</v>
      </c>
      <c r="N67" s="1">
        <v>421.7</v>
      </c>
    </row>
    <row r="68" spans="1:14" x14ac:dyDescent="0.25">
      <c r="A68" s="34">
        <v>40909</v>
      </c>
      <c r="B68" s="1">
        <v>2708.6</v>
      </c>
      <c r="C68" s="34">
        <v>40909</v>
      </c>
      <c r="D68" s="1">
        <v>586</v>
      </c>
      <c r="E68" s="34">
        <v>40909</v>
      </c>
      <c r="F68" s="1">
        <v>5.7</v>
      </c>
      <c r="G68" s="34">
        <v>40909</v>
      </c>
      <c r="H68" s="1">
        <v>1.61</v>
      </c>
      <c r="I68" s="34">
        <v>40909</v>
      </c>
      <c r="J68" s="1">
        <v>152.80000000000001</v>
      </c>
      <c r="K68" s="34">
        <v>40909</v>
      </c>
      <c r="L68" s="1">
        <v>2652.7</v>
      </c>
      <c r="M68" s="34">
        <v>40909</v>
      </c>
      <c r="N68" s="1">
        <v>410.1</v>
      </c>
    </row>
    <row r="69" spans="1:14" x14ac:dyDescent="0.25">
      <c r="A69" s="34">
        <v>40940</v>
      </c>
      <c r="B69" s="1">
        <v>2712.7</v>
      </c>
      <c r="C69" s="34">
        <v>40940</v>
      </c>
      <c r="D69" s="1">
        <v>805</v>
      </c>
      <c r="E69" s="34">
        <v>40940</v>
      </c>
      <c r="F69" s="1">
        <v>5.7</v>
      </c>
      <c r="G69" s="34">
        <v>40940</v>
      </c>
      <c r="H69" s="1">
        <v>1.59</v>
      </c>
      <c r="I69" s="34">
        <v>40940</v>
      </c>
      <c r="J69" s="1">
        <v>153.16</v>
      </c>
      <c r="K69" s="34">
        <v>40940</v>
      </c>
      <c r="L69" s="1">
        <v>2658.6</v>
      </c>
      <c r="M69" s="34">
        <v>40940</v>
      </c>
      <c r="N69" s="1">
        <v>418.2</v>
      </c>
    </row>
    <row r="70" spans="1:14" x14ac:dyDescent="0.25">
      <c r="A70" s="34">
        <v>40969</v>
      </c>
      <c r="B70" s="1">
        <v>2721.9</v>
      </c>
      <c r="C70" s="34">
        <v>40969</v>
      </c>
      <c r="D70" s="1">
        <v>688</v>
      </c>
      <c r="E70" s="34">
        <v>40969</v>
      </c>
      <c r="F70" s="1">
        <v>5.6</v>
      </c>
      <c r="G70" s="34">
        <v>40969</v>
      </c>
      <c r="H70" s="1">
        <v>1.53</v>
      </c>
      <c r="I70" s="34">
        <v>40969</v>
      </c>
      <c r="J70" s="1">
        <v>153.52000000000001</v>
      </c>
      <c r="K70" s="34">
        <v>40969</v>
      </c>
      <c r="L70" s="1">
        <v>2674.2</v>
      </c>
      <c r="M70" s="34">
        <v>40969</v>
      </c>
      <c r="N70" s="1">
        <v>418.7</v>
      </c>
    </row>
    <row r="71" spans="1:14" x14ac:dyDescent="0.25">
      <c r="A71" s="34">
        <v>41000</v>
      </c>
      <c r="B71" s="1">
        <v>2736.4</v>
      </c>
      <c r="C71" s="34">
        <v>41000</v>
      </c>
      <c r="D71" s="1">
        <v>1073</v>
      </c>
      <c r="E71" s="34">
        <v>41000</v>
      </c>
      <c r="F71" s="1">
        <v>5.6</v>
      </c>
      <c r="G71" s="34">
        <v>41000</v>
      </c>
      <c r="H71" s="1">
        <v>1.07</v>
      </c>
      <c r="I71" s="34">
        <v>41000</v>
      </c>
      <c r="J71" s="1">
        <v>153.85</v>
      </c>
      <c r="K71" s="34">
        <v>41000</v>
      </c>
      <c r="L71" s="1">
        <v>2716.6</v>
      </c>
      <c r="M71" s="34">
        <v>41000</v>
      </c>
      <c r="N71" s="1">
        <v>421</v>
      </c>
    </row>
    <row r="72" spans="1:14" x14ac:dyDescent="0.25">
      <c r="A72" s="34">
        <v>41030</v>
      </c>
      <c r="B72" s="1">
        <v>2723.3</v>
      </c>
      <c r="C72" s="34">
        <v>41030</v>
      </c>
      <c r="D72" s="1">
        <v>1056</v>
      </c>
      <c r="E72" s="34">
        <v>41030</v>
      </c>
      <c r="F72" s="1">
        <v>5.7</v>
      </c>
      <c r="G72" s="34">
        <v>41030</v>
      </c>
      <c r="H72" s="1">
        <v>1.38</v>
      </c>
      <c r="I72" s="34">
        <v>41030</v>
      </c>
      <c r="J72" s="1">
        <v>154.13</v>
      </c>
      <c r="K72" s="34">
        <v>41030</v>
      </c>
      <c r="L72" s="1">
        <v>2746.7</v>
      </c>
      <c r="M72" s="34">
        <v>41030</v>
      </c>
      <c r="N72" s="1">
        <v>420.5</v>
      </c>
    </row>
    <row r="73" spans="1:14" x14ac:dyDescent="0.25">
      <c r="A73" s="34">
        <v>41061</v>
      </c>
      <c r="B73" s="1">
        <v>2726.6</v>
      </c>
      <c r="C73" s="34">
        <v>41061</v>
      </c>
      <c r="D73" s="1">
        <v>1109</v>
      </c>
      <c r="E73" s="34">
        <v>41061</v>
      </c>
      <c r="F73" s="1">
        <v>5.7</v>
      </c>
      <c r="G73" s="34">
        <v>41061</v>
      </c>
      <c r="H73" s="1">
        <v>1.8</v>
      </c>
      <c r="I73" s="34">
        <v>41061</v>
      </c>
      <c r="J73" s="1">
        <v>154.44999999999999</v>
      </c>
      <c r="K73" s="34">
        <v>41061</v>
      </c>
      <c r="L73" s="1">
        <v>2769.4</v>
      </c>
      <c r="M73" s="34">
        <v>41061</v>
      </c>
      <c r="N73" s="1">
        <v>418.8</v>
      </c>
    </row>
    <row r="74" spans="1:14" x14ac:dyDescent="0.25">
      <c r="A74" s="34">
        <v>41091</v>
      </c>
      <c r="B74" s="1">
        <v>2725.8</v>
      </c>
      <c r="C74" s="34">
        <v>41091</v>
      </c>
      <c r="D74" s="1">
        <v>1472</v>
      </c>
      <c r="E74" s="34">
        <v>41091</v>
      </c>
      <c r="F74" s="1">
        <v>5.7</v>
      </c>
      <c r="G74" s="34">
        <v>41091</v>
      </c>
      <c r="H74" s="1">
        <v>1.67</v>
      </c>
      <c r="I74" s="34">
        <v>41091</v>
      </c>
      <c r="J74" s="1">
        <v>154.80000000000001</v>
      </c>
      <c r="K74" s="34">
        <v>41091</v>
      </c>
      <c r="L74" s="1">
        <v>2729.3</v>
      </c>
      <c r="M74" s="34">
        <v>41091</v>
      </c>
      <c r="N74" s="1">
        <v>377.6</v>
      </c>
    </row>
    <row r="75" spans="1:14" x14ac:dyDescent="0.25">
      <c r="A75" s="34">
        <v>41122</v>
      </c>
      <c r="B75" s="1">
        <v>2733.1</v>
      </c>
      <c r="C75" s="34">
        <v>41122</v>
      </c>
      <c r="D75" s="1">
        <v>1201</v>
      </c>
      <c r="E75" s="34">
        <v>41122</v>
      </c>
      <c r="F75" s="1">
        <v>5.7</v>
      </c>
      <c r="G75" s="34">
        <v>41122</v>
      </c>
      <c r="H75" s="1">
        <v>1.76</v>
      </c>
      <c r="I75" s="34">
        <v>41122</v>
      </c>
      <c r="J75" s="1">
        <v>155.19</v>
      </c>
      <c r="K75" s="34">
        <v>41122</v>
      </c>
      <c r="L75" s="1">
        <v>2746</v>
      </c>
      <c r="M75" s="34">
        <v>41122</v>
      </c>
      <c r="N75" s="1">
        <v>380.9</v>
      </c>
    </row>
    <row r="76" spans="1:14" x14ac:dyDescent="0.25">
      <c r="A76" s="34">
        <v>41153</v>
      </c>
      <c r="B76" s="1">
        <v>2740.5</v>
      </c>
      <c r="C76" s="34">
        <v>41153</v>
      </c>
      <c r="D76" s="1">
        <v>1942</v>
      </c>
      <c r="E76" s="34">
        <v>41153</v>
      </c>
      <c r="F76" s="1">
        <v>5.6</v>
      </c>
      <c r="G76" s="34">
        <v>41153</v>
      </c>
      <c r="H76" s="1">
        <v>1.9</v>
      </c>
      <c r="I76" s="34">
        <v>41153</v>
      </c>
      <c r="J76" s="1">
        <v>155.62</v>
      </c>
      <c r="K76" s="34">
        <v>41153</v>
      </c>
      <c r="L76" s="1">
        <v>2760.6</v>
      </c>
      <c r="M76" s="34">
        <v>41153</v>
      </c>
      <c r="N76" s="1">
        <v>408.3</v>
      </c>
    </row>
    <row r="77" spans="1:14" x14ac:dyDescent="0.25">
      <c r="A77" s="34">
        <v>41183</v>
      </c>
      <c r="B77" s="1">
        <v>2744.4</v>
      </c>
      <c r="C77" s="34">
        <v>41183</v>
      </c>
      <c r="D77" s="1">
        <v>2035</v>
      </c>
      <c r="E77" s="34">
        <v>41183</v>
      </c>
      <c r="F77" s="1">
        <v>5.5</v>
      </c>
      <c r="G77" s="34">
        <v>41183</v>
      </c>
      <c r="H77" s="1">
        <v>1.61</v>
      </c>
      <c r="I77" s="34">
        <v>41183</v>
      </c>
      <c r="J77" s="1">
        <v>156.07</v>
      </c>
      <c r="K77" s="34">
        <v>41183</v>
      </c>
      <c r="L77" s="1">
        <v>2775.8</v>
      </c>
      <c r="M77" s="34">
        <v>41183</v>
      </c>
      <c r="N77" s="1">
        <v>422.9</v>
      </c>
    </row>
    <row r="78" spans="1:14" x14ac:dyDescent="0.25">
      <c r="A78" s="34">
        <v>41214</v>
      </c>
      <c r="B78" s="1">
        <v>2747.3</v>
      </c>
      <c r="C78" s="34">
        <v>41214</v>
      </c>
      <c r="D78" s="1">
        <v>1313</v>
      </c>
      <c r="E78" s="34">
        <v>41214</v>
      </c>
      <c r="F78" s="1">
        <v>5.4</v>
      </c>
      <c r="G78" s="34">
        <v>41214</v>
      </c>
      <c r="H78" s="1">
        <v>1.86</v>
      </c>
      <c r="I78" s="34">
        <v>41214</v>
      </c>
      <c r="J78" s="1">
        <v>156.53</v>
      </c>
      <c r="K78" s="34">
        <v>41214</v>
      </c>
      <c r="L78" s="1">
        <v>2775.6</v>
      </c>
      <c r="M78" s="34">
        <v>41214</v>
      </c>
      <c r="N78" s="1">
        <v>427.6</v>
      </c>
    </row>
    <row r="79" spans="1:14" x14ac:dyDescent="0.25">
      <c r="A79" s="34">
        <v>41244</v>
      </c>
      <c r="B79" s="1">
        <v>2752.4</v>
      </c>
      <c r="C79" s="34">
        <v>41244</v>
      </c>
      <c r="D79" s="1">
        <v>1699</v>
      </c>
      <c r="E79" s="34">
        <v>41244</v>
      </c>
      <c r="F79" s="1">
        <v>5.4</v>
      </c>
      <c r="G79" s="34">
        <v>41244</v>
      </c>
      <c r="H79" s="1">
        <v>1.63</v>
      </c>
      <c r="I79" s="34">
        <v>41244</v>
      </c>
      <c r="J79" s="1">
        <v>156.97999999999999</v>
      </c>
      <c r="K79" s="34">
        <v>41244</v>
      </c>
      <c r="L79" s="1">
        <v>2764</v>
      </c>
      <c r="M79" s="34">
        <v>41244</v>
      </c>
      <c r="N79" s="1">
        <v>425.5</v>
      </c>
    </row>
    <row r="80" spans="1:14" x14ac:dyDescent="0.25">
      <c r="A80" s="34">
        <v>41275</v>
      </c>
      <c r="B80" s="1">
        <v>2758.4</v>
      </c>
      <c r="C80" s="34">
        <v>41275</v>
      </c>
      <c r="D80" s="1">
        <v>554</v>
      </c>
      <c r="E80" s="34">
        <v>41275</v>
      </c>
      <c r="F80" s="1">
        <v>5.3</v>
      </c>
      <c r="G80" s="34">
        <v>41275</v>
      </c>
      <c r="H80" s="1">
        <v>1.78</v>
      </c>
      <c r="I80" s="34">
        <v>41275</v>
      </c>
      <c r="J80" s="1">
        <v>157.41999999999999</v>
      </c>
      <c r="K80" s="34">
        <v>41275</v>
      </c>
      <c r="L80" s="1">
        <v>2702.7</v>
      </c>
      <c r="M80" s="34">
        <v>41275</v>
      </c>
      <c r="N80" s="1">
        <v>413.4</v>
      </c>
    </row>
    <row r="81" spans="1:14" x14ac:dyDescent="0.25">
      <c r="A81" s="34">
        <v>41306</v>
      </c>
      <c r="B81" s="1">
        <v>2768.3</v>
      </c>
      <c r="C81" s="34">
        <v>41306</v>
      </c>
      <c r="D81" s="1">
        <v>596</v>
      </c>
      <c r="E81" s="34">
        <v>41306</v>
      </c>
      <c r="F81" s="1">
        <v>5.3</v>
      </c>
      <c r="G81" s="34">
        <v>41306</v>
      </c>
      <c r="H81" s="1">
        <v>1.3</v>
      </c>
      <c r="I81" s="34">
        <v>41306</v>
      </c>
      <c r="J81" s="1">
        <v>157.82</v>
      </c>
      <c r="K81" s="34">
        <v>41306</v>
      </c>
      <c r="L81" s="1">
        <v>2714.7</v>
      </c>
      <c r="M81" s="34">
        <v>41306</v>
      </c>
      <c r="N81" s="1">
        <v>422.9</v>
      </c>
    </row>
    <row r="82" spans="1:14" x14ac:dyDescent="0.25">
      <c r="A82" s="34">
        <v>41334</v>
      </c>
      <c r="B82" s="1">
        <v>2770</v>
      </c>
      <c r="C82" s="34">
        <v>41334</v>
      </c>
      <c r="D82" s="1">
        <v>1187</v>
      </c>
      <c r="E82" s="34">
        <v>41334</v>
      </c>
      <c r="F82" s="1">
        <v>5.2</v>
      </c>
      <c r="G82" s="34">
        <v>41334</v>
      </c>
      <c r="H82" s="1">
        <v>1.45</v>
      </c>
      <c r="I82" s="34">
        <v>41334</v>
      </c>
      <c r="J82" s="1">
        <v>158.18</v>
      </c>
      <c r="K82" s="34">
        <v>41334</v>
      </c>
      <c r="L82" s="1">
        <v>2722.8</v>
      </c>
      <c r="M82" s="34">
        <v>41334</v>
      </c>
      <c r="N82" s="1">
        <v>421.4</v>
      </c>
    </row>
    <row r="83" spans="1:14" x14ac:dyDescent="0.25">
      <c r="A83" s="34">
        <v>41365</v>
      </c>
      <c r="B83" s="1">
        <v>2767</v>
      </c>
      <c r="C83" s="34">
        <v>41365</v>
      </c>
      <c r="D83" s="1">
        <v>1450</v>
      </c>
      <c r="E83" s="34">
        <v>41365</v>
      </c>
      <c r="F83" s="1">
        <v>5.2</v>
      </c>
      <c r="G83" s="34">
        <v>41365</v>
      </c>
      <c r="H83" s="1">
        <v>1.33</v>
      </c>
      <c r="I83" s="34">
        <v>41365</v>
      </c>
      <c r="J83" s="1">
        <v>158.51</v>
      </c>
      <c r="K83" s="34">
        <v>41365</v>
      </c>
      <c r="L83" s="1">
        <v>2747.2</v>
      </c>
      <c r="M83" s="34">
        <v>41365</v>
      </c>
      <c r="N83" s="1">
        <v>421.7</v>
      </c>
    </row>
    <row r="84" spans="1:14" x14ac:dyDescent="0.25">
      <c r="A84" s="34">
        <v>41395</v>
      </c>
      <c r="B84" s="1">
        <v>2771.5</v>
      </c>
      <c r="C84" s="34">
        <v>41395</v>
      </c>
      <c r="D84" s="1">
        <v>1719</v>
      </c>
      <c r="E84" s="34">
        <v>41395</v>
      </c>
      <c r="F84" s="1">
        <v>5.0999999999999996</v>
      </c>
      <c r="G84" s="34">
        <v>41395</v>
      </c>
      <c r="H84" s="1">
        <v>1.73</v>
      </c>
      <c r="I84" s="34">
        <v>41395</v>
      </c>
      <c r="J84" s="1">
        <v>158.85</v>
      </c>
      <c r="K84" s="34">
        <v>41395</v>
      </c>
      <c r="L84" s="1">
        <v>2795.8</v>
      </c>
      <c r="M84" s="34">
        <v>41395</v>
      </c>
      <c r="N84" s="1">
        <v>423.5</v>
      </c>
    </row>
    <row r="85" spans="1:14" x14ac:dyDescent="0.25">
      <c r="A85" s="34">
        <v>41426</v>
      </c>
      <c r="B85" s="1">
        <v>2776.6</v>
      </c>
      <c r="C85" s="34">
        <v>41426</v>
      </c>
      <c r="D85" s="1">
        <v>1256</v>
      </c>
      <c r="E85" s="34">
        <v>41426</v>
      </c>
      <c r="F85" s="1">
        <v>5.0999999999999996</v>
      </c>
      <c r="G85" s="34">
        <v>41426</v>
      </c>
      <c r="H85" s="1">
        <v>1.18</v>
      </c>
      <c r="I85" s="34">
        <v>41426</v>
      </c>
      <c r="J85" s="1">
        <v>159.19</v>
      </c>
      <c r="K85" s="34">
        <v>41426</v>
      </c>
      <c r="L85" s="1">
        <v>2819.2</v>
      </c>
      <c r="M85" s="34">
        <v>41426</v>
      </c>
      <c r="N85" s="1">
        <v>419.5</v>
      </c>
    </row>
    <row r="86" spans="1:14" x14ac:dyDescent="0.25">
      <c r="A86" s="34">
        <v>41456</v>
      </c>
      <c r="B86" s="1">
        <v>2770.3</v>
      </c>
      <c r="C86" s="34">
        <v>41456</v>
      </c>
      <c r="D86" s="1">
        <v>2071</v>
      </c>
      <c r="E86" s="34">
        <v>41456</v>
      </c>
      <c r="F86" s="1">
        <v>5.0999999999999996</v>
      </c>
      <c r="G86" s="34">
        <v>41456</v>
      </c>
      <c r="H86" s="1">
        <v>1.48</v>
      </c>
      <c r="I86" s="34">
        <v>41456</v>
      </c>
      <c r="J86" s="1">
        <v>159.53</v>
      </c>
      <c r="K86" s="34">
        <v>41456</v>
      </c>
      <c r="L86" s="1">
        <v>2772.5</v>
      </c>
      <c r="M86" s="34">
        <v>41456</v>
      </c>
      <c r="N86" s="1">
        <v>374.5</v>
      </c>
    </row>
    <row r="87" spans="1:14" x14ac:dyDescent="0.25">
      <c r="A87" s="34">
        <v>41487</v>
      </c>
      <c r="B87" s="1">
        <v>2780.2</v>
      </c>
      <c r="C87" s="34">
        <v>41487</v>
      </c>
      <c r="D87" s="1">
        <v>1846</v>
      </c>
      <c r="E87" s="34">
        <v>41487</v>
      </c>
      <c r="F87" s="1">
        <v>5</v>
      </c>
      <c r="G87" s="34">
        <v>41487</v>
      </c>
      <c r="H87" s="1">
        <v>1.84</v>
      </c>
      <c r="I87" s="34">
        <v>41487</v>
      </c>
      <c r="J87" s="1">
        <v>159.9</v>
      </c>
      <c r="K87" s="34">
        <v>41487</v>
      </c>
      <c r="L87" s="1">
        <v>2792.7</v>
      </c>
      <c r="M87" s="34">
        <v>41487</v>
      </c>
      <c r="N87" s="1">
        <v>378.7</v>
      </c>
    </row>
    <row r="88" spans="1:14" x14ac:dyDescent="0.25">
      <c r="A88" s="34">
        <v>41518</v>
      </c>
      <c r="B88" s="1">
        <v>2784</v>
      </c>
      <c r="C88" s="34">
        <v>41518</v>
      </c>
      <c r="D88" s="1">
        <v>2012</v>
      </c>
      <c r="E88" s="34">
        <v>41518</v>
      </c>
      <c r="F88" s="1">
        <v>4.9000000000000004</v>
      </c>
      <c r="G88" s="34">
        <v>41518</v>
      </c>
      <c r="H88" s="1">
        <v>1.72</v>
      </c>
      <c r="I88" s="34">
        <v>41518</v>
      </c>
      <c r="J88" s="1">
        <v>160.31</v>
      </c>
      <c r="K88" s="34">
        <v>41518</v>
      </c>
      <c r="L88" s="1">
        <v>2804.5</v>
      </c>
      <c r="M88" s="34">
        <v>41518</v>
      </c>
      <c r="N88" s="1">
        <v>408.8</v>
      </c>
    </row>
    <row r="89" spans="1:14" x14ac:dyDescent="0.25">
      <c r="A89" s="34">
        <v>41548</v>
      </c>
      <c r="B89" s="1">
        <v>2797.6</v>
      </c>
      <c r="C89" s="34">
        <v>41548</v>
      </c>
      <c r="D89" s="1">
        <v>1561</v>
      </c>
      <c r="E89" s="34">
        <v>41548</v>
      </c>
      <c r="F89" s="1">
        <v>4.8</v>
      </c>
      <c r="G89" s="34">
        <v>41548</v>
      </c>
      <c r="H89" s="1">
        <v>1.58</v>
      </c>
      <c r="I89" s="34">
        <v>41548</v>
      </c>
      <c r="J89" s="1">
        <v>160.72</v>
      </c>
      <c r="K89" s="34">
        <v>41548</v>
      </c>
      <c r="L89" s="1">
        <v>2826.4</v>
      </c>
      <c r="M89" s="34">
        <v>41548</v>
      </c>
      <c r="N89" s="1">
        <v>421.9</v>
      </c>
    </row>
    <row r="90" spans="1:14" x14ac:dyDescent="0.25">
      <c r="A90" s="34">
        <v>41579</v>
      </c>
      <c r="B90" s="1">
        <v>2799.8</v>
      </c>
      <c r="C90" s="34">
        <v>41579</v>
      </c>
      <c r="D90" s="1">
        <v>1260</v>
      </c>
      <c r="E90" s="34">
        <v>41579</v>
      </c>
      <c r="F90" s="1">
        <v>4.8</v>
      </c>
      <c r="G90" s="34">
        <v>41579</v>
      </c>
      <c r="H90" s="1">
        <v>1.37</v>
      </c>
      <c r="I90" s="34">
        <v>41579</v>
      </c>
      <c r="J90" s="1">
        <v>161.12</v>
      </c>
      <c r="K90" s="34">
        <v>41579</v>
      </c>
      <c r="L90" s="1">
        <v>2818.4</v>
      </c>
      <c r="M90" s="34">
        <v>41579</v>
      </c>
      <c r="N90" s="1">
        <v>422.9</v>
      </c>
    </row>
    <row r="91" spans="1:14" x14ac:dyDescent="0.25">
      <c r="A91" s="34">
        <v>41609</v>
      </c>
      <c r="B91" s="1">
        <v>2811.7</v>
      </c>
      <c r="C91" s="34">
        <v>41609</v>
      </c>
      <c r="D91" s="1">
        <v>1277</v>
      </c>
      <c r="E91" s="34">
        <v>41609</v>
      </c>
      <c r="F91" s="1">
        <v>4.7</v>
      </c>
      <c r="G91" s="34">
        <v>41609</v>
      </c>
      <c r="H91" s="1">
        <v>1.7</v>
      </c>
      <c r="I91" s="34">
        <v>41609</v>
      </c>
      <c r="J91" s="1">
        <v>161.52000000000001</v>
      </c>
      <c r="K91" s="34">
        <v>41609</v>
      </c>
      <c r="L91" s="1">
        <v>2809.2</v>
      </c>
      <c r="M91" s="34">
        <v>41609</v>
      </c>
      <c r="N91" s="1">
        <v>422.6</v>
      </c>
    </row>
    <row r="92" spans="1:14" x14ac:dyDescent="0.25">
      <c r="A92" s="34">
        <v>41640</v>
      </c>
      <c r="B92" s="1">
        <v>2812.5</v>
      </c>
      <c r="C92" s="34">
        <v>41640</v>
      </c>
      <c r="D92" s="1">
        <v>638</v>
      </c>
      <c r="E92" s="34">
        <v>41640</v>
      </c>
      <c r="F92" s="1">
        <v>4.7</v>
      </c>
      <c r="G92" s="34">
        <v>41640</v>
      </c>
      <c r="H92" s="1">
        <v>1.04</v>
      </c>
      <c r="I92" s="34">
        <v>41640</v>
      </c>
      <c r="J92" s="1">
        <v>161.88999999999999</v>
      </c>
      <c r="K92" s="34">
        <v>41640</v>
      </c>
      <c r="L92" s="1">
        <v>2755.1</v>
      </c>
      <c r="M92" s="34">
        <v>41640</v>
      </c>
      <c r="N92" s="1">
        <v>413.6</v>
      </c>
    </row>
    <row r="93" spans="1:14" x14ac:dyDescent="0.25">
      <c r="A93" s="34">
        <v>41671</v>
      </c>
      <c r="B93" s="1">
        <v>2811.3</v>
      </c>
      <c r="C93" s="34">
        <v>41671</v>
      </c>
      <c r="D93" s="1">
        <v>561</v>
      </c>
      <c r="E93" s="34">
        <v>41671</v>
      </c>
      <c r="F93" s="1">
        <v>4.8</v>
      </c>
      <c r="G93" s="34">
        <v>41671</v>
      </c>
      <c r="H93" s="1">
        <v>1.2</v>
      </c>
      <c r="I93" s="34">
        <v>41671</v>
      </c>
      <c r="J93" s="1">
        <v>162.22</v>
      </c>
      <c r="K93" s="34">
        <v>41671</v>
      </c>
      <c r="L93" s="1">
        <v>2758.6</v>
      </c>
      <c r="M93" s="34">
        <v>41671</v>
      </c>
      <c r="N93" s="1">
        <v>422.4</v>
      </c>
    </row>
    <row r="94" spans="1:14" x14ac:dyDescent="0.25">
      <c r="A94" s="34">
        <v>41699</v>
      </c>
      <c r="B94" s="1">
        <v>2812</v>
      </c>
      <c r="C94" s="34">
        <v>41699</v>
      </c>
      <c r="D94" s="1">
        <v>1202</v>
      </c>
      <c r="E94" s="34">
        <v>41699</v>
      </c>
      <c r="F94" s="1">
        <v>4.8</v>
      </c>
      <c r="G94" s="34">
        <v>41699</v>
      </c>
      <c r="H94" s="1">
        <v>1.59</v>
      </c>
      <c r="I94" s="34">
        <v>41699</v>
      </c>
      <c r="J94" s="1">
        <v>162.56</v>
      </c>
      <c r="K94" s="34">
        <v>41699</v>
      </c>
      <c r="L94" s="1">
        <v>2762.6</v>
      </c>
      <c r="M94" s="34">
        <v>41699</v>
      </c>
      <c r="N94" s="1">
        <v>421.6</v>
      </c>
    </row>
    <row r="95" spans="1:14" x14ac:dyDescent="0.25">
      <c r="A95" s="34">
        <v>41730</v>
      </c>
      <c r="B95" s="1">
        <v>2806.7</v>
      </c>
      <c r="C95" s="34">
        <v>41730</v>
      </c>
      <c r="D95" s="1">
        <v>1082</v>
      </c>
      <c r="E95" s="34">
        <v>41730</v>
      </c>
      <c r="F95" s="1">
        <v>4.7</v>
      </c>
      <c r="G95" s="34">
        <v>41730</v>
      </c>
      <c r="H95" s="1">
        <v>1.91</v>
      </c>
      <c r="I95" s="34">
        <v>41730</v>
      </c>
      <c r="J95" s="1">
        <v>162.97</v>
      </c>
      <c r="K95" s="34">
        <v>41730</v>
      </c>
      <c r="L95" s="1">
        <v>2788.3</v>
      </c>
      <c r="M95" s="34">
        <v>41730</v>
      </c>
      <c r="N95" s="1">
        <v>423.4</v>
      </c>
    </row>
    <row r="96" spans="1:14" x14ac:dyDescent="0.25">
      <c r="A96" s="34">
        <v>41760</v>
      </c>
      <c r="B96" s="1">
        <v>2813.9</v>
      </c>
      <c r="C96" s="34">
        <v>41760</v>
      </c>
      <c r="D96" s="1">
        <v>2034</v>
      </c>
      <c r="E96" s="34">
        <v>41760</v>
      </c>
      <c r="F96" s="1">
        <v>4.5999999999999996</v>
      </c>
      <c r="G96" s="34">
        <v>41760</v>
      </c>
      <c r="H96" s="1">
        <v>2.15</v>
      </c>
      <c r="I96" s="34">
        <v>41760</v>
      </c>
      <c r="J96" s="1">
        <v>163.46</v>
      </c>
      <c r="K96" s="34">
        <v>41760</v>
      </c>
      <c r="L96" s="1">
        <v>2837.5</v>
      </c>
      <c r="M96" s="34">
        <v>41760</v>
      </c>
      <c r="N96" s="1">
        <v>425.1</v>
      </c>
    </row>
    <row r="97" spans="1:14" x14ac:dyDescent="0.25">
      <c r="A97" s="34">
        <v>41791</v>
      </c>
      <c r="B97" s="1">
        <v>2818.8</v>
      </c>
      <c r="C97" s="34">
        <v>41791</v>
      </c>
      <c r="D97" s="1">
        <v>1908</v>
      </c>
      <c r="E97" s="34">
        <v>41791</v>
      </c>
      <c r="F97" s="1">
        <v>4.5</v>
      </c>
      <c r="G97" s="34">
        <v>41791</v>
      </c>
      <c r="H97" s="1">
        <v>1.83</v>
      </c>
      <c r="I97" s="34">
        <v>41791</v>
      </c>
      <c r="J97" s="1">
        <v>163.99</v>
      </c>
      <c r="K97" s="34">
        <v>41791</v>
      </c>
      <c r="L97" s="1">
        <v>2869.8</v>
      </c>
      <c r="M97" s="34">
        <v>41791</v>
      </c>
      <c r="N97" s="1">
        <v>426.3</v>
      </c>
    </row>
    <row r="98" spans="1:14" x14ac:dyDescent="0.25">
      <c r="A98" s="34">
        <v>41821</v>
      </c>
      <c r="B98" s="1">
        <v>2818.7</v>
      </c>
      <c r="C98" s="34">
        <v>41821</v>
      </c>
      <c r="D98" s="1">
        <v>1830</v>
      </c>
      <c r="E98" s="34">
        <v>41821</v>
      </c>
      <c r="F98" s="1">
        <v>4.5</v>
      </c>
      <c r="G98" s="34">
        <v>41821</v>
      </c>
      <c r="H98" s="1">
        <v>1.64</v>
      </c>
      <c r="I98" s="34">
        <v>41821</v>
      </c>
      <c r="J98" s="1">
        <v>164.51</v>
      </c>
      <c r="K98" s="34">
        <v>41821</v>
      </c>
      <c r="L98" s="1">
        <v>2845.3</v>
      </c>
      <c r="M98" s="34">
        <v>41821</v>
      </c>
      <c r="N98" s="1">
        <v>399.2</v>
      </c>
    </row>
    <row r="99" spans="1:14" x14ac:dyDescent="0.25">
      <c r="A99" s="34">
        <v>41852</v>
      </c>
      <c r="B99" s="1">
        <v>2827.5</v>
      </c>
      <c r="C99" s="34">
        <v>41852</v>
      </c>
      <c r="D99" s="1">
        <v>1684</v>
      </c>
      <c r="E99" s="34">
        <v>41852</v>
      </c>
      <c r="F99" s="1">
        <v>4.3</v>
      </c>
      <c r="G99" s="34">
        <v>41852</v>
      </c>
      <c r="H99" s="1">
        <v>1.81</v>
      </c>
      <c r="I99" s="34">
        <v>41852</v>
      </c>
      <c r="J99" s="1">
        <v>165.01</v>
      </c>
      <c r="K99" s="34">
        <v>41852</v>
      </c>
      <c r="L99" s="1">
        <v>2851.7</v>
      </c>
      <c r="M99" s="34">
        <v>41852</v>
      </c>
      <c r="N99" s="1">
        <v>396.8</v>
      </c>
    </row>
    <row r="100" spans="1:14" x14ac:dyDescent="0.25">
      <c r="A100" s="34">
        <v>41883</v>
      </c>
      <c r="B100" s="1">
        <v>2837.5</v>
      </c>
      <c r="C100" s="34">
        <v>41883</v>
      </c>
      <c r="D100" s="1">
        <v>2042</v>
      </c>
      <c r="E100" s="34">
        <v>41883</v>
      </c>
      <c r="F100" s="1">
        <v>4.0999999999999996</v>
      </c>
      <c r="G100" s="34">
        <v>41883</v>
      </c>
      <c r="H100" s="1">
        <v>1.35</v>
      </c>
      <c r="I100" s="34">
        <v>41883</v>
      </c>
      <c r="J100" s="1">
        <v>165.46</v>
      </c>
      <c r="K100" s="34">
        <v>41883</v>
      </c>
      <c r="L100" s="1">
        <v>2852.2</v>
      </c>
      <c r="M100" s="34">
        <v>41883</v>
      </c>
      <c r="N100" s="1">
        <v>413</v>
      </c>
    </row>
    <row r="101" spans="1:14" x14ac:dyDescent="0.25">
      <c r="A101" s="34">
        <v>41913</v>
      </c>
      <c r="B101" s="1">
        <v>2847.4</v>
      </c>
      <c r="C101" s="34">
        <v>41913</v>
      </c>
      <c r="D101" s="1">
        <v>1876</v>
      </c>
      <c r="E101" s="34">
        <v>41913</v>
      </c>
      <c r="F101" s="1">
        <v>3.9</v>
      </c>
      <c r="G101" s="34">
        <v>41913</v>
      </c>
      <c r="H101" s="1">
        <v>1.53</v>
      </c>
      <c r="I101" s="34">
        <v>41913</v>
      </c>
      <c r="J101" s="1">
        <v>165.87</v>
      </c>
      <c r="K101" s="34">
        <v>41913</v>
      </c>
      <c r="L101" s="1">
        <v>2876.7</v>
      </c>
      <c r="M101" s="34">
        <v>41913</v>
      </c>
      <c r="N101" s="1">
        <v>425.1</v>
      </c>
    </row>
    <row r="102" spans="1:14" x14ac:dyDescent="0.25">
      <c r="A102" s="34">
        <v>41944</v>
      </c>
      <c r="B102" s="1">
        <v>2850</v>
      </c>
      <c r="C102" s="34">
        <v>41944</v>
      </c>
      <c r="D102" s="1">
        <v>699</v>
      </c>
      <c r="E102" s="34">
        <v>41944</v>
      </c>
      <c r="F102" s="1">
        <v>3.7</v>
      </c>
      <c r="G102" s="34">
        <v>41944</v>
      </c>
      <c r="H102" s="1">
        <v>1.44</v>
      </c>
      <c r="I102" s="34">
        <v>41944</v>
      </c>
      <c r="J102" s="1">
        <v>166.25</v>
      </c>
      <c r="K102" s="34">
        <v>41944</v>
      </c>
      <c r="L102" s="1">
        <v>2865.7</v>
      </c>
      <c r="M102" s="34">
        <v>41944</v>
      </c>
      <c r="N102" s="1">
        <v>428.9</v>
      </c>
    </row>
    <row r="103" spans="1:14" x14ac:dyDescent="0.25">
      <c r="A103" s="34">
        <v>41974</v>
      </c>
      <c r="B103" s="1">
        <v>2844.8</v>
      </c>
      <c r="E103" s="34">
        <v>41974</v>
      </c>
      <c r="F103" s="1">
        <v>3.6</v>
      </c>
      <c r="K103" s="34">
        <v>41974</v>
      </c>
      <c r="L103" s="1">
        <v>2842.5</v>
      </c>
      <c r="M103" s="34">
        <v>41974</v>
      </c>
      <c r="N103" s="1">
        <v>422.7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103"/>
  <sheetViews>
    <sheetView topLeftCell="A77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193</v>
      </c>
      <c r="C1" s="34" t="s">
        <v>194</v>
      </c>
      <c r="E1" s="34" t="s">
        <v>195</v>
      </c>
      <c r="G1" s="34" t="s">
        <v>196</v>
      </c>
      <c r="I1" s="34" t="s">
        <v>197</v>
      </c>
      <c r="K1" s="34" t="str">
        <f>CONCATENATE(LEFT(A1,2), "NAN")</f>
        <v>MONAN</v>
      </c>
      <c r="M1" s="34" t="str">
        <f>CONCATENATE(LEFT(A1,2), "GOVTN")</f>
        <v>MOGOVTN</v>
      </c>
      <c r="O1" s="34" t="str">
        <f>CONCATENATE(LEFT($A$1,2), "RGSP")</f>
        <v>MORGSP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890</v>
      </c>
      <c r="C5" s="35" t="s">
        <v>423</v>
      </c>
      <c r="E5" s="35" t="s">
        <v>424</v>
      </c>
      <c r="G5" s="35" t="s">
        <v>425</v>
      </c>
      <c r="I5" s="35" t="s">
        <v>426</v>
      </c>
      <c r="K5" s="35" t="s">
        <v>890</v>
      </c>
      <c r="M5" s="35" t="s">
        <v>891</v>
      </c>
      <c r="O5" s="35" t="s">
        <v>797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2790</v>
      </c>
      <c r="C8" s="34">
        <v>39083</v>
      </c>
      <c r="D8" s="1">
        <v>1249</v>
      </c>
      <c r="E8" s="34">
        <v>39083</v>
      </c>
      <c r="F8" s="1">
        <v>4.7</v>
      </c>
      <c r="G8" s="34">
        <v>39083</v>
      </c>
      <c r="H8" s="1">
        <v>0.62</v>
      </c>
      <c r="I8" s="34">
        <v>39083</v>
      </c>
      <c r="J8" s="1">
        <v>138.35</v>
      </c>
      <c r="K8" s="34">
        <v>39083</v>
      </c>
      <c r="L8" s="1">
        <v>2731.9</v>
      </c>
      <c r="M8" s="34">
        <v>39083</v>
      </c>
      <c r="N8" s="1">
        <v>436.6</v>
      </c>
      <c r="O8" s="34">
        <v>39083</v>
      </c>
      <c r="P8" s="1">
        <v>252478</v>
      </c>
    </row>
    <row r="9" spans="1:16" x14ac:dyDescent="0.25">
      <c r="A9" s="34">
        <v>39114</v>
      </c>
      <c r="B9" s="1">
        <v>2789.4</v>
      </c>
      <c r="C9" s="34">
        <v>39114</v>
      </c>
      <c r="D9" s="1">
        <v>1289</v>
      </c>
      <c r="E9" s="34">
        <v>39114</v>
      </c>
      <c r="F9" s="1">
        <v>4.7</v>
      </c>
      <c r="G9" s="34">
        <v>39114</v>
      </c>
      <c r="H9" s="1">
        <v>0.51</v>
      </c>
      <c r="I9" s="34">
        <v>39114</v>
      </c>
      <c r="J9" s="1">
        <v>138.62</v>
      </c>
      <c r="K9" s="34">
        <v>39114</v>
      </c>
      <c r="L9" s="1">
        <v>2744.6</v>
      </c>
      <c r="M9" s="34">
        <v>39114</v>
      </c>
      <c r="N9" s="1">
        <v>446.4</v>
      </c>
      <c r="O9" s="34">
        <v>39448</v>
      </c>
      <c r="P9" s="1">
        <v>255276</v>
      </c>
    </row>
    <row r="10" spans="1:16" x14ac:dyDescent="0.25">
      <c r="A10" s="34">
        <v>39142</v>
      </c>
      <c r="B10" s="1">
        <v>2804.9</v>
      </c>
      <c r="C10" s="34">
        <v>39142</v>
      </c>
      <c r="D10" s="1">
        <v>2097</v>
      </c>
      <c r="E10" s="34">
        <v>39142</v>
      </c>
      <c r="F10" s="1">
        <v>4.7</v>
      </c>
      <c r="G10" s="34">
        <v>39142</v>
      </c>
      <c r="H10" s="1">
        <v>0.28000000000000003</v>
      </c>
      <c r="I10" s="34">
        <v>39142</v>
      </c>
      <c r="J10" s="1">
        <v>138.83000000000001</v>
      </c>
      <c r="K10" s="34">
        <v>39142</v>
      </c>
      <c r="L10" s="1">
        <v>2788.3</v>
      </c>
      <c r="M10" s="34">
        <v>39142</v>
      </c>
      <c r="N10" s="1">
        <v>449.1</v>
      </c>
      <c r="O10" s="34">
        <v>39814</v>
      </c>
      <c r="P10" s="1">
        <v>250738</v>
      </c>
    </row>
    <row r="11" spans="1:16" x14ac:dyDescent="0.25">
      <c r="A11" s="34">
        <v>39173</v>
      </c>
      <c r="B11" s="1">
        <v>2797.1</v>
      </c>
      <c r="C11" s="34">
        <v>39173</v>
      </c>
      <c r="D11" s="1">
        <v>2310</v>
      </c>
      <c r="E11" s="34">
        <v>39173</v>
      </c>
      <c r="F11" s="1">
        <v>4.7</v>
      </c>
      <c r="G11" s="34">
        <v>39173</v>
      </c>
      <c r="H11" s="1">
        <v>-0.03</v>
      </c>
      <c r="I11" s="34">
        <v>39173</v>
      </c>
      <c r="J11" s="1">
        <v>138.97</v>
      </c>
      <c r="K11" s="34">
        <v>39173</v>
      </c>
      <c r="L11" s="1">
        <v>2806.5</v>
      </c>
      <c r="M11" s="34">
        <v>39173</v>
      </c>
      <c r="N11" s="1">
        <v>450.5</v>
      </c>
      <c r="O11" s="34">
        <v>40179</v>
      </c>
      <c r="P11" s="1">
        <v>255496</v>
      </c>
    </row>
    <row r="12" spans="1:16" x14ac:dyDescent="0.25">
      <c r="A12" s="34">
        <v>39203</v>
      </c>
      <c r="B12" s="1">
        <v>2798.8</v>
      </c>
      <c r="C12" s="34">
        <v>39203</v>
      </c>
      <c r="D12" s="1">
        <v>1874</v>
      </c>
      <c r="E12" s="34">
        <v>39203</v>
      </c>
      <c r="F12" s="1">
        <v>4.9000000000000004</v>
      </c>
      <c r="G12" s="34">
        <v>39203</v>
      </c>
      <c r="H12" s="1">
        <v>-0.06</v>
      </c>
      <c r="I12" s="34">
        <v>39203</v>
      </c>
      <c r="J12" s="1">
        <v>139.04</v>
      </c>
      <c r="K12" s="34">
        <v>39203</v>
      </c>
      <c r="L12" s="1">
        <v>2827.5</v>
      </c>
      <c r="M12" s="34">
        <v>39203</v>
      </c>
      <c r="N12" s="1">
        <v>452.4</v>
      </c>
      <c r="O12" s="34">
        <v>40544</v>
      </c>
      <c r="P12" s="1">
        <v>253146</v>
      </c>
    </row>
    <row r="13" spans="1:16" x14ac:dyDescent="0.25">
      <c r="A13" s="34">
        <v>39234</v>
      </c>
      <c r="B13" s="1">
        <v>2798</v>
      </c>
      <c r="C13" s="34">
        <v>39234</v>
      </c>
      <c r="D13" s="1">
        <v>1896</v>
      </c>
      <c r="E13" s="34">
        <v>39234</v>
      </c>
      <c r="F13" s="1">
        <v>5</v>
      </c>
      <c r="G13" s="34">
        <v>39234</v>
      </c>
      <c r="H13" s="1">
        <v>0.17</v>
      </c>
      <c r="I13" s="34">
        <v>39234</v>
      </c>
      <c r="J13" s="1">
        <v>139.07</v>
      </c>
      <c r="K13" s="34">
        <v>39234</v>
      </c>
      <c r="L13" s="1">
        <v>2828.7</v>
      </c>
      <c r="M13" s="34">
        <v>39234</v>
      </c>
      <c r="N13" s="1">
        <v>438.1</v>
      </c>
      <c r="O13" s="34">
        <v>40909</v>
      </c>
      <c r="P13" s="1">
        <v>256183</v>
      </c>
    </row>
    <row r="14" spans="1:16" x14ac:dyDescent="0.25">
      <c r="A14" s="34">
        <v>39264</v>
      </c>
      <c r="B14" s="1">
        <v>2795.6</v>
      </c>
      <c r="C14" s="34">
        <v>39264</v>
      </c>
      <c r="D14" s="1">
        <v>1768</v>
      </c>
      <c r="E14" s="34">
        <v>39264</v>
      </c>
      <c r="F14" s="1">
        <v>5.2</v>
      </c>
      <c r="G14" s="34">
        <v>39264</v>
      </c>
      <c r="H14" s="1">
        <v>-0.11</v>
      </c>
      <c r="I14" s="34">
        <v>39264</v>
      </c>
      <c r="J14" s="1">
        <v>139.07</v>
      </c>
      <c r="K14" s="34">
        <v>39264</v>
      </c>
      <c r="L14" s="1">
        <v>2771.2</v>
      </c>
      <c r="M14" s="34">
        <v>39264</v>
      </c>
      <c r="N14" s="1">
        <v>397.3</v>
      </c>
      <c r="O14" s="34">
        <v>41275</v>
      </c>
      <c r="P14" s="1">
        <v>258135</v>
      </c>
    </row>
    <row r="15" spans="1:16" x14ac:dyDescent="0.25">
      <c r="A15" s="34">
        <v>39295</v>
      </c>
      <c r="B15" s="1">
        <v>2798.1</v>
      </c>
      <c r="C15" s="34">
        <v>39295</v>
      </c>
      <c r="D15" s="1">
        <v>1669</v>
      </c>
      <c r="E15" s="34">
        <v>39295</v>
      </c>
      <c r="F15" s="1">
        <v>5.3</v>
      </c>
      <c r="G15" s="34">
        <v>39295</v>
      </c>
      <c r="H15" s="1">
        <v>0.47</v>
      </c>
      <c r="I15" s="34">
        <v>39295</v>
      </c>
      <c r="J15" s="1">
        <v>139.08000000000001</v>
      </c>
      <c r="K15" s="34">
        <v>39295</v>
      </c>
      <c r="L15" s="1">
        <v>2789.1</v>
      </c>
      <c r="M15" s="34">
        <v>39295</v>
      </c>
      <c r="N15" s="1">
        <v>404.2</v>
      </c>
    </row>
    <row r="16" spans="1:16" x14ac:dyDescent="0.25">
      <c r="A16" s="34">
        <v>39326</v>
      </c>
      <c r="B16" s="1">
        <v>2798.8</v>
      </c>
      <c r="C16" s="34">
        <v>39326</v>
      </c>
      <c r="D16" s="1">
        <v>1351</v>
      </c>
      <c r="E16" s="34">
        <v>39326</v>
      </c>
      <c r="F16" s="1">
        <v>5.3</v>
      </c>
      <c r="G16" s="34">
        <v>39326</v>
      </c>
      <c r="H16" s="1">
        <v>0.02</v>
      </c>
      <c r="I16" s="34">
        <v>39326</v>
      </c>
      <c r="J16" s="1">
        <v>139.11000000000001</v>
      </c>
      <c r="K16" s="34">
        <v>39326</v>
      </c>
      <c r="L16" s="1">
        <v>2818.5</v>
      </c>
      <c r="M16" s="34">
        <v>39326</v>
      </c>
      <c r="N16" s="1">
        <v>442.9</v>
      </c>
    </row>
    <row r="17" spans="1:14" x14ac:dyDescent="0.25">
      <c r="A17" s="34">
        <v>39356</v>
      </c>
      <c r="B17" s="1">
        <v>2798.9</v>
      </c>
      <c r="C17" s="34">
        <v>39356</v>
      </c>
      <c r="D17" s="1">
        <v>1782</v>
      </c>
      <c r="E17" s="34">
        <v>39356</v>
      </c>
      <c r="F17" s="1">
        <v>5.4</v>
      </c>
      <c r="G17" s="34">
        <v>39356</v>
      </c>
      <c r="H17" s="1">
        <v>0.15</v>
      </c>
      <c r="I17" s="34">
        <v>39356</v>
      </c>
      <c r="J17" s="1">
        <v>139.16999999999999</v>
      </c>
      <c r="K17" s="34">
        <v>39356</v>
      </c>
      <c r="L17" s="1">
        <v>2818.7</v>
      </c>
      <c r="M17" s="34">
        <v>39356</v>
      </c>
      <c r="N17" s="1">
        <v>451.9</v>
      </c>
    </row>
    <row r="18" spans="1:14" x14ac:dyDescent="0.25">
      <c r="A18" s="34">
        <v>39387</v>
      </c>
      <c r="B18" s="1">
        <v>2803.5</v>
      </c>
      <c r="C18" s="34">
        <v>39387</v>
      </c>
      <c r="D18" s="1">
        <v>1146</v>
      </c>
      <c r="E18" s="34">
        <v>39387</v>
      </c>
      <c r="F18" s="1">
        <v>5.3</v>
      </c>
      <c r="G18" s="34">
        <v>39387</v>
      </c>
      <c r="H18" s="1">
        <v>0.53</v>
      </c>
      <c r="I18" s="34">
        <v>39387</v>
      </c>
      <c r="J18" s="1">
        <v>139.25</v>
      </c>
      <c r="K18" s="34">
        <v>39387</v>
      </c>
      <c r="L18" s="1">
        <v>2825.9</v>
      </c>
      <c r="M18" s="34">
        <v>39387</v>
      </c>
      <c r="N18" s="1">
        <v>454.7</v>
      </c>
    </row>
    <row r="19" spans="1:14" x14ac:dyDescent="0.25">
      <c r="A19" s="34">
        <v>39417</v>
      </c>
      <c r="B19" s="1">
        <v>2802.4</v>
      </c>
      <c r="C19" s="34">
        <v>39417</v>
      </c>
      <c r="D19" s="1">
        <v>797</v>
      </c>
      <c r="E19" s="34">
        <v>39417</v>
      </c>
      <c r="F19" s="1">
        <v>5.3</v>
      </c>
      <c r="G19" s="34">
        <v>39417</v>
      </c>
      <c r="H19" s="1">
        <v>-0.16</v>
      </c>
      <c r="I19" s="34">
        <v>39417</v>
      </c>
      <c r="J19" s="1">
        <v>139.34</v>
      </c>
      <c r="K19" s="34">
        <v>39417</v>
      </c>
      <c r="L19" s="1">
        <v>2822.3</v>
      </c>
      <c r="M19" s="34">
        <v>39417</v>
      </c>
      <c r="N19" s="1">
        <v>453.4</v>
      </c>
    </row>
    <row r="20" spans="1:14" x14ac:dyDescent="0.25">
      <c r="A20" s="34">
        <v>39448</v>
      </c>
      <c r="B20" s="1">
        <v>2809</v>
      </c>
      <c r="C20" s="34">
        <v>39448</v>
      </c>
      <c r="D20" s="1">
        <v>1180</v>
      </c>
      <c r="E20" s="34">
        <v>39448</v>
      </c>
      <c r="F20" s="1">
        <v>5.3</v>
      </c>
      <c r="G20" s="34">
        <v>39448</v>
      </c>
      <c r="H20" s="1">
        <v>0.06</v>
      </c>
      <c r="I20" s="34">
        <v>39448</v>
      </c>
      <c r="J20" s="1">
        <v>139.41999999999999</v>
      </c>
      <c r="K20" s="34">
        <v>39448</v>
      </c>
      <c r="L20" s="1">
        <v>2751.5</v>
      </c>
      <c r="M20" s="34">
        <v>39448</v>
      </c>
      <c r="N20" s="1">
        <v>441.5</v>
      </c>
    </row>
    <row r="21" spans="1:14" x14ac:dyDescent="0.25">
      <c r="A21" s="34">
        <v>39479</v>
      </c>
      <c r="B21" s="1">
        <v>2810.7</v>
      </c>
      <c r="C21" s="34">
        <v>39479</v>
      </c>
      <c r="D21" s="1">
        <v>836</v>
      </c>
      <c r="E21" s="34">
        <v>39479</v>
      </c>
      <c r="F21" s="1">
        <v>5.3</v>
      </c>
      <c r="G21" s="34">
        <v>39479</v>
      </c>
      <c r="H21" s="1">
        <v>-0.26</v>
      </c>
      <c r="I21" s="34">
        <v>39479</v>
      </c>
      <c r="J21" s="1">
        <v>139.46</v>
      </c>
      <c r="K21" s="34">
        <v>39479</v>
      </c>
      <c r="L21" s="1">
        <v>2764.9</v>
      </c>
      <c r="M21" s="34">
        <v>39479</v>
      </c>
      <c r="N21" s="1">
        <v>453.2</v>
      </c>
    </row>
    <row r="22" spans="1:14" x14ac:dyDescent="0.25">
      <c r="A22" s="34">
        <v>39508</v>
      </c>
      <c r="B22" s="1">
        <v>2803.4</v>
      </c>
      <c r="C22" s="34">
        <v>39508</v>
      </c>
      <c r="D22" s="1">
        <v>941</v>
      </c>
      <c r="E22" s="34">
        <v>39508</v>
      </c>
      <c r="F22" s="1">
        <v>5.3</v>
      </c>
      <c r="G22" s="34">
        <v>39508</v>
      </c>
      <c r="H22" s="1">
        <v>-0.61</v>
      </c>
      <c r="I22" s="34">
        <v>39508</v>
      </c>
      <c r="J22" s="1">
        <v>139.44999999999999</v>
      </c>
      <c r="K22" s="34">
        <v>39508</v>
      </c>
      <c r="L22" s="1">
        <v>2786.1</v>
      </c>
      <c r="M22" s="34">
        <v>39508</v>
      </c>
      <c r="N22" s="1">
        <v>454.5</v>
      </c>
    </row>
    <row r="23" spans="1:14" x14ac:dyDescent="0.25">
      <c r="A23" s="34">
        <v>39539</v>
      </c>
      <c r="B23" s="1">
        <v>2805.1</v>
      </c>
      <c r="C23" s="34">
        <v>39539</v>
      </c>
      <c r="D23" s="1">
        <v>1466</v>
      </c>
      <c r="E23" s="34">
        <v>39539</v>
      </c>
      <c r="F23" s="1">
        <v>5.4</v>
      </c>
      <c r="G23" s="34">
        <v>39539</v>
      </c>
      <c r="H23" s="1">
        <v>-0.93</v>
      </c>
      <c r="I23" s="34">
        <v>39539</v>
      </c>
      <c r="J23" s="1">
        <v>139.36000000000001</v>
      </c>
      <c r="K23" s="34">
        <v>39539</v>
      </c>
      <c r="L23" s="1">
        <v>2813.8</v>
      </c>
      <c r="M23" s="34">
        <v>39539</v>
      </c>
      <c r="N23" s="1">
        <v>457</v>
      </c>
    </row>
    <row r="24" spans="1:14" x14ac:dyDescent="0.25">
      <c r="A24" s="34">
        <v>39569</v>
      </c>
      <c r="B24" s="1">
        <v>2803.8</v>
      </c>
      <c r="C24" s="34">
        <v>39569</v>
      </c>
      <c r="D24" s="1">
        <v>1032</v>
      </c>
      <c r="E24" s="34">
        <v>39569</v>
      </c>
      <c r="F24" s="1">
        <v>5.6</v>
      </c>
      <c r="G24" s="34">
        <v>39569</v>
      </c>
      <c r="H24" s="1">
        <v>-1.05</v>
      </c>
      <c r="I24" s="34">
        <v>39569</v>
      </c>
      <c r="J24" s="1">
        <v>139.19999999999999</v>
      </c>
      <c r="K24" s="34">
        <v>39569</v>
      </c>
      <c r="L24" s="1">
        <v>2832.7</v>
      </c>
      <c r="M24" s="34">
        <v>39569</v>
      </c>
      <c r="N24" s="1">
        <v>458.6</v>
      </c>
    </row>
    <row r="25" spans="1:14" x14ac:dyDescent="0.25">
      <c r="A25" s="34">
        <v>39600</v>
      </c>
      <c r="B25" s="1">
        <v>2802.5</v>
      </c>
      <c r="C25" s="34">
        <v>39600</v>
      </c>
      <c r="D25" s="1">
        <v>1182</v>
      </c>
      <c r="E25" s="34">
        <v>39600</v>
      </c>
      <c r="F25" s="1">
        <v>5.8</v>
      </c>
      <c r="G25" s="34">
        <v>39600</v>
      </c>
      <c r="H25" s="1">
        <v>-0.96</v>
      </c>
      <c r="I25" s="34">
        <v>39600</v>
      </c>
      <c r="J25" s="1">
        <v>138.99</v>
      </c>
      <c r="K25" s="34">
        <v>39600</v>
      </c>
      <c r="L25" s="1">
        <v>2832.5</v>
      </c>
      <c r="M25" s="34">
        <v>39600</v>
      </c>
      <c r="N25" s="1">
        <v>446.9</v>
      </c>
    </row>
    <row r="26" spans="1:14" x14ac:dyDescent="0.25">
      <c r="A26" s="34">
        <v>39630</v>
      </c>
      <c r="B26" s="1">
        <v>2790</v>
      </c>
      <c r="C26" s="34">
        <v>39630</v>
      </c>
      <c r="D26" s="1">
        <v>1081</v>
      </c>
      <c r="E26" s="34">
        <v>39630</v>
      </c>
      <c r="F26" s="1">
        <v>6</v>
      </c>
      <c r="G26" s="34">
        <v>39630</v>
      </c>
      <c r="H26" s="1">
        <v>-1.33</v>
      </c>
      <c r="I26" s="34">
        <v>39630</v>
      </c>
      <c r="J26" s="1">
        <v>138.75</v>
      </c>
      <c r="K26" s="34">
        <v>39630</v>
      </c>
      <c r="L26" s="1">
        <v>2772.8</v>
      </c>
      <c r="M26" s="34">
        <v>39630</v>
      </c>
      <c r="N26" s="1">
        <v>402.9</v>
      </c>
    </row>
    <row r="27" spans="1:14" x14ac:dyDescent="0.25">
      <c r="A27" s="34">
        <v>39661</v>
      </c>
      <c r="B27" s="1">
        <v>2791.1</v>
      </c>
      <c r="C27" s="34">
        <v>39661</v>
      </c>
      <c r="D27" s="1">
        <v>1258</v>
      </c>
      <c r="E27" s="34">
        <v>39661</v>
      </c>
      <c r="F27" s="1">
        <v>6.1</v>
      </c>
      <c r="G27" s="34">
        <v>39661</v>
      </c>
      <c r="H27" s="1">
        <v>-1.72</v>
      </c>
      <c r="I27" s="34">
        <v>39661</v>
      </c>
      <c r="J27" s="1">
        <v>138.44</v>
      </c>
      <c r="K27" s="34">
        <v>39661</v>
      </c>
      <c r="L27" s="1">
        <v>2784.2</v>
      </c>
      <c r="M27" s="34">
        <v>39661</v>
      </c>
      <c r="N27" s="1">
        <v>412.2</v>
      </c>
    </row>
    <row r="28" spans="1:14" x14ac:dyDescent="0.25">
      <c r="A28" s="34">
        <v>39692</v>
      </c>
      <c r="B28" s="1">
        <v>2787.9</v>
      </c>
      <c r="C28" s="34">
        <v>39692</v>
      </c>
      <c r="D28" s="1">
        <v>912</v>
      </c>
      <c r="E28" s="34">
        <v>39692</v>
      </c>
      <c r="F28" s="1">
        <v>6.3</v>
      </c>
      <c r="G28" s="34">
        <v>39692</v>
      </c>
      <c r="H28" s="1">
        <v>-2.4</v>
      </c>
      <c r="I28" s="34">
        <v>39692</v>
      </c>
      <c r="J28" s="1">
        <v>138.04</v>
      </c>
      <c r="K28" s="34">
        <v>39692</v>
      </c>
      <c r="L28" s="1">
        <v>2807.4</v>
      </c>
      <c r="M28" s="34">
        <v>39692</v>
      </c>
      <c r="N28" s="1">
        <v>448.9</v>
      </c>
    </row>
    <row r="29" spans="1:14" x14ac:dyDescent="0.25">
      <c r="A29" s="34">
        <v>39722</v>
      </c>
      <c r="B29" s="1">
        <v>2781.6</v>
      </c>
      <c r="C29" s="34">
        <v>39722</v>
      </c>
      <c r="D29" s="1">
        <v>835</v>
      </c>
      <c r="E29" s="34">
        <v>39722</v>
      </c>
      <c r="F29" s="1">
        <v>6.5</v>
      </c>
      <c r="G29" s="34">
        <v>39722</v>
      </c>
      <c r="H29" s="1">
        <v>-3.5</v>
      </c>
      <c r="I29" s="34">
        <v>39722</v>
      </c>
      <c r="J29" s="1">
        <v>137.47999999999999</v>
      </c>
      <c r="K29" s="34">
        <v>39722</v>
      </c>
      <c r="L29" s="1">
        <v>2805.1</v>
      </c>
      <c r="M29" s="34">
        <v>39722</v>
      </c>
      <c r="N29" s="1">
        <v>459.2</v>
      </c>
    </row>
    <row r="30" spans="1:14" x14ac:dyDescent="0.25">
      <c r="A30" s="34">
        <v>39753</v>
      </c>
      <c r="B30" s="1">
        <v>2770.1</v>
      </c>
      <c r="C30" s="34">
        <v>39753</v>
      </c>
      <c r="D30" s="1">
        <v>718</v>
      </c>
      <c r="E30" s="34">
        <v>39753</v>
      </c>
      <c r="F30" s="1">
        <v>6.8</v>
      </c>
      <c r="G30" s="34">
        <v>39753</v>
      </c>
      <c r="H30" s="1">
        <v>-4.25</v>
      </c>
      <c r="I30" s="34">
        <v>39753</v>
      </c>
      <c r="J30" s="1">
        <v>136.72</v>
      </c>
      <c r="K30" s="34">
        <v>39753</v>
      </c>
      <c r="L30" s="1">
        <v>2791.4</v>
      </c>
      <c r="M30" s="34">
        <v>39753</v>
      </c>
      <c r="N30" s="1">
        <v>460.7</v>
      </c>
    </row>
    <row r="31" spans="1:14" x14ac:dyDescent="0.25">
      <c r="A31" s="34">
        <v>39783</v>
      </c>
      <c r="B31" s="1">
        <v>2756.4</v>
      </c>
      <c r="C31" s="34">
        <v>39783</v>
      </c>
      <c r="D31" s="1">
        <v>351</v>
      </c>
      <c r="E31" s="34">
        <v>39783</v>
      </c>
      <c r="F31" s="1">
        <v>7.1</v>
      </c>
      <c r="G31" s="34">
        <v>39783</v>
      </c>
      <c r="H31" s="1">
        <v>-5.3</v>
      </c>
      <c r="I31" s="34">
        <v>39783</v>
      </c>
      <c r="J31" s="1">
        <v>135.72</v>
      </c>
      <c r="K31" s="34">
        <v>39783</v>
      </c>
      <c r="L31" s="1">
        <v>2776.4</v>
      </c>
      <c r="M31" s="34">
        <v>39783</v>
      </c>
      <c r="N31" s="1">
        <v>460</v>
      </c>
    </row>
    <row r="32" spans="1:14" x14ac:dyDescent="0.25">
      <c r="A32" s="34">
        <v>39814</v>
      </c>
      <c r="B32" s="1">
        <v>2742.2</v>
      </c>
      <c r="C32" s="34">
        <v>39814</v>
      </c>
      <c r="D32" s="1">
        <v>389</v>
      </c>
      <c r="E32" s="34">
        <v>39814</v>
      </c>
      <c r="F32" s="1">
        <v>8.6</v>
      </c>
      <c r="G32" s="34">
        <v>39814</v>
      </c>
      <c r="H32" s="1">
        <v>-5.45</v>
      </c>
      <c r="I32" s="34">
        <v>39814</v>
      </c>
      <c r="J32" s="1">
        <v>134.52000000000001</v>
      </c>
      <c r="K32" s="34">
        <v>39814</v>
      </c>
      <c r="L32" s="1">
        <v>2686</v>
      </c>
      <c r="M32" s="34">
        <v>39814</v>
      </c>
      <c r="N32" s="1">
        <v>448.9</v>
      </c>
    </row>
    <row r="33" spans="1:14" x14ac:dyDescent="0.25">
      <c r="A33" s="34">
        <v>39845</v>
      </c>
      <c r="B33" s="1">
        <v>2730.1</v>
      </c>
      <c r="C33" s="34">
        <v>39845</v>
      </c>
      <c r="D33" s="1">
        <v>434</v>
      </c>
      <c r="E33" s="34">
        <v>39845</v>
      </c>
      <c r="F33" s="1">
        <v>9</v>
      </c>
      <c r="G33" s="34">
        <v>39845</v>
      </c>
      <c r="H33" s="1">
        <v>-2.0699999999999998</v>
      </c>
      <c r="I33" s="34">
        <v>39845</v>
      </c>
      <c r="J33" s="1">
        <v>133.38</v>
      </c>
      <c r="K33" s="34">
        <v>39845</v>
      </c>
      <c r="L33" s="1">
        <v>2684.2</v>
      </c>
      <c r="M33" s="34">
        <v>39845</v>
      </c>
      <c r="N33" s="1">
        <v>457.6</v>
      </c>
    </row>
    <row r="34" spans="1:14" x14ac:dyDescent="0.25">
      <c r="A34" s="34">
        <v>39873</v>
      </c>
      <c r="B34" s="1">
        <v>2713.9</v>
      </c>
      <c r="C34" s="34">
        <v>39873</v>
      </c>
      <c r="D34" s="1">
        <v>483</v>
      </c>
      <c r="E34" s="34">
        <v>39873</v>
      </c>
      <c r="F34" s="1">
        <v>9.1999999999999993</v>
      </c>
      <c r="G34" s="34">
        <v>39873</v>
      </c>
      <c r="H34" s="1">
        <v>-3.06</v>
      </c>
      <c r="I34" s="34">
        <v>39873</v>
      </c>
      <c r="J34" s="1">
        <v>132.38</v>
      </c>
      <c r="K34" s="34">
        <v>39873</v>
      </c>
      <c r="L34" s="1">
        <v>2698</v>
      </c>
      <c r="M34" s="34">
        <v>39873</v>
      </c>
      <c r="N34" s="1">
        <v>459.9</v>
      </c>
    </row>
    <row r="35" spans="1:14" x14ac:dyDescent="0.25">
      <c r="A35" s="34">
        <v>39904</v>
      </c>
      <c r="B35" s="1">
        <v>2696.5</v>
      </c>
      <c r="C35" s="34">
        <v>39904</v>
      </c>
      <c r="D35" s="1">
        <v>642</v>
      </c>
      <c r="E35" s="34">
        <v>39904</v>
      </c>
      <c r="F35" s="1">
        <v>9.3000000000000007</v>
      </c>
      <c r="G35" s="34">
        <v>39904</v>
      </c>
      <c r="H35" s="1">
        <v>-3.2</v>
      </c>
      <c r="I35" s="34">
        <v>39904</v>
      </c>
      <c r="J35" s="1">
        <v>131.49</v>
      </c>
      <c r="K35" s="34">
        <v>39904</v>
      </c>
      <c r="L35" s="1">
        <v>2714.4</v>
      </c>
      <c r="M35" s="34">
        <v>39904</v>
      </c>
      <c r="N35" s="1">
        <v>466.6</v>
      </c>
    </row>
    <row r="36" spans="1:14" x14ac:dyDescent="0.25">
      <c r="A36" s="34">
        <v>39934</v>
      </c>
      <c r="B36" s="1">
        <v>2692.6</v>
      </c>
      <c r="C36" s="34">
        <v>39934</v>
      </c>
      <c r="D36" s="1">
        <v>673</v>
      </c>
      <c r="E36" s="34">
        <v>39934</v>
      </c>
      <c r="F36" s="1">
        <v>9.5</v>
      </c>
      <c r="G36" s="34">
        <v>39934</v>
      </c>
      <c r="H36" s="1">
        <v>-2.38</v>
      </c>
      <c r="I36" s="34">
        <v>39934</v>
      </c>
      <c r="J36" s="1">
        <v>130.69999999999999</v>
      </c>
      <c r="K36" s="34">
        <v>39934</v>
      </c>
      <c r="L36" s="1">
        <v>2721.7</v>
      </c>
      <c r="M36" s="34">
        <v>39934</v>
      </c>
      <c r="N36" s="1">
        <v>466.5</v>
      </c>
    </row>
    <row r="37" spans="1:14" x14ac:dyDescent="0.25">
      <c r="A37" s="34">
        <v>39965</v>
      </c>
      <c r="B37" s="1">
        <v>2685.3</v>
      </c>
      <c r="C37" s="34">
        <v>39965</v>
      </c>
      <c r="D37" s="1">
        <v>1020</v>
      </c>
      <c r="E37" s="34">
        <v>39965</v>
      </c>
      <c r="F37" s="1">
        <v>9.6</v>
      </c>
      <c r="G37" s="34">
        <v>39965</v>
      </c>
      <c r="H37" s="1">
        <v>-1.45</v>
      </c>
      <c r="I37" s="34">
        <v>39965</v>
      </c>
      <c r="J37" s="1">
        <v>130.05000000000001</v>
      </c>
      <c r="K37" s="34">
        <v>39965</v>
      </c>
      <c r="L37" s="1">
        <v>2714.8</v>
      </c>
      <c r="M37" s="34">
        <v>39965</v>
      </c>
      <c r="N37" s="1">
        <v>453.2</v>
      </c>
    </row>
    <row r="38" spans="1:14" x14ac:dyDescent="0.25">
      <c r="A38" s="34">
        <v>39995</v>
      </c>
      <c r="B38" s="1">
        <v>2683.7</v>
      </c>
      <c r="C38" s="34">
        <v>39995</v>
      </c>
      <c r="D38" s="1">
        <v>881</v>
      </c>
      <c r="E38" s="34">
        <v>39995</v>
      </c>
      <c r="F38" s="1">
        <v>9.6</v>
      </c>
      <c r="G38" s="34">
        <v>39995</v>
      </c>
      <c r="H38" s="1">
        <v>-1.07</v>
      </c>
      <c r="I38" s="34">
        <v>39995</v>
      </c>
      <c r="J38" s="1">
        <v>129.52000000000001</v>
      </c>
      <c r="K38" s="34">
        <v>39995</v>
      </c>
      <c r="L38" s="1">
        <v>2656</v>
      </c>
      <c r="M38" s="34">
        <v>39995</v>
      </c>
      <c r="N38" s="1">
        <v>409.2</v>
      </c>
    </row>
    <row r="39" spans="1:14" x14ac:dyDescent="0.25">
      <c r="A39" s="34">
        <v>40026</v>
      </c>
      <c r="B39" s="1">
        <v>2677.7</v>
      </c>
      <c r="C39" s="34">
        <v>40026</v>
      </c>
      <c r="D39" s="1">
        <v>776</v>
      </c>
      <c r="E39" s="34">
        <v>40026</v>
      </c>
      <c r="F39" s="1">
        <v>9.6</v>
      </c>
      <c r="G39" s="34">
        <v>40026</v>
      </c>
      <c r="H39" s="1">
        <v>-1</v>
      </c>
      <c r="I39" s="34">
        <v>40026</v>
      </c>
      <c r="J39" s="1">
        <v>129.08000000000001</v>
      </c>
      <c r="K39" s="34">
        <v>40026</v>
      </c>
      <c r="L39" s="1">
        <v>2664.2</v>
      </c>
      <c r="M39" s="34">
        <v>40026</v>
      </c>
      <c r="N39" s="1">
        <v>415.3</v>
      </c>
    </row>
    <row r="40" spans="1:14" x14ac:dyDescent="0.25">
      <c r="A40" s="34">
        <v>40057</v>
      </c>
      <c r="B40" s="1">
        <v>2670.7</v>
      </c>
      <c r="C40" s="34">
        <v>40057</v>
      </c>
      <c r="D40" s="1">
        <v>784</v>
      </c>
      <c r="E40" s="34">
        <v>40057</v>
      </c>
      <c r="F40" s="1">
        <v>9.6</v>
      </c>
      <c r="G40" s="34">
        <v>40057</v>
      </c>
      <c r="H40" s="1">
        <v>-0.69</v>
      </c>
      <c r="I40" s="34">
        <v>40057</v>
      </c>
      <c r="J40" s="1">
        <v>128.72</v>
      </c>
      <c r="K40" s="34">
        <v>40057</v>
      </c>
      <c r="L40" s="1">
        <v>2687.7</v>
      </c>
      <c r="M40" s="34">
        <v>40057</v>
      </c>
      <c r="N40" s="1">
        <v>456.2</v>
      </c>
    </row>
    <row r="41" spans="1:14" x14ac:dyDescent="0.25">
      <c r="A41" s="34">
        <v>40087</v>
      </c>
      <c r="B41" s="1">
        <v>2663.8</v>
      </c>
      <c r="C41" s="34">
        <v>40087</v>
      </c>
      <c r="D41" s="1">
        <v>707</v>
      </c>
      <c r="E41" s="34">
        <v>40087</v>
      </c>
      <c r="F41" s="1">
        <v>9.6</v>
      </c>
      <c r="G41" s="34">
        <v>40087</v>
      </c>
      <c r="H41" s="1">
        <v>-0.21</v>
      </c>
      <c r="I41" s="34">
        <v>40087</v>
      </c>
      <c r="J41" s="1">
        <v>128.43</v>
      </c>
      <c r="K41" s="34">
        <v>40087</v>
      </c>
      <c r="L41" s="1">
        <v>2687.4</v>
      </c>
      <c r="M41" s="34">
        <v>40087</v>
      </c>
      <c r="N41" s="1">
        <v>463.9</v>
      </c>
    </row>
    <row r="42" spans="1:14" x14ac:dyDescent="0.25">
      <c r="A42" s="34">
        <v>40118</v>
      </c>
      <c r="B42" s="1">
        <v>2662.5</v>
      </c>
      <c r="C42" s="34">
        <v>40118</v>
      </c>
      <c r="D42" s="1">
        <v>602</v>
      </c>
      <c r="E42" s="34">
        <v>40118</v>
      </c>
      <c r="F42" s="1">
        <v>9.5</v>
      </c>
      <c r="G42" s="34">
        <v>40118</v>
      </c>
      <c r="H42" s="1">
        <v>-0.05</v>
      </c>
      <c r="I42" s="34">
        <v>40118</v>
      </c>
      <c r="J42" s="1">
        <v>128.21</v>
      </c>
      <c r="K42" s="34">
        <v>40118</v>
      </c>
      <c r="L42" s="1">
        <v>2684</v>
      </c>
      <c r="M42" s="34">
        <v>40118</v>
      </c>
      <c r="N42" s="1">
        <v>463.5</v>
      </c>
    </row>
    <row r="43" spans="1:14" x14ac:dyDescent="0.25">
      <c r="A43" s="34">
        <v>40148</v>
      </c>
      <c r="B43" s="1">
        <v>2658.4</v>
      </c>
      <c r="C43" s="34">
        <v>40148</v>
      </c>
      <c r="D43" s="1">
        <v>965</v>
      </c>
      <c r="E43" s="34">
        <v>40148</v>
      </c>
      <c r="F43" s="1">
        <v>9.5</v>
      </c>
      <c r="G43" s="34">
        <v>40148</v>
      </c>
      <c r="H43" s="1">
        <v>-0.06</v>
      </c>
      <c r="I43" s="34">
        <v>40148</v>
      </c>
      <c r="J43" s="1">
        <v>128.05000000000001</v>
      </c>
      <c r="K43" s="34">
        <v>40148</v>
      </c>
      <c r="L43" s="1">
        <v>2678.2</v>
      </c>
      <c r="M43" s="34">
        <v>40148</v>
      </c>
      <c r="N43" s="1">
        <v>462.1</v>
      </c>
    </row>
    <row r="44" spans="1:14" x14ac:dyDescent="0.25">
      <c r="A44" s="34">
        <v>40179</v>
      </c>
      <c r="B44" s="1">
        <v>2652.1</v>
      </c>
      <c r="C44" s="34">
        <v>40179</v>
      </c>
      <c r="D44" s="1">
        <v>417</v>
      </c>
      <c r="E44" s="34">
        <v>40179</v>
      </c>
      <c r="F44" s="1">
        <v>9.5</v>
      </c>
      <c r="G44" s="34">
        <v>40179</v>
      </c>
      <c r="H44" s="1">
        <v>0.32</v>
      </c>
      <c r="I44" s="34">
        <v>40179</v>
      </c>
      <c r="J44" s="1">
        <v>127.95</v>
      </c>
      <c r="K44" s="34">
        <v>40179</v>
      </c>
      <c r="L44" s="1">
        <v>2596.9</v>
      </c>
      <c r="M44" s="34">
        <v>40179</v>
      </c>
      <c r="N44" s="1">
        <v>449.9</v>
      </c>
    </row>
    <row r="45" spans="1:14" x14ac:dyDescent="0.25">
      <c r="A45" s="34">
        <v>40210</v>
      </c>
      <c r="B45" s="1">
        <v>2655</v>
      </c>
      <c r="C45" s="34">
        <v>40210</v>
      </c>
      <c r="D45" s="1">
        <v>533</v>
      </c>
      <c r="E45" s="34">
        <v>40210</v>
      </c>
      <c r="F45" s="1">
        <v>9.5</v>
      </c>
      <c r="G45" s="34">
        <v>40210</v>
      </c>
      <c r="H45" s="1">
        <v>0.81</v>
      </c>
      <c r="I45" s="34">
        <v>40210</v>
      </c>
      <c r="J45" s="1">
        <v>127.93</v>
      </c>
      <c r="K45" s="34">
        <v>40210</v>
      </c>
      <c r="L45" s="1">
        <v>2609.1</v>
      </c>
      <c r="M45" s="34">
        <v>40210</v>
      </c>
      <c r="N45" s="1">
        <v>459.3</v>
      </c>
    </row>
    <row r="46" spans="1:14" x14ac:dyDescent="0.25">
      <c r="A46" s="34">
        <v>40238</v>
      </c>
      <c r="B46" s="1">
        <v>2655.4</v>
      </c>
      <c r="C46" s="34">
        <v>40238</v>
      </c>
      <c r="D46" s="1">
        <v>982</v>
      </c>
      <c r="E46" s="34">
        <v>40238</v>
      </c>
      <c r="F46" s="1">
        <v>9.4</v>
      </c>
      <c r="G46" s="34">
        <v>40238</v>
      </c>
      <c r="H46" s="1">
        <v>0.93</v>
      </c>
      <c r="I46" s="34">
        <v>40238</v>
      </c>
      <c r="J46" s="1">
        <v>127.99</v>
      </c>
      <c r="K46" s="34">
        <v>40238</v>
      </c>
      <c r="L46" s="1">
        <v>2639.3</v>
      </c>
      <c r="M46" s="34">
        <v>40238</v>
      </c>
      <c r="N46" s="1">
        <v>462.5</v>
      </c>
    </row>
    <row r="47" spans="1:14" x14ac:dyDescent="0.25">
      <c r="A47" s="34">
        <v>40269</v>
      </c>
      <c r="B47" s="1">
        <v>2654.2</v>
      </c>
      <c r="C47" s="34">
        <v>40269</v>
      </c>
      <c r="D47" s="1">
        <v>808</v>
      </c>
      <c r="E47" s="34">
        <v>40269</v>
      </c>
      <c r="F47" s="1">
        <v>9.4</v>
      </c>
      <c r="G47" s="34">
        <v>40269</v>
      </c>
      <c r="H47" s="1">
        <v>0.74</v>
      </c>
      <c r="I47" s="34">
        <v>40269</v>
      </c>
      <c r="J47" s="1">
        <v>128.09</v>
      </c>
      <c r="K47" s="34">
        <v>40269</v>
      </c>
      <c r="L47" s="1">
        <v>2672.6</v>
      </c>
      <c r="M47" s="34">
        <v>40269</v>
      </c>
      <c r="N47" s="1">
        <v>463</v>
      </c>
    </row>
    <row r="48" spans="1:14" x14ac:dyDescent="0.25">
      <c r="A48" s="34">
        <v>40299</v>
      </c>
      <c r="B48" s="1">
        <v>2660.9</v>
      </c>
      <c r="C48" s="34">
        <v>40299</v>
      </c>
      <c r="D48" s="1">
        <v>663</v>
      </c>
      <c r="E48" s="34">
        <v>40299</v>
      </c>
      <c r="F48" s="1">
        <v>9.3000000000000007</v>
      </c>
      <c r="G48" s="34">
        <v>40299</v>
      </c>
      <c r="H48" s="1">
        <v>0.53</v>
      </c>
      <c r="I48" s="34">
        <v>40299</v>
      </c>
      <c r="J48" s="1">
        <v>128.21</v>
      </c>
      <c r="K48" s="34">
        <v>40299</v>
      </c>
      <c r="L48" s="1">
        <v>2691.3</v>
      </c>
      <c r="M48" s="34">
        <v>40299</v>
      </c>
      <c r="N48" s="1">
        <v>471</v>
      </c>
    </row>
    <row r="49" spans="1:14" x14ac:dyDescent="0.25">
      <c r="A49" s="34">
        <v>40330</v>
      </c>
      <c r="B49" s="1">
        <v>2652.4</v>
      </c>
      <c r="C49" s="34">
        <v>40330</v>
      </c>
      <c r="D49" s="1">
        <v>727</v>
      </c>
      <c r="E49" s="34">
        <v>40330</v>
      </c>
      <c r="F49" s="1">
        <v>9.3000000000000007</v>
      </c>
      <c r="G49" s="34">
        <v>40330</v>
      </c>
      <c r="H49" s="1">
        <v>0.28999999999999998</v>
      </c>
      <c r="I49" s="34">
        <v>40330</v>
      </c>
      <c r="J49" s="1">
        <v>128.31</v>
      </c>
      <c r="K49" s="34">
        <v>40330</v>
      </c>
      <c r="L49" s="1">
        <v>2681.4</v>
      </c>
      <c r="M49" s="34">
        <v>40330</v>
      </c>
      <c r="N49" s="1">
        <v>446.6</v>
      </c>
    </row>
    <row r="50" spans="1:14" x14ac:dyDescent="0.25">
      <c r="A50" s="34">
        <v>40360</v>
      </c>
      <c r="B50" s="1">
        <v>2658.8</v>
      </c>
      <c r="C50" s="34">
        <v>40360</v>
      </c>
      <c r="D50" s="1">
        <v>638</v>
      </c>
      <c r="E50" s="34">
        <v>40360</v>
      </c>
      <c r="F50" s="1">
        <v>9.3000000000000007</v>
      </c>
      <c r="G50" s="34">
        <v>40360</v>
      </c>
      <c r="H50" s="1">
        <v>0.18</v>
      </c>
      <c r="I50" s="34">
        <v>40360</v>
      </c>
      <c r="J50" s="1">
        <v>128.38</v>
      </c>
      <c r="K50" s="34">
        <v>40360</v>
      </c>
      <c r="L50" s="1">
        <v>2631</v>
      </c>
      <c r="M50" s="34">
        <v>40360</v>
      </c>
      <c r="N50" s="1">
        <v>398.2</v>
      </c>
    </row>
    <row r="51" spans="1:14" x14ac:dyDescent="0.25">
      <c r="A51" s="34">
        <v>40391</v>
      </c>
      <c r="B51" s="1">
        <v>2672.7</v>
      </c>
      <c r="C51" s="34">
        <v>40391</v>
      </c>
      <c r="D51" s="1">
        <v>886</v>
      </c>
      <c r="E51" s="34">
        <v>40391</v>
      </c>
      <c r="F51" s="1">
        <v>9.3000000000000007</v>
      </c>
      <c r="G51" s="34">
        <v>40391</v>
      </c>
      <c r="H51" s="1">
        <v>0.28000000000000003</v>
      </c>
      <c r="I51" s="34">
        <v>40391</v>
      </c>
      <c r="J51" s="1">
        <v>128.43</v>
      </c>
      <c r="K51" s="34">
        <v>40391</v>
      </c>
      <c r="L51" s="1">
        <v>2658.7</v>
      </c>
      <c r="M51" s="34">
        <v>40391</v>
      </c>
      <c r="N51" s="1">
        <v>420.1</v>
      </c>
    </row>
    <row r="52" spans="1:14" x14ac:dyDescent="0.25">
      <c r="A52" s="34">
        <v>40422</v>
      </c>
      <c r="B52" s="1">
        <v>2661.2</v>
      </c>
      <c r="C52" s="34">
        <v>40422</v>
      </c>
      <c r="D52" s="1">
        <v>807</v>
      </c>
      <c r="E52" s="34">
        <v>40422</v>
      </c>
      <c r="F52" s="1">
        <v>9.3000000000000007</v>
      </c>
      <c r="G52" s="34">
        <v>40422</v>
      </c>
      <c r="H52" s="1">
        <v>-0.17</v>
      </c>
      <c r="I52" s="34">
        <v>40422</v>
      </c>
      <c r="J52" s="1">
        <v>128.46</v>
      </c>
      <c r="K52" s="34">
        <v>40422</v>
      </c>
      <c r="L52" s="1">
        <v>2675.9</v>
      </c>
      <c r="M52" s="34">
        <v>40422</v>
      </c>
      <c r="N52" s="1">
        <v>448</v>
      </c>
    </row>
    <row r="53" spans="1:14" x14ac:dyDescent="0.25">
      <c r="A53" s="34">
        <v>40452</v>
      </c>
      <c r="B53" s="1">
        <v>2662.6</v>
      </c>
      <c r="C53" s="34">
        <v>40452</v>
      </c>
      <c r="D53" s="1">
        <v>653</v>
      </c>
      <c r="E53" s="34">
        <v>40452</v>
      </c>
      <c r="F53" s="1">
        <v>9.3000000000000007</v>
      </c>
      <c r="G53" s="34">
        <v>40452</v>
      </c>
      <c r="H53" s="1">
        <v>-0.05</v>
      </c>
      <c r="I53" s="34">
        <v>40452</v>
      </c>
      <c r="J53" s="1">
        <v>128.46</v>
      </c>
      <c r="K53" s="34">
        <v>40452</v>
      </c>
      <c r="L53" s="1">
        <v>2683.9</v>
      </c>
      <c r="M53" s="34">
        <v>40452</v>
      </c>
      <c r="N53" s="1">
        <v>451.4</v>
      </c>
    </row>
    <row r="54" spans="1:14" x14ac:dyDescent="0.25">
      <c r="A54" s="34">
        <v>40483</v>
      </c>
      <c r="B54" s="1">
        <v>2661.8</v>
      </c>
      <c r="C54" s="34">
        <v>40483</v>
      </c>
      <c r="D54" s="1">
        <v>602</v>
      </c>
      <c r="E54" s="34">
        <v>40483</v>
      </c>
      <c r="F54" s="1">
        <v>9.3000000000000007</v>
      </c>
      <c r="G54" s="34">
        <v>40483</v>
      </c>
      <c r="H54" s="1">
        <v>0.25</v>
      </c>
      <c r="I54" s="34">
        <v>40483</v>
      </c>
      <c r="J54" s="1">
        <v>128.46</v>
      </c>
      <c r="K54" s="34">
        <v>40483</v>
      </c>
      <c r="L54" s="1">
        <v>2682.8</v>
      </c>
      <c r="M54" s="34">
        <v>40483</v>
      </c>
      <c r="N54" s="1">
        <v>452.5</v>
      </c>
    </row>
    <row r="55" spans="1:14" x14ac:dyDescent="0.25">
      <c r="A55" s="34">
        <v>40513</v>
      </c>
      <c r="B55" s="1">
        <v>2662.6</v>
      </c>
      <c r="C55" s="34">
        <v>40513</v>
      </c>
      <c r="D55" s="1">
        <v>547</v>
      </c>
      <c r="E55" s="34">
        <v>40513</v>
      </c>
      <c r="F55" s="1">
        <v>9.1999999999999993</v>
      </c>
      <c r="G55" s="34">
        <v>40513</v>
      </c>
      <c r="H55" s="1">
        <v>0.67</v>
      </c>
      <c r="I55" s="34">
        <v>40513</v>
      </c>
      <c r="J55" s="1">
        <v>128.49</v>
      </c>
      <c r="K55" s="34">
        <v>40513</v>
      </c>
      <c r="L55" s="1">
        <v>2677.4</v>
      </c>
      <c r="M55" s="34">
        <v>40513</v>
      </c>
      <c r="N55" s="1">
        <v>450</v>
      </c>
    </row>
    <row r="56" spans="1:14" x14ac:dyDescent="0.25">
      <c r="A56" s="34">
        <v>40544</v>
      </c>
      <c r="B56" s="1">
        <v>2660.6</v>
      </c>
      <c r="C56" s="34">
        <v>40544</v>
      </c>
      <c r="D56" s="1">
        <v>318</v>
      </c>
      <c r="E56" s="34">
        <v>40544</v>
      </c>
      <c r="F56" s="1">
        <v>9</v>
      </c>
      <c r="G56" s="34">
        <v>40544</v>
      </c>
      <c r="H56" s="1">
        <v>0.97</v>
      </c>
      <c r="I56" s="34">
        <v>40544</v>
      </c>
      <c r="J56" s="1">
        <v>128.58000000000001</v>
      </c>
      <c r="K56" s="34">
        <v>40544</v>
      </c>
      <c r="L56" s="1">
        <v>2606.6999999999998</v>
      </c>
      <c r="M56" s="34">
        <v>40544</v>
      </c>
      <c r="N56" s="1">
        <v>442.6</v>
      </c>
    </row>
    <row r="57" spans="1:14" x14ac:dyDescent="0.25">
      <c r="A57" s="34">
        <v>40575</v>
      </c>
      <c r="B57" s="1">
        <v>2657.6</v>
      </c>
      <c r="C57" s="34">
        <v>40575</v>
      </c>
      <c r="D57" s="1">
        <v>767</v>
      </c>
      <c r="E57" s="34">
        <v>40575</v>
      </c>
      <c r="F57" s="1">
        <v>8.8000000000000007</v>
      </c>
      <c r="G57" s="34">
        <v>40575</v>
      </c>
      <c r="H57" s="1">
        <v>0.72</v>
      </c>
      <c r="I57" s="34">
        <v>40575</v>
      </c>
      <c r="J57" s="1">
        <v>128.69999999999999</v>
      </c>
      <c r="K57" s="34">
        <v>40575</v>
      </c>
      <c r="L57" s="1">
        <v>2612.3000000000002</v>
      </c>
      <c r="M57" s="34">
        <v>40575</v>
      </c>
      <c r="N57" s="1">
        <v>447.8</v>
      </c>
    </row>
    <row r="58" spans="1:14" x14ac:dyDescent="0.25">
      <c r="A58" s="34">
        <v>40603</v>
      </c>
      <c r="B58" s="1">
        <v>2661.9</v>
      </c>
      <c r="C58" s="34">
        <v>40603</v>
      </c>
      <c r="D58" s="1">
        <v>675</v>
      </c>
      <c r="E58" s="34">
        <v>40603</v>
      </c>
      <c r="F58" s="1">
        <v>8.6999999999999993</v>
      </c>
      <c r="G58" s="34">
        <v>40603</v>
      </c>
      <c r="H58" s="1">
        <v>0.52</v>
      </c>
      <c r="I58" s="34">
        <v>40603</v>
      </c>
      <c r="J58" s="1">
        <v>128.82</v>
      </c>
      <c r="K58" s="34">
        <v>40603</v>
      </c>
      <c r="L58" s="1">
        <v>2646.6</v>
      </c>
      <c r="M58" s="34">
        <v>40603</v>
      </c>
      <c r="N58" s="1">
        <v>450.1</v>
      </c>
    </row>
    <row r="59" spans="1:14" x14ac:dyDescent="0.25">
      <c r="A59" s="34">
        <v>40634</v>
      </c>
      <c r="B59" s="1">
        <v>2666.9</v>
      </c>
      <c r="C59" s="34">
        <v>40634</v>
      </c>
      <c r="D59" s="1">
        <v>849</v>
      </c>
      <c r="E59" s="34">
        <v>40634</v>
      </c>
      <c r="F59" s="1">
        <v>8.6</v>
      </c>
      <c r="G59" s="34">
        <v>40634</v>
      </c>
      <c r="H59" s="1">
        <v>0.63</v>
      </c>
      <c r="I59" s="34">
        <v>40634</v>
      </c>
      <c r="J59" s="1">
        <v>128.94</v>
      </c>
      <c r="K59" s="34">
        <v>40634</v>
      </c>
      <c r="L59" s="1">
        <v>2687</v>
      </c>
      <c r="M59" s="34">
        <v>40634</v>
      </c>
      <c r="N59" s="1">
        <v>453.9</v>
      </c>
    </row>
    <row r="60" spans="1:14" x14ac:dyDescent="0.25">
      <c r="A60" s="34">
        <v>40664</v>
      </c>
      <c r="B60" s="1">
        <v>2666.9</v>
      </c>
      <c r="C60" s="34">
        <v>40664</v>
      </c>
      <c r="D60" s="1">
        <v>717</v>
      </c>
      <c r="E60" s="34">
        <v>40664</v>
      </c>
      <c r="F60" s="1">
        <v>8.6</v>
      </c>
      <c r="G60" s="34">
        <v>40664</v>
      </c>
      <c r="H60" s="1">
        <v>0.45</v>
      </c>
      <c r="I60" s="34">
        <v>40664</v>
      </c>
      <c r="J60" s="1">
        <v>129.05000000000001</v>
      </c>
      <c r="K60" s="34">
        <v>40664</v>
      </c>
      <c r="L60" s="1">
        <v>2698.2</v>
      </c>
      <c r="M60" s="34">
        <v>40664</v>
      </c>
      <c r="N60" s="1">
        <v>455.1</v>
      </c>
    </row>
    <row r="61" spans="1:14" x14ac:dyDescent="0.25">
      <c r="A61" s="34">
        <v>40695</v>
      </c>
      <c r="B61" s="1">
        <v>2664.9</v>
      </c>
      <c r="C61" s="34">
        <v>40695</v>
      </c>
      <c r="D61" s="1">
        <v>1021</v>
      </c>
      <c r="E61" s="34">
        <v>40695</v>
      </c>
      <c r="F61" s="1">
        <v>8.6</v>
      </c>
      <c r="G61" s="34">
        <v>40695</v>
      </c>
      <c r="H61" s="1">
        <v>0.68</v>
      </c>
      <c r="I61" s="34">
        <v>40695</v>
      </c>
      <c r="J61" s="1">
        <v>129.13999999999999</v>
      </c>
      <c r="K61" s="34">
        <v>40695</v>
      </c>
      <c r="L61" s="1">
        <v>2689.4</v>
      </c>
      <c r="M61" s="34">
        <v>40695</v>
      </c>
      <c r="N61" s="1">
        <v>436.1</v>
      </c>
    </row>
    <row r="62" spans="1:14" x14ac:dyDescent="0.25">
      <c r="A62" s="34">
        <v>40725</v>
      </c>
      <c r="B62" s="1">
        <v>2671.5</v>
      </c>
      <c r="C62" s="34">
        <v>40725</v>
      </c>
      <c r="D62" s="1">
        <v>701</v>
      </c>
      <c r="E62" s="34">
        <v>40725</v>
      </c>
      <c r="F62" s="1">
        <v>8.6</v>
      </c>
      <c r="G62" s="34">
        <v>40725</v>
      </c>
      <c r="H62" s="1">
        <v>1.17</v>
      </c>
      <c r="I62" s="34">
        <v>40725</v>
      </c>
      <c r="J62" s="1">
        <v>129.26</v>
      </c>
      <c r="K62" s="34">
        <v>40725</v>
      </c>
      <c r="L62" s="1">
        <v>2646.4</v>
      </c>
      <c r="M62" s="34">
        <v>40725</v>
      </c>
      <c r="N62" s="1">
        <v>394</v>
      </c>
    </row>
    <row r="63" spans="1:14" x14ac:dyDescent="0.25">
      <c r="A63" s="34">
        <v>40756</v>
      </c>
      <c r="B63" s="1">
        <v>2669</v>
      </c>
      <c r="C63" s="34">
        <v>40756</v>
      </c>
      <c r="D63" s="1">
        <v>786</v>
      </c>
      <c r="E63" s="34">
        <v>40756</v>
      </c>
      <c r="F63" s="1">
        <v>8.5</v>
      </c>
      <c r="G63" s="34">
        <v>40756</v>
      </c>
      <c r="H63" s="1">
        <v>1.44</v>
      </c>
      <c r="I63" s="34">
        <v>40756</v>
      </c>
      <c r="J63" s="1">
        <v>129.41999999999999</v>
      </c>
      <c r="K63" s="34">
        <v>40756</v>
      </c>
      <c r="L63" s="1">
        <v>2654.3</v>
      </c>
      <c r="M63" s="34">
        <v>40756</v>
      </c>
      <c r="N63" s="1">
        <v>401.3</v>
      </c>
    </row>
    <row r="64" spans="1:14" x14ac:dyDescent="0.25">
      <c r="A64" s="34">
        <v>40787</v>
      </c>
      <c r="B64" s="1">
        <v>2672</v>
      </c>
      <c r="C64" s="34">
        <v>40787</v>
      </c>
      <c r="D64" s="1">
        <v>714</v>
      </c>
      <c r="E64" s="34">
        <v>40787</v>
      </c>
      <c r="F64" s="1">
        <v>8.3000000000000007</v>
      </c>
      <c r="G64" s="34">
        <v>40787</v>
      </c>
      <c r="H64" s="1">
        <v>1.64</v>
      </c>
      <c r="I64" s="34">
        <v>40787</v>
      </c>
      <c r="J64" s="1">
        <v>129.63999999999999</v>
      </c>
      <c r="K64" s="34">
        <v>40787</v>
      </c>
      <c r="L64" s="1">
        <v>2685</v>
      </c>
      <c r="M64" s="34">
        <v>40787</v>
      </c>
      <c r="N64" s="1">
        <v>440.8</v>
      </c>
    </row>
    <row r="65" spans="1:14" x14ac:dyDescent="0.25">
      <c r="A65" s="34">
        <v>40817</v>
      </c>
      <c r="B65" s="1">
        <v>2669.3</v>
      </c>
      <c r="C65" s="34">
        <v>40817</v>
      </c>
      <c r="D65" s="1">
        <v>611</v>
      </c>
      <c r="E65" s="34">
        <v>40817</v>
      </c>
      <c r="F65" s="1">
        <v>8.1</v>
      </c>
      <c r="G65" s="34">
        <v>40817</v>
      </c>
      <c r="H65" s="1">
        <v>1.55</v>
      </c>
      <c r="I65" s="34">
        <v>40817</v>
      </c>
      <c r="J65" s="1">
        <v>129.91999999999999</v>
      </c>
      <c r="K65" s="34">
        <v>40817</v>
      </c>
      <c r="L65" s="1">
        <v>2690.2</v>
      </c>
      <c r="M65" s="34">
        <v>40817</v>
      </c>
      <c r="N65" s="1">
        <v>447.2</v>
      </c>
    </row>
    <row r="66" spans="1:14" x14ac:dyDescent="0.25">
      <c r="A66" s="34">
        <v>40848</v>
      </c>
      <c r="B66" s="1">
        <v>2671.9</v>
      </c>
      <c r="C66" s="34">
        <v>40848</v>
      </c>
      <c r="D66" s="1">
        <v>619</v>
      </c>
      <c r="E66" s="34">
        <v>40848</v>
      </c>
      <c r="F66" s="1">
        <v>7.8</v>
      </c>
      <c r="G66" s="34">
        <v>40848</v>
      </c>
      <c r="H66" s="1">
        <v>1.66</v>
      </c>
      <c r="I66" s="34">
        <v>40848</v>
      </c>
      <c r="J66" s="1">
        <v>130.25</v>
      </c>
      <c r="K66" s="34">
        <v>40848</v>
      </c>
      <c r="L66" s="1">
        <v>2692.9</v>
      </c>
      <c r="M66" s="34">
        <v>40848</v>
      </c>
      <c r="N66" s="1">
        <v>449.4</v>
      </c>
    </row>
    <row r="67" spans="1:14" x14ac:dyDescent="0.25">
      <c r="A67" s="34">
        <v>40878</v>
      </c>
      <c r="B67" s="1">
        <v>2676.6</v>
      </c>
      <c r="C67" s="34">
        <v>40878</v>
      </c>
      <c r="D67" s="1">
        <v>442</v>
      </c>
      <c r="E67" s="34">
        <v>40878</v>
      </c>
      <c r="F67" s="1">
        <v>7.6</v>
      </c>
      <c r="G67" s="34">
        <v>40878</v>
      </c>
      <c r="H67" s="1">
        <v>1.72</v>
      </c>
      <c r="I67" s="34">
        <v>40878</v>
      </c>
      <c r="J67" s="1">
        <v>130.6</v>
      </c>
      <c r="K67" s="34">
        <v>40878</v>
      </c>
      <c r="L67" s="1">
        <v>2691.3</v>
      </c>
      <c r="M67" s="34">
        <v>40878</v>
      </c>
      <c r="N67" s="1">
        <v>448.9</v>
      </c>
    </row>
    <row r="68" spans="1:14" x14ac:dyDescent="0.25">
      <c r="A68" s="34">
        <v>40909</v>
      </c>
      <c r="B68" s="1">
        <v>2678.4</v>
      </c>
      <c r="C68" s="34">
        <v>40909</v>
      </c>
      <c r="D68" s="1">
        <v>543</v>
      </c>
      <c r="E68" s="34">
        <v>40909</v>
      </c>
      <c r="F68" s="1">
        <v>7.3</v>
      </c>
      <c r="G68" s="34">
        <v>40909</v>
      </c>
      <c r="H68" s="1">
        <v>1.55</v>
      </c>
      <c r="I68" s="34">
        <v>40909</v>
      </c>
      <c r="J68" s="1">
        <v>130.97</v>
      </c>
      <c r="K68" s="34">
        <v>40909</v>
      </c>
      <c r="L68" s="1">
        <v>2625.3</v>
      </c>
      <c r="M68" s="34">
        <v>40909</v>
      </c>
      <c r="N68" s="1">
        <v>436.9</v>
      </c>
    </row>
    <row r="69" spans="1:14" x14ac:dyDescent="0.25">
      <c r="A69" s="34">
        <v>40940</v>
      </c>
      <c r="B69" s="1">
        <v>2677.6</v>
      </c>
      <c r="C69" s="34">
        <v>40940</v>
      </c>
      <c r="D69" s="1">
        <v>735</v>
      </c>
      <c r="E69" s="34">
        <v>40940</v>
      </c>
      <c r="F69" s="1">
        <v>7.1</v>
      </c>
      <c r="G69" s="34">
        <v>40940</v>
      </c>
      <c r="H69" s="1">
        <v>1</v>
      </c>
      <c r="I69" s="34">
        <v>40940</v>
      </c>
      <c r="J69" s="1">
        <v>131.29</v>
      </c>
      <c r="K69" s="34">
        <v>40940</v>
      </c>
      <c r="L69" s="1">
        <v>2637</v>
      </c>
      <c r="M69" s="34">
        <v>40940</v>
      </c>
      <c r="N69" s="1">
        <v>447.1</v>
      </c>
    </row>
    <row r="70" spans="1:14" x14ac:dyDescent="0.25">
      <c r="A70" s="34">
        <v>40969</v>
      </c>
      <c r="B70" s="1">
        <v>2681.6</v>
      </c>
      <c r="C70" s="34">
        <v>40969</v>
      </c>
      <c r="D70" s="1">
        <v>883</v>
      </c>
      <c r="E70" s="34">
        <v>40969</v>
      </c>
      <c r="F70" s="1">
        <v>7.1</v>
      </c>
      <c r="G70" s="34">
        <v>40969</v>
      </c>
      <c r="H70" s="1">
        <v>1.05</v>
      </c>
      <c r="I70" s="34">
        <v>40969</v>
      </c>
      <c r="J70" s="1">
        <v>131.56</v>
      </c>
      <c r="K70" s="34">
        <v>40969</v>
      </c>
      <c r="L70" s="1">
        <v>2667.3</v>
      </c>
      <c r="M70" s="34">
        <v>40969</v>
      </c>
      <c r="N70" s="1">
        <v>449.3</v>
      </c>
    </row>
    <row r="71" spans="1:14" x14ac:dyDescent="0.25">
      <c r="A71" s="34">
        <v>41000</v>
      </c>
      <c r="B71" s="1">
        <v>2681.7</v>
      </c>
      <c r="C71" s="34">
        <v>41000</v>
      </c>
      <c r="D71" s="1">
        <v>727</v>
      </c>
      <c r="E71" s="34">
        <v>41000</v>
      </c>
      <c r="F71" s="1">
        <v>7</v>
      </c>
      <c r="G71" s="34">
        <v>41000</v>
      </c>
      <c r="H71" s="1">
        <v>1.34</v>
      </c>
      <c r="I71" s="34">
        <v>41000</v>
      </c>
      <c r="J71" s="1">
        <v>131.80000000000001</v>
      </c>
      <c r="K71" s="34">
        <v>41000</v>
      </c>
      <c r="L71" s="1">
        <v>2694.7</v>
      </c>
      <c r="M71" s="34">
        <v>41000</v>
      </c>
      <c r="N71" s="1">
        <v>452.9</v>
      </c>
    </row>
    <row r="72" spans="1:14" x14ac:dyDescent="0.25">
      <c r="A72" s="34">
        <v>41030</v>
      </c>
      <c r="B72" s="1">
        <v>2681.6</v>
      </c>
      <c r="C72" s="34">
        <v>41030</v>
      </c>
      <c r="D72" s="1">
        <v>1023</v>
      </c>
      <c r="E72" s="34">
        <v>41030</v>
      </c>
      <c r="F72" s="1">
        <v>7</v>
      </c>
      <c r="G72" s="34">
        <v>41030</v>
      </c>
      <c r="H72" s="1">
        <v>1.1100000000000001</v>
      </c>
      <c r="I72" s="34">
        <v>41030</v>
      </c>
      <c r="J72" s="1">
        <v>132.02000000000001</v>
      </c>
      <c r="K72" s="34">
        <v>41030</v>
      </c>
      <c r="L72" s="1">
        <v>2713</v>
      </c>
      <c r="M72" s="34">
        <v>41030</v>
      </c>
      <c r="N72" s="1">
        <v>454.6</v>
      </c>
    </row>
    <row r="73" spans="1:14" x14ac:dyDescent="0.25">
      <c r="A73" s="34">
        <v>41061</v>
      </c>
      <c r="B73" s="1">
        <v>2687.1</v>
      </c>
      <c r="C73" s="34">
        <v>41061</v>
      </c>
      <c r="D73" s="1">
        <v>961</v>
      </c>
      <c r="E73" s="34">
        <v>41061</v>
      </c>
      <c r="F73" s="1">
        <v>7</v>
      </c>
      <c r="G73" s="34">
        <v>41061</v>
      </c>
      <c r="H73" s="1">
        <v>1.23</v>
      </c>
      <c r="I73" s="34">
        <v>41061</v>
      </c>
      <c r="J73" s="1">
        <v>132.24</v>
      </c>
      <c r="K73" s="34">
        <v>41061</v>
      </c>
      <c r="L73" s="1">
        <v>2711</v>
      </c>
      <c r="M73" s="34">
        <v>41061</v>
      </c>
      <c r="N73" s="1">
        <v>438.9</v>
      </c>
    </row>
    <row r="74" spans="1:14" x14ac:dyDescent="0.25">
      <c r="A74" s="34">
        <v>41091</v>
      </c>
      <c r="B74" s="1">
        <v>2689.6</v>
      </c>
      <c r="C74" s="34">
        <v>41091</v>
      </c>
      <c r="D74" s="1">
        <v>666</v>
      </c>
      <c r="E74" s="34">
        <v>41091</v>
      </c>
      <c r="F74" s="1">
        <v>7.1</v>
      </c>
      <c r="G74" s="34">
        <v>41091</v>
      </c>
      <c r="H74" s="1">
        <v>1.37</v>
      </c>
      <c r="I74" s="34">
        <v>41091</v>
      </c>
      <c r="J74" s="1">
        <v>132.47</v>
      </c>
      <c r="K74" s="34">
        <v>41091</v>
      </c>
      <c r="L74" s="1">
        <v>2663.6</v>
      </c>
      <c r="M74" s="34">
        <v>41091</v>
      </c>
      <c r="N74" s="1">
        <v>397.3</v>
      </c>
    </row>
    <row r="75" spans="1:14" x14ac:dyDescent="0.25">
      <c r="A75" s="34">
        <v>41122</v>
      </c>
      <c r="B75" s="1">
        <v>2689.9</v>
      </c>
      <c r="C75" s="34">
        <v>41122</v>
      </c>
      <c r="D75" s="1">
        <v>1166</v>
      </c>
      <c r="E75" s="34">
        <v>41122</v>
      </c>
      <c r="F75" s="1">
        <v>7</v>
      </c>
      <c r="G75" s="34">
        <v>41122</v>
      </c>
      <c r="H75" s="1">
        <v>1.58</v>
      </c>
      <c r="I75" s="34">
        <v>41122</v>
      </c>
      <c r="J75" s="1">
        <v>132.75</v>
      </c>
      <c r="K75" s="34">
        <v>41122</v>
      </c>
      <c r="L75" s="1">
        <v>2681.6</v>
      </c>
      <c r="M75" s="34">
        <v>41122</v>
      </c>
      <c r="N75" s="1">
        <v>410.8</v>
      </c>
    </row>
    <row r="76" spans="1:14" x14ac:dyDescent="0.25">
      <c r="A76" s="34">
        <v>41153</v>
      </c>
      <c r="B76" s="1">
        <v>2693.9</v>
      </c>
      <c r="C76" s="34">
        <v>41153</v>
      </c>
      <c r="D76" s="1">
        <v>1011</v>
      </c>
      <c r="E76" s="34">
        <v>41153</v>
      </c>
      <c r="F76" s="1">
        <v>6.9</v>
      </c>
      <c r="G76" s="34">
        <v>41153</v>
      </c>
      <c r="H76" s="1">
        <v>1.4</v>
      </c>
      <c r="I76" s="34">
        <v>41153</v>
      </c>
      <c r="J76" s="1">
        <v>133.06</v>
      </c>
      <c r="K76" s="34">
        <v>41153</v>
      </c>
      <c r="L76" s="1">
        <v>2707</v>
      </c>
      <c r="M76" s="34">
        <v>41153</v>
      </c>
      <c r="N76" s="1">
        <v>448.9</v>
      </c>
    </row>
    <row r="77" spans="1:14" x14ac:dyDescent="0.25">
      <c r="A77" s="34">
        <v>41183</v>
      </c>
      <c r="B77" s="1">
        <v>2702</v>
      </c>
      <c r="C77" s="34">
        <v>41183</v>
      </c>
      <c r="D77" s="1">
        <v>2023</v>
      </c>
      <c r="E77" s="34">
        <v>41183</v>
      </c>
      <c r="F77" s="1">
        <v>6.9</v>
      </c>
      <c r="G77" s="34">
        <v>41183</v>
      </c>
      <c r="H77" s="1">
        <v>1.57</v>
      </c>
      <c r="I77" s="34">
        <v>41183</v>
      </c>
      <c r="J77" s="1">
        <v>133.38999999999999</v>
      </c>
      <c r="K77" s="34">
        <v>41183</v>
      </c>
      <c r="L77" s="1">
        <v>2722.2</v>
      </c>
      <c r="M77" s="34">
        <v>41183</v>
      </c>
      <c r="N77" s="1">
        <v>457.4</v>
      </c>
    </row>
    <row r="78" spans="1:14" x14ac:dyDescent="0.25">
      <c r="A78" s="34">
        <v>41214</v>
      </c>
      <c r="B78" s="1">
        <v>2705.8</v>
      </c>
      <c r="C78" s="34">
        <v>41214</v>
      </c>
      <c r="D78" s="1">
        <v>1078</v>
      </c>
      <c r="E78" s="34">
        <v>41214</v>
      </c>
      <c r="F78" s="1">
        <v>6.8</v>
      </c>
      <c r="G78" s="34">
        <v>41214</v>
      </c>
      <c r="H78" s="1">
        <v>1.89</v>
      </c>
      <c r="I78" s="34">
        <v>41214</v>
      </c>
      <c r="J78" s="1">
        <v>133.74</v>
      </c>
      <c r="K78" s="34">
        <v>41214</v>
      </c>
      <c r="L78" s="1">
        <v>2729.2</v>
      </c>
      <c r="M78" s="34">
        <v>41214</v>
      </c>
      <c r="N78" s="1">
        <v>459.7</v>
      </c>
    </row>
    <row r="79" spans="1:14" x14ac:dyDescent="0.25">
      <c r="A79" s="34">
        <v>41244</v>
      </c>
      <c r="B79" s="1">
        <v>2708.6</v>
      </c>
      <c r="C79" s="34">
        <v>41244</v>
      </c>
      <c r="D79" s="1">
        <v>777</v>
      </c>
      <c r="E79" s="34">
        <v>41244</v>
      </c>
      <c r="F79" s="1">
        <v>6.8</v>
      </c>
      <c r="G79" s="34">
        <v>41244</v>
      </c>
      <c r="H79" s="1">
        <v>1.48</v>
      </c>
      <c r="I79" s="34">
        <v>41244</v>
      </c>
      <c r="J79" s="1">
        <v>134.08000000000001</v>
      </c>
      <c r="K79" s="34">
        <v>41244</v>
      </c>
      <c r="L79" s="1">
        <v>2728.1</v>
      </c>
      <c r="M79" s="34">
        <v>41244</v>
      </c>
      <c r="N79" s="1">
        <v>459.7</v>
      </c>
    </row>
    <row r="80" spans="1:14" x14ac:dyDescent="0.25">
      <c r="A80" s="34">
        <v>41275</v>
      </c>
      <c r="B80" s="1">
        <v>2711.1</v>
      </c>
      <c r="C80" s="34">
        <v>41275</v>
      </c>
      <c r="D80" s="1">
        <v>800</v>
      </c>
      <c r="E80" s="34">
        <v>41275</v>
      </c>
      <c r="F80" s="1">
        <v>6.7</v>
      </c>
      <c r="G80" s="34">
        <v>41275</v>
      </c>
      <c r="H80" s="1">
        <v>1.4</v>
      </c>
      <c r="I80" s="34">
        <v>41275</v>
      </c>
      <c r="J80" s="1">
        <v>134.4</v>
      </c>
      <c r="K80" s="34">
        <v>41275</v>
      </c>
      <c r="L80" s="1">
        <v>2659.2</v>
      </c>
      <c r="M80" s="34">
        <v>41275</v>
      </c>
      <c r="N80" s="1">
        <v>449.3</v>
      </c>
    </row>
    <row r="81" spans="1:14" x14ac:dyDescent="0.25">
      <c r="A81" s="34">
        <v>41306</v>
      </c>
      <c r="B81" s="1">
        <v>2718.5</v>
      </c>
      <c r="C81" s="34">
        <v>41306</v>
      </c>
      <c r="D81" s="1">
        <v>792</v>
      </c>
      <c r="E81" s="34">
        <v>41306</v>
      </c>
      <c r="F81" s="1">
        <v>6.7</v>
      </c>
      <c r="G81" s="34">
        <v>41306</v>
      </c>
      <c r="H81" s="1">
        <v>1.06</v>
      </c>
      <c r="I81" s="34">
        <v>41306</v>
      </c>
      <c r="J81" s="1">
        <v>134.69</v>
      </c>
      <c r="K81" s="34">
        <v>41306</v>
      </c>
      <c r="L81" s="1">
        <v>2678.9</v>
      </c>
      <c r="M81" s="34">
        <v>41306</v>
      </c>
      <c r="N81" s="1">
        <v>460.5</v>
      </c>
    </row>
    <row r="82" spans="1:14" x14ac:dyDescent="0.25">
      <c r="A82" s="34">
        <v>41334</v>
      </c>
      <c r="B82" s="1">
        <v>2714.1</v>
      </c>
      <c r="C82" s="34">
        <v>41334</v>
      </c>
      <c r="D82" s="1">
        <v>1085</v>
      </c>
      <c r="E82" s="34">
        <v>41334</v>
      </c>
      <c r="F82" s="1">
        <v>6.6</v>
      </c>
      <c r="G82" s="34">
        <v>41334</v>
      </c>
      <c r="H82" s="1">
        <v>0.85</v>
      </c>
      <c r="I82" s="34">
        <v>41334</v>
      </c>
      <c r="J82" s="1">
        <v>134.91999999999999</v>
      </c>
      <c r="K82" s="34">
        <v>41334</v>
      </c>
      <c r="L82" s="1">
        <v>2700.6</v>
      </c>
      <c r="M82" s="34">
        <v>41334</v>
      </c>
      <c r="N82" s="1">
        <v>464</v>
      </c>
    </row>
    <row r="83" spans="1:14" x14ac:dyDescent="0.25">
      <c r="A83" s="34">
        <v>41365</v>
      </c>
      <c r="B83" s="1">
        <v>2724.8</v>
      </c>
      <c r="C83" s="34">
        <v>41365</v>
      </c>
      <c r="D83" s="1">
        <v>1144</v>
      </c>
      <c r="E83" s="34">
        <v>41365</v>
      </c>
      <c r="F83" s="1">
        <v>6.6</v>
      </c>
      <c r="G83" s="34">
        <v>41365</v>
      </c>
      <c r="H83" s="1">
        <v>0.48</v>
      </c>
      <c r="I83" s="34">
        <v>41365</v>
      </c>
      <c r="J83" s="1">
        <v>135.11000000000001</v>
      </c>
      <c r="K83" s="34">
        <v>41365</v>
      </c>
      <c r="L83" s="1">
        <v>2738.5</v>
      </c>
      <c r="M83" s="34">
        <v>41365</v>
      </c>
      <c r="N83" s="1">
        <v>466.6</v>
      </c>
    </row>
    <row r="84" spans="1:14" x14ac:dyDescent="0.25">
      <c r="A84" s="34">
        <v>41395</v>
      </c>
      <c r="B84" s="1">
        <v>2724.1</v>
      </c>
      <c r="C84" s="34">
        <v>41395</v>
      </c>
      <c r="D84" s="1">
        <v>1166</v>
      </c>
      <c r="E84" s="34">
        <v>41395</v>
      </c>
      <c r="F84" s="1">
        <v>6.7</v>
      </c>
      <c r="G84" s="34">
        <v>41395</v>
      </c>
      <c r="H84" s="1">
        <v>0.57999999999999996</v>
      </c>
      <c r="I84" s="34">
        <v>41395</v>
      </c>
      <c r="J84" s="1">
        <v>135.25</v>
      </c>
      <c r="K84" s="34">
        <v>41395</v>
      </c>
      <c r="L84" s="1">
        <v>2758.9</v>
      </c>
      <c r="M84" s="34">
        <v>41395</v>
      </c>
      <c r="N84" s="1">
        <v>467.3</v>
      </c>
    </row>
    <row r="85" spans="1:14" x14ac:dyDescent="0.25">
      <c r="A85" s="34">
        <v>41426</v>
      </c>
      <c r="B85" s="1">
        <v>2724.6</v>
      </c>
      <c r="C85" s="34">
        <v>41426</v>
      </c>
      <c r="D85" s="1">
        <v>1045</v>
      </c>
      <c r="E85" s="34">
        <v>41426</v>
      </c>
      <c r="F85" s="1">
        <v>6.8</v>
      </c>
      <c r="G85" s="34">
        <v>41426</v>
      </c>
      <c r="H85" s="1">
        <v>1.18</v>
      </c>
      <c r="I85" s="34">
        <v>41426</v>
      </c>
      <c r="J85" s="1">
        <v>135.41</v>
      </c>
      <c r="K85" s="34">
        <v>41426</v>
      </c>
      <c r="L85" s="1">
        <v>2751.7</v>
      </c>
      <c r="M85" s="34">
        <v>41426</v>
      </c>
      <c r="N85" s="1">
        <v>449.4</v>
      </c>
    </row>
    <row r="86" spans="1:14" x14ac:dyDescent="0.25">
      <c r="A86" s="34">
        <v>41456</v>
      </c>
      <c r="B86" s="1">
        <v>2728</v>
      </c>
      <c r="C86" s="34">
        <v>41456</v>
      </c>
      <c r="D86" s="1">
        <v>916</v>
      </c>
      <c r="E86" s="34">
        <v>41456</v>
      </c>
      <c r="F86" s="1">
        <v>6.8</v>
      </c>
      <c r="G86" s="34">
        <v>41456</v>
      </c>
      <c r="H86" s="1">
        <v>1.51</v>
      </c>
      <c r="I86" s="34">
        <v>41456</v>
      </c>
      <c r="J86" s="1">
        <v>135.62</v>
      </c>
      <c r="K86" s="34">
        <v>41456</v>
      </c>
      <c r="L86" s="1">
        <v>2701.4</v>
      </c>
      <c r="M86" s="34">
        <v>41456</v>
      </c>
      <c r="N86" s="1">
        <v>401.7</v>
      </c>
    </row>
    <row r="87" spans="1:14" x14ac:dyDescent="0.25">
      <c r="A87" s="34">
        <v>41487</v>
      </c>
      <c r="B87" s="1">
        <v>2728.9</v>
      </c>
      <c r="C87" s="34">
        <v>41487</v>
      </c>
      <c r="D87" s="1">
        <v>1058</v>
      </c>
      <c r="E87" s="34">
        <v>41487</v>
      </c>
      <c r="F87" s="1">
        <v>6.6</v>
      </c>
      <c r="G87" s="34">
        <v>41487</v>
      </c>
      <c r="H87" s="1">
        <v>1.88</v>
      </c>
      <c r="I87" s="34">
        <v>41487</v>
      </c>
      <c r="J87" s="1">
        <v>135.9</v>
      </c>
      <c r="K87" s="34">
        <v>41487</v>
      </c>
      <c r="L87" s="1">
        <v>2720.3</v>
      </c>
      <c r="M87" s="34">
        <v>41487</v>
      </c>
      <c r="N87" s="1">
        <v>413.1</v>
      </c>
    </row>
    <row r="88" spans="1:14" x14ac:dyDescent="0.25">
      <c r="A88" s="34">
        <v>41518</v>
      </c>
      <c r="B88" s="1">
        <v>2734</v>
      </c>
      <c r="C88" s="34">
        <v>41518</v>
      </c>
      <c r="D88" s="1">
        <v>1263</v>
      </c>
      <c r="E88" s="34">
        <v>41518</v>
      </c>
      <c r="F88" s="1">
        <v>6.4</v>
      </c>
      <c r="G88" s="34">
        <v>41518</v>
      </c>
      <c r="H88" s="1">
        <v>1.62</v>
      </c>
      <c r="I88" s="34">
        <v>41518</v>
      </c>
      <c r="J88" s="1">
        <v>136.24</v>
      </c>
      <c r="K88" s="34">
        <v>41518</v>
      </c>
      <c r="L88" s="1">
        <v>2746.3</v>
      </c>
      <c r="M88" s="34">
        <v>41518</v>
      </c>
      <c r="N88" s="1">
        <v>451.5</v>
      </c>
    </row>
    <row r="89" spans="1:14" x14ac:dyDescent="0.25">
      <c r="A89" s="34">
        <v>41548</v>
      </c>
      <c r="B89" s="1">
        <v>2740.4</v>
      </c>
      <c r="C89" s="34">
        <v>41548</v>
      </c>
      <c r="D89" s="1">
        <v>1607</v>
      </c>
      <c r="E89" s="34">
        <v>41548</v>
      </c>
      <c r="F89" s="1">
        <v>6.3</v>
      </c>
      <c r="G89" s="34">
        <v>41548</v>
      </c>
      <c r="H89" s="1">
        <v>1.52</v>
      </c>
      <c r="I89" s="34">
        <v>41548</v>
      </c>
      <c r="J89" s="1">
        <v>136.6</v>
      </c>
      <c r="K89" s="34">
        <v>41548</v>
      </c>
      <c r="L89" s="1">
        <v>2763.9</v>
      </c>
      <c r="M89" s="34">
        <v>41548</v>
      </c>
      <c r="N89" s="1">
        <v>460.4</v>
      </c>
    </row>
    <row r="90" spans="1:14" x14ac:dyDescent="0.25">
      <c r="A90" s="34">
        <v>41579</v>
      </c>
      <c r="B90" s="1">
        <v>2750.7</v>
      </c>
      <c r="C90" s="34">
        <v>41579</v>
      </c>
      <c r="D90" s="1">
        <v>1004</v>
      </c>
      <c r="E90" s="34">
        <v>41579</v>
      </c>
      <c r="F90" s="1">
        <v>6.1</v>
      </c>
      <c r="G90" s="34">
        <v>41579</v>
      </c>
      <c r="H90" s="1">
        <v>1.54</v>
      </c>
      <c r="I90" s="34">
        <v>41579</v>
      </c>
      <c r="J90" s="1">
        <v>136.97</v>
      </c>
      <c r="K90" s="34">
        <v>41579</v>
      </c>
      <c r="L90" s="1">
        <v>2772.4</v>
      </c>
      <c r="M90" s="34">
        <v>41579</v>
      </c>
      <c r="N90" s="1">
        <v>463.9</v>
      </c>
    </row>
    <row r="91" spans="1:14" x14ac:dyDescent="0.25">
      <c r="A91" s="34">
        <v>41609</v>
      </c>
      <c r="B91" s="1">
        <v>2750.3</v>
      </c>
      <c r="C91" s="34">
        <v>41609</v>
      </c>
      <c r="D91" s="1">
        <v>692</v>
      </c>
      <c r="E91" s="34">
        <v>41609</v>
      </c>
      <c r="F91" s="1">
        <v>6</v>
      </c>
      <c r="G91" s="34">
        <v>41609</v>
      </c>
      <c r="H91" s="1">
        <v>0.94</v>
      </c>
      <c r="I91" s="34">
        <v>41609</v>
      </c>
      <c r="J91" s="1">
        <v>137.30000000000001</v>
      </c>
      <c r="K91" s="34">
        <v>41609</v>
      </c>
      <c r="L91" s="1">
        <v>2765.2</v>
      </c>
      <c r="M91" s="34">
        <v>41609</v>
      </c>
      <c r="N91" s="1">
        <v>463.7</v>
      </c>
    </row>
    <row r="92" spans="1:14" x14ac:dyDescent="0.25">
      <c r="A92" s="34">
        <v>41640</v>
      </c>
      <c r="B92" s="1">
        <v>2749.2</v>
      </c>
      <c r="C92" s="34">
        <v>41640</v>
      </c>
      <c r="D92" s="1">
        <v>933</v>
      </c>
      <c r="E92" s="34">
        <v>41640</v>
      </c>
      <c r="F92" s="1">
        <v>6</v>
      </c>
      <c r="G92" s="34">
        <v>41640</v>
      </c>
      <c r="H92" s="1">
        <v>0.49</v>
      </c>
      <c r="I92" s="34">
        <v>41640</v>
      </c>
      <c r="J92" s="1">
        <v>137.57</v>
      </c>
      <c r="K92" s="34">
        <v>41640</v>
      </c>
      <c r="L92" s="1">
        <v>2695.7</v>
      </c>
      <c r="M92" s="34">
        <v>41640</v>
      </c>
      <c r="N92" s="1">
        <v>452.8</v>
      </c>
    </row>
    <row r="93" spans="1:14" x14ac:dyDescent="0.25">
      <c r="A93" s="34">
        <v>41671</v>
      </c>
      <c r="B93" s="1">
        <v>2754.2</v>
      </c>
      <c r="C93" s="34">
        <v>41671</v>
      </c>
      <c r="D93" s="1">
        <v>725</v>
      </c>
      <c r="E93" s="34">
        <v>41671</v>
      </c>
      <c r="F93" s="1">
        <v>6.4</v>
      </c>
      <c r="G93" s="34">
        <v>41671</v>
      </c>
      <c r="H93" s="1">
        <v>0.67</v>
      </c>
      <c r="I93" s="34">
        <v>41671</v>
      </c>
      <c r="J93" s="1">
        <v>137.78</v>
      </c>
      <c r="K93" s="34">
        <v>41671</v>
      </c>
      <c r="L93" s="1">
        <v>2708.4</v>
      </c>
      <c r="M93" s="34">
        <v>41671</v>
      </c>
      <c r="N93" s="1">
        <v>463.7</v>
      </c>
    </row>
    <row r="94" spans="1:14" x14ac:dyDescent="0.25">
      <c r="A94" s="34">
        <v>41699</v>
      </c>
      <c r="B94" s="1">
        <v>2755.4</v>
      </c>
      <c r="C94" s="34">
        <v>41699</v>
      </c>
      <c r="D94" s="1">
        <v>1185</v>
      </c>
      <c r="E94" s="34">
        <v>41699</v>
      </c>
      <c r="F94" s="1">
        <v>6.7</v>
      </c>
      <c r="G94" s="34">
        <v>41699</v>
      </c>
      <c r="H94" s="1">
        <v>1.89</v>
      </c>
      <c r="I94" s="34">
        <v>41699</v>
      </c>
      <c r="J94" s="1">
        <v>138.01</v>
      </c>
      <c r="K94" s="34">
        <v>41699</v>
      </c>
      <c r="L94" s="1">
        <v>2743.3</v>
      </c>
      <c r="M94" s="34">
        <v>41699</v>
      </c>
      <c r="N94" s="1">
        <v>467</v>
      </c>
    </row>
    <row r="95" spans="1:14" x14ac:dyDescent="0.25">
      <c r="A95" s="34">
        <v>41730</v>
      </c>
      <c r="B95" s="1">
        <v>2762.4</v>
      </c>
      <c r="C95" s="34">
        <v>41730</v>
      </c>
      <c r="D95" s="1">
        <v>1621</v>
      </c>
      <c r="E95" s="34">
        <v>41730</v>
      </c>
      <c r="F95" s="1">
        <v>6.6</v>
      </c>
      <c r="G95" s="34">
        <v>41730</v>
      </c>
      <c r="H95" s="1">
        <v>2.27</v>
      </c>
      <c r="I95" s="34">
        <v>41730</v>
      </c>
      <c r="J95" s="1">
        <v>138.32</v>
      </c>
      <c r="K95" s="34">
        <v>41730</v>
      </c>
      <c r="L95" s="1">
        <v>2780.4</v>
      </c>
      <c r="M95" s="34">
        <v>41730</v>
      </c>
      <c r="N95" s="1">
        <v>470.2</v>
      </c>
    </row>
    <row r="96" spans="1:14" x14ac:dyDescent="0.25">
      <c r="A96" s="34">
        <v>41760</v>
      </c>
      <c r="B96" s="1">
        <v>2770.6</v>
      </c>
      <c r="C96" s="34">
        <v>41760</v>
      </c>
      <c r="D96" s="1">
        <v>1542</v>
      </c>
      <c r="E96" s="34">
        <v>41760</v>
      </c>
      <c r="F96" s="1">
        <v>6.6</v>
      </c>
      <c r="G96" s="34">
        <v>41760</v>
      </c>
      <c r="H96" s="1">
        <v>1.36</v>
      </c>
      <c r="I96" s="34">
        <v>41760</v>
      </c>
      <c r="J96" s="1">
        <v>138.68</v>
      </c>
      <c r="K96" s="34">
        <v>41760</v>
      </c>
      <c r="L96" s="1">
        <v>2801.3</v>
      </c>
      <c r="M96" s="34">
        <v>41760</v>
      </c>
      <c r="N96" s="1">
        <v>471.6</v>
      </c>
    </row>
    <row r="97" spans="1:14" x14ac:dyDescent="0.25">
      <c r="A97" s="34">
        <v>41791</v>
      </c>
      <c r="B97" s="1">
        <v>2768.4</v>
      </c>
      <c r="C97" s="34">
        <v>41791</v>
      </c>
      <c r="D97" s="1">
        <v>1767</v>
      </c>
      <c r="E97" s="34">
        <v>41791</v>
      </c>
      <c r="F97" s="1">
        <v>6.5</v>
      </c>
      <c r="G97" s="34">
        <v>41791</v>
      </c>
      <c r="H97" s="1">
        <v>1.6</v>
      </c>
      <c r="I97" s="34">
        <v>41791</v>
      </c>
      <c r="J97" s="1">
        <v>139.05000000000001</v>
      </c>
      <c r="K97" s="34">
        <v>41791</v>
      </c>
      <c r="L97" s="1">
        <v>2798.3</v>
      </c>
      <c r="M97" s="34">
        <v>41791</v>
      </c>
      <c r="N97" s="1">
        <v>454.2</v>
      </c>
    </row>
    <row r="98" spans="1:14" x14ac:dyDescent="0.25">
      <c r="A98" s="34">
        <v>41821</v>
      </c>
      <c r="B98" s="1">
        <v>2781.1</v>
      </c>
      <c r="C98" s="34">
        <v>41821</v>
      </c>
      <c r="D98" s="1">
        <v>1261</v>
      </c>
      <c r="E98" s="34">
        <v>41821</v>
      </c>
      <c r="F98" s="1">
        <v>6.5</v>
      </c>
      <c r="G98" s="34">
        <v>41821</v>
      </c>
      <c r="H98" s="1">
        <v>1.73</v>
      </c>
      <c r="I98" s="34">
        <v>41821</v>
      </c>
      <c r="J98" s="1">
        <v>139.44999999999999</v>
      </c>
      <c r="K98" s="34">
        <v>41821</v>
      </c>
      <c r="L98" s="1">
        <v>2755.7</v>
      </c>
      <c r="M98" s="34">
        <v>41821</v>
      </c>
      <c r="N98" s="1">
        <v>407.8</v>
      </c>
    </row>
    <row r="99" spans="1:14" x14ac:dyDescent="0.25">
      <c r="A99" s="34">
        <v>41852</v>
      </c>
      <c r="B99" s="1">
        <v>2779.6</v>
      </c>
      <c r="C99" s="34">
        <v>41852</v>
      </c>
      <c r="D99" s="1">
        <v>1102</v>
      </c>
      <c r="E99" s="34">
        <v>41852</v>
      </c>
      <c r="F99" s="1">
        <v>6.3</v>
      </c>
      <c r="G99" s="34">
        <v>41852</v>
      </c>
      <c r="H99" s="1">
        <v>2.12</v>
      </c>
      <c r="I99" s="34">
        <v>41852</v>
      </c>
      <c r="J99" s="1">
        <v>139.87</v>
      </c>
      <c r="K99" s="34">
        <v>41852</v>
      </c>
      <c r="L99" s="1">
        <v>2764.8</v>
      </c>
      <c r="M99" s="34">
        <v>41852</v>
      </c>
      <c r="N99" s="1">
        <v>419.9</v>
      </c>
    </row>
    <row r="100" spans="1:14" x14ac:dyDescent="0.25">
      <c r="A100" s="34">
        <v>41883</v>
      </c>
      <c r="B100" s="1">
        <v>2786.4</v>
      </c>
      <c r="C100" s="34">
        <v>41883</v>
      </c>
      <c r="D100" s="1">
        <v>1664</v>
      </c>
      <c r="E100" s="34">
        <v>41883</v>
      </c>
      <c r="F100" s="1">
        <v>6.3</v>
      </c>
      <c r="G100" s="34">
        <v>41883</v>
      </c>
      <c r="H100" s="1">
        <v>2.0699999999999998</v>
      </c>
      <c r="I100" s="34">
        <v>41883</v>
      </c>
      <c r="J100" s="1">
        <v>140.33000000000001</v>
      </c>
      <c r="K100" s="34">
        <v>41883</v>
      </c>
      <c r="L100" s="1">
        <v>2799.8</v>
      </c>
      <c r="M100" s="34">
        <v>41883</v>
      </c>
      <c r="N100" s="1">
        <v>458.9</v>
      </c>
    </row>
    <row r="101" spans="1:14" x14ac:dyDescent="0.25">
      <c r="A101" s="34">
        <v>41913</v>
      </c>
      <c r="B101" s="1">
        <v>2788.4</v>
      </c>
      <c r="C101" s="34">
        <v>41913</v>
      </c>
      <c r="D101" s="1">
        <v>1521</v>
      </c>
      <c r="E101" s="34">
        <v>41913</v>
      </c>
      <c r="F101" s="1">
        <v>5.9</v>
      </c>
      <c r="G101" s="34">
        <v>41913</v>
      </c>
      <c r="H101" s="1">
        <v>2.73</v>
      </c>
      <c r="I101" s="34">
        <v>41913</v>
      </c>
      <c r="J101" s="1">
        <v>140.85</v>
      </c>
      <c r="K101" s="34">
        <v>41913</v>
      </c>
      <c r="L101" s="1">
        <v>2815.7</v>
      </c>
      <c r="M101" s="34">
        <v>41913</v>
      </c>
      <c r="N101" s="1">
        <v>467.8</v>
      </c>
    </row>
    <row r="102" spans="1:14" x14ac:dyDescent="0.25">
      <c r="A102" s="34">
        <v>41944</v>
      </c>
      <c r="B102" s="1">
        <v>2793.3</v>
      </c>
      <c r="C102" s="34">
        <v>41944</v>
      </c>
      <c r="D102" s="1">
        <v>1083</v>
      </c>
      <c r="E102" s="34">
        <v>41944</v>
      </c>
      <c r="F102" s="1">
        <v>5.6</v>
      </c>
      <c r="G102" s="34">
        <v>41944</v>
      </c>
      <c r="H102" s="1">
        <v>2.19</v>
      </c>
      <c r="I102" s="34">
        <v>41944</v>
      </c>
      <c r="J102" s="1">
        <v>141.41</v>
      </c>
      <c r="K102" s="34">
        <v>41944</v>
      </c>
      <c r="L102" s="1">
        <v>2815.9</v>
      </c>
      <c r="M102" s="34">
        <v>41944</v>
      </c>
      <c r="N102" s="1">
        <v>470.5</v>
      </c>
    </row>
    <row r="103" spans="1:14" x14ac:dyDescent="0.25">
      <c r="A103" s="34">
        <v>41974</v>
      </c>
      <c r="B103" s="1">
        <v>2795</v>
      </c>
      <c r="E103" s="34">
        <v>41974</v>
      </c>
      <c r="F103" s="1">
        <v>5.4</v>
      </c>
      <c r="K103" s="34">
        <v>41974</v>
      </c>
      <c r="L103" s="1">
        <v>2810.4</v>
      </c>
      <c r="M103" s="34">
        <v>41974</v>
      </c>
      <c r="N103" s="1">
        <v>470.7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103"/>
  <sheetViews>
    <sheetView topLeftCell="A77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198</v>
      </c>
      <c r="C1" s="34" t="s">
        <v>199</v>
      </c>
      <c r="E1" s="34" t="s">
        <v>200</v>
      </c>
      <c r="G1" s="34" t="s">
        <v>201</v>
      </c>
      <c r="I1" s="34" t="s">
        <v>202</v>
      </c>
      <c r="K1" s="34" t="str">
        <f>CONCATENATE(LEFT(A1,2), "NAN")</f>
        <v>MINAN</v>
      </c>
      <c r="M1" s="34" t="str">
        <f>CONCATENATE(LEFT(A1,2), "GOVTN")</f>
        <v>MIGOVTN</v>
      </c>
      <c r="O1" s="34" t="str">
        <f>CONCATENATE(LEFT($A$1,2), "RGSP")</f>
        <v>MIRGSP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987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892</v>
      </c>
      <c r="C5" s="35" t="s">
        <v>419</v>
      </c>
      <c r="E5" s="35" t="s">
        <v>420</v>
      </c>
      <c r="G5" s="35" t="s">
        <v>421</v>
      </c>
      <c r="I5" s="35" t="s">
        <v>422</v>
      </c>
      <c r="K5" s="35" t="s">
        <v>892</v>
      </c>
      <c r="M5" s="35" t="s">
        <v>893</v>
      </c>
      <c r="O5" s="35" t="s">
        <v>796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4284.7</v>
      </c>
      <c r="C8" s="34">
        <v>39083</v>
      </c>
      <c r="D8" s="1">
        <v>1021</v>
      </c>
      <c r="E8" s="34">
        <v>39083</v>
      </c>
      <c r="F8" s="1">
        <v>6.9</v>
      </c>
      <c r="G8" s="34">
        <v>39083</v>
      </c>
      <c r="H8" s="1">
        <v>-1.95</v>
      </c>
      <c r="I8" s="34">
        <v>39083</v>
      </c>
      <c r="J8" s="1">
        <v>146.5</v>
      </c>
      <c r="K8" s="34">
        <v>39083</v>
      </c>
      <c r="L8" s="1">
        <v>4185.6000000000004</v>
      </c>
      <c r="M8" s="34">
        <v>39083</v>
      </c>
      <c r="N8" s="1">
        <v>660.2</v>
      </c>
      <c r="O8" s="34">
        <v>39083</v>
      </c>
      <c r="P8" s="1">
        <v>420156</v>
      </c>
    </row>
    <row r="9" spans="1:16" x14ac:dyDescent="0.25">
      <c r="A9" s="34">
        <v>39114</v>
      </c>
      <c r="B9" s="1">
        <v>4291.8999999999996</v>
      </c>
      <c r="C9" s="34">
        <v>39114</v>
      </c>
      <c r="D9" s="1">
        <v>950</v>
      </c>
      <c r="E9" s="34">
        <v>39114</v>
      </c>
      <c r="F9" s="1">
        <v>6.8</v>
      </c>
      <c r="G9" s="34">
        <v>39114</v>
      </c>
      <c r="H9" s="1">
        <v>-0.64</v>
      </c>
      <c r="I9" s="34">
        <v>39114</v>
      </c>
      <c r="J9" s="1">
        <v>146.85</v>
      </c>
      <c r="K9" s="34">
        <v>39114</v>
      </c>
      <c r="L9" s="1">
        <v>4212.3</v>
      </c>
      <c r="M9" s="34">
        <v>39114</v>
      </c>
      <c r="N9" s="1">
        <v>677.9</v>
      </c>
      <c r="O9" s="34">
        <v>39448</v>
      </c>
      <c r="P9" s="1">
        <v>399656</v>
      </c>
    </row>
    <row r="10" spans="1:16" x14ac:dyDescent="0.25">
      <c r="A10" s="34">
        <v>39142</v>
      </c>
      <c r="B10" s="1">
        <v>4287.7</v>
      </c>
      <c r="C10" s="34">
        <v>39142</v>
      </c>
      <c r="D10" s="1">
        <v>1561</v>
      </c>
      <c r="E10" s="34">
        <v>39142</v>
      </c>
      <c r="F10" s="1">
        <v>6.8</v>
      </c>
      <c r="G10" s="34">
        <v>39142</v>
      </c>
      <c r="H10" s="1">
        <v>-0.54</v>
      </c>
      <c r="I10" s="34">
        <v>39142</v>
      </c>
      <c r="J10" s="1">
        <v>146.82</v>
      </c>
      <c r="K10" s="34">
        <v>39142</v>
      </c>
      <c r="L10" s="1">
        <v>4233.3</v>
      </c>
      <c r="M10" s="34">
        <v>39142</v>
      </c>
      <c r="N10" s="1">
        <v>683</v>
      </c>
      <c r="O10" s="34">
        <v>39814</v>
      </c>
      <c r="P10" s="1">
        <v>366302</v>
      </c>
    </row>
    <row r="11" spans="1:16" x14ac:dyDescent="0.25">
      <c r="A11" s="34">
        <v>39173</v>
      </c>
      <c r="B11" s="1">
        <v>4282.8</v>
      </c>
      <c r="C11" s="34">
        <v>39173</v>
      </c>
      <c r="D11" s="1">
        <v>1790</v>
      </c>
      <c r="E11" s="34">
        <v>39173</v>
      </c>
      <c r="F11" s="1">
        <v>6.8</v>
      </c>
      <c r="G11" s="34">
        <v>39173</v>
      </c>
      <c r="H11" s="1">
        <v>-1.88</v>
      </c>
      <c r="I11" s="34">
        <v>39173</v>
      </c>
      <c r="J11" s="1">
        <v>146.56</v>
      </c>
      <c r="K11" s="34">
        <v>39173</v>
      </c>
      <c r="L11" s="1">
        <v>4261.7</v>
      </c>
      <c r="M11" s="34">
        <v>39173</v>
      </c>
      <c r="N11" s="1">
        <v>674.3</v>
      </c>
      <c r="O11" s="34">
        <v>40179</v>
      </c>
      <c r="P11" s="1">
        <v>385779</v>
      </c>
    </row>
    <row r="12" spans="1:16" x14ac:dyDescent="0.25">
      <c r="A12" s="34">
        <v>39203</v>
      </c>
      <c r="B12" s="1">
        <v>4277.7</v>
      </c>
      <c r="C12" s="34">
        <v>39203</v>
      </c>
      <c r="D12" s="1">
        <v>2247</v>
      </c>
      <c r="E12" s="34">
        <v>39203</v>
      </c>
      <c r="F12" s="1">
        <v>6.9</v>
      </c>
      <c r="G12" s="34">
        <v>39203</v>
      </c>
      <c r="H12" s="1">
        <v>-2.65</v>
      </c>
      <c r="I12" s="34">
        <v>39203</v>
      </c>
      <c r="J12" s="1">
        <v>146.04</v>
      </c>
      <c r="K12" s="34">
        <v>39203</v>
      </c>
      <c r="L12" s="1">
        <v>4325.3999999999996</v>
      </c>
      <c r="M12" s="34">
        <v>39203</v>
      </c>
      <c r="N12" s="1">
        <v>673.4</v>
      </c>
      <c r="O12" s="34">
        <v>40544</v>
      </c>
      <c r="P12" s="1">
        <v>394201</v>
      </c>
    </row>
    <row r="13" spans="1:16" x14ac:dyDescent="0.25">
      <c r="A13" s="34">
        <v>39234</v>
      </c>
      <c r="B13" s="1">
        <v>4274.8999999999996</v>
      </c>
      <c r="C13" s="34">
        <v>39234</v>
      </c>
      <c r="D13" s="1">
        <v>1908</v>
      </c>
      <c r="E13" s="34">
        <v>39234</v>
      </c>
      <c r="F13" s="1">
        <v>7.1</v>
      </c>
      <c r="G13" s="34">
        <v>39234</v>
      </c>
      <c r="H13" s="1">
        <v>-3.48</v>
      </c>
      <c r="I13" s="34">
        <v>39234</v>
      </c>
      <c r="J13" s="1">
        <v>145.16</v>
      </c>
      <c r="K13" s="34">
        <v>39234</v>
      </c>
      <c r="L13" s="1">
        <v>4330</v>
      </c>
      <c r="M13" s="34">
        <v>39234</v>
      </c>
      <c r="N13" s="1">
        <v>646.79999999999995</v>
      </c>
      <c r="O13" s="34">
        <v>40909</v>
      </c>
      <c r="P13" s="1">
        <v>400232</v>
      </c>
    </row>
    <row r="14" spans="1:16" x14ac:dyDescent="0.25">
      <c r="A14" s="34">
        <v>39264</v>
      </c>
      <c r="B14" s="1">
        <v>4266.7</v>
      </c>
      <c r="C14" s="34">
        <v>39264</v>
      </c>
      <c r="D14" s="1">
        <v>1999</v>
      </c>
      <c r="E14" s="34">
        <v>39264</v>
      </c>
      <c r="F14" s="1">
        <v>7.2</v>
      </c>
      <c r="G14" s="34">
        <v>39264</v>
      </c>
      <c r="H14" s="1">
        <v>-2.19</v>
      </c>
      <c r="I14" s="34">
        <v>39264</v>
      </c>
      <c r="J14" s="1">
        <v>144.55000000000001</v>
      </c>
      <c r="K14" s="34">
        <v>39264</v>
      </c>
      <c r="L14" s="1">
        <v>4214.1000000000004</v>
      </c>
      <c r="M14" s="34">
        <v>39264</v>
      </c>
      <c r="N14" s="1">
        <v>591.29999999999995</v>
      </c>
      <c r="O14" s="34">
        <v>41275</v>
      </c>
      <c r="P14" s="1">
        <v>408218</v>
      </c>
    </row>
    <row r="15" spans="1:16" x14ac:dyDescent="0.25">
      <c r="A15" s="34">
        <v>39295</v>
      </c>
      <c r="B15" s="1">
        <v>4261.5</v>
      </c>
      <c r="C15" s="34">
        <v>39295</v>
      </c>
      <c r="D15" s="1">
        <v>2343</v>
      </c>
      <c r="E15" s="34">
        <v>39295</v>
      </c>
      <c r="F15" s="1">
        <v>7.3</v>
      </c>
      <c r="G15" s="34">
        <v>39295</v>
      </c>
      <c r="H15" s="1">
        <v>-0.9</v>
      </c>
      <c r="I15" s="34">
        <v>39295</v>
      </c>
      <c r="J15" s="1">
        <v>144.13</v>
      </c>
      <c r="K15" s="34">
        <v>39295</v>
      </c>
      <c r="L15" s="1">
        <v>4256.2</v>
      </c>
      <c r="M15" s="34">
        <v>39295</v>
      </c>
      <c r="N15" s="1">
        <v>594.1</v>
      </c>
    </row>
    <row r="16" spans="1:16" x14ac:dyDescent="0.25">
      <c r="A16" s="34">
        <v>39326</v>
      </c>
      <c r="B16" s="1">
        <v>4255.1000000000004</v>
      </c>
      <c r="C16" s="34">
        <v>39326</v>
      </c>
      <c r="D16" s="1">
        <v>1830</v>
      </c>
      <c r="E16" s="34">
        <v>39326</v>
      </c>
      <c r="F16" s="1">
        <v>7.3</v>
      </c>
      <c r="G16" s="34">
        <v>39326</v>
      </c>
      <c r="H16" s="1">
        <v>-0.79</v>
      </c>
      <c r="I16" s="34">
        <v>39326</v>
      </c>
      <c r="J16" s="1">
        <v>143.86000000000001</v>
      </c>
      <c r="K16" s="34">
        <v>39326</v>
      </c>
      <c r="L16" s="1">
        <v>4302.3</v>
      </c>
      <c r="M16" s="34">
        <v>39326</v>
      </c>
      <c r="N16" s="1">
        <v>654.79999999999995</v>
      </c>
    </row>
    <row r="17" spans="1:14" x14ac:dyDescent="0.25">
      <c r="A17" s="34">
        <v>39356</v>
      </c>
      <c r="B17" s="1">
        <v>4244.5</v>
      </c>
      <c r="C17" s="34">
        <v>39356</v>
      </c>
      <c r="D17" s="1">
        <v>1638</v>
      </c>
      <c r="E17" s="34">
        <v>39356</v>
      </c>
      <c r="F17" s="1">
        <v>7.3</v>
      </c>
      <c r="G17" s="34">
        <v>39356</v>
      </c>
      <c r="H17" s="1">
        <v>-0.93</v>
      </c>
      <c r="I17" s="34">
        <v>39356</v>
      </c>
      <c r="J17" s="1">
        <v>143.61000000000001</v>
      </c>
      <c r="K17" s="34">
        <v>39356</v>
      </c>
      <c r="L17" s="1">
        <v>4293.8999999999996</v>
      </c>
      <c r="M17" s="34">
        <v>39356</v>
      </c>
      <c r="N17" s="1">
        <v>671.3</v>
      </c>
    </row>
    <row r="18" spans="1:14" x14ac:dyDescent="0.25">
      <c r="A18" s="34">
        <v>39387</v>
      </c>
      <c r="B18" s="1">
        <v>4248.5</v>
      </c>
      <c r="C18" s="34">
        <v>39387</v>
      </c>
      <c r="D18" s="1">
        <v>1153</v>
      </c>
      <c r="E18" s="34">
        <v>39387</v>
      </c>
      <c r="F18" s="1">
        <v>7.3</v>
      </c>
      <c r="G18" s="34">
        <v>39387</v>
      </c>
      <c r="H18" s="1">
        <v>-0.78</v>
      </c>
      <c r="I18" s="34">
        <v>39387</v>
      </c>
      <c r="J18" s="1">
        <v>143.54</v>
      </c>
      <c r="K18" s="34">
        <v>39387</v>
      </c>
      <c r="L18" s="1">
        <v>4305.7</v>
      </c>
      <c r="M18" s="34">
        <v>39387</v>
      </c>
      <c r="N18" s="1">
        <v>672.7</v>
      </c>
    </row>
    <row r="19" spans="1:14" x14ac:dyDescent="0.25">
      <c r="A19" s="34">
        <v>39417</v>
      </c>
      <c r="B19" s="1">
        <v>4245.8999999999996</v>
      </c>
      <c r="C19" s="34">
        <v>39417</v>
      </c>
      <c r="D19" s="1">
        <v>659</v>
      </c>
      <c r="E19" s="34">
        <v>39417</v>
      </c>
      <c r="F19" s="1">
        <v>7.2</v>
      </c>
      <c r="G19" s="34">
        <v>39417</v>
      </c>
      <c r="H19" s="1">
        <v>-0.24</v>
      </c>
      <c r="I19" s="34">
        <v>39417</v>
      </c>
      <c r="J19" s="1">
        <v>143.74</v>
      </c>
      <c r="K19" s="34">
        <v>39417</v>
      </c>
      <c r="L19" s="1">
        <v>4292.8</v>
      </c>
      <c r="M19" s="34">
        <v>39417</v>
      </c>
      <c r="N19" s="1">
        <v>668.4</v>
      </c>
    </row>
    <row r="20" spans="1:14" x14ac:dyDescent="0.25">
      <c r="A20" s="34">
        <v>39448</v>
      </c>
      <c r="B20" s="1">
        <v>4236.2</v>
      </c>
      <c r="C20" s="34">
        <v>39448</v>
      </c>
      <c r="D20" s="1">
        <v>686</v>
      </c>
      <c r="E20" s="34">
        <v>39448</v>
      </c>
      <c r="F20" s="1">
        <v>7.1</v>
      </c>
      <c r="G20" s="34">
        <v>39448</v>
      </c>
      <c r="H20" s="1">
        <v>-0.22</v>
      </c>
      <c r="I20" s="34">
        <v>39448</v>
      </c>
      <c r="J20" s="1">
        <v>143.94</v>
      </c>
      <c r="K20" s="34">
        <v>39448</v>
      </c>
      <c r="L20" s="1">
        <v>4145.6000000000004</v>
      </c>
      <c r="M20" s="34">
        <v>39448</v>
      </c>
      <c r="N20" s="1">
        <v>649.20000000000005</v>
      </c>
    </row>
    <row r="21" spans="1:14" x14ac:dyDescent="0.25">
      <c r="A21" s="34">
        <v>39479</v>
      </c>
      <c r="B21" s="1">
        <v>4231.5</v>
      </c>
      <c r="C21" s="34">
        <v>39479</v>
      </c>
      <c r="D21" s="1">
        <v>649</v>
      </c>
      <c r="E21" s="34">
        <v>39479</v>
      </c>
      <c r="F21" s="1">
        <v>7.1</v>
      </c>
      <c r="G21" s="34">
        <v>39479</v>
      </c>
      <c r="H21" s="1">
        <v>-1.73</v>
      </c>
      <c r="I21" s="34">
        <v>39479</v>
      </c>
      <c r="J21" s="1">
        <v>143.77000000000001</v>
      </c>
      <c r="K21" s="34">
        <v>39479</v>
      </c>
      <c r="L21" s="1">
        <v>4158.7</v>
      </c>
      <c r="M21" s="34">
        <v>39479</v>
      </c>
      <c r="N21" s="1">
        <v>665.5</v>
      </c>
    </row>
    <row r="22" spans="1:14" x14ac:dyDescent="0.25">
      <c r="A22" s="34">
        <v>39508</v>
      </c>
      <c r="B22" s="1">
        <v>4211.3999999999996</v>
      </c>
      <c r="C22" s="34">
        <v>39508</v>
      </c>
      <c r="D22" s="1">
        <v>613</v>
      </c>
      <c r="E22" s="34">
        <v>39508</v>
      </c>
      <c r="F22" s="1">
        <v>7.1</v>
      </c>
      <c r="G22" s="34">
        <v>39508</v>
      </c>
      <c r="H22" s="1">
        <v>-2.31</v>
      </c>
      <c r="I22" s="34">
        <v>39508</v>
      </c>
      <c r="J22" s="1">
        <v>143.4</v>
      </c>
      <c r="K22" s="34">
        <v>39508</v>
      </c>
      <c r="L22" s="1">
        <v>4159</v>
      </c>
      <c r="M22" s="34">
        <v>39508</v>
      </c>
      <c r="N22" s="1">
        <v>666.9</v>
      </c>
    </row>
    <row r="23" spans="1:14" x14ac:dyDescent="0.25">
      <c r="A23" s="34">
        <v>39539</v>
      </c>
      <c r="B23" s="1">
        <v>4190.7</v>
      </c>
      <c r="C23" s="34">
        <v>39539</v>
      </c>
      <c r="D23" s="1">
        <v>1201</v>
      </c>
      <c r="E23" s="34">
        <v>39539</v>
      </c>
      <c r="F23" s="1">
        <v>7.3</v>
      </c>
      <c r="G23" s="34">
        <v>39539</v>
      </c>
      <c r="H23" s="1">
        <v>-3.31</v>
      </c>
      <c r="I23" s="34">
        <v>39539</v>
      </c>
      <c r="J23" s="1">
        <v>142.29</v>
      </c>
      <c r="K23" s="34">
        <v>39539</v>
      </c>
      <c r="L23" s="1">
        <v>4172.8</v>
      </c>
      <c r="M23" s="34">
        <v>39539</v>
      </c>
      <c r="N23" s="1">
        <v>668.2</v>
      </c>
    </row>
    <row r="24" spans="1:14" x14ac:dyDescent="0.25">
      <c r="A24" s="34">
        <v>39569</v>
      </c>
      <c r="B24" s="1">
        <v>4180</v>
      </c>
      <c r="C24" s="34">
        <v>39569</v>
      </c>
      <c r="D24" s="1">
        <v>1321</v>
      </c>
      <c r="E24" s="34">
        <v>39569</v>
      </c>
      <c r="F24" s="1">
        <v>7.6</v>
      </c>
      <c r="G24" s="34">
        <v>39569</v>
      </c>
      <c r="H24" s="1">
        <v>-3.25</v>
      </c>
      <c r="I24" s="34">
        <v>39569</v>
      </c>
      <c r="J24" s="1">
        <v>141.07</v>
      </c>
      <c r="K24" s="34">
        <v>39569</v>
      </c>
      <c r="L24" s="1">
        <v>4225.6000000000004</v>
      </c>
      <c r="M24" s="34">
        <v>39569</v>
      </c>
      <c r="N24" s="1">
        <v>658</v>
      </c>
    </row>
    <row r="25" spans="1:14" x14ac:dyDescent="0.25">
      <c r="A25" s="34">
        <v>39600</v>
      </c>
      <c r="B25" s="1">
        <v>4194.3999999999996</v>
      </c>
      <c r="C25" s="34">
        <v>39600</v>
      </c>
      <c r="D25" s="1">
        <v>1313</v>
      </c>
      <c r="E25" s="34">
        <v>39600</v>
      </c>
      <c r="F25" s="1">
        <v>7.9</v>
      </c>
      <c r="G25" s="34">
        <v>39600</v>
      </c>
      <c r="H25" s="1">
        <v>-2.2000000000000002</v>
      </c>
      <c r="I25" s="34">
        <v>39600</v>
      </c>
      <c r="J25" s="1">
        <v>139.97999999999999</v>
      </c>
      <c r="K25" s="34">
        <v>39600</v>
      </c>
      <c r="L25" s="1">
        <v>4243.8</v>
      </c>
      <c r="M25" s="34">
        <v>39600</v>
      </c>
      <c r="N25" s="1">
        <v>641.9</v>
      </c>
    </row>
    <row r="26" spans="1:14" x14ac:dyDescent="0.25">
      <c r="A26" s="34">
        <v>39630</v>
      </c>
      <c r="B26" s="1">
        <v>4160.7</v>
      </c>
      <c r="C26" s="34">
        <v>39630</v>
      </c>
      <c r="D26" s="1">
        <v>1143</v>
      </c>
      <c r="E26" s="34">
        <v>39630</v>
      </c>
      <c r="F26" s="1">
        <v>8.1999999999999993</v>
      </c>
      <c r="G26" s="34">
        <v>39630</v>
      </c>
      <c r="H26" s="1">
        <v>-2.54</v>
      </c>
      <c r="I26" s="34">
        <v>39630</v>
      </c>
      <c r="J26" s="1">
        <v>138.75</v>
      </c>
      <c r="K26" s="34">
        <v>39630</v>
      </c>
      <c r="L26" s="1">
        <v>4112.5</v>
      </c>
      <c r="M26" s="34">
        <v>39630</v>
      </c>
      <c r="N26" s="1">
        <v>593</v>
      </c>
    </row>
    <row r="27" spans="1:14" x14ac:dyDescent="0.25">
      <c r="A27" s="34">
        <v>39661</v>
      </c>
      <c r="B27" s="1">
        <v>4161.6000000000004</v>
      </c>
      <c r="C27" s="34">
        <v>39661</v>
      </c>
      <c r="D27" s="1">
        <v>996</v>
      </c>
      <c r="E27" s="34">
        <v>39661</v>
      </c>
      <c r="F27" s="1">
        <v>8.5</v>
      </c>
      <c r="G27" s="34">
        <v>39661</v>
      </c>
      <c r="H27" s="1">
        <v>-2.52</v>
      </c>
      <c r="I27" s="34">
        <v>39661</v>
      </c>
      <c r="J27" s="1">
        <v>137.62</v>
      </c>
      <c r="K27" s="34">
        <v>39661</v>
      </c>
      <c r="L27" s="1">
        <v>4147.6000000000004</v>
      </c>
      <c r="M27" s="34">
        <v>39661</v>
      </c>
      <c r="N27" s="1">
        <v>598.6</v>
      </c>
    </row>
    <row r="28" spans="1:14" x14ac:dyDescent="0.25">
      <c r="A28" s="34">
        <v>39692</v>
      </c>
      <c r="B28" s="1">
        <v>4134</v>
      </c>
      <c r="C28" s="34">
        <v>39692</v>
      </c>
      <c r="D28" s="1">
        <v>973</v>
      </c>
      <c r="E28" s="34">
        <v>39692</v>
      </c>
      <c r="F28" s="1">
        <v>8.9</v>
      </c>
      <c r="G28" s="34">
        <v>39692</v>
      </c>
      <c r="H28" s="1">
        <v>-2.65</v>
      </c>
      <c r="I28" s="34">
        <v>39692</v>
      </c>
      <c r="J28" s="1">
        <v>135.99</v>
      </c>
      <c r="K28" s="34">
        <v>39692</v>
      </c>
      <c r="L28" s="1">
        <v>4180.2</v>
      </c>
      <c r="M28" s="34">
        <v>39692</v>
      </c>
      <c r="N28" s="1">
        <v>654.79999999999995</v>
      </c>
    </row>
    <row r="29" spans="1:14" x14ac:dyDescent="0.25">
      <c r="A29" s="34">
        <v>39722</v>
      </c>
      <c r="B29" s="1">
        <v>4107.1000000000004</v>
      </c>
      <c r="C29" s="34">
        <v>39722</v>
      </c>
      <c r="D29" s="1">
        <v>1206</v>
      </c>
      <c r="E29" s="34">
        <v>39722</v>
      </c>
      <c r="F29" s="1">
        <v>9.4</v>
      </c>
      <c r="G29" s="34">
        <v>39722</v>
      </c>
      <c r="H29" s="1">
        <v>-3.89</v>
      </c>
      <c r="I29" s="34">
        <v>39722</v>
      </c>
      <c r="J29" s="1">
        <v>134.16999999999999</v>
      </c>
      <c r="K29" s="34">
        <v>39722</v>
      </c>
      <c r="L29" s="1">
        <v>4168.6000000000004</v>
      </c>
      <c r="M29" s="34">
        <v>39722</v>
      </c>
      <c r="N29" s="1">
        <v>670.7</v>
      </c>
    </row>
    <row r="30" spans="1:14" x14ac:dyDescent="0.25">
      <c r="A30" s="34">
        <v>39753</v>
      </c>
      <c r="B30" s="1">
        <v>4082.9</v>
      </c>
      <c r="C30" s="34">
        <v>39753</v>
      </c>
      <c r="D30" s="1">
        <v>532</v>
      </c>
      <c r="E30" s="34">
        <v>39753</v>
      </c>
      <c r="F30" s="1">
        <v>9.9</v>
      </c>
      <c r="G30" s="34">
        <v>39753</v>
      </c>
      <c r="H30" s="1">
        <v>-5.18</v>
      </c>
      <c r="I30" s="34">
        <v>39753</v>
      </c>
      <c r="J30" s="1">
        <v>132.05000000000001</v>
      </c>
      <c r="K30" s="34">
        <v>39753</v>
      </c>
      <c r="L30" s="1">
        <v>4139.2</v>
      </c>
      <c r="M30" s="34">
        <v>39753</v>
      </c>
      <c r="N30" s="1">
        <v>671.7</v>
      </c>
    </row>
    <row r="31" spans="1:14" x14ac:dyDescent="0.25">
      <c r="A31" s="34">
        <v>39783</v>
      </c>
      <c r="B31" s="1">
        <v>4055.3</v>
      </c>
      <c r="C31" s="34">
        <v>39783</v>
      </c>
      <c r="D31" s="1">
        <v>368</v>
      </c>
      <c r="E31" s="34">
        <v>39783</v>
      </c>
      <c r="F31" s="1">
        <v>10.6</v>
      </c>
      <c r="G31" s="34">
        <v>39783</v>
      </c>
      <c r="H31" s="1">
        <v>-6.22</v>
      </c>
      <c r="I31" s="34">
        <v>39783</v>
      </c>
      <c r="J31" s="1">
        <v>129.41999999999999</v>
      </c>
      <c r="K31" s="34">
        <v>39783</v>
      </c>
      <c r="L31" s="1">
        <v>4092.1</v>
      </c>
      <c r="M31" s="34">
        <v>39783</v>
      </c>
      <c r="N31" s="1">
        <v>662</v>
      </c>
    </row>
    <row r="32" spans="1:14" x14ac:dyDescent="0.25">
      <c r="A32" s="34">
        <v>39814</v>
      </c>
      <c r="B32" s="1">
        <v>3951.1</v>
      </c>
      <c r="C32" s="34">
        <v>39814</v>
      </c>
      <c r="D32" s="1">
        <v>271</v>
      </c>
      <c r="E32" s="34">
        <v>39814</v>
      </c>
      <c r="F32" s="1">
        <v>11.4</v>
      </c>
      <c r="G32" s="34">
        <v>39814</v>
      </c>
      <c r="H32" s="1">
        <v>-7.92</v>
      </c>
      <c r="I32" s="34">
        <v>39814</v>
      </c>
      <c r="J32" s="1">
        <v>126.17</v>
      </c>
      <c r="K32" s="34">
        <v>39814</v>
      </c>
      <c r="L32" s="1">
        <v>3863.6</v>
      </c>
      <c r="M32" s="34">
        <v>39814</v>
      </c>
      <c r="N32" s="1">
        <v>652.70000000000005</v>
      </c>
    </row>
    <row r="33" spans="1:14" x14ac:dyDescent="0.25">
      <c r="A33" s="34">
        <v>39845</v>
      </c>
      <c r="B33" s="1">
        <v>3951.3</v>
      </c>
      <c r="C33" s="34">
        <v>39845</v>
      </c>
      <c r="D33" s="1">
        <v>274</v>
      </c>
      <c r="E33" s="34">
        <v>39845</v>
      </c>
      <c r="F33" s="1">
        <v>12.1</v>
      </c>
      <c r="G33" s="34">
        <v>39845</v>
      </c>
      <c r="H33" s="1">
        <v>-5</v>
      </c>
      <c r="I33" s="34">
        <v>39845</v>
      </c>
      <c r="J33" s="1">
        <v>123.95</v>
      </c>
      <c r="K33" s="34">
        <v>39845</v>
      </c>
      <c r="L33" s="1">
        <v>3881.9</v>
      </c>
      <c r="M33" s="34">
        <v>39845</v>
      </c>
      <c r="N33" s="1">
        <v>665</v>
      </c>
    </row>
    <row r="34" spans="1:14" x14ac:dyDescent="0.25">
      <c r="A34" s="34">
        <v>39873</v>
      </c>
      <c r="B34" s="1">
        <v>3923</v>
      </c>
      <c r="C34" s="34">
        <v>39873</v>
      </c>
      <c r="D34" s="1">
        <v>356</v>
      </c>
      <c r="E34" s="34">
        <v>39873</v>
      </c>
      <c r="F34" s="1">
        <v>12.7</v>
      </c>
      <c r="G34" s="34">
        <v>39873</v>
      </c>
      <c r="H34" s="1">
        <v>-4.62</v>
      </c>
      <c r="I34" s="34">
        <v>39873</v>
      </c>
      <c r="J34" s="1">
        <v>121.88</v>
      </c>
      <c r="K34" s="34">
        <v>39873</v>
      </c>
      <c r="L34" s="1">
        <v>3872.1</v>
      </c>
      <c r="M34" s="34">
        <v>39873</v>
      </c>
      <c r="N34" s="1">
        <v>666</v>
      </c>
    </row>
    <row r="35" spans="1:14" x14ac:dyDescent="0.25">
      <c r="A35" s="34">
        <v>39904</v>
      </c>
      <c r="B35" s="1">
        <v>3906.8</v>
      </c>
      <c r="C35" s="34">
        <v>39904</v>
      </c>
      <c r="D35" s="1">
        <v>568</v>
      </c>
      <c r="E35" s="34">
        <v>39904</v>
      </c>
      <c r="F35" s="1">
        <v>13.2</v>
      </c>
      <c r="G35" s="34">
        <v>39904</v>
      </c>
      <c r="H35" s="1">
        <v>-3.64</v>
      </c>
      <c r="I35" s="34">
        <v>39904</v>
      </c>
      <c r="J35" s="1">
        <v>120.31</v>
      </c>
      <c r="K35" s="34">
        <v>39904</v>
      </c>
      <c r="L35" s="1">
        <v>3895.7</v>
      </c>
      <c r="M35" s="34">
        <v>39904</v>
      </c>
      <c r="N35" s="1">
        <v>669.3</v>
      </c>
    </row>
    <row r="36" spans="1:14" x14ac:dyDescent="0.25">
      <c r="A36" s="34">
        <v>39934</v>
      </c>
      <c r="B36" s="1">
        <v>3875</v>
      </c>
      <c r="C36" s="34">
        <v>39934</v>
      </c>
      <c r="D36" s="1">
        <v>707</v>
      </c>
      <c r="E36" s="34">
        <v>39934</v>
      </c>
      <c r="F36" s="1">
        <v>13.6</v>
      </c>
      <c r="G36" s="34">
        <v>39934</v>
      </c>
      <c r="H36" s="1">
        <v>-2.4700000000000002</v>
      </c>
      <c r="I36" s="34">
        <v>39934</v>
      </c>
      <c r="J36" s="1">
        <v>119</v>
      </c>
      <c r="K36" s="34">
        <v>39934</v>
      </c>
      <c r="L36" s="1">
        <v>3910.9</v>
      </c>
      <c r="M36" s="34">
        <v>39934</v>
      </c>
      <c r="N36" s="1">
        <v>659.9</v>
      </c>
    </row>
    <row r="37" spans="1:14" x14ac:dyDescent="0.25">
      <c r="A37" s="34">
        <v>39965</v>
      </c>
      <c r="B37" s="1">
        <v>3837.7</v>
      </c>
      <c r="C37" s="34">
        <v>39965</v>
      </c>
      <c r="D37" s="1">
        <v>694</v>
      </c>
      <c r="E37" s="34">
        <v>39965</v>
      </c>
      <c r="F37" s="1">
        <v>13.9</v>
      </c>
      <c r="G37" s="34">
        <v>39965</v>
      </c>
      <c r="H37" s="1">
        <v>-1.86</v>
      </c>
      <c r="I37" s="34">
        <v>39965</v>
      </c>
      <c r="J37" s="1">
        <v>117.96</v>
      </c>
      <c r="K37" s="34">
        <v>39965</v>
      </c>
      <c r="L37" s="1">
        <v>3882.6</v>
      </c>
      <c r="M37" s="34">
        <v>39965</v>
      </c>
      <c r="N37" s="1">
        <v>639.1</v>
      </c>
    </row>
    <row r="38" spans="1:14" x14ac:dyDescent="0.25">
      <c r="A38" s="34">
        <v>39995</v>
      </c>
      <c r="B38" s="1">
        <v>3830.3</v>
      </c>
      <c r="C38" s="34">
        <v>39995</v>
      </c>
      <c r="D38" s="1">
        <v>783</v>
      </c>
      <c r="E38" s="34">
        <v>39995</v>
      </c>
      <c r="F38" s="1">
        <v>14.1</v>
      </c>
      <c r="G38" s="34">
        <v>39995</v>
      </c>
      <c r="H38" s="1">
        <v>0.28000000000000003</v>
      </c>
      <c r="I38" s="34">
        <v>39995</v>
      </c>
      <c r="J38" s="1">
        <v>117.41</v>
      </c>
      <c r="K38" s="34">
        <v>39995</v>
      </c>
      <c r="L38" s="1">
        <v>3793.6</v>
      </c>
      <c r="M38" s="34">
        <v>39995</v>
      </c>
      <c r="N38" s="1">
        <v>589.6</v>
      </c>
    </row>
    <row r="39" spans="1:14" x14ac:dyDescent="0.25">
      <c r="A39" s="34">
        <v>40026</v>
      </c>
      <c r="B39" s="1">
        <v>3831.2</v>
      </c>
      <c r="C39" s="34">
        <v>40026</v>
      </c>
      <c r="D39" s="1">
        <v>822</v>
      </c>
      <c r="E39" s="34">
        <v>40026</v>
      </c>
      <c r="F39" s="1">
        <v>14.2</v>
      </c>
      <c r="G39" s="34">
        <v>40026</v>
      </c>
      <c r="H39" s="1">
        <v>1.22</v>
      </c>
      <c r="I39" s="34">
        <v>40026</v>
      </c>
      <c r="J39" s="1">
        <v>117.21</v>
      </c>
      <c r="K39" s="34">
        <v>40026</v>
      </c>
      <c r="L39" s="1">
        <v>3818.3</v>
      </c>
      <c r="M39" s="34">
        <v>40026</v>
      </c>
      <c r="N39" s="1">
        <v>589.5</v>
      </c>
    </row>
    <row r="40" spans="1:14" x14ac:dyDescent="0.25">
      <c r="A40" s="34">
        <v>40057</v>
      </c>
      <c r="B40" s="1">
        <v>3832.7</v>
      </c>
      <c r="C40" s="34">
        <v>40057</v>
      </c>
      <c r="D40" s="1">
        <v>789</v>
      </c>
      <c r="E40" s="34">
        <v>40057</v>
      </c>
      <c r="F40" s="1">
        <v>14.1</v>
      </c>
      <c r="G40" s="34">
        <v>40057</v>
      </c>
      <c r="H40" s="1">
        <v>2.87</v>
      </c>
      <c r="I40" s="34">
        <v>40057</v>
      </c>
      <c r="J40" s="1">
        <v>117.46</v>
      </c>
      <c r="K40" s="34">
        <v>40057</v>
      </c>
      <c r="L40" s="1">
        <v>3876.3</v>
      </c>
      <c r="M40" s="34">
        <v>40057</v>
      </c>
      <c r="N40" s="1">
        <v>645.70000000000005</v>
      </c>
    </row>
    <row r="41" spans="1:14" x14ac:dyDescent="0.25">
      <c r="A41" s="34">
        <v>40087</v>
      </c>
      <c r="B41" s="1">
        <v>3837.3</v>
      </c>
      <c r="C41" s="34">
        <v>40087</v>
      </c>
      <c r="D41" s="1">
        <v>775</v>
      </c>
      <c r="E41" s="34">
        <v>40087</v>
      </c>
      <c r="F41" s="1">
        <v>14.1</v>
      </c>
      <c r="G41" s="34">
        <v>40087</v>
      </c>
      <c r="H41" s="1">
        <v>2.2000000000000002</v>
      </c>
      <c r="I41" s="34">
        <v>40087</v>
      </c>
      <c r="J41" s="1">
        <v>117.54</v>
      </c>
      <c r="K41" s="34">
        <v>40087</v>
      </c>
      <c r="L41" s="1">
        <v>3895.9</v>
      </c>
      <c r="M41" s="34">
        <v>40087</v>
      </c>
      <c r="N41" s="1">
        <v>663.9</v>
      </c>
    </row>
    <row r="42" spans="1:14" x14ac:dyDescent="0.25">
      <c r="A42" s="34">
        <v>40118</v>
      </c>
      <c r="B42" s="1">
        <v>3834.2</v>
      </c>
      <c r="C42" s="34">
        <v>40118</v>
      </c>
      <c r="D42" s="1">
        <v>553</v>
      </c>
      <c r="E42" s="34">
        <v>40118</v>
      </c>
      <c r="F42" s="1">
        <v>14</v>
      </c>
      <c r="G42" s="34">
        <v>40118</v>
      </c>
      <c r="H42" s="1">
        <v>2.23</v>
      </c>
      <c r="I42" s="34">
        <v>40118</v>
      </c>
      <c r="J42" s="1">
        <v>117.72</v>
      </c>
      <c r="K42" s="34">
        <v>40118</v>
      </c>
      <c r="L42" s="1">
        <v>3886.3</v>
      </c>
      <c r="M42" s="34">
        <v>40118</v>
      </c>
      <c r="N42" s="1">
        <v>664.4</v>
      </c>
    </row>
    <row r="43" spans="1:14" x14ac:dyDescent="0.25">
      <c r="A43" s="34">
        <v>40148</v>
      </c>
      <c r="B43" s="1">
        <v>3835.7</v>
      </c>
      <c r="C43" s="34">
        <v>40148</v>
      </c>
      <c r="D43" s="1">
        <v>462</v>
      </c>
      <c r="E43" s="34">
        <v>40148</v>
      </c>
      <c r="F43" s="1">
        <v>13.9</v>
      </c>
      <c r="G43" s="34">
        <v>40148</v>
      </c>
      <c r="H43" s="1">
        <v>2.44</v>
      </c>
      <c r="I43" s="34">
        <v>40148</v>
      </c>
      <c r="J43" s="1">
        <v>117.98</v>
      </c>
      <c r="K43" s="34">
        <v>40148</v>
      </c>
      <c r="L43" s="1">
        <v>3869</v>
      </c>
      <c r="M43" s="34">
        <v>40148</v>
      </c>
      <c r="N43" s="1">
        <v>656.1</v>
      </c>
    </row>
    <row r="44" spans="1:14" x14ac:dyDescent="0.25">
      <c r="A44" s="34">
        <v>40179</v>
      </c>
      <c r="B44" s="1">
        <v>3834.5</v>
      </c>
      <c r="C44" s="34">
        <v>40179</v>
      </c>
      <c r="D44" s="1">
        <v>485</v>
      </c>
      <c r="E44" s="34">
        <v>40179</v>
      </c>
      <c r="F44" s="1">
        <v>13.8</v>
      </c>
      <c r="G44" s="34">
        <v>40179</v>
      </c>
      <c r="H44" s="1">
        <v>2.59</v>
      </c>
      <c r="I44" s="34">
        <v>40179</v>
      </c>
      <c r="J44" s="1">
        <v>118.29</v>
      </c>
      <c r="K44" s="34">
        <v>40179</v>
      </c>
      <c r="L44" s="1">
        <v>3751.8</v>
      </c>
      <c r="M44" s="34">
        <v>40179</v>
      </c>
      <c r="N44" s="1">
        <v>641.70000000000005</v>
      </c>
    </row>
    <row r="45" spans="1:14" x14ac:dyDescent="0.25">
      <c r="A45" s="34">
        <v>40210</v>
      </c>
      <c r="B45" s="1">
        <v>3835.4</v>
      </c>
      <c r="C45" s="34">
        <v>40210</v>
      </c>
      <c r="D45" s="1">
        <v>469</v>
      </c>
      <c r="E45" s="34">
        <v>40210</v>
      </c>
      <c r="F45" s="1">
        <v>13.6</v>
      </c>
      <c r="G45" s="34">
        <v>40210</v>
      </c>
      <c r="H45" s="1">
        <v>3.6</v>
      </c>
      <c r="I45" s="34">
        <v>40210</v>
      </c>
      <c r="J45" s="1">
        <v>118.9</v>
      </c>
      <c r="K45" s="34">
        <v>40210</v>
      </c>
      <c r="L45" s="1">
        <v>3768.3</v>
      </c>
      <c r="M45" s="34">
        <v>40210</v>
      </c>
      <c r="N45" s="1">
        <v>655.4</v>
      </c>
    </row>
    <row r="46" spans="1:14" x14ac:dyDescent="0.25">
      <c r="A46" s="34">
        <v>40238</v>
      </c>
      <c r="B46" s="1">
        <v>3829.8</v>
      </c>
      <c r="C46" s="34">
        <v>40238</v>
      </c>
      <c r="D46" s="1">
        <v>706</v>
      </c>
      <c r="E46" s="34">
        <v>40238</v>
      </c>
      <c r="F46" s="1">
        <v>13.4</v>
      </c>
      <c r="G46" s="34">
        <v>40238</v>
      </c>
      <c r="H46" s="1">
        <v>3.69</v>
      </c>
      <c r="I46" s="34">
        <v>40238</v>
      </c>
      <c r="J46" s="1">
        <v>119.48</v>
      </c>
      <c r="K46" s="34">
        <v>40238</v>
      </c>
      <c r="L46" s="1">
        <v>3780.9</v>
      </c>
      <c r="M46" s="34">
        <v>40238</v>
      </c>
      <c r="N46" s="1">
        <v>655.9</v>
      </c>
    </row>
    <row r="47" spans="1:14" x14ac:dyDescent="0.25">
      <c r="A47" s="34">
        <v>40269</v>
      </c>
      <c r="B47" s="1">
        <v>3848.8</v>
      </c>
      <c r="C47" s="34">
        <v>40269</v>
      </c>
      <c r="D47" s="1">
        <v>803</v>
      </c>
      <c r="E47" s="34">
        <v>40269</v>
      </c>
      <c r="F47" s="1">
        <v>13.2</v>
      </c>
      <c r="G47" s="34">
        <v>40269</v>
      </c>
      <c r="H47" s="1">
        <v>3.96</v>
      </c>
      <c r="I47" s="34">
        <v>40269</v>
      </c>
      <c r="J47" s="1">
        <v>120.25</v>
      </c>
      <c r="K47" s="34">
        <v>40269</v>
      </c>
      <c r="L47" s="1">
        <v>3838.6</v>
      </c>
      <c r="M47" s="34">
        <v>40269</v>
      </c>
      <c r="N47" s="1">
        <v>658.5</v>
      </c>
    </row>
    <row r="48" spans="1:14" x14ac:dyDescent="0.25">
      <c r="A48" s="34">
        <v>40299</v>
      </c>
      <c r="B48" s="1">
        <v>3861.5</v>
      </c>
      <c r="C48" s="34">
        <v>40299</v>
      </c>
      <c r="D48" s="1">
        <v>760</v>
      </c>
      <c r="E48" s="34">
        <v>40299</v>
      </c>
      <c r="F48" s="1">
        <v>13</v>
      </c>
      <c r="G48" s="34">
        <v>40299</v>
      </c>
      <c r="H48" s="1">
        <v>3.34</v>
      </c>
      <c r="I48" s="34">
        <v>40299</v>
      </c>
      <c r="J48" s="1">
        <v>120.93</v>
      </c>
      <c r="K48" s="34">
        <v>40299</v>
      </c>
      <c r="L48" s="1">
        <v>3895.8</v>
      </c>
      <c r="M48" s="34">
        <v>40299</v>
      </c>
      <c r="N48" s="1">
        <v>657.2</v>
      </c>
    </row>
    <row r="49" spans="1:14" x14ac:dyDescent="0.25">
      <c r="A49" s="34">
        <v>40330</v>
      </c>
      <c r="B49" s="1">
        <v>3864</v>
      </c>
      <c r="C49" s="34">
        <v>40330</v>
      </c>
      <c r="D49" s="1">
        <v>951</v>
      </c>
      <c r="E49" s="34">
        <v>40330</v>
      </c>
      <c r="F49" s="1">
        <v>12.8</v>
      </c>
      <c r="G49" s="34">
        <v>40330</v>
      </c>
      <c r="H49" s="1">
        <v>2.71</v>
      </c>
      <c r="I49" s="34">
        <v>40330</v>
      </c>
      <c r="J49" s="1">
        <v>121.59</v>
      </c>
      <c r="K49" s="34">
        <v>40330</v>
      </c>
      <c r="L49" s="1">
        <v>3907.7</v>
      </c>
      <c r="M49" s="34">
        <v>40330</v>
      </c>
      <c r="N49" s="1">
        <v>633.70000000000005</v>
      </c>
    </row>
    <row r="50" spans="1:14" x14ac:dyDescent="0.25">
      <c r="A50" s="34">
        <v>40360</v>
      </c>
      <c r="B50" s="1">
        <v>3879.9</v>
      </c>
      <c r="C50" s="34">
        <v>40360</v>
      </c>
      <c r="D50" s="1">
        <v>787</v>
      </c>
      <c r="E50" s="34">
        <v>40360</v>
      </c>
      <c r="F50" s="1">
        <v>12.6</v>
      </c>
      <c r="G50" s="34">
        <v>40360</v>
      </c>
      <c r="H50" s="1">
        <v>2.4</v>
      </c>
      <c r="I50" s="34">
        <v>40360</v>
      </c>
      <c r="J50" s="1">
        <v>122.3</v>
      </c>
      <c r="K50" s="34">
        <v>40360</v>
      </c>
      <c r="L50" s="1">
        <v>3845.8</v>
      </c>
      <c r="M50" s="34">
        <v>40360</v>
      </c>
      <c r="N50" s="1">
        <v>584.70000000000005</v>
      </c>
    </row>
    <row r="51" spans="1:14" x14ac:dyDescent="0.25">
      <c r="A51" s="34">
        <v>40391</v>
      </c>
      <c r="B51" s="1">
        <v>3864.9</v>
      </c>
      <c r="C51" s="34">
        <v>40391</v>
      </c>
      <c r="D51" s="1">
        <v>984</v>
      </c>
      <c r="E51" s="34">
        <v>40391</v>
      </c>
      <c r="F51" s="1">
        <v>12.4</v>
      </c>
      <c r="G51" s="34">
        <v>40391</v>
      </c>
      <c r="H51" s="1">
        <v>2.16</v>
      </c>
      <c r="I51" s="34">
        <v>40391</v>
      </c>
      <c r="J51" s="1">
        <v>122.79</v>
      </c>
      <c r="K51" s="34">
        <v>40391</v>
      </c>
      <c r="L51" s="1">
        <v>3851.3</v>
      </c>
      <c r="M51" s="34">
        <v>40391</v>
      </c>
      <c r="N51" s="1">
        <v>576</v>
      </c>
    </row>
    <row r="52" spans="1:14" x14ac:dyDescent="0.25">
      <c r="A52" s="34">
        <v>40422</v>
      </c>
      <c r="B52" s="1">
        <v>3872</v>
      </c>
      <c r="C52" s="34">
        <v>40422</v>
      </c>
      <c r="D52" s="1">
        <v>739</v>
      </c>
      <c r="E52" s="34">
        <v>40422</v>
      </c>
      <c r="F52" s="1">
        <v>12.2</v>
      </c>
      <c r="G52" s="34">
        <v>40422</v>
      </c>
      <c r="H52" s="1">
        <v>2.82</v>
      </c>
      <c r="I52" s="34">
        <v>40422</v>
      </c>
      <c r="J52" s="1">
        <v>123.5</v>
      </c>
      <c r="K52" s="34">
        <v>40422</v>
      </c>
      <c r="L52" s="1">
        <v>3913.4</v>
      </c>
      <c r="M52" s="34">
        <v>40422</v>
      </c>
      <c r="N52" s="1">
        <v>630</v>
      </c>
    </row>
    <row r="53" spans="1:14" x14ac:dyDescent="0.25">
      <c r="A53" s="34">
        <v>40452</v>
      </c>
      <c r="B53" s="1">
        <v>3888.6</v>
      </c>
      <c r="C53" s="34">
        <v>40452</v>
      </c>
      <c r="D53" s="1">
        <v>842</v>
      </c>
      <c r="E53" s="34">
        <v>40452</v>
      </c>
      <c r="F53" s="1">
        <v>11.9</v>
      </c>
      <c r="G53" s="34">
        <v>40452</v>
      </c>
      <c r="H53" s="1">
        <v>3.83</v>
      </c>
      <c r="I53" s="34">
        <v>40452</v>
      </c>
      <c r="J53" s="1">
        <v>124.46</v>
      </c>
      <c r="K53" s="34">
        <v>40452</v>
      </c>
      <c r="L53" s="1">
        <v>3941.4</v>
      </c>
      <c r="M53" s="34">
        <v>40452</v>
      </c>
      <c r="N53" s="1">
        <v>646</v>
      </c>
    </row>
    <row r="54" spans="1:14" x14ac:dyDescent="0.25">
      <c r="A54" s="34">
        <v>40483</v>
      </c>
      <c r="B54" s="1">
        <v>3891.4</v>
      </c>
      <c r="C54" s="34">
        <v>40483</v>
      </c>
      <c r="D54" s="1">
        <v>960</v>
      </c>
      <c r="E54" s="34">
        <v>40483</v>
      </c>
      <c r="F54" s="1">
        <v>11.6</v>
      </c>
      <c r="G54" s="34">
        <v>40483</v>
      </c>
      <c r="H54" s="1">
        <v>4.67</v>
      </c>
      <c r="I54" s="34">
        <v>40483</v>
      </c>
      <c r="J54" s="1">
        <v>125.43</v>
      </c>
      <c r="K54" s="34">
        <v>40483</v>
      </c>
      <c r="L54" s="1">
        <v>3942.3</v>
      </c>
      <c r="M54" s="34">
        <v>40483</v>
      </c>
      <c r="N54" s="1">
        <v>648.20000000000005</v>
      </c>
    </row>
    <row r="55" spans="1:14" x14ac:dyDescent="0.25">
      <c r="A55" s="34">
        <v>40513</v>
      </c>
      <c r="B55" s="1">
        <v>3891.8</v>
      </c>
      <c r="C55" s="34">
        <v>40513</v>
      </c>
      <c r="D55" s="1">
        <v>554</v>
      </c>
      <c r="E55" s="34">
        <v>40513</v>
      </c>
      <c r="F55" s="1">
        <v>11.3</v>
      </c>
      <c r="G55" s="34">
        <v>40513</v>
      </c>
      <c r="H55" s="1">
        <v>3.17</v>
      </c>
      <c r="I55" s="34">
        <v>40513</v>
      </c>
      <c r="J55" s="1">
        <v>126.37</v>
      </c>
      <c r="K55" s="34">
        <v>40513</v>
      </c>
      <c r="L55" s="1">
        <v>3922.3</v>
      </c>
      <c r="M55" s="34">
        <v>40513</v>
      </c>
      <c r="N55" s="1">
        <v>640</v>
      </c>
    </row>
    <row r="56" spans="1:14" x14ac:dyDescent="0.25">
      <c r="A56" s="34">
        <v>40544</v>
      </c>
      <c r="B56" s="1">
        <v>3910.1</v>
      </c>
      <c r="C56" s="34">
        <v>40544</v>
      </c>
      <c r="D56" s="1">
        <v>373</v>
      </c>
      <c r="E56" s="34">
        <v>40544</v>
      </c>
      <c r="F56" s="1">
        <v>11</v>
      </c>
      <c r="G56" s="34">
        <v>40544</v>
      </c>
      <c r="H56" s="1">
        <v>3.56</v>
      </c>
      <c r="I56" s="34">
        <v>40544</v>
      </c>
      <c r="J56" s="1">
        <v>127.42</v>
      </c>
      <c r="K56" s="34">
        <v>40544</v>
      </c>
      <c r="L56" s="1">
        <v>3831.6</v>
      </c>
      <c r="M56" s="34">
        <v>40544</v>
      </c>
      <c r="N56" s="1">
        <v>625</v>
      </c>
    </row>
    <row r="57" spans="1:14" x14ac:dyDescent="0.25">
      <c r="A57" s="34">
        <v>40575</v>
      </c>
      <c r="B57" s="1">
        <v>3912.7</v>
      </c>
      <c r="C57" s="34">
        <v>40575</v>
      </c>
      <c r="D57" s="1">
        <v>388</v>
      </c>
      <c r="E57" s="34">
        <v>40575</v>
      </c>
      <c r="F57" s="1">
        <v>10.8</v>
      </c>
      <c r="G57" s="34">
        <v>40575</v>
      </c>
      <c r="H57" s="1">
        <v>2.6</v>
      </c>
      <c r="I57" s="34">
        <v>40575</v>
      </c>
      <c r="J57" s="1">
        <v>128.1</v>
      </c>
      <c r="K57" s="34">
        <v>40575</v>
      </c>
      <c r="L57" s="1">
        <v>3846.5</v>
      </c>
      <c r="M57" s="34">
        <v>40575</v>
      </c>
      <c r="N57" s="1">
        <v>636.20000000000005</v>
      </c>
    </row>
    <row r="58" spans="1:14" x14ac:dyDescent="0.25">
      <c r="A58" s="34">
        <v>40603</v>
      </c>
      <c r="B58" s="1">
        <v>3921.2</v>
      </c>
      <c r="C58" s="34">
        <v>40603</v>
      </c>
      <c r="D58" s="1">
        <v>630</v>
      </c>
      <c r="E58" s="34">
        <v>40603</v>
      </c>
      <c r="F58" s="1">
        <v>10.6</v>
      </c>
      <c r="G58" s="34">
        <v>40603</v>
      </c>
      <c r="H58" s="1">
        <v>2.44</v>
      </c>
      <c r="I58" s="34">
        <v>40603</v>
      </c>
      <c r="J58" s="1">
        <v>128.72</v>
      </c>
      <c r="K58" s="34">
        <v>40603</v>
      </c>
      <c r="L58" s="1">
        <v>3874.1</v>
      </c>
      <c r="M58" s="34">
        <v>40603</v>
      </c>
      <c r="N58" s="1">
        <v>638.29999999999995</v>
      </c>
    </row>
    <row r="59" spans="1:14" x14ac:dyDescent="0.25">
      <c r="A59" s="34">
        <v>40634</v>
      </c>
      <c r="B59" s="1">
        <v>3935.8</v>
      </c>
      <c r="C59" s="34">
        <v>40634</v>
      </c>
      <c r="D59" s="1">
        <v>758</v>
      </c>
      <c r="E59" s="34">
        <v>40634</v>
      </c>
      <c r="F59" s="1">
        <v>10.6</v>
      </c>
      <c r="G59" s="34">
        <v>40634</v>
      </c>
      <c r="H59" s="1">
        <v>1.1000000000000001</v>
      </c>
      <c r="I59" s="34">
        <v>40634</v>
      </c>
      <c r="J59" s="1">
        <v>128.77000000000001</v>
      </c>
      <c r="K59" s="34">
        <v>40634</v>
      </c>
      <c r="L59" s="1">
        <v>3926</v>
      </c>
      <c r="M59" s="34">
        <v>40634</v>
      </c>
      <c r="N59" s="1">
        <v>637.6</v>
      </c>
    </row>
    <row r="60" spans="1:14" x14ac:dyDescent="0.25">
      <c r="A60" s="34">
        <v>40664</v>
      </c>
      <c r="B60" s="1">
        <v>3937.9</v>
      </c>
      <c r="C60" s="34">
        <v>40664</v>
      </c>
      <c r="D60" s="1">
        <v>775</v>
      </c>
      <c r="E60" s="34">
        <v>40664</v>
      </c>
      <c r="F60" s="1">
        <v>10.6</v>
      </c>
      <c r="G60" s="34">
        <v>40664</v>
      </c>
      <c r="H60" s="1">
        <v>0.19</v>
      </c>
      <c r="I60" s="34">
        <v>40664</v>
      </c>
      <c r="J60" s="1">
        <v>128.77000000000001</v>
      </c>
      <c r="K60" s="34">
        <v>40664</v>
      </c>
      <c r="L60" s="1">
        <v>3972.4</v>
      </c>
      <c r="M60" s="34">
        <v>40664</v>
      </c>
      <c r="N60" s="1">
        <v>623.5</v>
      </c>
    </row>
    <row r="61" spans="1:14" x14ac:dyDescent="0.25">
      <c r="A61" s="34">
        <v>40695</v>
      </c>
      <c r="B61" s="1">
        <v>3942</v>
      </c>
      <c r="C61" s="34">
        <v>40695</v>
      </c>
      <c r="D61" s="1">
        <v>865</v>
      </c>
      <c r="E61" s="34">
        <v>40695</v>
      </c>
      <c r="F61" s="1">
        <v>10.7</v>
      </c>
      <c r="G61" s="34">
        <v>40695</v>
      </c>
      <c r="H61" s="1">
        <v>0.42</v>
      </c>
      <c r="I61" s="34">
        <v>40695</v>
      </c>
      <c r="J61" s="1">
        <v>128.52000000000001</v>
      </c>
      <c r="K61" s="34">
        <v>40695</v>
      </c>
      <c r="L61" s="1">
        <v>3985.9</v>
      </c>
      <c r="M61" s="34">
        <v>40695</v>
      </c>
      <c r="N61" s="1">
        <v>609.4</v>
      </c>
    </row>
    <row r="62" spans="1:14" x14ac:dyDescent="0.25">
      <c r="A62" s="34">
        <v>40725</v>
      </c>
      <c r="B62" s="1">
        <v>3963.2</v>
      </c>
      <c r="C62" s="34">
        <v>40725</v>
      </c>
      <c r="D62" s="1">
        <v>869</v>
      </c>
      <c r="E62" s="34">
        <v>40725</v>
      </c>
      <c r="F62" s="1">
        <v>10.7</v>
      </c>
      <c r="G62" s="34">
        <v>40725</v>
      </c>
      <c r="H62" s="1">
        <v>1.75</v>
      </c>
      <c r="I62" s="34">
        <v>40725</v>
      </c>
      <c r="J62" s="1">
        <v>128.77000000000001</v>
      </c>
      <c r="K62" s="34">
        <v>40725</v>
      </c>
      <c r="L62" s="1">
        <v>3931.1</v>
      </c>
      <c r="M62" s="34">
        <v>40725</v>
      </c>
      <c r="N62" s="1">
        <v>565</v>
      </c>
    </row>
    <row r="63" spans="1:14" x14ac:dyDescent="0.25">
      <c r="A63" s="34">
        <v>40756</v>
      </c>
      <c r="B63" s="1">
        <v>3965.8</v>
      </c>
      <c r="C63" s="34">
        <v>40756</v>
      </c>
      <c r="D63" s="1">
        <v>1001</v>
      </c>
      <c r="E63" s="34">
        <v>40756</v>
      </c>
      <c r="F63" s="1">
        <v>10.6</v>
      </c>
      <c r="G63" s="34">
        <v>40756</v>
      </c>
      <c r="H63" s="1">
        <v>3.3</v>
      </c>
      <c r="I63" s="34">
        <v>40756</v>
      </c>
      <c r="J63" s="1">
        <v>129.37</v>
      </c>
      <c r="K63" s="34">
        <v>40756</v>
      </c>
      <c r="L63" s="1">
        <v>3952.2</v>
      </c>
      <c r="M63" s="34">
        <v>40756</v>
      </c>
      <c r="N63" s="1">
        <v>561.6</v>
      </c>
    </row>
    <row r="64" spans="1:14" x14ac:dyDescent="0.25">
      <c r="A64" s="34">
        <v>40787</v>
      </c>
      <c r="B64" s="1">
        <v>3973</v>
      </c>
      <c r="C64" s="34">
        <v>40787</v>
      </c>
      <c r="D64" s="1">
        <v>870</v>
      </c>
      <c r="E64" s="34">
        <v>40787</v>
      </c>
      <c r="F64" s="1">
        <v>10.3</v>
      </c>
      <c r="G64" s="34">
        <v>40787</v>
      </c>
      <c r="H64" s="1">
        <v>5.24</v>
      </c>
      <c r="I64" s="34">
        <v>40787</v>
      </c>
      <c r="J64" s="1">
        <v>130.61000000000001</v>
      </c>
      <c r="K64" s="34">
        <v>40787</v>
      </c>
      <c r="L64" s="1">
        <v>4012.4</v>
      </c>
      <c r="M64" s="34">
        <v>40787</v>
      </c>
      <c r="N64" s="1">
        <v>619.6</v>
      </c>
    </row>
    <row r="65" spans="1:14" x14ac:dyDescent="0.25">
      <c r="A65" s="34">
        <v>40817</v>
      </c>
      <c r="B65" s="1">
        <v>3983.3</v>
      </c>
      <c r="C65" s="34">
        <v>40817</v>
      </c>
      <c r="D65" s="1">
        <v>846</v>
      </c>
      <c r="E65" s="34">
        <v>40817</v>
      </c>
      <c r="F65" s="1">
        <v>10</v>
      </c>
      <c r="G65" s="34">
        <v>40817</v>
      </c>
      <c r="H65" s="1">
        <v>4.8899999999999997</v>
      </c>
      <c r="I65" s="34">
        <v>40817</v>
      </c>
      <c r="J65" s="1">
        <v>131.74</v>
      </c>
      <c r="K65" s="34">
        <v>40817</v>
      </c>
      <c r="L65" s="1">
        <v>4033.5</v>
      </c>
      <c r="M65" s="34">
        <v>40817</v>
      </c>
      <c r="N65" s="1">
        <v>632</v>
      </c>
    </row>
    <row r="66" spans="1:14" x14ac:dyDescent="0.25">
      <c r="A66" s="34">
        <v>40848</v>
      </c>
      <c r="B66" s="1">
        <v>3989.1</v>
      </c>
      <c r="C66" s="34">
        <v>40848</v>
      </c>
      <c r="D66" s="1">
        <v>808</v>
      </c>
      <c r="E66" s="34">
        <v>40848</v>
      </c>
      <c r="F66" s="1">
        <v>9.6999999999999993</v>
      </c>
      <c r="G66" s="34">
        <v>40848</v>
      </c>
      <c r="H66" s="1">
        <v>4.97</v>
      </c>
      <c r="I66" s="34">
        <v>40848</v>
      </c>
      <c r="J66" s="1">
        <v>133.01</v>
      </c>
      <c r="K66" s="34">
        <v>40848</v>
      </c>
      <c r="L66" s="1">
        <v>4038.2</v>
      </c>
      <c r="M66" s="34">
        <v>40848</v>
      </c>
      <c r="N66" s="1">
        <v>634.70000000000005</v>
      </c>
    </row>
    <row r="67" spans="1:14" x14ac:dyDescent="0.25">
      <c r="A67" s="34">
        <v>40878</v>
      </c>
      <c r="B67" s="1">
        <v>3988.5</v>
      </c>
      <c r="C67" s="34">
        <v>40878</v>
      </c>
      <c r="D67" s="1">
        <v>579</v>
      </c>
      <c r="E67" s="34">
        <v>40878</v>
      </c>
      <c r="F67" s="1">
        <v>9.4</v>
      </c>
      <c r="G67" s="34">
        <v>40878</v>
      </c>
      <c r="H67" s="1">
        <v>3.82</v>
      </c>
      <c r="I67" s="34">
        <v>40878</v>
      </c>
      <c r="J67" s="1">
        <v>134.08000000000001</v>
      </c>
      <c r="K67" s="34">
        <v>40878</v>
      </c>
      <c r="L67" s="1">
        <v>4017.1</v>
      </c>
      <c r="M67" s="34">
        <v>40878</v>
      </c>
      <c r="N67" s="1">
        <v>626</v>
      </c>
    </row>
    <row r="68" spans="1:14" x14ac:dyDescent="0.25">
      <c r="A68" s="34">
        <v>40909</v>
      </c>
      <c r="B68" s="1">
        <v>4006.6</v>
      </c>
      <c r="C68" s="34">
        <v>40909</v>
      </c>
      <c r="D68" s="1">
        <v>450</v>
      </c>
      <c r="E68" s="34">
        <v>40909</v>
      </c>
      <c r="F68" s="1">
        <v>9.1999999999999993</v>
      </c>
      <c r="G68" s="34">
        <v>40909</v>
      </c>
      <c r="H68" s="1">
        <v>3.33</v>
      </c>
      <c r="I68" s="34">
        <v>40909</v>
      </c>
      <c r="J68" s="1">
        <v>134.97999999999999</v>
      </c>
      <c r="K68" s="34">
        <v>40909</v>
      </c>
      <c r="L68" s="1">
        <v>3929.5</v>
      </c>
      <c r="M68" s="34">
        <v>40909</v>
      </c>
      <c r="N68" s="1">
        <v>615.79999999999995</v>
      </c>
    </row>
    <row r="69" spans="1:14" x14ac:dyDescent="0.25">
      <c r="A69" s="34">
        <v>40940</v>
      </c>
      <c r="B69" s="1">
        <v>4013.4</v>
      </c>
      <c r="C69" s="34">
        <v>40940</v>
      </c>
      <c r="D69" s="1">
        <v>542</v>
      </c>
      <c r="E69" s="34">
        <v>40940</v>
      </c>
      <c r="F69" s="1">
        <v>9.1</v>
      </c>
      <c r="G69" s="34">
        <v>40940</v>
      </c>
      <c r="H69" s="1">
        <v>2.6</v>
      </c>
      <c r="I69" s="34">
        <v>40940</v>
      </c>
      <c r="J69" s="1">
        <v>135.53</v>
      </c>
      <c r="K69" s="34">
        <v>40940</v>
      </c>
      <c r="L69" s="1">
        <v>3948.4</v>
      </c>
      <c r="M69" s="34">
        <v>40940</v>
      </c>
      <c r="N69" s="1">
        <v>628.1</v>
      </c>
    </row>
    <row r="70" spans="1:14" x14ac:dyDescent="0.25">
      <c r="A70" s="34">
        <v>40969</v>
      </c>
      <c r="B70" s="1">
        <v>4021.6</v>
      </c>
      <c r="C70" s="34">
        <v>40969</v>
      </c>
      <c r="D70" s="1">
        <v>856</v>
      </c>
      <c r="E70" s="34">
        <v>40969</v>
      </c>
      <c r="F70" s="1">
        <v>9</v>
      </c>
      <c r="G70" s="34">
        <v>40969</v>
      </c>
      <c r="H70" s="1">
        <v>2.08</v>
      </c>
      <c r="I70" s="34">
        <v>40969</v>
      </c>
      <c r="J70" s="1">
        <v>135.94999999999999</v>
      </c>
      <c r="K70" s="34">
        <v>40969</v>
      </c>
      <c r="L70" s="1">
        <v>3976.4</v>
      </c>
      <c r="M70" s="34">
        <v>40969</v>
      </c>
      <c r="N70" s="1">
        <v>628.29999999999995</v>
      </c>
    </row>
    <row r="71" spans="1:14" x14ac:dyDescent="0.25">
      <c r="A71" s="34">
        <v>41000</v>
      </c>
      <c r="B71" s="1">
        <v>4034.2</v>
      </c>
      <c r="C71" s="34">
        <v>41000</v>
      </c>
      <c r="D71" s="1">
        <v>996</v>
      </c>
      <c r="E71" s="34">
        <v>41000</v>
      </c>
      <c r="F71" s="1">
        <v>9.1</v>
      </c>
      <c r="G71" s="34">
        <v>41000</v>
      </c>
      <c r="H71" s="1">
        <v>0.8</v>
      </c>
      <c r="I71" s="34">
        <v>41000</v>
      </c>
      <c r="J71" s="1">
        <v>135.82</v>
      </c>
      <c r="K71" s="34">
        <v>41000</v>
      </c>
      <c r="L71" s="1">
        <v>4015.4</v>
      </c>
      <c r="M71" s="34">
        <v>41000</v>
      </c>
      <c r="N71" s="1">
        <v>627.6</v>
      </c>
    </row>
    <row r="72" spans="1:14" x14ac:dyDescent="0.25">
      <c r="A72" s="34">
        <v>41030</v>
      </c>
      <c r="B72" s="1">
        <v>4024.5</v>
      </c>
      <c r="C72" s="34">
        <v>41030</v>
      </c>
      <c r="D72" s="1">
        <v>1376</v>
      </c>
      <c r="E72" s="34">
        <v>41030</v>
      </c>
      <c r="F72" s="1">
        <v>9.1999999999999993</v>
      </c>
      <c r="G72" s="34">
        <v>41030</v>
      </c>
      <c r="H72" s="1">
        <v>0.45</v>
      </c>
      <c r="I72" s="34">
        <v>41030</v>
      </c>
      <c r="J72" s="1">
        <v>135.72999999999999</v>
      </c>
      <c r="K72" s="34">
        <v>41030</v>
      </c>
      <c r="L72" s="1">
        <v>4060.9</v>
      </c>
      <c r="M72" s="34">
        <v>41030</v>
      </c>
      <c r="N72" s="1">
        <v>615.9</v>
      </c>
    </row>
    <row r="73" spans="1:14" x14ac:dyDescent="0.25">
      <c r="A73" s="34">
        <v>41061</v>
      </c>
      <c r="B73" s="1">
        <v>4023.7</v>
      </c>
      <c r="C73" s="34">
        <v>41061</v>
      </c>
      <c r="D73" s="1">
        <v>1050</v>
      </c>
      <c r="E73" s="34">
        <v>41061</v>
      </c>
      <c r="F73" s="1">
        <v>9.1999999999999993</v>
      </c>
      <c r="G73" s="34">
        <v>41061</v>
      </c>
      <c r="H73" s="1">
        <v>1.55</v>
      </c>
      <c r="I73" s="34">
        <v>41061</v>
      </c>
      <c r="J73" s="1">
        <v>135.9</v>
      </c>
      <c r="K73" s="34">
        <v>41061</v>
      </c>
      <c r="L73" s="1">
        <v>4068.8</v>
      </c>
      <c r="M73" s="34">
        <v>41061</v>
      </c>
      <c r="N73" s="1">
        <v>596.20000000000005</v>
      </c>
    </row>
    <row r="74" spans="1:14" x14ac:dyDescent="0.25">
      <c r="A74" s="34">
        <v>41091</v>
      </c>
      <c r="B74" s="1">
        <v>4039.2</v>
      </c>
      <c r="C74" s="34">
        <v>41091</v>
      </c>
      <c r="D74" s="1">
        <v>1159</v>
      </c>
      <c r="E74" s="34">
        <v>41091</v>
      </c>
      <c r="F74" s="1">
        <v>9.3000000000000007</v>
      </c>
      <c r="G74" s="34">
        <v>41091</v>
      </c>
      <c r="H74" s="1">
        <v>2.15</v>
      </c>
      <c r="I74" s="34">
        <v>41091</v>
      </c>
      <c r="J74" s="1">
        <v>136.07</v>
      </c>
      <c r="K74" s="34">
        <v>41091</v>
      </c>
      <c r="L74" s="1">
        <v>4006.9</v>
      </c>
      <c r="M74" s="34">
        <v>41091</v>
      </c>
      <c r="N74" s="1">
        <v>555.5</v>
      </c>
    </row>
    <row r="75" spans="1:14" x14ac:dyDescent="0.25">
      <c r="A75" s="34">
        <v>41122</v>
      </c>
      <c r="B75" s="1">
        <v>4038</v>
      </c>
      <c r="C75" s="34">
        <v>41122</v>
      </c>
      <c r="D75" s="1">
        <v>1199</v>
      </c>
      <c r="E75" s="34">
        <v>41122</v>
      </c>
      <c r="F75" s="1">
        <v>9.1999999999999993</v>
      </c>
      <c r="G75" s="34">
        <v>41122</v>
      </c>
      <c r="H75" s="1">
        <v>2.83</v>
      </c>
      <c r="I75" s="34">
        <v>41122</v>
      </c>
      <c r="J75" s="1">
        <v>136.76</v>
      </c>
      <c r="K75" s="34">
        <v>41122</v>
      </c>
      <c r="L75" s="1">
        <v>4026.4</v>
      </c>
      <c r="M75" s="34">
        <v>41122</v>
      </c>
      <c r="N75" s="1">
        <v>555.70000000000005</v>
      </c>
    </row>
    <row r="76" spans="1:14" x14ac:dyDescent="0.25">
      <c r="A76" s="34">
        <v>41153</v>
      </c>
      <c r="B76" s="1">
        <v>4039.3</v>
      </c>
      <c r="C76" s="34">
        <v>41153</v>
      </c>
      <c r="D76" s="1">
        <v>1117</v>
      </c>
      <c r="E76" s="34">
        <v>41153</v>
      </c>
      <c r="F76" s="1">
        <v>9.1</v>
      </c>
      <c r="G76" s="34">
        <v>41153</v>
      </c>
      <c r="H76" s="1">
        <v>2.5299999999999998</v>
      </c>
      <c r="I76" s="34">
        <v>41153</v>
      </c>
      <c r="J76" s="1">
        <v>137.36000000000001</v>
      </c>
      <c r="K76" s="34">
        <v>41153</v>
      </c>
      <c r="L76" s="1">
        <v>4076.4</v>
      </c>
      <c r="M76" s="34">
        <v>41153</v>
      </c>
      <c r="N76" s="1">
        <v>612.29999999999995</v>
      </c>
    </row>
    <row r="77" spans="1:14" x14ac:dyDescent="0.25">
      <c r="A77" s="34">
        <v>41183</v>
      </c>
      <c r="B77" s="1">
        <v>4047.8</v>
      </c>
      <c r="C77" s="34">
        <v>41183</v>
      </c>
      <c r="D77" s="1">
        <v>1344</v>
      </c>
      <c r="E77" s="34">
        <v>41183</v>
      </c>
      <c r="F77" s="1">
        <v>9.1</v>
      </c>
      <c r="G77" s="34">
        <v>41183</v>
      </c>
      <c r="H77" s="1">
        <v>2.15</v>
      </c>
      <c r="I77" s="34">
        <v>41183</v>
      </c>
      <c r="J77" s="1">
        <v>137.85</v>
      </c>
      <c r="K77" s="34">
        <v>41183</v>
      </c>
      <c r="L77" s="1">
        <v>4094.8</v>
      </c>
      <c r="M77" s="34">
        <v>41183</v>
      </c>
      <c r="N77" s="1">
        <v>622.9</v>
      </c>
    </row>
    <row r="78" spans="1:14" x14ac:dyDescent="0.25">
      <c r="A78" s="34">
        <v>41214</v>
      </c>
      <c r="B78" s="1">
        <v>4057</v>
      </c>
      <c r="C78" s="34">
        <v>41214</v>
      </c>
      <c r="D78" s="1">
        <v>1122</v>
      </c>
      <c r="E78" s="34">
        <v>41214</v>
      </c>
      <c r="F78" s="1">
        <v>9</v>
      </c>
      <c r="G78" s="34">
        <v>41214</v>
      </c>
      <c r="H78" s="1">
        <v>2.57</v>
      </c>
      <c r="I78" s="34">
        <v>41214</v>
      </c>
      <c r="J78" s="1">
        <v>138.6</v>
      </c>
      <c r="K78" s="34">
        <v>41214</v>
      </c>
      <c r="L78" s="1">
        <v>4102.7</v>
      </c>
      <c r="M78" s="34">
        <v>41214</v>
      </c>
      <c r="N78" s="1">
        <v>626.20000000000005</v>
      </c>
    </row>
    <row r="79" spans="1:14" x14ac:dyDescent="0.25">
      <c r="A79" s="34">
        <v>41244</v>
      </c>
      <c r="B79" s="1">
        <v>4065.3</v>
      </c>
      <c r="C79" s="34">
        <v>41244</v>
      </c>
      <c r="D79" s="1">
        <v>646</v>
      </c>
      <c r="E79" s="34">
        <v>41244</v>
      </c>
      <c r="F79" s="1">
        <v>8.9</v>
      </c>
      <c r="G79" s="34">
        <v>41244</v>
      </c>
      <c r="H79" s="1">
        <v>2.88</v>
      </c>
      <c r="I79" s="34">
        <v>41244</v>
      </c>
      <c r="J79" s="1">
        <v>139.34</v>
      </c>
      <c r="K79" s="34">
        <v>41244</v>
      </c>
      <c r="L79" s="1">
        <v>4092.8</v>
      </c>
      <c r="M79" s="34">
        <v>41244</v>
      </c>
      <c r="N79" s="1">
        <v>617.5</v>
      </c>
    </row>
    <row r="80" spans="1:14" x14ac:dyDescent="0.25">
      <c r="A80" s="34">
        <v>41275</v>
      </c>
      <c r="B80" s="1">
        <v>4081.3</v>
      </c>
      <c r="C80" s="34">
        <v>41275</v>
      </c>
      <c r="D80" s="1">
        <v>734</v>
      </c>
      <c r="E80" s="34">
        <v>41275</v>
      </c>
      <c r="F80" s="1">
        <v>8.9</v>
      </c>
      <c r="G80" s="34">
        <v>41275</v>
      </c>
      <c r="H80" s="1">
        <v>2.17</v>
      </c>
      <c r="I80" s="34">
        <v>41275</v>
      </c>
      <c r="J80" s="1">
        <v>139.85</v>
      </c>
      <c r="K80" s="34">
        <v>41275</v>
      </c>
      <c r="L80" s="1">
        <v>4004.1</v>
      </c>
      <c r="M80" s="34">
        <v>41275</v>
      </c>
      <c r="N80" s="1">
        <v>603.1</v>
      </c>
    </row>
    <row r="81" spans="1:14" x14ac:dyDescent="0.25">
      <c r="A81" s="34">
        <v>41306</v>
      </c>
      <c r="B81" s="1">
        <v>4093.4</v>
      </c>
      <c r="C81" s="34">
        <v>41306</v>
      </c>
      <c r="D81" s="1">
        <v>681</v>
      </c>
      <c r="E81" s="34">
        <v>41306</v>
      </c>
      <c r="F81" s="1">
        <v>8.8000000000000007</v>
      </c>
      <c r="G81" s="34">
        <v>41306</v>
      </c>
      <c r="H81" s="1">
        <v>2.33</v>
      </c>
      <c r="I81" s="34">
        <v>41306</v>
      </c>
      <c r="J81" s="1">
        <v>140.56</v>
      </c>
      <c r="K81" s="34">
        <v>41306</v>
      </c>
      <c r="L81" s="1">
        <v>4029.3</v>
      </c>
      <c r="M81" s="34">
        <v>41306</v>
      </c>
      <c r="N81" s="1">
        <v>616</v>
      </c>
    </row>
    <row r="82" spans="1:14" x14ac:dyDescent="0.25">
      <c r="A82" s="34">
        <v>41334</v>
      </c>
      <c r="B82" s="1">
        <v>4094.7</v>
      </c>
      <c r="C82" s="34">
        <v>41334</v>
      </c>
      <c r="D82" s="1">
        <v>955</v>
      </c>
      <c r="E82" s="34">
        <v>41334</v>
      </c>
      <c r="F82" s="1">
        <v>8.8000000000000007</v>
      </c>
      <c r="G82" s="34">
        <v>41334</v>
      </c>
      <c r="H82" s="1">
        <v>1.67</v>
      </c>
      <c r="I82" s="34">
        <v>41334</v>
      </c>
      <c r="J82" s="1">
        <v>140.88999999999999</v>
      </c>
      <c r="K82" s="34">
        <v>41334</v>
      </c>
      <c r="L82" s="1">
        <v>4051</v>
      </c>
      <c r="M82" s="34">
        <v>41334</v>
      </c>
      <c r="N82" s="1">
        <v>615</v>
      </c>
    </row>
    <row r="83" spans="1:14" x14ac:dyDescent="0.25">
      <c r="A83" s="34">
        <v>41365</v>
      </c>
      <c r="B83" s="1">
        <v>4091.5</v>
      </c>
      <c r="C83" s="34">
        <v>41365</v>
      </c>
      <c r="D83" s="1">
        <v>1413</v>
      </c>
      <c r="E83" s="34">
        <v>41365</v>
      </c>
      <c r="F83" s="1">
        <v>8.8000000000000007</v>
      </c>
      <c r="G83" s="34">
        <v>41365</v>
      </c>
      <c r="H83" s="1">
        <v>1.23</v>
      </c>
      <c r="I83" s="34">
        <v>41365</v>
      </c>
      <c r="J83" s="1">
        <v>141.05000000000001</v>
      </c>
      <c r="K83" s="34">
        <v>41365</v>
      </c>
      <c r="L83" s="1">
        <v>4072.3</v>
      </c>
      <c r="M83" s="34">
        <v>41365</v>
      </c>
      <c r="N83" s="1">
        <v>617.1</v>
      </c>
    </row>
    <row r="84" spans="1:14" x14ac:dyDescent="0.25">
      <c r="A84" s="34">
        <v>41395</v>
      </c>
      <c r="B84" s="1">
        <v>4101.6000000000004</v>
      </c>
      <c r="C84" s="34">
        <v>41395</v>
      </c>
      <c r="D84" s="1">
        <v>1603</v>
      </c>
      <c r="E84" s="34">
        <v>41395</v>
      </c>
      <c r="F84" s="1">
        <v>8.9</v>
      </c>
      <c r="G84" s="34">
        <v>41395</v>
      </c>
      <c r="H84" s="1">
        <v>0.93</v>
      </c>
      <c r="I84" s="34">
        <v>41395</v>
      </c>
      <c r="J84" s="1">
        <v>141.04</v>
      </c>
      <c r="K84" s="34">
        <v>41395</v>
      </c>
      <c r="L84" s="1">
        <v>4142</v>
      </c>
      <c r="M84" s="34">
        <v>41395</v>
      </c>
      <c r="N84" s="1">
        <v>605.9</v>
      </c>
    </row>
    <row r="85" spans="1:14" x14ac:dyDescent="0.25">
      <c r="A85" s="34">
        <v>41426</v>
      </c>
      <c r="B85" s="1">
        <v>4106.7</v>
      </c>
      <c r="C85" s="34">
        <v>41426</v>
      </c>
      <c r="D85" s="1">
        <v>1406</v>
      </c>
      <c r="E85" s="34">
        <v>41426</v>
      </c>
      <c r="F85" s="1">
        <v>8.9</v>
      </c>
      <c r="G85" s="34">
        <v>41426</v>
      </c>
      <c r="H85" s="1">
        <v>1.25</v>
      </c>
      <c r="I85" s="34">
        <v>41426</v>
      </c>
      <c r="J85" s="1">
        <v>141.19999999999999</v>
      </c>
      <c r="K85" s="34">
        <v>41426</v>
      </c>
      <c r="L85" s="1">
        <v>4153.6000000000004</v>
      </c>
      <c r="M85" s="34">
        <v>41426</v>
      </c>
      <c r="N85" s="1">
        <v>587.1</v>
      </c>
    </row>
    <row r="86" spans="1:14" x14ac:dyDescent="0.25">
      <c r="A86" s="34">
        <v>41456</v>
      </c>
      <c r="B86" s="1">
        <v>4102.3</v>
      </c>
      <c r="C86" s="34">
        <v>41456</v>
      </c>
      <c r="D86" s="1">
        <v>1445</v>
      </c>
      <c r="E86" s="34">
        <v>41456</v>
      </c>
      <c r="F86" s="1">
        <v>9</v>
      </c>
      <c r="G86" s="34">
        <v>41456</v>
      </c>
      <c r="H86" s="1">
        <v>0.27</v>
      </c>
      <c r="I86" s="34">
        <v>41456</v>
      </c>
      <c r="J86" s="1">
        <v>140.91999999999999</v>
      </c>
      <c r="K86" s="34">
        <v>41456</v>
      </c>
      <c r="L86" s="1">
        <v>4069.7</v>
      </c>
      <c r="M86" s="34">
        <v>41456</v>
      </c>
      <c r="N86" s="1">
        <v>547.9</v>
      </c>
    </row>
    <row r="87" spans="1:14" x14ac:dyDescent="0.25">
      <c r="A87" s="34">
        <v>41487</v>
      </c>
      <c r="B87" s="1">
        <v>4112.8</v>
      </c>
      <c r="C87" s="34">
        <v>41487</v>
      </c>
      <c r="D87" s="1">
        <v>1530</v>
      </c>
      <c r="E87" s="34">
        <v>41487</v>
      </c>
      <c r="F87" s="1">
        <v>9</v>
      </c>
      <c r="G87" s="34">
        <v>41487</v>
      </c>
      <c r="H87" s="1">
        <v>1.9</v>
      </c>
      <c r="I87" s="34">
        <v>41487</v>
      </c>
      <c r="J87" s="1">
        <v>141.4</v>
      </c>
      <c r="K87" s="34">
        <v>41487</v>
      </c>
      <c r="L87" s="1">
        <v>4102.8</v>
      </c>
      <c r="M87" s="34">
        <v>41487</v>
      </c>
      <c r="N87" s="1">
        <v>545.70000000000005</v>
      </c>
    </row>
    <row r="88" spans="1:14" x14ac:dyDescent="0.25">
      <c r="A88" s="34">
        <v>41518</v>
      </c>
      <c r="B88" s="1">
        <v>4113.2</v>
      </c>
      <c r="C88" s="34">
        <v>41518</v>
      </c>
      <c r="D88" s="1">
        <v>1908</v>
      </c>
      <c r="E88" s="34">
        <v>41518</v>
      </c>
      <c r="F88" s="1">
        <v>8.8000000000000007</v>
      </c>
      <c r="G88" s="34">
        <v>41518</v>
      </c>
      <c r="H88" s="1">
        <v>3.46</v>
      </c>
      <c r="I88" s="34">
        <v>41518</v>
      </c>
      <c r="J88" s="1">
        <v>142.29</v>
      </c>
      <c r="K88" s="34">
        <v>41518</v>
      </c>
      <c r="L88" s="1">
        <v>4148.8</v>
      </c>
      <c r="M88" s="34">
        <v>41518</v>
      </c>
      <c r="N88" s="1">
        <v>605.5</v>
      </c>
    </row>
    <row r="89" spans="1:14" x14ac:dyDescent="0.25">
      <c r="A89" s="34">
        <v>41548</v>
      </c>
      <c r="B89" s="1">
        <v>4123.8999999999996</v>
      </c>
      <c r="C89" s="34">
        <v>41548</v>
      </c>
      <c r="D89" s="1">
        <v>1558</v>
      </c>
      <c r="E89" s="34">
        <v>41548</v>
      </c>
      <c r="F89" s="1">
        <v>8.6</v>
      </c>
      <c r="G89" s="34">
        <v>41548</v>
      </c>
      <c r="H89" s="1">
        <v>2.88</v>
      </c>
      <c r="I89" s="34">
        <v>41548</v>
      </c>
      <c r="J89" s="1">
        <v>143.01</v>
      </c>
      <c r="K89" s="34">
        <v>41548</v>
      </c>
      <c r="L89" s="1">
        <v>4170.2</v>
      </c>
      <c r="M89" s="34">
        <v>41548</v>
      </c>
      <c r="N89" s="1">
        <v>616.6</v>
      </c>
    </row>
    <row r="90" spans="1:14" x14ac:dyDescent="0.25">
      <c r="A90" s="34">
        <v>41579</v>
      </c>
      <c r="B90" s="1">
        <v>4124.3999999999996</v>
      </c>
      <c r="C90" s="34">
        <v>41579</v>
      </c>
      <c r="D90" s="1">
        <v>1073</v>
      </c>
      <c r="E90" s="34">
        <v>41579</v>
      </c>
      <c r="F90" s="1">
        <v>8.5</v>
      </c>
      <c r="G90" s="34">
        <v>41579</v>
      </c>
      <c r="H90" s="1">
        <v>1.99</v>
      </c>
      <c r="I90" s="34">
        <v>41579</v>
      </c>
      <c r="J90" s="1">
        <v>143.52000000000001</v>
      </c>
      <c r="K90" s="34">
        <v>41579</v>
      </c>
      <c r="L90" s="1">
        <v>4166</v>
      </c>
      <c r="M90" s="34">
        <v>41579</v>
      </c>
      <c r="N90" s="1">
        <v>620.4</v>
      </c>
    </row>
    <row r="91" spans="1:14" x14ac:dyDescent="0.25">
      <c r="A91" s="34">
        <v>41609</v>
      </c>
      <c r="B91" s="1">
        <v>4126</v>
      </c>
      <c r="C91" s="34">
        <v>41609</v>
      </c>
      <c r="D91" s="1">
        <v>947</v>
      </c>
      <c r="E91" s="34">
        <v>41609</v>
      </c>
      <c r="F91" s="1">
        <v>8.3000000000000007</v>
      </c>
      <c r="G91" s="34">
        <v>41609</v>
      </c>
      <c r="H91" s="1">
        <v>4.22</v>
      </c>
      <c r="I91" s="34">
        <v>41609</v>
      </c>
      <c r="J91" s="1">
        <v>144.65</v>
      </c>
      <c r="K91" s="34">
        <v>41609</v>
      </c>
      <c r="L91" s="1">
        <v>4144.3</v>
      </c>
      <c r="M91" s="34">
        <v>41609</v>
      </c>
      <c r="N91" s="1">
        <v>614.29999999999995</v>
      </c>
    </row>
    <row r="92" spans="1:14" x14ac:dyDescent="0.25">
      <c r="A92" s="34">
        <v>41640</v>
      </c>
      <c r="B92" s="1">
        <v>4113.2</v>
      </c>
      <c r="C92" s="34">
        <v>41640</v>
      </c>
      <c r="D92" s="1">
        <v>869</v>
      </c>
      <c r="E92" s="34">
        <v>41640</v>
      </c>
      <c r="F92" s="1">
        <v>7.8</v>
      </c>
      <c r="G92" s="34">
        <v>41640</v>
      </c>
      <c r="H92" s="1">
        <v>5.63</v>
      </c>
      <c r="I92" s="34">
        <v>41640</v>
      </c>
      <c r="J92" s="1">
        <v>146.33000000000001</v>
      </c>
      <c r="K92" s="34">
        <v>41640</v>
      </c>
      <c r="L92" s="1">
        <v>4036.1</v>
      </c>
      <c r="M92" s="34">
        <v>41640</v>
      </c>
      <c r="N92" s="1">
        <v>599.1</v>
      </c>
    </row>
    <row r="93" spans="1:14" x14ac:dyDescent="0.25">
      <c r="A93" s="34">
        <v>41671</v>
      </c>
      <c r="B93" s="1">
        <v>4115.3999999999996</v>
      </c>
      <c r="C93" s="34">
        <v>41671</v>
      </c>
      <c r="D93" s="1">
        <v>583</v>
      </c>
      <c r="E93" s="34">
        <v>41671</v>
      </c>
      <c r="F93" s="1">
        <v>7.7</v>
      </c>
      <c r="G93" s="34">
        <v>41671</v>
      </c>
      <c r="H93" s="1">
        <v>2.59</v>
      </c>
      <c r="I93" s="34">
        <v>41671</v>
      </c>
      <c r="J93" s="1">
        <v>146.91</v>
      </c>
      <c r="K93" s="34">
        <v>41671</v>
      </c>
      <c r="L93" s="1">
        <v>4054</v>
      </c>
      <c r="M93" s="34">
        <v>41671</v>
      </c>
      <c r="N93" s="1">
        <v>610.4</v>
      </c>
    </row>
    <row r="94" spans="1:14" x14ac:dyDescent="0.25">
      <c r="A94" s="34">
        <v>41699</v>
      </c>
      <c r="B94" s="1">
        <v>4114.7</v>
      </c>
      <c r="C94" s="34">
        <v>41699</v>
      </c>
      <c r="D94" s="1">
        <v>855</v>
      </c>
      <c r="E94" s="34">
        <v>41699</v>
      </c>
      <c r="F94" s="1">
        <v>7.5</v>
      </c>
      <c r="G94" s="34">
        <v>41699</v>
      </c>
      <c r="H94" s="1">
        <v>1.57</v>
      </c>
      <c r="I94" s="34">
        <v>41699</v>
      </c>
      <c r="J94" s="1">
        <v>147.68</v>
      </c>
      <c r="K94" s="34">
        <v>41699</v>
      </c>
      <c r="L94" s="1">
        <v>4069.9</v>
      </c>
      <c r="M94" s="34">
        <v>41699</v>
      </c>
      <c r="N94" s="1">
        <v>611.5</v>
      </c>
    </row>
    <row r="95" spans="1:14" x14ac:dyDescent="0.25">
      <c r="A95" s="34">
        <v>41730</v>
      </c>
      <c r="B95" s="1">
        <v>4107.8</v>
      </c>
      <c r="C95" s="34">
        <v>41730</v>
      </c>
      <c r="D95" s="1">
        <v>1243</v>
      </c>
      <c r="E95" s="34">
        <v>41730</v>
      </c>
      <c r="F95" s="1">
        <v>7.4</v>
      </c>
      <c r="G95" s="34">
        <v>41730</v>
      </c>
      <c r="H95" s="1">
        <v>1.01</v>
      </c>
      <c r="I95" s="34">
        <v>41730</v>
      </c>
      <c r="J95" s="1">
        <v>147.96</v>
      </c>
      <c r="K95" s="34">
        <v>41730</v>
      </c>
      <c r="L95" s="1">
        <v>4089.8</v>
      </c>
      <c r="M95" s="34">
        <v>41730</v>
      </c>
      <c r="N95" s="1">
        <v>612.1</v>
      </c>
    </row>
    <row r="96" spans="1:14" x14ac:dyDescent="0.25">
      <c r="A96" s="34">
        <v>41760</v>
      </c>
      <c r="B96" s="1">
        <v>4122.2</v>
      </c>
      <c r="C96" s="34">
        <v>41760</v>
      </c>
      <c r="D96" s="1">
        <v>1921</v>
      </c>
      <c r="E96" s="34">
        <v>41760</v>
      </c>
      <c r="F96" s="1">
        <v>7.5</v>
      </c>
      <c r="G96" s="34">
        <v>41760</v>
      </c>
      <c r="H96" s="1">
        <v>0.94</v>
      </c>
      <c r="I96" s="34">
        <v>41760</v>
      </c>
      <c r="J96" s="1">
        <v>147.91999999999999</v>
      </c>
      <c r="K96" s="34">
        <v>41760</v>
      </c>
      <c r="L96" s="1">
        <v>4169</v>
      </c>
      <c r="M96" s="34">
        <v>41760</v>
      </c>
      <c r="N96" s="1">
        <v>601.9</v>
      </c>
    </row>
    <row r="97" spans="1:14" x14ac:dyDescent="0.25">
      <c r="A97" s="34">
        <v>41791</v>
      </c>
      <c r="B97" s="1">
        <v>4143.6000000000004</v>
      </c>
      <c r="C97" s="34">
        <v>41791</v>
      </c>
      <c r="D97" s="1">
        <v>1666</v>
      </c>
      <c r="E97" s="34">
        <v>41791</v>
      </c>
      <c r="F97" s="1">
        <v>7.5</v>
      </c>
      <c r="G97" s="34">
        <v>41791</v>
      </c>
      <c r="H97" s="1">
        <v>0.21</v>
      </c>
      <c r="I97" s="34">
        <v>41791</v>
      </c>
      <c r="J97" s="1">
        <v>147.79</v>
      </c>
      <c r="K97" s="34">
        <v>41791</v>
      </c>
      <c r="L97" s="1">
        <v>4193.7</v>
      </c>
      <c r="M97" s="34">
        <v>41791</v>
      </c>
      <c r="N97" s="1">
        <v>591.5</v>
      </c>
    </row>
    <row r="98" spans="1:14" x14ac:dyDescent="0.25">
      <c r="A98" s="34">
        <v>41821</v>
      </c>
      <c r="B98" s="1">
        <v>4152.8</v>
      </c>
      <c r="C98" s="34">
        <v>41821</v>
      </c>
      <c r="D98" s="1">
        <v>1990</v>
      </c>
      <c r="E98" s="34">
        <v>41821</v>
      </c>
      <c r="F98" s="1">
        <v>7.7</v>
      </c>
      <c r="G98" s="34">
        <v>41821</v>
      </c>
      <c r="H98" s="1">
        <v>0.55000000000000004</v>
      </c>
      <c r="I98" s="34">
        <v>41821</v>
      </c>
      <c r="J98" s="1">
        <v>147.63999999999999</v>
      </c>
      <c r="K98" s="34">
        <v>41821</v>
      </c>
      <c r="L98" s="1">
        <v>4129.5</v>
      </c>
      <c r="M98" s="34">
        <v>41821</v>
      </c>
      <c r="N98" s="1">
        <v>551.6</v>
      </c>
    </row>
    <row r="99" spans="1:14" x14ac:dyDescent="0.25">
      <c r="A99" s="34">
        <v>41852</v>
      </c>
      <c r="B99" s="1">
        <v>4141.3</v>
      </c>
      <c r="C99" s="34">
        <v>41852</v>
      </c>
      <c r="D99" s="1">
        <v>1543</v>
      </c>
      <c r="E99" s="34">
        <v>41852</v>
      </c>
      <c r="F99" s="1">
        <v>7.4</v>
      </c>
      <c r="G99" s="34">
        <v>41852</v>
      </c>
      <c r="H99" s="1">
        <v>3.44</v>
      </c>
      <c r="I99" s="34">
        <v>41852</v>
      </c>
      <c r="J99" s="1">
        <v>148.83000000000001</v>
      </c>
      <c r="K99" s="34">
        <v>41852</v>
      </c>
      <c r="L99" s="1">
        <v>4134.1000000000004</v>
      </c>
      <c r="M99" s="34">
        <v>41852</v>
      </c>
      <c r="N99" s="1">
        <v>552.4</v>
      </c>
    </row>
    <row r="100" spans="1:14" x14ac:dyDescent="0.25">
      <c r="A100" s="34">
        <v>41883</v>
      </c>
      <c r="B100" s="1">
        <v>4143</v>
      </c>
      <c r="C100" s="34">
        <v>41883</v>
      </c>
      <c r="D100" s="1">
        <v>1889</v>
      </c>
      <c r="E100" s="34">
        <v>41883</v>
      </c>
      <c r="F100" s="1">
        <v>7.2</v>
      </c>
      <c r="G100" s="34">
        <v>41883</v>
      </c>
      <c r="H100" s="1">
        <v>4.54</v>
      </c>
      <c r="I100" s="34">
        <v>41883</v>
      </c>
      <c r="J100" s="1">
        <v>149.59</v>
      </c>
      <c r="K100" s="34">
        <v>41883</v>
      </c>
      <c r="L100" s="1">
        <v>4177.8999999999996</v>
      </c>
      <c r="M100" s="34">
        <v>41883</v>
      </c>
      <c r="N100" s="1">
        <v>600.9</v>
      </c>
    </row>
    <row r="101" spans="1:14" x14ac:dyDescent="0.25">
      <c r="A101" s="34">
        <v>41913</v>
      </c>
      <c r="B101" s="1">
        <v>4152.6000000000004</v>
      </c>
      <c r="C101" s="34">
        <v>41913</v>
      </c>
      <c r="D101" s="1">
        <v>1628</v>
      </c>
      <c r="E101" s="34">
        <v>41913</v>
      </c>
      <c r="F101" s="1">
        <v>7.1</v>
      </c>
      <c r="G101" s="34">
        <v>41913</v>
      </c>
      <c r="H101" s="1">
        <v>3.68</v>
      </c>
      <c r="I101" s="34">
        <v>41913</v>
      </c>
      <c r="J101" s="1">
        <v>150.41</v>
      </c>
      <c r="K101" s="34">
        <v>41913</v>
      </c>
      <c r="L101" s="1">
        <v>4208.1000000000004</v>
      </c>
      <c r="M101" s="34">
        <v>41913</v>
      </c>
      <c r="N101" s="1">
        <v>614</v>
      </c>
    </row>
    <row r="102" spans="1:14" x14ac:dyDescent="0.25">
      <c r="A102" s="34">
        <v>41944</v>
      </c>
      <c r="B102" s="1">
        <v>4165.7</v>
      </c>
      <c r="C102" s="34">
        <v>41944</v>
      </c>
      <c r="D102" s="1">
        <v>1010</v>
      </c>
      <c r="E102" s="34">
        <v>41944</v>
      </c>
      <c r="F102" s="1">
        <v>6.7</v>
      </c>
      <c r="G102" s="34">
        <v>41944</v>
      </c>
      <c r="H102" s="1">
        <v>3.82</v>
      </c>
      <c r="I102" s="34">
        <v>41944</v>
      </c>
      <c r="J102" s="1">
        <v>151.84</v>
      </c>
      <c r="K102" s="34">
        <v>41944</v>
      </c>
      <c r="L102" s="1">
        <v>4208.1000000000004</v>
      </c>
      <c r="M102" s="34">
        <v>41944</v>
      </c>
      <c r="N102" s="1">
        <v>615</v>
      </c>
    </row>
    <row r="103" spans="1:14" x14ac:dyDescent="0.25">
      <c r="A103" s="34">
        <v>41974</v>
      </c>
      <c r="B103" s="1">
        <v>4170.3999999999996</v>
      </c>
      <c r="E103" s="34">
        <v>41974</v>
      </c>
      <c r="F103" s="1">
        <v>6.3</v>
      </c>
      <c r="K103" s="34">
        <v>41974</v>
      </c>
      <c r="L103" s="1">
        <v>4188</v>
      </c>
      <c r="M103" s="34">
        <v>41974</v>
      </c>
      <c r="N103" s="1">
        <v>609.1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P103"/>
  <sheetViews>
    <sheetView topLeftCell="A77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203</v>
      </c>
      <c r="C1" s="34" t="s">
        <v>204</v>
      </c>
      <c r="E1" s="34" t="s">
        <v>205</v>
      </c>
      <c r="G1" s="34" t="s">
        <v>206</v>
      </c>
      <c r="I1" s="34" t="s">
        <v>207</v>
      </c>
      <c r="K1" s="34" t="str">
        <f>CONCATENATE(LEFT(A1,2), "NAN")</f>
        <v>MSNAN</v>
      </c>
      <c r="M1" s="34" t="str">
        <f>CONCATENATE(LEFT(A1,2), "GOVTN")</f>
        <v>MSGOVTN</v>
      </c>
      <c r="O1" s="34" t="str">
        <f>CONCATENATE(LEFT($A$1,2), "RGSP")</f>
        <v>MSRGSP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894</v>
      </c>
      <c r="C5" s="35" t="s">
        <v>415</v>
      </c>
      <c r="E5" s="35" t="s">
        <v>416</v>
      </c>
      <c r="G5" s="35" t="s">
        <v>417</v>
      </c>
      <c r="I5" s="35" t="s">
        <v>418</v>
      </c>
      <c r="K5" s="35" t="s">
        <v>894</v>
      </c>
      <c r="M5" s="35" t="s">
        <v>895</v>
      </c>
      <c r="O5" s="35" t="s">
        <v>795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1151.5</v>
      </c>
      <c r="C8" s="34">
        <v>39083</v>
      </c>
      <c r="D8" s="1">
        <v>1185</v>
      </c>
      <c r="E8" s="34">
        <v>39083</v>
      </c>
      <c r="F8" s="1">
        <v>6.6</v>
      </c>
      <c r="G8" s="34">
        <v>39083</v>
      </c>
      <c r="H8" s="1">
        <v>0.56999999999999995</v>
      </c>
      <c r="I8" s="34">
        <v>39083</v>
      </c>
      <c r="J8" s="1">
        <v>140.25</v>
      </c>
      <c r="K8" s="34">
        <v>39083</v>
      </c>
      <c r="L8" s="1">
        <v>1139.7</v>
      </c>
      <c r="M8" s="34">
        <v>39083</v>
      </c>
      <c r="N8" s="1">
        <v>240.8</v>
      </c>
      <c r="O8" s="34">
        <v>39083</v>
      </c>
      <c r="P8" s="1">
        <v>94671</v>
      </c>
    </row>
    <row r="9" spans="1:16" x14ac:dyDescent="0.25">
      <c r="A9" s="34">
        <v>39114</v>
      </c>
      <c r="B9" s="1">
        <v>1152.3</v>
      </c>
      <c r="C9" s="34">
        <v>39114</v>
      </c>
      <c r="D9" s="1">
        <v>1182</v>
      </c>
      <c r="E9" s="34">
        <v>39114</v>
      </c>
      <c r="F9" s="1">
        <v>6.6</v>
      </c>
      <c r="G9" s="34">
        <v>39114</v>
      </c>
      <c r="H9" s="1">
        <v>0.09</v>
      </c>
      <c r="I9" s="34">
        <v>39114</v>
      </c>
      <c r="J9" s="1">
        <v>140.32</v>
      </c>
      <c r="K9" s="34">
        <v>39114</v>
      </c>
      <c r="L9" s="1">
        <v>1146.3</v>
      </c>
      <c r="M9" s="34">
        <v>39114</v>
      </c>
      <c r="N9" s="1">
        <v>244.6</v>
      </c>
      <c r="O9" s="34">
        <v>39448</v>
      </c>
      <c r="P9" s="1">
        <v>95357</v>
      </c>
    </row>
    <row r="10" spans="1:16" x14ac:dyDescent="0.25">
      <c r="A10" s="34">
        <v>39142</v>
      </c>
      <c r="B10" s="1">
        <v>1149.7</v>
      </c>
      <c r="C10" s="34">
        <v>39142</v>
      </c>
      <c r="D10" s="1">
        <v>2307</v>
      </c>
      <c r="E10" s="34">
        <v>39142</v>
      </c>
      <c r="F10" s="1">
        <v>6.5</v>
      </c>
      <c r="G10" s="34">
        <v>39142</v>
      </c>
      <c r="H10" s="1">
        <v>0.56999999999999995</v>
      </c>
      <c r="I10" s="34">
        <v>39142</v>
      </c>
      <c r="J10" s="1">
        <v>140.35</v>
      </c>
      <c r="K10" s="34">
        <v>39142</v>
      </c>
      <c r="L10" s="1">
        <v>1150</v>
      </c>
      <c r="M10" s="34">
        <v>39142</v>
      </c>
      <c r="N10" s="1">
        <v>244.8</v>
      </c>
      <c r="O10" s="34">
        <v>39814</v>
      </c>
      <c r="P10" s="1">
        <v>92162</v>
      </c>
    </row>
    <row r="11" spans="1:16" x14ac:dyDescent="0.25">
      <c r="A11" s="34">
        <v>39173</v>
      </c>
      <c r="B11" s="1">
        <v>1152.0999999999999</v>
      </c>
      <c r="C11" s="34">
        <v>39173</v>
      </c>
      <c r="D11" s="1">
        <v>2077</v>
      </c>
      <c r="E11" s="34">
        <v>39173</v>
      </c>
      <c r="F11" s="1">
        <v>6.3</v>
      </c>
      <c r="G11" s="34">
        <v>39173</v>
      </c>
      <c r="H11" s="1">
        <v>0.49</v>
      </c>
      <c r="I11" s="34">
        <v>39173</v>
      </c>
      <c r="J11" s="1">
        <v>140.5</v>
      </c>
      <c r="K11" s="34">
        <v>39173</v>
      </c>
      <c r="L11" s="1">
        <v>1155.5</v>
      </c>
      <c r="M11" s="34">
        <v>39173</v>
      </c>
      <c r="N11" s="1">
        <v>246</v>
      </c>
      <c r="O11" s="34">
        <v>40179</v>
      </c>
      <c r="P11" s="1">
        <v>93027</v>
      </c>
    </row>
    <row r="12" spans="1:16" x14ac:dyDescent="0.25">
      <c r="A12" s="34">
        <v>39203</v>
      </c>
      <c r="B12" s="1">
        <v>1152.2</v>
      </c>
      <c r="C12" s="34">
        <v>39203</v>
      </c>
      <c r="D12" s="1">
        <v>1626</v>
      </c>
      <c r="E12" s="34">
        <v>39203</v>
      </c>
      <c r="F12" s="1">
        <v>6.3</v>
      </c>
      <c r="G12" s="34">
        <v>39203</v>
      </c>
      <c r="H12" s="1">
        <v>0.34</v>
      </c>
      <c r="I12" s="34">
        <v>39203</v>
      </c>
      <c r="J12" s="1">
        <v>140.56</v>
      </c>
      <c r="K12" s="34">
        <v>39203</v>
      </c>
      <c r="L12" s="1">
        <v>1157.5</v>
      </c>
      <c r="M12" s="34">
        <v>39203</v>
      </c>
      <c r="N12" s="1">
        <v>245.3</v>
      </c>
      <c r="O12" s="34">
        <v>40544</v>
      </c>
      <c r="P12" s="1">
        <v>92267</v>
      </c>
    </row>
    <row r="13" spans="1:16" x14ac:dyDescent="0.25">
      <c r="A13" s="34">
        <v>39234</v>
      </c>
      <c r="B13" s="1">
        <v>1152.7</v>
      </c>
      <c r="C13" s="34">
        <v>39234</v>
      </c>
      <c r="D13" s="1">
        <v>1696</v>
      </c>
      <c r="E13" s="34">
        <v>39234</v>
      </c>
      <c r="F13" s="1">
        <v>6.2</v>
      </c>
      <c r="G13" s="34">
        <v>39234</v>
      </c>
      <c r="H13" s="1">
        <v>0.27</v>
      </c>
      <c r="I13" s="34">
        <v>39234</v>
      </c>
      <c r="J13" s="1">
        <v>140.84</v>
      </c>
      <c r="K13" s="34">
        <v>39234</v>
      </c>
      <c r="L13" s="1">
        <v>1153.9000000000001</v>
      </c>
      <c r="M13" s="34">
        <v>39234</v>
      </c>
      <c r="N13" s="1">
        <v>242</v>
      </c>
      <c r="O13" s="34">
        <v>40909</v>
      </c>
      <c r="P13" s="1">
        <v>95474</v>
      </c>
    </row>
    <row r="14" spans="1:16" x14ac:dyDescent="0.25">
      <c r="A14" s="34">
        <v>39264</v>
      </c>
      <c r="B14" s="1">
        <v>1150.9000000000001</v>
      </c>
      <c r="C14" s="34">
        <v>39264</v>
      </c>
      <c r="D14" s="1">
        <v>1031</v>
      </c>
      <c r="E14" s="34">
        <v>39264</v>
      </c>
      <c r="F14" s="1">
        <v>6.2</v>
      </c>
      <c r="G14" s="34">
        <v>39264</v>
      </c>
      <c r="H14" s="1">
        <v>0.32</v>
      </c>
      <c r="I14" s="34">
        <v>39264</v>
      </c>
      <c r="J14" s="1">
        <v>140.97</v>
      </c>
      <c r="K14" s="34">
        <v>39264</v>
      </c>
      <c r="L14" s="1">
        <v>1138.0999999999999</v>
      </c>
      <c r="M14" s="34">
        <v>39264</v>
      </c>
      <c r="N14" s="1">
        <v>233</v>
      </c>
      <c r="O14" s="34">
        <v>41275</v>
      </c>
      <c r="P14" s="1">
        <v>96979</v>
      </c>
    </row>
    <row r="15" spans="1:16" x14ac:dyDescent="0.25">
      <c r="A15" s="34">
        <v>39295</v>
      </c>
      <c r="B15" s="1">
        <v>1155.7</v>
      </c>
      <c r="C15" s="34">
        <v>39295</v>
      </c>
      <c r="D15" s="1">
        <v>1197</v>
      </c>
      <c r="E15" s="34">
        <v>39295</v>
      </c>
      <c r="F15" s="1">
        <v>6.2</v>
      </c>
      <c r="G15" s="34">
        <v>39295</v>
      </c>
      <c r="H15" s="1">
        <v>0.65</v>
      </c>
      <c r="I15" s="34">
        <v>39295</v>
      </c>
      <c r="J15" s="1">
        <v>141.41999999999999</v>
      </c>
      <c r="K15" s="34">
        <v>39295</v>
      </c>
      <c r="L15" s="1">
        <v>1154.9000000000001</v>
      </c>
      <c r="M15" s="34">
        <v>39295</v>
      </c>
      <c r="N15" s="1">
        <v>241.2</v>
      </c>
    </row>
    <row r="16" spans="1:16" x14ac:dyDescent="0.25">
      <c r="A16" s="34">
        <v>39326</v>
      </c>
      <c r="B16" s="1">
        <v>1156.5</v>
      </c>
      <c r="C16" s="34">
        <v>39326</v>
      </c>
      <c r="D16" s="1">
        <v>933</v>
      </c>
      <c r="E16" s="34">
        <v>39326</v>
      </c>
      <c r="F16" s="1">
        <v>6.2</v>
      </c>
      <c r="G16" s="34">
        <v>39326</v>
      </c>
      <c r="H16" s="1">
        <v>0.27</v>
      </c>
      <c r="I16" s="34">
        <v>39326</v>
      </c>
      <c r="J16" s="1">
        <v>141.62</v>
      </c>
      <c r="K16" s="34">
        <v>39326</v>
      </c>
      <c r="L16" s="1">
        <v>1163</v>
      </c>
      <c r="M16" s="34">
        <v>39326</v>
      </c>
      <c r="N16" s="1">
        <v>247.2</v>
      </c>
    </row>
    <row r="17" spans="1:14" x14ac:dyDescent="0.25">
      <c r="A17" s="34">
        <v>39356</v>
      </c>
      <c r="B17" s="1">
        <v>1157.8</v>
      </c>
      <c r="C17" s="34">
        <v>39356</v>
      </c>
      <c r="D17" s="1">
        <v>664</v>
      </c>
      <c r="E17" s="34">
        <v>39356</v>
      </c>
      <c r="F17" s="1">
        <v>6.2</v>
      </c>
      <c r="G17" s="34">
        <v>39356</v>
      </c>
      <c r="H17" s="1">
        <v>0.22</v>
      </c>
      <c r="I17" s="34">
        <v>39356</v>
      </c>
      <c r="J17" s="1">
        <v>141.88</v>
      </c>
      <c r="K17" s="34">
        <v>39356</v>
      </c>
      <c r="L17" s="1">
        <v>1160.4000000000001</v>
      </c>
      <c r="M17" s="34">
        <v>39356</v>
      </c>
      <c r="N17" s="1">
        <v>248.6</v>
      </c>
    </row>
    <row r="18" spans="1:14" x14ac:dyDescent="0.25">
      <c r="A18" s="34">
        <v>39387</v>
      </c>
      <c r="B18" s="1">
        <v>1158.5999999999999</v>
      </c>
      <c r="C18" s="34">
        <v>39387</v>
      </c>
      <c r="D18" s="1">
        <v>1620</v>
      </c>
      <c r="E18" s="34">
        <v>39387</v>
      </c>
      <c r="F18" s="1">
        <v>6.2</v>
      </c>
      <c r="G18" s="34">
        <v>39387</v>
      </c>
      <c r="H18" s="1">
        <v>0.6</v>
      </c>
      <c r="I18" s="34">
        <v>39387</v>
      </c>
      <c r="J18" s="1">
        <v>142.12</v>
      </c>
      <c r="K18" s="34">
        <v>39387</v>
      </c>
      <c r="L18" s="1">
        <v>1166.0999999999999</v>
      </c>
      <c r="M18" s="34">
        <v>39387</v>
      </c>
      <c r="N18" s="1">
        <v>248.6</v>
      </c>
    </row>
    <row r="19" spans="1:14" x14ac:dyDescent="0.25">
      <c r="A19" s="34">
        <v>39417</v>
      </c>
      <c r="B19" s="1">
        <v>1160.3</v>
      </c>
      <c r="C19" s="34">
        <v>39417</v>
      </c>
      <c r="D19" s="1">
        <v>605</v>
      </c>
      <c r="E19" s="34">
        <v>39417</v>
      </c>
      <c r="F19" s="1">
        <v>6.1</v>
      </c>
      <c r="G19" s="34">
        <v>39417</v>
      </c>
      <c r="H19" s="1">
        <v>1.1200000000000001</v>
      </c>
      <c r="I19" s="34">
        <v>39417</v>
      </c>
      <c r="J19" s="1">
        <v>142.41</v>
      </c>
      <c r="K19" s="34">
        <v>39417</v>
      </c>
      <c r="L19" s="1">
        <v>1165.3</v>
      </c>
      <c r="M19" s="34">
        <v>39417</v>
      </c>
      <c r="N19" s="1">
        <v>245.5</v>
      </c>
    </row>
    <row r="20" spans="1:14" x14ac:dyDescent="0.25">
      <c r="A20" s="34">
        <v>39448</v>
      </c>
      <c r="B20" s="1">
        <v>1161.0999999999999</v>
      </c>
      <c r="C20" s="34">
        <v>39448</v>
      </c>
      <c r="D20" s="1">
        <v>861</v>
      </c>
      <c r="E20" s="34">
        <v>39448</v>
      </c>
      <c r="F20" s="1">
        <v>6.1</v>
      </c>
      <c r="G20" s="34">
        <v>39448</v>
      </c>
      <c r="H20" s="1">
        <v>1.1599999999999999</v>
      </c>
      <c r="I20" s="34">
        <v>39448</v>
      </c>
      <c r="J20" s="1">
        <v>142.61000000000001</v>
      </c>
      <c r="K20" s="34">
        <v>39448</v>
      </c>
      <c r="L20" s="1">
        <v>1148.5999999999999</v>
      </c>
      <c r="M20" s="34">
        <v>39448</v>
      </c>
      <c r="N20" s="1">
        <v>245.8</v>
      </c>
    </row>
    <row r="21" spans="1:14" x14ac:dyDescent="0.25">
      <c r="A21" s="34">
        <v>39479</v>
      </c>
      <c r="B21" s="1">
        <v>1161.8</v>
      </c>
      <c r="C21" s="34">
        <v>39479</v>
      </c>
      <c r="D21" s="1">
        <v>1127</v>
      </c>
      <c r="E21" s="34">
        <v>39479</v>
      </c>
      <c r="F21" s="1">
        <v>6.1</v>
      </c>
      <c r="G21" s="34">
        <v>39479</v>
      </c>
      <c r="H21" s="1">
        <v>0.34</v>
      </c>
      <c r="I21" s="34">
        <v>39479</v>
      </c>
      <c r="J21" s="1">
        <v>142.66</v>
      </c>
      <c r="K21" s="34">
        <v>39479</v>
      </c>
      <c r="L21" s="1">
        <v>1155.2</v>
      </c>
      <c r="M21" s="34">
        <v>39479</v>
      </c>
      <c r="N21" s="1">
        <v>249.4</v>
      </c>
    </row>
    <row r="22" spans="1:14" x14ac:dyDescent="0.25">
      <c r="A22" s="34">
        <v>39508</v>
      </c>
      <c r="B22" s="1">
        <v>1158.7</v>
      </c>
      <c r="C22" s="34">
        <v>39508</v>
      </c>
      <c r="D22" s="1">
        <v>1196</v>
      </c>
      <c r="E22" s="34">
        <v>39508</v>
      </c>
      <c r="F22" s="1">
        <v>6.2</v>
      </c>
      <c r="G22" s="34">
        <v>39508</v>
      </c>
      <c r="H22" s="1">
        <v>0.02</v>
      </c>
      <c r="I22" s="34">
        <v>39508</v>
      </c>
      <c r="J22" s="1">
        <v>142.53</v>
      </c>
      <c r="K22" s="34">
        <v>39508</v>
      </c>
      <c r="L22" s="1">
        <v>1159.3</v>
      </c>
      <c r="M22" s="34">
        <v>39508</v>
      </c>
      <c r="N22" s="1">
        <v>249.8</v>
      </c>
    </row>
    <row r="23" spans="1:14" x14ac:dyDescent="0.25">
      <c r="A23" s="34">
        <v>39539</v>
      </c>
      <c r="B23" s="1">
        <v>1158.9000000000001</v>
      </c>
      <c r="C23" s="34">
        <v>39539</v>
      </c>
      <c r="D23" s="1">
        <v>905</v>
      </c>
      <c r="E23" s="34">
        <v>39539</v>
      </c>
      <c r="F23" s="1">
        <v>6.4</v>
      </c>
      <c r="G23" s="34">
        <v>39539</v>
      </c>
      <c r="H23" s="1">
        <v>-0.31</v>
      </c>
      <c r="I23" s="34">
        <v>39539</v>
      </c>
      <c r="J23" s="1">
        <v>142.26</v>
      </c>
      <c r="K23" s="34">
        <v>39539</v>
      </c>
      <c r="L23" s="1">
        <v>1163.3</v>
      </c>
      <c r="M23" s="34">
        <v>39539</v>
      </c>
      <c r="N23" s="1">
        <v>250.8</v>
      </c>
    </row>
    <row r="24" spans="1:14" x14ac:dyDescent="0.25">
      <c r="A24" s="34">
        <v>39569</v>
      </c>
      <c r="B24" s="1">
        <v>1156.5999999999999</v>
      </c>
      <c r="C24" s="34">
        <v>39569</v>
      </c>
      <c r="D24" s="1">
        <v>979</v>
      </c>
      <c r="E24" s="34">
        <v>39569</v>
      </c>
      <c r="F24" s="1">
        <v>6.6</v>
      </c>
      <c r="G24" s="34">
        <v>39569</v>
      </c>
      <c r="H24" s="1">
        <v>-0.81</v>
      </c>
      <c r="I24" s="34">
        <v>39569</v>
      </c>
      <c r="J24" s="1">
        <v>141.84</v>
      </c>
      <c r="K24" s="34">
        <v>39569</v>
      </c>
      <c r="L24" s="1">
        <v>1162.3</v>
      </c>
      <c r="M24" s="34">
        <v>39569</v>
      </c>
      <c r="N24" s="1">
        <v>249.4</v>
      </c>
    </row>
    <row r="25" spans="1:14" x14ac:dyDescent="0.25">
      <c r="A25" s="34">
        <v>39600</v>
      </c>
      <c r="B25" s="1">
        <v>1152.7</v>
      </c>
      <c r="C25" s="34">
        <v>39600</v>
      </c>
      <c r="D25" s="1">
        <v>841</v>
      </c>
      <c r="E25" s="34">
        <v>39600</v>
      </c>
      <c r="F25" s="1">
        <v>6.9</v>
      </c>
      <c r="G25" s="34">
        <v>39600</v>
      </c>
      <c r="H25" s="1">
        <v>-0.75</v>
      </c>
      <c r="I25" s="34">
        <v>39600</v>
      </c>
      <c r="J25" s="1">
        <v>141.41</v>
      </c>
      <c r="K25" s="34">
        <v>39600</v>
      </c>
      <c r="L25" s="1">
        <v>1153.5999999999999</v>
      </c>
      <c r="M25" s="34">
        <v>39600</v>
      </c>
      <c r="N25" s="1">
        <v>245.5</v>
      </c>
    </row>
    <row r="26" spans="1:14" x14ac:dyDescent="0.25">
      <c r="A26" s="34">
        <v>39630</v>
      </c>
      <c r="B26" s="1">
        <v>1143.4000000000001</v>
      </c>
      <c r="C26" s="34">
        <v>39630</v>
      </c>
      <c r="D26" s="1">
        <v>998</v>
      </c>
      <c r="E26" s="34">
        <v>39630</v>
      </c>
      <c r="F26" s="1">
        <v>7.1</v>
      </c>
      <c r="G26" s="34">
        <v>39630</v>
      </c>
      <c r="H26" s="1">
        <v>-1.42</v>
      </c>
      <c r="I26" s="34">
        <v>39630</v>
      </c>
      <c r="J26" s="1">
        <v>140.72999999999999</v>
      </c>
      <c r="K26" s="34">
        <v>39630</v>
      </c>
      <c r="L26" s="1">
        <v>1130.5</v>
      </c>
      <c r="M26" s="34">
        <v>39630</v>
      </c>
      <c r="N26" s="1">
        <v>234.9</v>
      </c>
    </row>
    <row r="27" spans="1:14" x14ac:dyDescent="0.25">
      <c r="A27" s="34">
        <v>39661</v>
      </c>
      <c r="B27" s="1">
        <v>1145.4000000000001</v>
      </c>
      <c r="C27" s="34">
        <v>39661</v>
      </c>
      <c r="D27" s="1">
        <v>690</v>
      </c>
      <c r="E27" s="34">
        <v>39661</v>
      </c>
      <c r="F27" s="1">
        <v>7.2</v>
      </c>
      <c r="G27" s="34">
        <v>39661</v>
      </c>
      <c r="H27" s="1">
        <v>-0.62</v>
      </c>
      <c r="I27" s="34">
        <v>39661</v>
      </c>
      <c r="J27" s="1">
        <v>140.68</v>
      </c>
      <c r="K27" s="34">
        <v>39661</v>
      </c>
      <c r="L27" s="1">
        <v>1144.9000000000001</v>
      </c>
      <c r="M27" s="34">
        <v>39661</v>
      </c>
      <c r="N27" s="1">
        <v>244.2</v>
      </c>
    </row>
    <row r="28" spans="1:14" x14ac:dyDescent="0.25">
      <c r="A28" s="34">
        <v>39692</v>
      </c>
      <c r="B28" s="1">
        <v>1142.9000000000001</v>
      </c>
      <c r="C28" s="34">
        <v>39692</v>
      </c>
      <c r="D28" s="1">
        <v>672</v>
      </c>
      <c r="E28" s="34">
        <v>39692</v>
      </c>
      <c r="F28" s="1">
        <v>7.2</v>
      </c>
      <c r="G28" s="34">
        <v>39692</v>
      </c>
      <c r="H28" s="1">
        <v>0.2</v>
      </c>
      <c r="I28" s="34">
        <v>39692</v>
      </c>
      <c r="J28" s="1">
        <v>140.35</v>
      </c>
      <c r="K28" s="34">
        <v>39692</v>
      </c>
      <c r="L28" s="1">
        <v>1149</v>
      </c>
      <c r="M28" s="34">
        <v>39692</v>
      </c>
      <c r="N28" s="1">
        <v>250.2</v>
      </c>
    </row>
    <row r="29" spans="1:14" x14ac:dyDescent="0.25">
      <c r="A29" s="34">
        <v>39722</v>
      </c>
      <c r="B29" s="1">
        <v>1140.5999999999999</v>
      </c>
      <c r="C29" s="34">
        <v>39722</v>
      </c>
      <c r="D29" s="1">
        <v>543</v>
      </c>
      <c r="E29" s="34">
        <v>39722</v>
      </c>
      <c r="F29" s="1">
        <v>7.3</v>
      </c>
      <c r="G29" s="34">
        <v>39722</v>
      </c>
      <c r="H29" s="1">
        <v>-0.37</v>
      </c>
      <c r="I29" s="34">
        <v>39722</v>
      </c>
      <c r="J29" s="1">
        <v>140.13999999999999</v>
      </c>
      <c r="K29" s="34">
        <v>39722</v>
      </c>
      <c r="L29" s="1">
        <v>1145.5999999999999</v>
      </c>
      <c r="M29" s="34">
        <v>39722</v>
      </c>
      <c r="N29" s="1">
        <v>252.1</v>
      </c>
    </row>
    <row r="30" spans="1:14" x14ac:dyDescent="0.25">
      <c r="A30" s="34">
        <v>39753</v>
      </c>
      <c r="B30" s="1">
        <v>1135.9000000000001</v>
      </c>
      <c r="C30" s="34">
        <v>39753</v>
      </c>
      <c r="D30" s="1">
        <v>563</v>
      </c>
      <c r="E30" s="34">
        <v>39753</v>
      </c>
      <c r="F30" s="1">
        <v>7.5</v>
      </c>
      <c r="G30" s="34">
        <v>39753</v>
      </c>
      <c r="H30" s="1">
        <v>-1.31</v>
      </c>
      <c r="I30" s="34">
        <v>39753</v>
      </c>
      <c r="J30" s="1">
        <v>139.46</v>
      </c>
      <c r="K30" s="34">
        <v>39753</v>
      </c>
      <c r="L30" s="1">
        <v>1143.0999999999999</v>
      </c>
      <c r="M30" s="34">
        <v>39753</v>
      </c>
      <c r="N30" s="1">
        <v>252.5</v>
      </c>
    </row>
    <row r="31" spans="1:14" x14ac:dyDescent="0.25">
      <c r="A31" s="34">
        <v>39783</v>
      </c>
      <c r="B31" s="1">
        <v>1128.5</v>
      </c>
      <c r="C31" s="34">
        <v>39783</v>
      </c>
      <c r="D31" s="1">
        <v>352</v>
      </c>
      <c r="E31" s="34">
        <v>39783</v>
      </c>
      <c r="F31" s="1">
        <v>7.7</v>
      </c>
      <c r="G31" s="34">
        <v>39783</v>
      </c>
      <c r="H31" s="1">
        <v>-1.42</v>
      </c>
      <c r="I31" s="34">
        <v>39783</v>
      </c>
      <c r="J31" s="1">
        <v>138.63</v>
      </c>
      <c r="K31" s="34">
        <v>39783</v>
      </c>
      <c r="L31" s="1">
        <v>1132.7</v>
      </c>
      <c r="M31" s="34">
        <v>39783</v>
      </c>
      <c r="N31" s="1">
        <v>249.4</v>
      </c>
    </row>
    <row r="32" spans="1:14" x14ac:dyDescent="0.25">
      <c r="A32" s="34">
        <v>39814</v>
      </c>
      <c r="B32" s="1">
        <v>1120.7</v>
      </c>
      <c r="C32" s="34">
        <v>39814</v>
      </c>
      <c r="D32" s="1">
        <v>448</v>
      </c>
      <c r="E32" s="34">
        <v>39814</v>
      </c>
      <c r="F32" s="1">
        <v>8.1</v>
      </c>
      <c r="G32" s="34">
        <v>39814</v>
      </c>
      <c r="H32" s="1">
        <v>-2.31</v>
      </c>
      <c r="I32" s="34">
        <v>39814</v>
      </c>
      <c r="J32" s="1">
        <v>137.62</v>
      </c>
      <c r="K32" s="34">
        <v>39814</v>
      </c>
      <c r="L32" s="1">
        <v>1107.9000000000001</v>
      </c>
      <c r="M32" s="34">
        <v>39814</v>
      </c>
      <c r="N32" s="1">
        <v>248.5</v>
      </c>
    </row>
    <row r="33" spans="1:14" x14ac:dyDescent="0.25">
      <c r="A33" s="34">
        <v>39845</v>
      </c>
      <c r="B33" s="1">
        <v>1115.0999999999999</v>
      </c>
      <c r="C33" s="34">
        <v>39845</v>
      </c>
      <c r="D33" s="1">
        <v>344</v>
      </c>
      <c r="E33" s="34">
        <v>39845</v>
      </c>
      <c r="F33" s="1">
        <v>8.4</v>
      </c>
      <c r="G33" s="34">
        <v>39845</v>
      </c>
      <c r="H33" s="1">
        <v>-2.04</v>
      </c>
      <c r="I33" s="34">
        <v>39845</v>
      </c>
      <c r="J33" s="1">
        <v>136.63</v>
      </c>
      <c r="K33" s="34">
        <v>39845</v>
      </c>
      <c r="L33" s="1">
        <v>1107.8</v>
      </c>
      <c r="M33" s="34">
        <v>39845</v>
      </c>
      <c r="N33" s="1">
        <v>251.3</v>
      </c>
    </row>
    <row r="34" spans="1:14" x14ac:dyDescent="0.25">
      <c r="A34" s="34">
        <v>39873</v>
      </c>
      <c r="B34" s="1">
        <v>1106.2</v>
      </c>
      <c r="C34" s="34">
        <v>39873</v>
      </c>
      <c r="D34" s="1">
        <v>491</v>
      </c>
      <c r="E34" s="34">
        <v>39873</v>
      </c>
      <c r="F34" s="1">
        <v>8.6999999999999993</v>
      </c>
      <c r="G34" s="34">
        <v>39873</v>
      </c>
      <c r="H34" s="1">
        <v>-2.34</v>
      </c>
      <c r="I34" s="34">
        <v>39873</v>
      </c>
      <c r="J34" s="1">
        <v>135.78</v>
      </c>
      <c r="K34" s="34">
        <v>39873</v>
      </c>
      <c r="L34" s="1">
        <v>1107</v>
      </c>
      <c r="M34" s="34">
        <v>39873</v>
      </c>
      <c r="N34" s="1">
        <v>251.5</v>
      </c>
    </row>
    <row r="35" spans="1:14" x14ac:dyDescent="0.25">
      <c r="A35" s="34">
        <v>39904</v>
      </c>
      <c r="B35" s="1">
        <v>1100.2</v>
      </c>
      <c r="C35" s="34">
        <v>39904</v>
      </c>
      <c r="D35" s="1">
        <v>599</v>
      </c>
      <c r="E35" s="34">
        <v>39904</v>
      </c>
      <c r="F35" s="1">
        <v>8.9</v>
      </c>
      <c r="G35" s="34">
        <v>39904</v>
      </c>
      <c r="H35" s="1">
        <v>-1.58</v>
      </c>
      <c r="I35" s="34">
        <v>39904</v>
      </c>
      <c r="J35" s="1">
        <v>135.04</v>
      </c>
      <c r="K35" s="34">
        <v>39904</v>
      </c>
      <c r="L35" s="1">
        <v>1105.5</v>
      </c>
      <c r="M35" s="34">
        <v>39904</v>
      </c>
      <c r="N35" s="1">
        <v>252.6</v>
      </c>
    </row>
    <row r="36" spans="1:14" x14ac:dyDescent="0.25">
      <c r="A36" s="34">
        <v>39934</v>
      </c>
      <c r="B36" s="1">
        <v>1099.3</v>
      </c>
      <c r="C36" s="34">
        <v>39934</v>
      </c>
      <c r="D36" s="1">
        <v>514</v>
      </c>
      <c r="E36" s="34">
        <v>39934</v>
      </c>
      <c r="F36" s="1">
        <v>9.1</v>
      </c>
      <c r="G36" s="34">
        <v>39934</v>
      </c>
      <c r="H36" s="1">
        <v>-0.92</v>
      </c>
      <c r="I36" s="34">
        <v>39934</v>
      </c>
      <c r="J36" s="1">
        <v>134.57</v>
      </c>
      <c r="K36" s="34">
        <v>39934</v>
      </c>
      <c r="L36" s="1">
        <v>1105.5999999999999</v>
      </c>
      <c r="M36" s="34">
        <v>39934</v>
      </c>
      <c r="N36" s="1">
        <v>252.8</v>
      </c>
    </row>
    <row r="37" spans="1:14" x14ac:dyDescent="0.25">
      <c r="A37" s="34">
        <v>39965</v>
      </c>
      <c r="B37" s="1">
        <v>1095.8</v>
      </c>
      <c r="C37" s="34">
        <v>39965</v>
      </c>
      <c r="D37" s="1">
        <v>1633</v>
      </c>
      <c r="E37" s="34">
        <v>39965</v>
      </c>
      <c r="F37" s="1">
        <v>9.3000000000000007</v>
      </c>
      <c r="G37" s="34">
        <v>39965</v>
      </c>
      <c r="H37" s="1">
        <v>-0.11</v>
      </c>
      <c r="I37" s="34">
        <v>39965</v>
      </c>
      <c r="J37" s="1">
        <v>134.16</v>
      </c>
      <c r="K37" s="34">
        <v>39965</v>
      </c>
      <c r="L37" s="1">
        <v>1097.8</v>
      </c>
      <c r="M37" s="34">
        <v>39965</v>
      </c>
      <c r="N37" s="1">
        <v>249</v>
      </c>
    </row>
    <row r="38" spans="1:14" x14ac:dyDescent="0.25">
      <c r="A38" s="34">
        <v>39995</v>
      </c>
      <c r="B38" s="1">
        <v>1094.4000000000001</v>
      </c>
      <c r="C38" s="34">
        <v>39995</v>
      </c>
      <c r="D38" s="1">
        <v>552</v>
      </c>
      <c r="E38" s="34">
        <v>39995</v>
      </c>
      <c r="F38" s="1">
        <v>9.5</v>
      </c>
      <c r="G38" s="34">
        <v>39995</v>
      </c>
      <c r="H38" s="1">
        <v>0.03</v>
      </c>
      <c r="I38" s="34">
        <v>39995</v>
      </c>
      <c r="J38" s="1">
        <v>133.82</v>
      </c>
      <c r="K38" s="34">
        <v>39995</v>
      </c>
      <c r="L38" s="1">
        <v>1080.5999999999999</v>
      </c>
      <c r="M38" s="34">
        <v>39995</v>
      </c>
      <c r="N38" s="1">
        <v>239.3</v>
      </c>
    </row>
    <row r="39" spans="1:14" x14ac:dyDescent="0.25">
      <c r="A39" s="34">
        <v>40026</v>
      </c>
      <c r="B39" s="1">
        <v>1092.0999999999999</v>
      </c>
      <c r="C39" s="34">
        <v>40026</v>
      </c>
      <c r="D39" s="1">
        <v>451</v>
      </c>
      <c r="E39" s="34">
        <v>40026</v>
      </c>
      <c r="F39" s="1">
        <v>9.6999999999999993</v>
      </c>
      <c r="G39" s="34">
        <v>40026</v>
      </c>
      <c r="H39" s="1">
        <v>0.17</v>
      </c>
      <c r="I39" s="34">
        <v>40026</v>
      </c>
      <c r="J39" s="1">
        <v>133.47</v>
      </c>
      <c r="K39" s="34">
        <v>40026</v>
      </c>
      <c r="L39" s="1">
        <v>1088.5999999999999</v>
      </c>
      <c r="M39" s="34">
        <v>40026</v>
      </c>
      <c r="N39" s="1">
        <v>244.9</v>
      </c>
    </row>
    <row r="40" spans="1:14" x14ac:dyDescent="0.25">
      <c r="A40" s="34">
        <v>40057</v>
      </c>
      <c r="B40" s="1">
        <v>1089.3</v>
      </c>
      <c r="C40" s="34">
        <v>40057</v>
      </c>
      <c r="D40" s="1">
        <v>596</v>
      </c>
      <c r="E40" s="34">
        <v>40057</v>
      </c>
      <c r="F40" s="1">
        <v>10</v>
      </c>
      <c r="G40" s="34">
        <v>40057</v>
      </c>
      <c r="H40" s="1">
        <v>-0.05</v>
      </c>
      <c r="I40" s="34">
        <v>40057</v>
      </c>
      <c r="J40" s="1">
        <v>133.19999999999999</v>
      </c>
      <c r="K40" s="34">
        <v>40057</v>
      </c>
      <c r="L40" s="1">
        <v>1095.5</v>
      </c>
      <c r="M40" s="34">
        <v>40057</v>
      </c>
      <c r="N40" s="1">
        <v>251.8</v>
      </c>
    </row>
    <row r="41" spans="1:14" x14ac:dyDescent="0.25">
      <c r="A41" s="34">
        <v>40087</v>
      </c>
      <c r="B41" s="1">
        <v>1086.8</v>
      </c>
      <c r="C41" s="34">
        <v>40087</v>
      </c>
      <c r="D41" s="1">
        <v>389</v>
      </c>
      <c r="E41" s="34">
        <v>40087</v>
      </c>
      <c r="F41" s="1">
        <v>10.3</v>
      </c>
      <c r="G41" s="34">
        <v>40087</v>
      </c>
      <c r="H41" s="1">
        <v>-0.34</v>
      </c>
      <c r="I41" s="34">
        <v>40087</v>
      </c>
      <c r="J41" s="1">
        <v>132.88999999999999</v>
      </c>
      <c r="K41" s="34">
        <v>40087</v>
      </c>
      <c r="L41" s="1">
        <v>1091.3</v>
      </c>
      <c r="M41" s="34">
        <v>40087</v>
      </c>
      <c r="N41" s="1">
        <v>252.9</v>
      </c>
    </row>
    <row r="42" spans="1:14" x14ac:dyDescent="0.25">
      <c r="A42" s="34">
        <v>40118</v>
      </c>
      <c r="B42" s="1">
        <v>1086.7</v>
      </c>
      <c r="C42" s="34">
        <v>40118</v>
      </c>
      <c r="D42" s="1">
        <v>377</v>
      </c>
      <c r="E42" s="34">
        <v>40118</v>
      </c>
      <c r="F42" s="1">
        <v>10.6</v>
      </c>
      <c r="G42" s="34">
        <v>40118</v>
      </c>
      <c r="H42" s="1">
        <v>0</v>
      </c>
      <c r="I42" s="34">
        <v>40118</v>
      </c>
      <c r="J42" s="1">
        <v>132.77000000000001</v>
      </c>
      <c r="K42" s="34">
        <v>40118</v>
      </c>
      <c r="L42" s="1">
        <v>1094.0999999999999</v>
      </c>
      <c r="M42" s="34">
        <v>40118</v>
      </c>
      <c r="N42" s="1">
        <v>252.3</v>
      </c>
    </row>
    <row r="43" spans="1:14" x14ac:dyDescent="0.25">
      <c r="A43" s="34">
        <v>40148</v>
      </c>
      <c r="B43" s="1">
        <v>1085.5</v>
      </c>
      <c r="C43" s="34">
        <v>40148</v>
      </c>
      <c r="D43" s="1">
        <v>338</v>
      </c>
      <c r="E43" s="34">
        <v>40148</v>
      </c>
      <c r="F43" s="1">
        <v>10.8</v>
      </c>
      <c r="G43" s="34">
        <v>40148</v>
      </c>
      <c r="H43" s="1">
        <v>-0.25</v>
      </c>
      <c r="I43" s="34">
        <v>40148</v>
      </c>
      <c r="J43" s="1">
        <v>132.62</v>
      </c>
      <c r="K43" s="34">
        <v>40148</v>
      </c>
      <c r="L43" s="1">
        <v>1090</v>
      </c>
      <c r="M43" s="34">
        <v>40148</v>
      </c>
      <c r="N43" s="1">
        <v>249.3</v>
      </c>
    </row>
    <row r="44" spans="1:14" x14ac:dyDescent="0.25">
      <c r="A44" s="34">
        <v>40179</v>
      </c>
      <c r="B44" s="1">
        <v>1084.7</v>
      </c>
      <c r="C44" s="34">
        <v>40179</v>
      </c>
      <c r="D44" s="1">
        <v>366</v>
      </c>
      <c r="E44" s="34">
        <v>40179</v>
      </c>
      <c r="F44" s="1">
        <v>11</v>
      </c>
      <c r="G44" s="34">
        <v>40179</v>
      </c>
      <c r="H44" s="1">
        <v>-0.16</v>
      </c>
      <c r="I44" s="34">
        <v>40179</v>
      </c>
      <c r="J44" s="1">
        <v>132.68</v>
      </c>
      <c r="K44" s="34">
        <v>40179</v>
      </c>
      <c r="L44" s="1">
        <v>1072.2</v>
      </c>
      <c r="M44" s="34">
        <v>40179</v>
      </c>
      <c r="N44" s="1">
        <v>248.3</v>
      </c>
    </row>
    <row r="45" spans="1:14" x14ac:dyDescent="0.25">
      <c r="A45" s="34">
        <v>40210</v>
      </c>
      <c r="B45" s="1">
        <v>1084.5</v>
      </c>
      <c r="C45" s="34">
        <v>40210</v>
      </c>
      <c r="D45" s="1">
        <v>344</v>
      </c>
      <c r="E45" s="34">
        <v>40210</v>
      </c>
      <c r="F45" s="1">
        <v>11</v>
      </c>
      <c r="G45" s="34">
        <v>40210</v>
      </c>
      <c r="H45" s="1">
        <v>0.62</v>
      </c>
      <c r="I45" s="34">
        <v>40210</v>
      </c>
      <c r="J45" s="1">
        <v>132.85</v>
      </c>
      <c r="K45" s="34">
        <v>40210</v>
      </c>
      <c r="L45" s="1">
        <v>1077.9000000000001</v>
      </c>
      <c r="M45" s="34">
        <v>40210</v>
      </c>
      <c r="N45" s="1">
        <v>251.7</v>
      </c>
    </row>
    <row r="46" spans="1:14" x14ac:dyDescent="0.25">
      <c r="A46" s="34">
        <v>40238</v>
      </c>
      <c r="B46" s="1">
        <v>1086.5999999999999</v>
      </c>
      <c r="C46" s="34">
        <v>40238</v>
      </c>
      <c r="D46" s="1">
        <v>470</v>
      </c>
      <c r="E46" s="34">
        <v>40238</v>
      </c>
      <c r="F46" s="1">
        <v>10.8</v>
      </c>
      <c r="G46" s="34">
        <v>40238</v>
      </c>
      <c r="H46" s="1">
        <v>1.92</v>
      </c>
      <c r="I46" s="34">
        <v>40238</v>
      </c>
      <c r="J46" s="1">
        <v>133.41999999999999</v>
      </c>
      <c r="K46" s="34">
        <v>40238</v>
      </c>
      <c r="L46" s="1">
        <v>1087.9000000000001</v>
      </c>
      <c r="M46" s="34">
        <v>40238</v>
      </c>
      <c r="N46" s="1">
        <v>253.5</v>
      </c>
    </row>
    <row r="47" spans="1:14" x14ac:dyDescent="0.25">
      <c r="A47" s="34">
        <v>40269</v>
      </c>
      <c r="B47" s="1">
        <v>1092.2</v>
      </c>
      <c r="C47" s="34">
        <v>40269</v>
      </c>
      <c r="D47" s="1">
        <v>552</v>
      </c>
      <c r="E47" s="34">
        <v>40269</v>
      </c>
      <c r="F47" s="1">
        <v>10.7</v>
      </c>
      <c r="G47" s="34">
        <v>40269</v>
      </c>
      <c r="H47" s="1">
        <v>2.23</v>
      </c>
      <c r="I47" s="34">
        <v>40269</v>
      </c>
      <c r="J47" s="1">
        <v>133.97</v>
      </c>
      <c r="K47" s="34">
        <v>40269</v>
      </c>
      <c r="L47" s="1">
        <v>1097.9000000000001</v>
      </c>
      <c r="M47" s="34">
        <v>40269</v>
      </c>
      <c r="N47" s="1">
        <v>252.3</v>
      </c>
    </row>
    <row r="48" spans="1:14" x14ac:dyDescent="0.25">
      <c r="A48" s="34">
        <v>40299</v>
      </c>
      <c r="B48" s="1">
        <v>1098.4000000000001</v>
      </c>
      <c r="C48" s="34">
        <v>40299</v>
      </c>
      <c r="D48" s="1">
        <v>474</v>
      </c>
      <c r="E48" s="34">
        <v>40299</v>
      </c>
      <c r="F48" s="1">
        <v>10.5</v>
      </c>
      <c r="G48" s="34">
        <v>40299</v>
      </c>
      <c r="H48" s="1">
        <v>2.14</v>
      </c>
      <c r="I48" s="34">
        <v>40299</v>
      </c>
      <c r="J48" s="1">
        <v>134.57</v>
      </c>
      <c r="K48" s="34">
        <v>40299</v>
      </c>
      <c r="L48" s="1">
        <v>1104.8</v>
      </c>
      <c r="M48" s="34">
        <v>40299</v>
      </c>
      <c r="N48" s="1">
        <v>255.5</v>
      </c>
    </row>
    <row r="49" spans="1:14" x14ac:dyDescent="0.25">
      <c r="A49" s="34">
        <v>40330</v>
      </c>
      <c r="B49" s="1">
        <v>1098.8</v>
      </c>
      <c r="C49" s="34">
        <v>40330</v>
      </c>
      <c r="D49" s="1">
        <v>445</v>
      </c>
      <c r="E49" s="34">
        <v>40330</v>
      </c>
      <c r="F49" s="1">
        <v>10.3</v>
      </c>
      <c r="G49" s="34">
        <v>40330</v>
      </c>
      <c r="H49" s="1">
        <v>1.38</v>
      </c>
      <c r="I49" s="34">
        <v>40330</v>
      </c>
      <c r="J49" s="1">
        <v>134.93</v>
      </c>
      <c r="K49" s="34">
        <v>40330</v>
      </c>
      <c r="L49" s="1">
        <v>1100.5999999999999</v>
      </c>
      <c r="M49" s="34">
        <v>40330</v>
      </c>
      <c r="N49" s="1">
        <v>250.8</v>
      </c>
    </row>
    <row r="50" spans="1:14" x14ac:dyDescent="0.25">
      <c r="A50" s="34">
        <v>40360</v>
      </c>
      <c r="B50" s="1">
        <v>1097.5</v>
      </c>
      <c r="C50" s="34">
        <v>40360</v>
      </c>
      <c r="D50" s="1">
        <v>322</v>
      </c>
      <c r="E50" s="34">
        <v>40360</v>
      </c>
      <c r="F50" s="1">
        <v>10.3</v>
      </c>
      <c r="G50" s="34">
        <v>40360</v>
      </c>
      <c r="H50" s="1">
        <v>0.33</v>
      </c>
      <c r="I50" s="34">
        <v>40360</v>
      </c>
      <c r="J50" s="1">
        <v>134.93</v>
      </c>
      <c r="K50" s="34">
        <v>40360</v>
      </c>
      <c r="L50" s="1">
        <v>1083.5</v>
      </c>
      <c r="M50" s="34">
        <v>40360</v>
      </c>
      <c r="N50" s="1">
        <v>238.6</v>
      </c>
    </row>
    <row r="51" spans="1:14" x14ac:dyDescent="0.25">
      <c r="A51" s="34">
        <v>40391</v>
      </c>
      <c r="B51" s="1">
        <v>1093.2</v>
      </c>
      <c r="C51" s="34">
        <v>40391</v>
      </c>
      <c r="D51" s="1">
        <v>480</v>
      </c>
      <c r="E51" s="34">
        <v>40391</v>
      </c>
      <c r="F51" s="1">
        <v>10.3</v>
      </c>
      <c r="G51" s="34">
        <v>40391</v>
      </c>
      <c r="H51" s="1">
        <v>-0.25</v>
      </c>
      <c r="I51" s="34">
        <v>40391</v>
      </c>
      <c r="J51" s="1">
        <v>134.75</v>
      </c>
      <c r="K51" s="34">
        <v>40391</v>
      </c>
      <c r="L51" s="1">
        <v>1089.5999999999999</v>
      </c>
      <c r="M51" s="34">
        <v>40391</v>
      </c>
      <c r="N51" s="1">
        <v>241.8</v>
      </c>
    </row>
    <row r="52" spans="1:14" x14ac:dyDescent="0.25">
      <c r="A52" s="34">
        <v>40422</v>
      </c>
      <c r="B52" s="1">
        <v>1092.7</v>
      </c>
      <c r="C52" s="34">
        <v>40422</v>
      </c>
      <c r="D52" s="1">
        <v>383</v>
      </c>
      <c r="E52" s="34">
        <v>40422</v>
      </c>
      <c r="F52" s="1">
        <v>10.4</v>
      </c>
      <c r="G52" s="34">
        <v>40422</v>
      </c>
      <c r="H52" s="1">
        <v>-0.42</v>
      </c>
      <c r="I52" s="34">
        <v>40422</v>
      </c>
      <c r="J52" s="1">
        <v>134.65</v>
      </c>
      <c r="K52" s="34">
        <v>40422</v>
      </c>
      <c r="L52" s="1">
        <v>1098.4000000000001</v>
      </c>
      <c r="M52" s="34">
        <v>40422</v>
      </c>
      <c r="N52" s="1">
        <v>247.8</v>
      </c>
    </row>
    <row r="53" spans="1:14" x14ac:dyDescent="0.25">
      <c r="A53" s="34">
        <v>40452</v>
      </c>
      <c r="B53" s="1">
        <v>1095.5</v>
      </c>
      <c r="C53" s="34">
        <v>40452</v>
      </c>
      <c r="D53" s="1">
        <v>353</v>
      </c>
      <c r="E53" s="34">
        <v>40452</v>
      </c>
      <c r="F53" s="1">
        <v>10.5</v>
      </c>
      <c r="G53" s="34">
        <v>40452</v>
      </c>
      <c r="H53" s="1">
        <v>-0.04</v>
      </c>
      <c r="I53" s="34">
        <v>40452</v>
      </c>
      <c r="J53" s="1">
        <v>134.63999999999999</v>
      </c>
      <c r="K53" s="34">
        <v>40452</v>
      </c>
      <c r="L53" s="1">
        <v>1100.2</v>
      </c>
      <c r="M53" s="34">
        <v>40452</v>
      </c>
      <c r="N53" s="1">
        <v>250.5</v>
      </c>
    </row>
    <row r="54" spans="1:14" x14ac:dyDescent="0.25">
      <c r="A54" s="34">
        <v>40483</v>
      </c>
      <c r="B54" s="1">
        <v>1092.5</v>
      </c>
      <c r="C54" s="34">
        <v>40483</v>
      </c>
      <c r="D54" s="1">
        <v>400</v>
      </c>
      <c r="E54" s="34">
        <v>40483</v>
      </c>
      <c r="F54" s="1">
        <v>10.5</v>
      </c>
      <c r="G54" s="34">
        <v>40483</v>
      </c>
      <c r="H54" s="1">
        <v>0.57999999999999996</v>
      </c>
      <c r="I54" s="34">
        <v>40483</v>
      </c>
      <c r="J54" s="1">
        <v>134.57</v>
      </c>
      <c r="K54" s="34">
        <v>40483</v>
      </c>
      <c r="L54" s="1">
        <v>1099.5</v>
      </c>
      <c r="M54" s="34">
        <v>40483</v>
      </c>
      <c r="N54" s="1">
        <v>249.4</v>
      </c>
    </row>
    <row r="55" spans="1:14" x14ac:dyDescent="0.25">
      <c r="A55" s="34">
        <v>40513</v>
      </c>
      <c r="B55" s="1">
        <v>1095.5</v>
      </c>
      <c r="C55" s="34">
        <v>40513</v>
      </c>
      <c r="D55" s="1">
        <v>459</v>
      </c>
      <c r="E55" s="34">
        <v>40513</v>
      </c>
      <c r="F55" s="1">
        <v>10.6</v>
      </c>
      <c r="G55" s="34">
        <v>40513</v>
      </c>
      <c r="H55" s="1">
        <v>0.2</v>
      </c>
      <c r="I55" s="34">
        <v>40513</v>
      </c>
      <c r="J55" s="1">
        <v>134.53</v>
      </c>
      <c r="K55" s="34">
        <v>40513</v>
      </c>
      <c r="L55" s="1">
        <v>1098</v>
      </c>
      <c r="M55" s="34">
        <v>40513</v>
      </c>
      <c r="N55" s="1">
        <v>248.3</v>
      </c>
    </row>
    <row r="56" spans="1:14" x14ac:dyDescent="0.25">
      <c r="A56" s="34">
        <v>40544</v>
      </c>
      <c r="B56" s="1">
        <v>1091.2</v>
      </c>
      <c r="C56" s="34">
        <v>40544</v>
      </c>
      <c r="D56" s="1">
        <v>307</v>
      </c>
      <c r="E56" s="34">
        <v>40544</v>
      </c>
      <c r="F56" s="1">
        <v>10.6</v>
      </c>
      <c r="G56" s="34">
        <v>40544</v>
      </c>
      <c r="H56" s="1">
        <v>0.69</v>
      </c>
      <c r="I56" s="34">
        <v>40544</v>
      </c>
      <c r="J56" s="1">
        <v>134.56</v>
      </c>
      <c r="K56" s="34">
        <v>40544</v>
      </c>
      <c r="L56" s="1">
        <v>1078.3</v>
      </c>
      <c r="M56" s="34">
        <v>40544</v>
      </c>
      <c r="N56" s="1">
        <v>245.2</v>
      </c>
    </row>
    <row r="57" spans="1:14" x14ac:dyDescent="0.25">
      <c r="A57" s="34">
        <v>40575</v>
      </c>
      <c r="B57" s="1">
        <v>1090.7</v>
      </c>
      <c r="C57" s="34">
        <v>40575</v>
      </c>
      <c r="D57" s="1">
        <v>476</v>
      </c>
      <c r="E57" s="34">
        <v>40575</v>
      </c>
      <c r="F57" s="1">
        <v>10.6</v>
      </c>
      <c r="G57" s="34">
        <v>40575</v>
      </c>
      <c r="H57" s="1">
        <v>0.82</v>
      </c>
      <c r="I57" s="34">
        <v>40575</v>
      </c>
      <c r="J57" s="1">
        <v>134.59</v>
      </c>
      <c r="K57" s="34">
        <v>40575</v>
      </c>
      <c r="L57" s="1">
        <v>1084</v>
      </c>
      <c r="M57" s="34">
        <v>40575</v>
      </c>
      <c r="N57" s="1">
        <v>247.5</v>
      </c>
    </row>
    <row r="58" spans="1:14" x14ac:dyDescent="0.25">
      <c r="A58" s="34">
        <v>40603</v>
      </c>
      <c r="B58" s="1">
        <v>1092.5999999999999</v>
      </c>
      <c r="C58" s="34">
        <v>40603</v>
      </c>
      <c r="D58" s="1">
        <v>417</v>
      </c>
      <c r="E58" s="34">
        <v>40603</v>
      </c>
      <c r="F58" s="1">
        <v>10.6</v>
      </c>
      <c r="G58" s="34">
        <v>40603</v>
      </c>
      <c r="H58" s="1">
        <v>1.25</v>
      </c>
      <c r="I58" s="34">
        <v>40603</v>
      </c>
      <c r="J58" s="1">
        <v>134.78</v>
      </c>
      <c r="K58" s="34">
        <v>40603</v>
      </c>
      <c r="L58" s="1">
        <v>1094.4000000000001</v>
      </c>
      <c r="M58" s="34">
        <v>40603</v>
      </c>
      <c r="N58" s="1">
        <v>248.3</v>
      </c>
    </row>
    <row r="59" spans="1:14" x14ac:dyDescent="0.25">
      <c r="A59" s="34">
        <v>40634</v>
      </c>
      <c r="B59" s="1">
        <v>1093.5999999999999</v>
      </c>
      <c r="C59" s="34">
        <v>40634</v>
      </c>
      <c r="D59" s="1">
        <v>307</v>
      </c>
      <c r="E59" s="34">
        <v>40634</v>
      </c>
      <c r="F59" s="1">
        <v>10.6</v>
      </c>
      <c r="G59" s="34">
        <v>40634</v>
      </c>
      <c r="H59" s="1">
        <v>0.97</v>
      </c>
      <c r="I59" s="34">
        <v>40634</v>
      </c>
      <c r="J59" s="1">
        <v>134.88999999999999</v>
      </c>
      <c r="K59" s="34">
        <v>40634</v>
      </c>
      <c r="L59" s="1">
        <v>1099.9000000000001</v>
      </c>
      <c r="M59" s="34">
        <v>40634</v>
      </c>
      <c r="N59" s="1">
        <v>248.8</v>
      </c>
    </row>
    <row r="60" spans="1:14" x14ac:dyDescent="0.25">
      <c r="A60" s="34">
        <v>40664</v>
      </c>
      <c r="B60" s="1">
        <v>1093.3</v>
      </c>
      <c r="C60" s="34">
        <v>40664</v>
      </c>
      <c r="D60" s="1">
        <v>401</v>
      </c>
      <c r="E60" s="34">
        <v>40664</v>
      </c>
      <c r="F60" s="1">
        <v>10.7</v>
      </c>
      <c r="G60" s="34">
        <v>40664</v>
      </c>
      <c r="H60" s="1">
        <v>0.3</v>
      </c>
      <c r="I60" s="34">
        <v>40664</v>
      </c>
      <c r="J60" s="1">
        <v>134.9</v>
      </c>
      <c r="K60" s="34">
        <v>40664</v>
      </c>
      <c r="L60" s="1">
        <v>1100.2</v>
      </c>
      <c r="M60" s="34">
        <v>40664</v>
      </c>
      <c r="N60" s="1">
        <v>248.1</v>
      </c>
    </row>
    <row r="61" spans="1:14" x14ac:dyDescent="0.25">
      <c r="A61" s="34">
        <v>40695</v>
      </c>
      <c r="B61" s="1">
        <v>1093.7</v>
      </c>
      <c r="C61" s="34">
        <v>40695</v>
      </c>
      <c r="D61" s="1">
        <v>352</v>
      </c>
      <c r="E61" s="34">
        <v>40695</v>
      </c>
      <c r="F61" s="1">
        <v>10.8</v>
      </c>
      <c r="G61" s="34">
        <v>40695</v>
      </c>
      <c r="H61" s="1">
        <v>0.18</v>
      </c>
      <c r="I61" s="34">
        <v>40695</v>
      </c>
      <c r="J61" s="1">
        <v>134.93</v>
      </c>
      <c r="K61" s="34">
        <v>40695</v>
      </c>
      <c r="L61" s="1">
        <v>1093.5999999999999</v>
      </c>
      <c r="M61" s="34">
        <v>40695</v>
      </c>
      <c r="N61" s="1">
        <v>244.1</v>
      </c>
    </row>
    <row r="62" spans="1:14" x14ac:dyDescent="0.25">
      <c r="A62" s="34">
        <v>40725</v>
      </c>
      <c r="B62" s="1">
        <v>1093.8</v>
      </c>
      <c r="C62" s="34">
        <v>40725</v>
      </c>
      <c r="D62" s="1">
        <v>320</v>
      </c>
      <c r="E62" s="34">
        <v>40725</v>
      </c>
      <c r="F62" s="1">
        <v>10.9</v>
      </c>
      <c r="G62" s="34">
        <v>40725</v>
      </c>
      <c r="H62" s="1">
        <v>-0.13</v>
      </c>
      <c r="I62" s="34">
        <v>40725</v>
      </c>
      <c r="J62" s="1">
        <v>134.94</v>
      </c>
      <c r="K62" s="34">
        <v>40725</v>
      </c>
      <c r="L62" s="1">
        <v>1078.4000000000001</v>
      </c>
      <c r="M62" s="34">
        <v>40725</v>
      </c>
      <c r="N62" s="1">
        <v>236.7</v>
      </c>
    </row>
    <row r="63" spans="1:14" x14ac:dyDescent="0.25">
      <c r="A63" s="34">
        <v>40756</v>
      </c>
      <c r="B63" s="1">
        <v>1092.7</v>
      </c>
      <c r="C63" s="34">
        <v>40756</v>
      </c>
      <c r="D63" s="1">
        <v>424</v>
      </c>
      <c r="E63" s="34">
        <v>40756</v>
      </c>
      <c r="F63" s="1">
        <v>10.9</v>
      </c>
      <c r="G63" s="34">
        <v>40756</v>
      </c>
      <c r="H63" s="1">
        <v>0.15</v>
      </c>
      <c r="I63" s="34">
        <v>40756</v>
      </c>
      <c r="J63" s="1">
        <v>134.99</v>
      </c>
      <c r="K63" s="34">
        <v>40756</v>
      </c>
      <c r="L63" s="1">
        <v>1088.8</v>
      </c>
      <c r="M63" s="34">
        <v>40756</v>
      </c>
      <c r="N63" s="1">
        <v>241.8</v>
      </c>
    </row>
    <row r="64" spans="1:14" x14ac:dyDescent="0.25">
      <c r="A64" s="34">
        <v>40787</v>
      </c>
      <c r="B64" s="1">
        <v>1093.9000000000001</v>
      </c>
      <c r="C64" s="34">
        <v>40787</v>
      </c>
      <c r="D64" s="1">
        <v>341</v>
      </c>
      <c r="E64" s="34">
        <v>40787</v>
      </c>
      <c r="F64" s="1">
        <v>10.7</v>
      </c>
      <c r="G64" s="34">
        <v>40787</v>
      </c>
      <c r="H64" s="1">
        <v>0.86</v>
      </c>
      <c r="I64" s="34">
        <v>40787</v>
      </c>
      <c r="J64" s="1">
        <v>135.27000000000001</v>
      </c>
      <c r="K64" s="34">
        <v>40787</v>
      </c>
      <c r="L64" s="1">
        <v>1099</v>
      </c>
      <c r="M64" s="34">
        <v>40787</v>
      </c>
      <c r="N64" s="1">
        <v>247.5</v>
      </c>
    </row>
    <row r="65" spans="1:14" x14ac:dyDescent="0.25">
      <c r="A65" s="34">
        <v>40817</v>
      </c>
      <c r="B65" s="1">
        <v>1094.5999999999999</v>
      </c>
      <c r="C65" s="34">
        <v>40817</v>
      </c>
      <c r="D65" s="1">
        <v>315</v>
      </c>
      <c r="E65" s="34">
        <v>40817</v>
      </c>
      <c r="F65" s="1">
        <v>10.5</v>
      </c>
      <c r="G65" s="34">
        <v>40817</v>
      </c>
      <c r="H65" s="1">
        <v>0.65</v>
      </c>
      <c r="I65" s="34">
        <v>40817</v>
      </c>
      <c r="J65" s="1">
        <v>135.34</v>
      </c>
      <c r="K65" s="34">
        <v>40817</v>
      </c>
      <c r="L65" s="1">
        <v>1099</v>
      </c>
      <c r="M65" s="34">
        <v>40817</v>
      </c>
      <c r="N65" s="1">
        <v>249.1</v>
      </c>
    </row>
    <row r="66" spans="1:14" x14ac:dyDescent="0.25">
      <c r="A66" s="34">
        <v>40848</v>
      </c>
      <c r="B66" s="1">
        <v>1094.7</v>
      </c>
      <c r="C66" s="34">
        <v>40848</v>
      </c>
      <c r="D66" s="1">
        <v>426</v>
      </c>
      <c r="E66" s="34">
        <v>40848</v>
      </c>
      <c r="F66" s="1">
        <v>10.1</v>
      </c>
      <c r="G66" s="34">
        <v>40848</v>
      </c>
      <c r="H66" s="1">
        <v>1.04</v>
      </c>
      <c r="I66" s="34">
        <v>40848</v>
      </c>
      <c r="J66" s="1">
        <v>135.68</v>
      </c>
      <c r="K66" s="34">
        <v>40848</v>
      </c>
      <c r="L66" s="1">
        <v>1101.7</v>
      </c>
      <c r="M66" s="34">
        <v>40848</v>
      </c>
      <c r="N66" s="1">
        <v>248.6</v>
      </c>
    </row>
    <row r="67" spans="1:14" x14ac:dyDescent="0.25">
      <c r="A67" s="34">
        <v>40878</v>
      </c>
      <c r="B67" s="1">
        <v>1094.8</v>
      </c>
      <c r="C67" s="34">
        <v>40878</v>
      </c>
      <c r="D67" s="1">
        <v>247</v>
      </c>
      <c r="E67" s="34">
        <v>40878</v>
      </c>
      <c r="F67" s="1">
        <v>9.8000000000000007</v>
      </c>
      <c r="G67" s="34">
        <v>40878</v>
      </c>
      <c r="H67" s="1">
        <v>0.93</v>
      </c>
      <c r="I67" s="34">
        <v>40878</v>
      </c>
      <c r="J67" s="1">
        <v>135.88</v>
      </c>
      <c r="K67" s="34">
        <v>40878</v>
      </c>
      <c r="L67" s="1">
        <v>1097.5999999999999</v>
      </c>
      <c r="M67" s="34">
        <v>40878</v>
      </c>
      <c r="N67" s="1">
        <v>245.1</v>
      </c>
    </row>
    <row r="68" spans="1:14" x14ac:dyDescent="0.25">
      <c r="A68" s="34">
        <v>40909</v>
      </c>
      <c r="B68" s="1">
        <v>1098.3</v>
      </c>
      <c r="C68" s="34">
        <v>40909</v>
      </c>
      <c r="D68" s="1">
        <v>354</v>
      </c>
      <c r="E68" s="34">
        <v>40909</v>
      </c>
      <c r="F68" s="1">
        <v>9.4</v>
      </c>
      <c r="G68" s="34">
        <v>40909</v>
      </c>
      <c r="H68" s="1">
        <v>2.19</v>
      </c>
      <c r="I68" s="34">
        <v>40909</v>
      </c>
      <c r="J68" s="1">
        <v>136.57</v>
      </c>
      <c r="K68" s="34">
        <v>40909</v>
      </c>
      <c r="L68" s="1">
        <v>1085.2</v>
      </c>
      <c r="M68" s="34">
        <v>40909</v>
      </c>
      <c r="N68" s="1">
        <v>245.4</v>
      </c>
    </row>
    <row r="69" spans="1:14" x14ac:dyDescent="0.25">
      <c r="A69" s="34">
        <v>40940</v>
      </c>
      <c r="B69" s="1">
        <v>1100.4000000000001</v>
      </c>
      <c r="C69" s="34">
        <v>40940</v>
      </c>
      <c r="D69" s="1">
        <v>337</v>
      </c>
      <c r="E69" s="34">
        <v>40940</v>
      </c>
      <c r="F69" s="1">
        <v>9.1999999999999993</v>
      </c>
      <c r="G69" s="34">
        <v>40940</v>
      </c>
      <c r="H69" s="1">
        <v>1.95</v>
      </c>
      <c r="I69" s="34">
        <v>40940</v>
      </c>
      <c r="J69" s="1">
        <v>137.01</v>
      </c>
      <c r="K69" s="34">
        <v>40940</v>
      </c>
      <c r="L69" s="1">
        <v>1095.4000000000001</v>
      </c>
      <c r="M69" s="34">
        <v>40940</v>
      </c>
      <c r="N69" s="1">
        <v>248.4</v>
      </c>
    </row>
    <row r="70" spans="1:14" x14ac:dyDescent="0.25">
      <c r="A70" s="34">
        <v>40969</v>
      </c>
      <c r="B70" s="1">
        <v>1101.4000000000001</v>
      </c>
      <c r="C70" s="34">
        <v>40969</v>
      </c>
      <c r="D70" s="1">
        <v>409</v>
      </c>
      <c r="E70" s="34">
        <v>40969</v>
      </c>
      <c r="F70" s="1">
        <v>9.1</v>
      </c>
      <c r="G70" s="34">
        <v>40969</v>
      </c>
      <c r="H70" s="1">
        <v>1.22</v>
      </c>
      <c r="I70" s="34">
        <v>40969</v>
      </c>
      <c r="J70" s="1">
        <v>137.34</v>
      </c>
      <c r="K70" s="34">
        <v>40969</v>
      </c>
      <c r="L70" s="1">
        <v>1103.7</v>
      </c>
      <c r="M70" s="34">
        <v>40969</v>
      </c>
      <c r="N70" s="1">
        <v>249.2</v>
      </c>
    </row>
    <row r="71" spans="1:14" x14ac:dyDescent="0.25">
      <c r="A71" s="34">
        <v>41000</v>
      </c>
      <c r="B71" s="1">
        <v>1101.7</v>
      </c>
      <c r="C71" s="34">
        <v>41000</v>
      </c>
      <c r="D71" s="1">
        <v>455</v>
      </c>
      <c r="E71" s="34">
        <v>41000</v>
      </c>
      <c r="F71" s="1">
        <v>9.1</v>
      </c>
      <c r="G71" s="34">
        <v>41000</v>
      </c>
      <c r="H71" s="1">
        <v>0.66</v>
      </c>
      <c r="I71" s="34">
        <v>41000</v>
      </c>
      <c r="J71" s="1">
        <v>137.43</v>
      </c>
      <c r="K71" s="34">
        <v>41000</v>
      </c>
      <c r="L71" s="1">
        <v>1107.3</v>
      </c>
      <c r="M71" s="34">
        <v>41000</v>
      </c>
      <c r="N71" s="1">
        <v>248.8</v>
      </c>
    </row>
    <row r="72" spans="1:14" x14ac:dyDescent="0.25">
      <c r="A72" s="34">
        <v>41030</v>
      </c>
      <c r="B72" s="1">
        <v>1101.2</v>
      </c>
      <c r="C72" s="34">
        <v>41030</v>
      </c>
      <c r="D72" s="1">
        <v>643</v>
      </c>
      <c r="E72" s="34">
        <v>41030</v>
      </c>
      <c r="F72" s="1">
        <v>9.1999999999999993</v>
      </c>
      <c r="G72" s="34">
        <v>41030</v>
      </c>
      <c r="H72" s="1">
        <v>0.51</v>
      </c>
      <c r="I72" s="34">
        <v>41030</v>
      </c>
      <c r="J72" s="1">
        <v>137.47</v>
      </c>
      <c r="K72" s="34">
        <v>41030</v>
      </c>
      <c r="L72" s="1">
        <v>1108.2</v>
      </c>
      <c r="M72" s="34">
        <v>41030</v>
      </c>
      <c r="N72" s="1">
        <v>248.6</v>
      </c>
    </row>
    <row r="73" spans="1:14" x14ac:dyDescent="0.25">
      <c r="A73" s="34">
        <v>41061</v>
      </c>
      <c r="B73" s="1">
        <v>1100.7</v>
      </c>
      <c r="C73" s="34">
        <v>41061</v>
      </c>
      <c r="D73" s="1">
        <v>426</v>
      </c>
      <c r="E73" s="34">
        <v>41061</v>
      </c>
      <c r="F73" s="1">
        <v>9.3000000000000007</v>
      </c>
      <c r="G73" s="34">
        <v>41061</v>
      </c>
      <c r="H73" s="1">
        <v>0.76</v>
      </c>
      <c r="I73" s="34">
        <v>41061</v>
      </c>
      <c r="J73" s="1">
        <v>137.5</v>
      </c>
      <c r="K73" s="34">
        <v>41061</v>
      </c>
      <c r="L73" s="1">
        <v>1100.4000000000001</v>
      </c>
      <c r="M73" s="34">
        <v>41061</v>
      </c>
      <c r="N73" s="1">
        <v>243.8</v>
      </c>
    </row>
    <row r="74" spans="1:14" x14ac:dyDescent="0.25">
      <c r="A74" s="34">
        <v>41091</v>
      </c>
      <c r="B74" s="1">
        <v>1102.0999999999999</v>
      </c>
      <c r="C74" s="34">
        <v>41091</v>
      </c>
      <c r="D74" s="1">
        <v>640</v>
      </c>
      <c r="E74" s="34">
        <v>41091</v>
      </c>
      <c r="F74" s="1">
        <v>9.3000000000000007</v>
      </c>
      <c r="G74" s="34">
        <v>41091</v>
      </c>
      <c r="H74" s="1">
        <v>1.02</v>
      </c>
      <c r="I74" s="34">
        <v>41091</v>
      </c>
      <c r="J74" s="1">
        <v>137.59</v>
      </c>
      <c r="K74" s="34">
        <v>41091</v>
      </c>
      <c r="L74" s="1">
        <v>1086.5999999999999</v>
      </c>
      <c r="M74" s="34">
        <v>41091</v>
      </c>
      <c r="N74" s="1">
        <v>235.3</v>
      </c>
    </row>
    <row r="75" spans="1:14" x14ac:dyDescent="0.25">
      <c r="A75" s="34">
        <v>41122</v>
      </c>
      <c r="B75" s="1">
        <v>1103</v>
      </c>
      <c r="C75" s="34">
        <v>41122</v>
      </c>
      <c r="D75" s="1">
        <v>516</v>
      </c>
      <c r="E75" s="34">
        <v>41122</v>
      </c>
      <c r="F75" s="1">
        <v>9.3000000000000007</v>
      </c>
      <c r="G75" s="34">
        <v>41122</v>
      </c>
      <c r="H75" s="1">
        <v>1.55</v>
      </c>
      <c r="I75" s="34">
        <v>41122</v>
      </c>
      <c r="J75" s="1">
        <v>137.87</v>
      </c>
      <c r="K75" s="34">
        <v>41122</v>
      </c>
      <c r="L75" s="1">
        <v>1102</v>
      </c>
      <c r="M75" s="34">
        <v>41122</v>
      </c>
      <c r="N75" s="1">
        <v>241.7</v>
      </c>
    </row>
    <row r="76" spans="1:14" x14ac:dyDescent="0.25">
      <c r="A76" s="34">
        <v>41153</v>
      </c>
      <c r="B76" s="1">
        <v>1102.0999999999999</v>
      </c>
      <c r="C76" s="34">
        <v>41153</v>
      </c>
      <c r="D76" s="1">
        <v>332</v>
      </c>
      <c r="E76" s="34">
        <v>41153</v>
      </c>
      <c r="F76" s="1">
        <v>9.1999999999999993</v>
      </c>
      <c r="G76" s="34">
        <v>41153</v>
      </c>
      <c r="H76" s="1">
        <v>1.93</v>
      </c>
      <c r="I76" s="34">
        <v>41153</v>
      </c>
      <c r="J76" s="1">
        <v>138.01</v>
      </c>
      <c r="K76" s="34">
        <v>41153</v>
      </c>
      <c r="L76" s="1">
        <v>1107.8</v>
      </c>
      <c r="M76" s="34">
        <v>41153</v>
      </c>
      <c r="N76" s="1">
        <v>247</v>
      </c>
    </row>
    <row r="77" spans="1:14" x14ac:dyDescent="0.25">
      <c r="A77" s="34">
        <v>41183</v>
      </c>
      <c r="B77" s="1">
        <v>1103.5</v>
      </c>
      <c r="C77" s="34">
        <v>41183</v>
      </c>
      <c r="D77" s="1">
        <v>417</v>
      </c>
      <c r="E77" s="34">
        <v>41183</v>
      </c>
      <c r="F77" s="1">
        <v>9.1</v>
      </c>
      <c r="G77" s="34">
        <v>41183</v>
      </c>
      <c r="H77" s="1">
        <v>1.03</v>
      </c>
      <c r="I77" s="34">
        <v>41183</v>
      </c>
      <c r="J77" s="1">
        <v>138.15</v>
      </c>
      <c r="K77" s="34">
        <v>41183</v>
      </c>
      <c r="L77" s="1">
        <v>1107.5</v>
      </c>
      <c r="M77" s="34">
        <v>41183</v>
      </c>
      <c r="N77" s="1">
        <v>248.9</v>
      </c>
    </row>
    <row r="78" spans="1:14" x14ac:dyDescent="0.25">
      <c r="A78" s="34">
        <v>41214</v>
      </c>
      <c r="B78" s="1">
        <v>1104.8</v>
      </c>
      <c r="C78" s="34">
        <v>41214</v>
      </c>
      <c r="D78" s="1">
        <v>333</v>
      </c>
      <c r="E78" s="34">
        <v>41214</v>
      </c>
      <c r="F78" s="1">
        <v>9.1</v>
      </c>
      <c r="G78" s="34">
        <v>41214</v>
      </c>
      <c r="H78" s="1">
        <v>1.18</v>
      </c>
      <c r="I78" s="34">
        <v>41214</v>
      </c>
      <c r="J78" s="1">
        <v>138.43</v>
      </c>
      <c r="K78" s="34">
        <v>41214</v>
      </c>
      <c r="L78" s="1">
        <v>1112.5</v>
      </c>
      <c r="M78" s="34">
        <v>41214</v>
      </c>
      <c r="N78" s="1">
        <v>248.9</v>
      </c>
    </row>
    <row r="79" spans="1:14" x14ac:dyDescent="0.25">
      <c r="A79" s="34">
        <v>41244</v>
      </c>
      <c r="B79" s="1">
        <v>1106.2</v>
      </c>
      <c r="C79" s="34">
        <v>41244</v>
      </c>
      <c r="D79" s="1">
        <v>385</v>
      </c>
      <c r="E79" s="34">
        <v>41244</v>
      </c>
      <c r="F79" s="1">
        <v>9.1</v>
      </c>
      <c r="G79" s="34">
        <v>41244</v>
      </c>
      <c r="H79" s="1">
        <v>0.97</v>
      </c>
      <c r="I79" s="34">
        <v>41244</v>
      </c>
      <c r="J79" s="1">
        <v>138.74</v>
      </c>
      <c r="K79" s="34">
        <v>41244</v>
      </c>
      <c r="L79" s="1">
        <v>1110.7</v>
      </c>
      <c r="M79" s="34">
        <v>41244</v>
      </c>
      <c r="N79" s="1">
        <v>245.7</v>
      </c>
    </row>
    <row r="80" spans="1:14" x14ac:dyDescent="0.25">
      <c r="A80" s="34">
        <v>41275</v>
      </c>
      <c r="B80" s="1">
        <v>1106.0999999999999</v>
      </c>
      <c r="C80" s="34">
        <v>41275</v>
      </c>
      <c r="D80" s="1">
        <v>315</v>
      </c>
      <c r="E80" s="34">
        <v>41275</v>
      </c>
      <c r="F80" s="1">
        <v>9.1</v>
      </c>
      <c r="G80" s="34">
        <v>41275</v>
      </c>
      <c r="H80" s="1">
        <v>0.68</v>
      </c>
      <c r="I80" s="34">
        <v>41275</v>
      </c>
      <c r="J80" s="1">
        <v>139.01</v>
      </c>
      <c r="K80" s="34">
        <v>41275</v>
      </c>
      <c r="L80" s="1">
        <v>1092.7</v>
      </c>
      <c r="M80" s="34">
        <v>41275</v>
      </c>
      <c r="N80" s="1">
        <v>244.7</v>
      </c>
    </row>
    <row r="81" spans="1:14" x14ac:dyDescent="0.25">
      <c r="A81" s="34">
        <v>41306</v>
      </c>
      <c r="B81" s="1">
        <v>1109.4000000000001</v>
      </c>
      <c r="C81" s="34">
        <v>41306</v>
      </c>
      <c r="D81" s="1">
        <v>372</v>
      </c>
      <c r="E81" s="34">
        <v>41306</v>
      </c>
      <c r="F81" s="1">
        <v>9</v>
      </c>
      <c r="G81" s="34">
        <v>41306</v>
      </c>
      <c r="H81" s="1">
        <v>0.78</v>
      </c>
      <c r="I81" s="34">
        <v>41306</v>
      </c>
      <c r="J81" s="1">
        <v>139.36000000000001</v>
      </c>
      <c r="K81" s="34">
        <v>41306</v>
      </c>
      <c r="L81" s="1">
        <v>1104.7</v>
      </c>
      <c r="M81" s="34">
        <v>41306</v>
      </c>
      <c r="N81" s="1">
        <v>248.3</v>
      </c>
    </row>
    <row r="82" spans="1:14" x14ac:dyDescent="0.25">
      <c r="A82" s="34">
        <v>41334</v>
      </c>
      <c r="B82" s="1">
        <v>1107.5</v>
      </c>
      <c r="C82" s="34">
        <v>41334</v>
      </c>
      <c r="D82" s="1">
        <v>608</v>
      </c>
      <c r="E82" s="34">
        <v>41334</v>
      </c>
      <c r="F82" s="1">
        <v>9</v>
      </c>
      <c r="G82" s="34">
        <v>41334</v>
      </c>
      <c r="H82" s="1">
        <v>0.1</v>
      </c>
      <c r="I82" s="34">
        <v>41334</v>
      </c>
      <c r="J82" s="1">
        <v>139.36000000000001</v>
      </c>
      <c r="K82" s="34">
        <v>41334</v>
      </c>
      <c r="L82" s="1">
        <v>1110.0999999999999</v>
      </c>
      <c r="M82" s="34">
        <v>41334</v>
      </c>
      <c r="N82" s="1">
        <v>248.7</v>
      </c>
    </row>
    <row r="83" spans="1:14" x14ac:dyDescent="0.25">
      <c r="A83" s="34">
        <v>41365</v>
      </c>
      <c r="B83" s="1">
        <v>1108.5</v>
      </c>
      <c r="C83" s="34">
        <v>41365</v>
      </c>
      <c r="D83" s="1">
        <v>461</v>
      </c>
      <c r="E83" s="34">
        <v>41365</v>
      </c>
      <c r="F83" s="1">
        <v>8.8000000000000007</v>
      </c>
      <c r="G83" s="34">
        <v>41365</v>
      </c>
      <c r="H83" s="1">
        <v>0.63</v>
      </c>
      <c r="I83" s="34">
        <v>41365</v>
      </c>
      <c r="J83" s="1">
        <v>139.55000000000001</v>
      </c>
      <c r="K83" s="34">
        <v>41365</v>
      </c>
      <c r="L83" s="1">
        <v>1114.5999999999999</v>
      </c>
      <c r="M83" s="34">
        <v>41365</v>
      </c>
      <c r="N83" s="1">
        <v>248.8</v>
      </c>
    </row>
    <row r="84" spans="1:14" x14ac:dyDescent="0.25">
      <c r="A84" s="34">
        <v>41395</v>
      </c>
      <c r="B84" s="1">
        <v>1107.9000000000001</v>
      </c>
      <c r="C84" s="34">
        <v>41395</v>
      </c>
      <c r="D84" s="1">
        <v>480</v>
      </c>
      <c r="E84" s="34">
        <v>41395</v>
      </c>
      <c r="F84" s="1">
        <v>8.6999999999999993</v>
      </c>
      <c r="G84" s="34">
        <v>41395</v>
      </c>
      <c r="H84" s="1">
        <v>0.64</v>
      </c>
      <c r="I84" s="34">
        <v>41395</v>
      </c>
      <c r="J84" s="1">
        <v>139.57</v>
      </c>
      <c r="K84" s="34">
        <v>41395</v>
      </c>
      <c r="L84" s="1">
        <v>1115.0999999999999</v>
      </c>
      <c r="M84" s="34">
        <v>41395</v>
      </c>
      <c r="N84" s="1">
        <v>247.9</v>
      </c>
    </row>
    <row r="85" spans="1:14" x14ac:dyDescent="0.25">
      <c r="A85" s="34">
        <v>41426</v>
      </c>
      <c r="B85" s="1">
        <v>1108.2</v>
      </c>
      <c r="C85" s="34">
        <v>41426</v>
      </c>
      <c r="D85" s="1">
        <v>474</v>
      </c>
      <c r="E85" s="34">
        <v>41426</v>
      </c>
      <c r="F85" s="1">
        <v>8.6999999999999993</v>
      </c>
      <c r="G85" s="34">
        <v>41426</v>
      </c>
      <c r="H85" s="1">
        <v>0.89</v>
      </c>
      <c r="I85" s="34">
        <v>41426</v>
      </c>
      <c r="J85" s="1">
        <v>139.78</v>
      </c>
      <c r="K85" s="34">
        <v>41426</v>
      </c>
      <c r="L85" s="1">
        <v>1109.8</v>
      </c>
      <c r="M85" s="34">
        <v>41426</v>
      </c>
      <c r="N85" s="1">
        <v>243.3</v>
      </c>
    </row>
    <row r="86" spans="1:14" x14ac:dyDescent="0.25">
      <c r="A86" s="34">
        <v>41456</v>
      </c>
      <c r="B86" s="1">
        <v>1109.4000000000001</v>
      </c>
      <c r="C86" s="34">
        <v>41456</v>
      </c>
      <c r="D86" s="1">
        <v>440</v>
      </c>
      <c r="E86" s="34">
        <v>41456</v>
      </c>
      <c r="F86" s="1">
        <v>8.6999999999999993</v>
      </c>
      <c r="G86" s="34">
        <v>41456</v>
      </c>
      <c r="H86" s="1">
        <v>0.75</v>
      </c>
      <c r="I86" s="34">
        <v>41456</v>
      </c>
      <c r="J86" s="1">
        <v>139.81</v>
      </c>
      <c r="K86" s="34">
        <v>41456</v>
      </c>
      <c r="L86" s="1">
        <v>1093.5999999999999</v>
      </c>
      <c r="M86" s="34">
        <v>41456</v>
      </c>
      <c r="N86" s="1">
        <v>234.5</v>
      </c>
    </row>
    <row r="87" spans="1:14" x14ac:dyDescent="0.25">
      <c r="A87" s="34">
        <v>41487</v>
      </c>
      <c r="B87" s="1">
        <v>1109.7</v>
      </c>
      <c r="C87" s="34">
        <v>41487</v>
      </c>
      <c r="D87" s="1">
        <v>858</v>
      </c>
      <c r="E87" s="34">
        <v>41487</v>
      </c>
      <c r="F87" s="1">
        <v>8.6</v>
      </c>
      <c r="G87" s="34">
        <v>41487</v>
      </c>
      <c r="H87" s="1">
        <v>1.49</v>
      </c>
      <c r="I87" s="34">
        <v>41487</v>
      </c>
      <c r="J87" s="1">
        <v>140.28</v>
      </c>
      <c r="K87" s="34">
        <v>41487</v>
      </c>
      <c r="L87" s="1">
        <v>1108.5999999999999</v>
      </c>
      <c r="M87" s="34">
        <v>41487</v>
      </c>
      <c r="N87" s="1">
        <v>240.9</v>
      </c>
    </row>
    <row r="88" spans="1:14" x14ac:dyDescent="0.25">
      <c r="A88" s="34">
        <v>41518</v>
      </c>
      <c r="B88" s="1">
        <v>1112.3</v>
      </c>
      <c r="C88" s="34">
        <v>41518</v>
      </c>
      <c r="D88" s="1">
        <v>412</v>
      </c>
      <c r="E88" s="34">
        <v>41518</v>
      </c>
      <c r="F88" s="1">
        <v>8.4</v>
      </c>
      <c r="G88" s="34">
        <v>41518</v>
      </c>
      <c r="H88" s="1">
        <v>1.65</v>
      </c>
      <c r="I88" s="34">
        <v>41518</v>
      </c>
      <c r="J88" s="1">
        <v>140.6</v>
      </c>
      <c r="K88" s="34">
        <v>41518</v>
      </c>
      <c r="L88" s="1">
        <v>1117.9000000000001</v>
      </c>
      <c r="M88" s="34">
        <v>41518</v>
      </c>
      <c r="N88" s="1">
        <v>247.2</v>
      </c>
    </row>
    <row r="89" spans="1:14" x14ac:dyDescent="0.25">
      <c r="A89" s="34">
        <v>41548</v>
      </c>
      <c r="B89" s="1">
        <v>1120.2</v>
      </c>
      <c r="C89" s="34">
        <v>41548</v>
      </c>
      <c r="D89" s="1">
        <v>393</v>
      </c>
      <c r="E89" s="34">
        <v>41548</v>
      </c>
      <c r="F89" s="1">
        <v>8.1999999999999993</v>
      </c>
      <c r="G89" s="34">
        <v>41548</v>
      </c>
      <c r="H89" s="1">
        <v>1.4</v>
      </c>
      <c r="I89" s="34">
        <v>41548</v>
      </c>
      <c r="J89" s="1">
        <v>141.05000000000001</v>
      </c>
      <c r="K89" s="34">
        <v>41548</v>
      </c>
      <c r="L89" s="1">
        <v>1123.8</v>
      </c>
      <c r="M89" s="34">
        <v>41548</v>
      </c>
      <c r="N89" s="1">
        <v>249</v>
      </c>
    </row>
    <row r="90" spans="1:14" x14ac:dyDescent="0.25">
      <c r="A90" s="34">
        <v>41579</v>
      </c>
      <c r="B90" s="1">
        <v>1120.5</v>
      </c>
      <c r="C90" s="34">
        <v>41579</v>
      </c>
      <c r="D90" s="1">
        <v>374</v>
      </c>
      <c r="E90" s="34">
        <v>41579</v>
      </c>
      <c r="F90" s="1">
        <v>8</v>
      </c>
      <c r="G90" s="34">
        <v>41579</v>
      </c>
      <c r="H90" s="1">
        <v>1.28</v>
      </c>
      <c r="I90" s="34">
        <v>41579</v>
      </c>
      <c r="J90" s="1">
        <v>141.41</v>
      </c>
      <c r="K90" s="34">
        <v>41579</v>
      </c>
      <c r="L90" s="1">
        <v>1127.2</v>
      </c>
      <c r="M90" s="34">
        <v>41579</v>
      </c>
      <c r="N90" s="1">
        <v>248.6</v>
      </c>
    </row>
    <row r="91" spans="1:14" x14ac:dyDescent="0.25">
      <c r="A91" s="34">
        <v>41609</v>
      </c>
      <c r="B91" s="1">
        <v>1120.0999999999999</v>
      </c>
      <c r="C91" s="34">
        <v>41609</v>
      </c>
      <c r="D91" s="1">
        <v>287</v>
      </c>
      <c r="E91" s="34">
        <v>41609</v>
      </c>
      <c r="F91" s="1">
        <v>7.8</v>
      </c>
      <c r="G91" s="34">
        <v>41609</v>
      </c>
      <c r="H91" s="1">
        <v>0.98</v>
      </c>
      <c r="I91" s="34">
        <v>41609</v>
      </c>
      <c r="J91" s="1">
        <v>141.66</v>
      </c>
      <c r="K91" s="34">
        <v>41609</v>
      </c>
      <c r="L91" s="1">
        <v>1125</v>
      </c>
      <c r="M91" s="34">
        <v>41609</v>
      </c>
      <c r="N91" s="1">
        <v>246.1</v>
      </c>
    </row>
    <row r="92" spans="1:14" x14ac:dyDescent="0.25">
      <c r="A92" s="34">
        <v>41640</v>
      </c>
      <c r="B92" s="1">
        <v>1116.5</v>
      </c>
      <c r="C92" s="34">
        <v>41640</v>
      </c>
      <c r="D92" s="1">
        <v>329</v>
      </c>
      <c r="E92" s="34">
        <v>41640</v>
      </c>
      <c r="F92" s="1">
        <v>7.5</v>
      </c>
      <c r="G92" s="34">
        <v>41640</v>
      </c>
      <c r="H92" s="1">
        <v>0.87</v>
      </c>
      <c r="I92" s="34">
        <v>41640</v>
      </c>
      <c r="J92" s="1">
        <v>141.93</v>
      </c>
      <c r="K92" s="34">
        <v>41640</v>
      </c>
      <c r="L92" s="1">
        <v>1108</v>
      </c>
      <c r="M92" s="34">
        <v>41640</v>
      </c>
      <c r="N92" s="1">
        <v>245.1</v>
      </c>
    </row>
    <row r="93" spans="1:14" x14ac:dyDescent="0.25">
      <c r="A93" s="34">
        <v>41671</v>
      </c>
      <c r="B93" s="1">
        <v>1114.8</v>
      </c>
      <c r="C93" s="34">
        <v>41671</v>
      </c>
      <c r="D93" s="1">
        <v>362</v>
      </c>
      <c r="E93" s="34">
        <v>41671</v>
      </c>
      <c r="F93" s="1">
        <v>7.4</v>
      </c>
      <c r="G93" s="34">
        <v>41671</v>
      </c>
      <c r="H93" s="1">
        <v>0.34</v>
      </c>
      <c r="I93" s="34">
        <v>41671</v>
      </c>
      <c r="J93" s="1">
        <v>141.80000000000001</v>
      </c>
      <c r="K93" s="34">
        <v>41671</v>
      </c>
      <c r="L93" s="1">
        <v>1111</v>
      </c>
      <c r="M93" s="34">
        <v>41671</v>
      </c>
      <c r="N93" s="1">
        <v>248</v>
      </c>
    </row>
    <row r="94" spans="1:14" x14ac:dyDescent="0.25">
      <c r="A94" s="34">
        <v>41699</v>
      </c>
      <c r="B94" s="1">
        <v>1113.5999999999999</v>
      </c>
      <c r="C94" s="34">
        <v>41699</v>
      </c>
      <c r="D94" s="1">
        <v>672</v>
      </c>
      <c r="E94" s="34">
        <v>41699</v>
      </c>
      <c r="F94" s="1">
        <v>7.6</v>
      </c>
      <c r="G94" s="34">
        <v>41699</v>
      </c>
      <c r="H94" s="1">
        <v>-0.39</v>
      </c>
      <c r="I94" s="34">
        <v>41699</v>
      </c>
      <c r="J94" s="1">
        <v>141.71</v>
      </c>
      <c r="K94" s="34">
        <v>41699</v>
      </c>
      <c r="L94" s="1">
        <v>1115.8</v>
      </c>
      <c r="M94" s="34">
        <v>41699</v>
      </c>
      <c r="N94" s="1">
        <v>249.1</v>
      </c>
    </row>
    <row r="95" spans="1:14" x14ac:dyDescent="0.25">
      <c r="A95" s="34">
        <v>41730</v>
      </c>
      <c r="B95" s="1">
        <v>1119.0999999999999</v>
      </c>
      <c r="C95" s="34">
        <v>41730</v>
      </c>
      <c r="D95" s="1">
        <v>451</v>
      </c>
      <c r="E95" s="34">
        <v>41730</v>
      </c>
      <c r="F95" s="1">
        <v>7.5</v>
      </c>
      <c r="G95" s="34">
        <v>41730</v>
      </c>
      <c r="H95" s="1">
        <v>1.1599999999999999</v>
      </c>
      <c r="I95" s="34">
        <v>41730</v>
      </c>
      <c r="J95" s="1">
        <v>142.04</v>
      </c>
      <c r="K95" s="34">
        <v>41730</v>
      </c>
      <c r="L95" s="1">
        <v>1124.4000000000001</v>
      </c>
      <c r="M95" s="34">
        <v>41730</v>
      </c>
      <c r="N95" s="1">
        <v>248.6</v>
      </c>
    </row>
    <row r="96" spans="1:14" x14ac:dyDescent="0.25">
      <c r="A96" s="34">
        <v>41760</v>
      </c>
      <c r="B96" s="1">
        <v>1121.9000000000001</v>
      </c>
      <c r="C96" s="34">
        <v>41760</v>
      </c>
      <c r="D96" s="1">
        <v>481</v>
      </c>
      <c r="E96" s="34">
        <v>41760</v>
      </c>
      <c r="F96" s="1">
        <v>7.7</v>
      </c>
      <c r="G96" s="34">
        <v>41760</v>
      </c>
      <c r="H96" s="1">
        <v>1.33</v>
      </c>
      <c r="I96" s="34">
        <v>41760</v>
      </c>
      <c r="J96" s="1">
        <v>142.29</v>
      </c>
      <c r="K96" s="34">
        <v>41760</v>
      </c>
      <c r="L96" s="1">
        <v>1127.0999999999999</v>
      </c>
      <c r="M96" s="34">
        <v>41760</v>
      </c>
      <c r="N96" s="1">
        <v>248.4</v>
      </c>
    </row>
    <row r="97" spans="1:14" x14ac:dyDescent="0.25">
      <c r="A97" s="34">
        <v>41791</v>
      </c>
      <c r="B97" s="1">
        <v>1120</v>
      </c>
      <c r="C97" s="34">
        <v>41791</v>
      </c>
      <c r="D97" s="1">
        <v>422</v>
      </c>
      <c r="E97" s="34">
        <v>41791</v>
      </c>
      <c r="F97" s="1">
        <v>7.9</v>
      </c>
      <c r="G97" s="34">
        <v>41791</v>
      </c>
      <c r="H97" s="1">
        <v>0.94</v>
      </c>
      <c r="I97" s="34">
        <v>41791</v>
      </c>
      <c r="J97" s="1">
        <v>142.44999999999999</v>
      </c>
      <c r="K97" s="34">
        <v>41791</v>
      </c>
      <c r="L97" s="1">
        <v>1120.8</v>
      </c>
      <c r="M97" s="34">
        <v>41791</v>
      </c>
      <c r="N97" s="1">
        <v>246.2</v>
      </c>
    </row>
    <row r="98" spans="1:14" x14ac:dyDescent="0.25">
      <c r="A98" s="34">
        <v>41821</v>
      </c>
      <c r="B98" s="1">
        <v>1121.7</v>
      </c>
      <c r="C98" s="34">
        <v>41821</v>
      </c>
      <c r="D98" s="1">
        <v>852</v>
      </c>
      <c r="E98" s="34">
        <v>41821</v>
      </c>
      <c r="F98" s="1">
        <v>8</v>
      </c>
      <c r="G98" s="34">
        <v>41821</v>
      </c>
      <c r="H98" s="1">
        <v>1.32</v>
      </c>
      <c r="I98" s="34">
        <v>41821</v>
      </c>
      <c r="J98" s="1">
        <v>142.72</v>
      </c>
      <c r="K98" s="34">
        <v>41821</v>
      </c>
      <c r="L98" s="1">
        <v>1110.5999999999999</v>
      </c>
      <c r="M98" s="34">
        <v>41821</v>
      </c>
      <c r="N98" s="1">
        <v>237.9</v>
      </c>
    </row>
    <row r="99" spans="1:14" x14ac:dyDescent="0.25">
      <c r="A99" s="34">
        <v>41852</v>
      </c>
      <c r="B99" s="1">
        <v>1120.5999999999999</v>
      </c>
      <c r="C99" s="34">
        <v>41852</v>
      </c>
      <c r="D99" s="1">
        <v>474</v>
      </c>
      <c r="E99" s="34">
        <v>41852</v>
      </c>
      <c r="F99" s="1">
        <v>7.9</v>
      </c>
      <c r="G99" s="34">
        <v>41852</v>
      </c>
      <c r="H99" s="1">
        <v>0.51</v>
      </c>
      <c r="I99" s="34">
        <v>41852</v>
      </c>
      <c r="J99" s="1">
        <v>142.69</v>
      </c>
      <c r="K99" s="34">
        <v>41852</v>
      </c>
      <c r="L99" s="1">
        <v>1117.0999999999999</v>
      </c>
      <c r="M99" s="34">
        <v>41852</v>
      </c>
      <c r="N99" s="1">
        <v>243.1</v>
      </c>
    </row>
    <row r="100" spans="1:14" x14ac:dyDescent="0.25">
      <c r="A100" s="34">
        <v>41883</v>
      </c>
      <c r="B100" s="1">
        <v>1124.4000000000001</v>
      </c>
      <c r="C100" s="34">
        <v>41883</v>
      </c>
      <c r="D100" s="1">
        <v>425</v>
      </c>
      <c r="E100" s="34">
        <v>41883</v>
      </c>
      <c r="F100" s="1">
        <v>7.7</v>
      </c>
      <c r="G100" s="34">
        <v>41883</v>
      </c>
      <c r="H100" s="1">
        <v>0</v>
      </c>
      <c r="I100" s="34">
        <v>41883</v>
      </c>
      <c r="J100" s="1">
        <v>142.79</v>
      </c>
      <c r="K100" s="34">
        <v>41883</v>
      </c>
      <c r="L100" s="1">
        <v>1125.3</v>
      </c>
      <c r="M100" s="34">
        <v>41883</v>
      </c>
      <c r="N100" s="1">
        <v>247.6</v>
      </c>
    </row>
    <row r="101" spans="1:14" x14ac:dyDescent="0.25">
      <c r="A101" s="34">
        <v>41913</v>
      </c>
      <c r="B101" s="1">
        <v>1123.7</v>
      </c>
      <c r="C101" s="34">
        <v>41913</v>
      </c>
      <c r="D101" s="1">
        <v>448</v>
      </c>
      <c r="E101" s="34">
        <v>41913</v>
      </c>
      <c r="F101" s="1">
        <v>7.6</v>
      </c>
      <c r="G101" s="34">
        <v>41913</v>
      </c>
      <c r="H101" s="1">
        <v>0.52</v>
      </c>
      <c r="I101" s="34">
        <v>41913</v>
      </c>
      <c r="J101" s="1">
        <v>142.77000000000001</v>
      </c>
      <c r="K101" s="34">
        <v>41913</v>
      </c>
      <c r="L101" s="1">
        <v>1127.9000000000001</v>
      </c>
      <c r="M101" s="34">
        <v>41913</v>
      </c>
      <c r="N101" s="1">
        <v>249.3</v>
      </c>
    </row>
    <row r="102" spans="1:14" x14ac:dyDescent="0.25">
      <c r="A102" s="34">
        <v>41944</v>
      </c>
      <c r="B102" s="1">
        <v>1119.4000000000001</v>
      </c>
      <c r="C102" s="34">
        <v>41944</v>
      </c>
      <c r="D102" s="1">
        <v>378</v>
      </c>
      <c r="E102" s="34">
        <v>41944</v>
      </c>
      <c r="F102" s="1">
        <v>7.3</v>
      </c>
      <c r="G102" s="34">
        <v>41944</v>
      </c>
      <c r="H102" s="1">
        <v>0.56000000000000005</v>
      </c>
      <c r="I102" s="34">
        <v>41944</v>
      </c>
      <c r="J102" s="1">
        <v>142.83000000000001</v>
      </c>
      <c r="K102" s="34">
        <v>41944</v>
      </c>
      <c r="L102" s="1">
        <v>1126.2</v>
      </c>
      <c r="M102" s="34">
        <v>41944</v>
      </c>
      <c r="N102" s="1">
        <v>248.5</v>
      </c>
    </row>
    <row r="103" spans="1:14" x14ac:dyDescent="0.25">
      <c r="A103" s="34">
        <v>41974</v>
      </c>
      <c r="B103" s="1">
        <v>1120.3</v>
      </c>
      <c r="E103" s="34">
        <v>41974</v>
      </c>
      <c r="F103" s="1">
        <v>7.2</v>
      </c>
      <c r="K103" s="34">
        <v>41974</v>
      </c>
      <c r="L103" s="1">
        <v>1125.0999999999999</v>
      </c>
      <c r="M103" s="34">
        <v>41974</v>
      </c>
      <c r="N103" s="1">
        <v>246.8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P103"/>
  <sheetViews>
    <sheetView topLeftCell="A77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208</v>
      </c>
      <c r="C1" s="34" t="s">
        <v>209</v>
      </c>
      <c r="E1" s="34" t="s">
        <v>210</v>
      </c>
      <c r="G1" s="34" t="s">
        <v>211</v>
      </c>
      <c r="I1" s="34" t="s">
        <v>212</v>
      </c>
      <c r="K1" s="34" t="str">
        <f>CONCATENATE(LEFT(A1,2), "NAN")</f>
        <v>MTNAN</v>
      </c>
      <c r="M1" s="34" t="str">
        <f>CONCATENATE(LEFT(A1,2), "GOVTN")</f>
        <v>MTGOVTN</v>
      </c>
      <c r="O1" s="34" t="str">
        <f>CONCATENATE(LEFT($A$1,2), "RGSP")</f>
        <v>MTRGSP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896</v>
      </c>
      <c r="C5" s="35" t="s">
        <v>411</v>
      </c>
      <c r="E5" s="35" t="s">
        <v>412</v>
      </c>
      <c r="G5" s="35" t="s">
        <v>413</v>
      </c>
      <c r="I5" s="35" t="s">
        <v>414</v>
      </c>
      <c r="K5" s="35" t="s">
        <v>896</v>
      </c>
      <c r="M5" s="35" t="s">
        <v>897</v>
      </c>
      <c r="O5" s="35" t="s">
        <v>794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440.3</v>
      </c>
      <c r="C8" s="34">
        <v>39083</v>
      </c>
      <c r="D8" s="1">
        <v>260</v>
      </c>
      <c r="E8" s="34">
        <v>39083</v>
      </c>
      <c r="F8" s="1">
        <v>3.2</v>
      </c>
      <c r="G8" s="34">
        <v>39083</v>
      </c>
      <c r="H8" s="1">
        <v>2.11</v>
      </c>
      <c r="I8" s="34">
        <v>39083</v>
      </c>
      <c r="J8" s="1">
        <v>166.92</v>
      </c>
      <c r="K8" s="34">
        <v>39083</v>
      </c>
      <c r="L8" s="1">
        <v>426.2</v>
      </c>
      <c r="M8" s="34">
        <v>39083</v>
      </c>
      <c r="N8" s="1">
        <v>85.7</v>
      </c>
      <c r="O8" s="34">
        <v>39083</v>
      </c>
      <c r="P8" s="1">
        <v>36715</v>
      </c>
    </row>
    <row r="9" spans="1:16" x14ac:dyDescent="0.25">
      <c r="A9" s="34">
        <v>39114</v>
      </c>
      <c r="B9" s="1">
        <v>441.2</v>
      </c>
      <c r="C9" s="34">
        <v>39114</v>
      </c>
      <c r="D9" s="1">
        <v>325</v>
      </c>
      <c r="E9" s="34">
        <v>39114</v>
      </c>
      <c r="F9" s="1">
        <v>3.2</v>
      </c>
      <c r="G9" s="34">
        <v>39114</v>
      </c>
      <c r="H9" s="1">
        <v>2.12</v>
      </c>
      <c r="I9" s="34">
        <v>39114</v>
      </c>
      <c r="J9" s="1">
        <v>167.66</v>
      </c>
      <c r="K9" s="34">
        <v>39114</v>
      </c>
      <c r="L9" s="1">
        <v>429.3</v>
      </c>
      <c r="M9" s="34">
        <v>39114</v>
      </c>
      <c r="N9" s="1">
        <v>88</v>
      </c>
      <c r="O9" s="34">
        <v>39448</v>
      </c>
      <c r="P9" s="1">
        <v>36510</v>
      </c>
    </row>
    <row r="10" spans="1:16" x14ac:dyDescent="0.25">
      <c r="A10" s="34">
        <v>39142</v>
      </c>
      <c r="B10" s="1">
        <v>444</v>
      </c>
      <c r="C10" s="34">
        <v>39142</v>
      </c>
      <c r="D10" s="1">
        <v>386</v>
      </c>
      <c r="E10" s="34">
        <v>39142</v>
      </c>
      <c r="F10" s="1">
        <v>3.2</v>
      </c>
      <c r="G10" s="34">
        <v>39142</v>
      </c>
      <c r="H10" s="1">
        <v>1.57</v>
      </c>
      <c r="I10" s="34">
        <v>39142</v>
      </c>
      <c r="J10" s="1">
        <v>168.29</v>
      </c>
      <c r="K10" s="34">
        <v>39142</v>
      </c>
      <c r="L10" s="1">
        <v>435.7</v>
      </c>
      <c r="M10" s="34">
        <v>39142</v>
      </c>
      <c r="N10" s="1">
        <v>89</v>
      </c>
      <c r="O10" s="34">
        <v>39814</v>
      </c>
      <c r="P10" s="1">
        <v>35706</v>
      </c>
    </row>
    <row r="11" spans="1:16" x14ac:dyDescent="0.25">
      <c r="A11" s="34">
        <v>39173</v>
      </c>
      <c r="B11" s="1">
        <v>443.5</v>
      </c>
      <c r="C11" s="34">
        <v>39173</v>
      </c>
      <c r="D11" s="1">
        <v>456</v>
      </c>
      <c r="E11" s="34">
        <v>39173</v>
      </c>
      <c r="F11" s="1">
        <v>3.3</v>
      </c>
      <c r="G11" s="34">
        <v>39173</v>
      </c>
      <c r="H11" s="1">
        <v>0.99</v>
      </c>
      <c r="I11" s="34">
        <v>39173</v>
      </c>
      <c r="J11" s="1">
        <v>168.75</v>
      </c>
      <c r="K11" s="34">
        <v>39173</v>
      </c>
      <c r="L11" s="1">
        <v>439.1</v>
      </c>
      <c r="M11" s="34">
        <v>39173</v>
      </c>
      <c r="N11" s="1">
        <v>88.1</v>
      </c>
      <c r="O11" s="34">
        <v>40179</v>
      </c>
      <c r="P11" s="1">
        <v>36576</v>
      </c>
    </row>
    <row r="12" spans="1:16" x14ac:dyDescent="0.25">
      <c r="A12" s="34">
        <v>39203</v>
      </c>
      <c r="B12" s="1">
        <v>443.6</v>
      </c>
      <c r="C12" s="34">
        <v>39203</v>
      </c>
      <c r="D12" s="1">
        <v>549</v>
      </c>
      <c r="E12" s="34">
        <v>39203</v>
      </c>
      <c r="F12" s="1">
        <v>3.3</v>
      </c>
      <c r="G12" s="34">
        <v>39203</v>
      </c>
      <c r="H12" s="1">
        <v>0.79</v>
      </c>
      <c r="I12" s="34">
        <v>39203</v>
      </c>
      <c r="J12" s="1">
        <v>169.07</v>
      </c>
      <c r="K12" s="34">
        <v>39203</v>
      </c>
      <c r="L12" s="1">
        <v>446.9</v>
      </c>
      <c r="M12" s="34">
        <v>39203</v>
      </c>
      <c r="N12" s="1">
        <v>89.3</v>
      </c>
      <c r="O12" s="34">
        <v>40544</v>
      </c>
      <c r="P12" s="1">
        <v>37778</v>
      </c>
    </row>
    <row r="13" spans="1:16" x14ac:dyDescent="0.25">
      <c r="A13" s="34">
        <v>39234</v>
      </c>
      <c r="B13" s="1">
        <v>443.7</v>
      </c>
      <c r="C13" s="34">
        <v>39234</v>
      </c>
      <c r="D13" s="1">
        <v>531</v>
      </c>
      <c r="E13" s="34">
        <v>39234</v>
      </c>
      <c r="F13" s="1">
        <v>3.4</v>
      </c>
      <c r="G13" s="34">
        <v>39234</v>
      </c>
      <c r="H13" s="1">
        <v>0.19</v>
      </c>
      <c r="I13" s="34">
        <v>39234</v>
      </c>
      <c r="J13" s="1">
        <v>169.24</v>
      </c>
      <c r="K13" s="34">
        <v>39234</v>
      </c>
      <c r="L13" s="1">
        <v>453.3</v>
      </c>
      <c r="M13" s="34">
        <v>39234</v>
      </c>
      <c r="N13" s="1">
        <v>87</v>
      </c>
      <c r="O13" s="34">
        <v>40909</v>
      </c>
      <c r="P13" s="1">
        <v>38692</v>
      </c>
    </row>
    <row r="14" spans="1:16" x14ac:dyDescent="0.25">
      <c r="A14" s="34">
        <v>39264</v>
      </c>
      <c r="B14" s="1">
        <v>445.3</v>
      </c>
      <c r="C14" s="34">
        <v>39264</v>
      </c>
      <c r="D14" s="1">
        <v>398</v>
      </c>
      <c r="E14" s="34">
        <v>39264</v>
      </c>
      <c r="F14" s="1">
        <v>3.5</v>
      </c>
      <c r="G14" s="34">
        <v>39264</v>
      </c>
      <c r="H14" s="1">
        <v>0.46</v>
      </c>
      <c r="I14" s="34">
        <v>39264</v>
      </c>
      <c r="J14" s="1">
        <v>169.34</v>
      </c>
      <c r="K14" s="34">
        <v>39264</v>
      </c>
      <c r="L14" s="1">
        <v>452.1</v>
      </c>
      <c r="M14" s="34">
        <v>39264</v>
      </c>
      <c r="N14" s="1">
        <v>83.5</v>
      </c>
      <c r="O14" s="34">
        <v>41275</v>
      </c>
      <c r="P14" s="1">
        <v>39846</v>
      </c>
    </row>
    <row r="15" spans="1:16" x14ac:dyDescent="0.25">
      <c r="A15" s="34">
        <v>39295</v>
      </c>
      <c r="B15" s="1">
        <v>444.9</v>
      </c>
      <c r="C15" s="34">
        <v>39295</v>
      </c>
      <c r="D15" s="1">
        <v>337</v>
      </c>
      <c r="E15" s="34">
        <v>39295</v>
      </c>
      <c r="F15" s="1">
        <v>3.5</v>
      </c>
      <c r="G15" s="34">
        <v>39295</v>
      </c>
      <c r="H15" s="1">
        <v>0.45</v>
      </c>
      <c r="I15" s="34">
        <v>39295</v>
      </c>
      <c r="J15" s="1">
        <v>169.44</v>
      </c>
      <c r="K15" s="34">
        <v>39295</v>
      </c>
      <c r="L15" s="1">
        <v>452.9</v>
      </c>
      <c r="M15" s="34">
        <v>39295</v>
      </c>
      <c r="N15" s="1">
        <v>82.9</v>
      </c>
    </row>
    <row r="16" spans="1:16" x14ac:dyDescent="0.25">
      <c r="A16" s="34">
        <v>39326</v>
      </c>
      <c r="B16" s="1">
        <v>443.5</v>
      </c>
      <c r="C16" s="34">
        <v>39326</v>
      </c>
      <c r="D16" s="1">
        <v>322</v>
      </c>
      <c r="E16" s="34">
        <v>39326</v>
      </c>
      <c r="F16" s="1">
        <v>3.6</v>
      </c>
      <c r="G16" s="34">
        <v>39326</v>
      </c>
      <c r="H16" s="1">
        <v>0.08</v>
      </c>
      <c r="I16" s="34">
        <v>39326</v>
      </c>
      <c r="J16" s="1">
        <v>169.49</v>
      </c>
      <c r="K16" s="34">
        <v>39326</v>
      </c>
      <c r="L16" s="1">
        <v>449.4</v>
      </c>
      <c r="M16" s="34">
        <v>39326</v>
      </c>
      <c r="N16" s="1">
        <v>85.6</v>
      </c>
    </row>
    <row r="17" spans="1:14" x14ac:dyDescent="0.25">
      <c r="A17" s="34">
        <v>39356</v>
      </c>
      <c r="B17" s="1">
        <v>445.9</v>
      </c>
      <c r="C17" s="34">
        <v>39356</v>
      </c>
      <c r="D17" s="1">
        <v>386</v>
      </c>
      <c r="E17" s="34">
        <v>39356</v>
      </c>
      <c r="F17" s="1">
        <v>3.6</v>
      </c>
      <c r="G17" s="34">
        <v>39356</v>
      </c>
      <c r="H17" s="1">
        <v>0.41</v>
      </c>
      <c r="I17" s="34">
        <v>39356</v>
      </c>
      <c r="J17" s="1">
        <v>169.54</v>
      </c>
      <c r="K17" s="34">
        <v>39356</v>
      </c>
      <c r="L17" s="1">
        <v>449.6</v>
      </c>
      <c r="M17" s="34">
        <v>39356</v>
      </c>
      <c r="N17" s="1">
        <v>90.1</v>
      </c>
    </row>
    <row r="18" spans="1:14" x14ac:dyDescent="0.25">
      <c r="A18" s="34">
        <v>39387</v>
      </c>
      <c r="B18" s="1">
        <v>445.8</v>
      </c>
      <c r="C18" s="34">
        <v>39387</v>
      </c>
      <c r="D18" s="1">
        <v>286</v>
      </c>
      <c r="E18" s="34">
        <v>39387</v>
      </c>
      <c r="F18" s="1">
        <v>3.7</v>
      </c>
      <c r="G18" s="34">
        <v>39387</v>
      </c>
      <c r="H18" s="1">
        <v>0.23</v>
      </c>
      <c r="I18" s="34">
        <v>39387</v>
      </c>
      <c r="J18" s="1">
        <v>169.6</v>
      </c>
      <c r="K18" s="34">
        <v>39387</v>
      </c>
      <c r="L18" s="1">
        <v>447.1</v>
      </c>
      <c r="M18" s="34">
        <v>39387</v>
      </c>
      <c r="N18" s="1">
        <v>89.6</v>
      </c>
    </row>
    <row r="19" spans="1:14" x14ac:dyDescent="0.25">
      <c r="A19" s="34">
        <v>39417</v>
      </c>
      <c r="B19" s="1">
        <v>446.5</v>
      </c>
      <c r="C19" s="34">
        <v>39417</v>
      </c>
      <c r="D19" s="1">
        <v>175</v>
      </c>
      <c r="E19" s="34">
        <v>39417</v>
      </c>
      <c r="F19" s="1">
        <v>3.7</v>
      </c>
      <c r="G19" s="34">
        <v>39417</v>
      </c>
      <c r="H19" s="1">
        <v>0.2</v>
      </c>
      <c r="I19" s="34">
        <v>39417</v>
      </c>
      <c r="J19" s="1">
        <v>169.64</v>
      </c>
      <c r="K19" s="34">
        <v>39417</v>
      </c>
      <c r="L19" s="1">
        <v>447.1</v>
      </c>
      <c r="M19" s="34">
        <v>39417</v>
      </c>
      <c r="N19" s="1">
        <v>88.7</v>
      </c>
    </row>
    <row r="20" spans="1:14" x14ac:dyDescent="0.25">
      <c r="A20" s="34">
        <v>39448</v>
      </c>
      <c r="B20" s="1">
        <v>447.5</v>
      </c>
      <c r="C20" s="34">
        <v>39448</v>
      </c>
      <c r="D20" s="1">
        <v>133</v>
      </c>
      <c r="E20" s="34">
        <v>39448</v>
      </c>
      <c r="F20" s="1">
        <v>3.8</v>
      </c>
      <c r="G20" s="34">
        <v>39448</v>
      </c>
      <c r="H20" s="1">
        <v>-0.75</v>
      </c>
      <c r="I20" s="34">
        <v>39448</v>
      </c>
      <c r="J20" s="1">
        <v>169.53</v>
      </c>
      <c r="K20" s="34">
        <v>39448</v>
      </c>
      <c r="L20" s="1">
        <v>432.7</v>
      </c>
      <c r="M20" s="34">
        <v>39448</v>
      </c>
      <c r="N20" s="1">
        <v>85.4</v>
      </c>
    </row>
    <row r="21" spans="1:14" x14ac:dyDescent="0.25">
      <c r="A21" s="34">
        <v>39479</v>
      </c>
      <c r="B21" s="1">
        <v>447.5</v>
      </c>
      <c r="C21" s="34">
        <v>39479</v>
      </c>
      <c r="D21" s="1">
        <v>231</v>
      </c>
      <c r="E21" s="34">
        <v>39479</v>
      </c>
      <c r="F21" s="1">
        <v>3.9</v>
      </c>
      <c r="G21" s="34">
        <v>39479</v>
      </c>
      <c r="H21" s="1">
        <v>-1.01</v>
      </c>
      <c r="I21" s="34">
        <v>39479</v>
      </c>
      <c r="J21" s="1">
        <v>169.28</v>
      </c>
      <c r="K21" s="34">
        <v>39479</v>
      </c>
      <c r="L21" s="1">
        <v>435.5</v>
      </c>
      <c r="M21" s="34">
        <v>39479</v>
      </c>
      <c r="N21" s="1">
        <v>87.9</v>
      </c>
    </row>
    <row r="22" spans="1:14" x14ac:dyDescent="0.25">
      <c r="A22" s="34">
        <v>39508</v>
      </c>
      <c r="B22" s="1">
        <v>448.1</v>
      </c>
      <c r="C22" s="34">
        <v>39508</v>
      </c>
      <c r="D22" s="1">
        <v>224</v>
      </c>
      <c r="E22" s="34">
        <v>39508</v>
      </c>
      <c r="F22" s="1">
        <v>4</v>
      </c>
      <c r="G22" s="34">
        <v>39508</v>
      </c>
      <c r="H22" s="1">
        <v>-1.58</v>
      </c>
      <c r="I22" s="34">
        <v>39508</v>
      </c>
      <c r="J22" s="1">
        <v>168.87</v>
      </c>
      <c r="K22" s="34">
        <v>39508</v>
      </c>
      <c r="L22" s="1">
        <v>439.2</v>
      </c>
      <c r="M22" s="34">
        <v>39508</v>
      </c>
      <c r="N22" s="1">
        <v>88.5</v>
      </c>
    </row>
    <row r="23" spans="1:14" x14ac:dyDescent="0.25">
      <c r="A23" s="34">
        <v>39539</v>
      </c>
      <c r="B23" s="1">
        <v>445.9</v>
      </c>
      <c r="C23" s="34">
        <v>39539</v>
      </c>
      <c r="D23" s="1">
        <v>289</v>
      </c>
      <c r="E23" s="34">
        <v>39539</v>
      </c>
      <c r="F23" s="1">
        <v>4.0999999999999996</v>
      </c>
      <c r="G23" s="34">
        <v>39539</v>
      </c>
      <c r="H23" s="1">
        <v>-2.09</v>
      </c>
      <c r="I23" s="34">
        <v>39539</v>
      </c>
      <c r="J23" s="1">
        <v>168.24</v>
      </c>
      <c r="K23" s="34">
        <v>39539</v>
      </c>
      <c r="L23" s="1">
        <v>441.4</v>
      </c>
      <c r="M23" s="34">
        <v>39539</v>
      </c>
      <c r="N23" s="1">
        <v>88.1</v>
      </c>
    </row>
    <row r="24" spans="1:14" x14ac:dyDescent="0.25">
      <c r="A24" s="34">
        <v>39569</v>
      </c>
      <c r="B24" s="1">
        <v>445.6</v>
      </c>
      <c r="C24" s="34">
        <v>39569</v>
      </c>
      <c r="D24" s="1">
        <v>274</v>
      </c>
      <c r="E24" s="34">
        <v>39569</v>
      </c>
      <c r="F24" s="1">
        <v>4.3</v>
      </c>
      <c r="G24" s="34">
        <v>39569</v>
      </c>
      <c r="H24" s="1">
        <v>-1.96</v>
      </c>
      <c r="I24" s="34">
        <v>39569</v>
      </c>
      <c r="J24" s="1">
        <v>167.5</v>
      </c>
      <c r="K24" s="34">
        <v>39569</v>
      </c>
      <c r="L24" s="1">
        <v>449.8</v>
      </c>
      <c r="M24" s="34">
        <v>39569</v>
      </c>
      <c r="N24" s="1">
        <v>90.8</v>
      </c>
    </row>
    <row r="25" spans="1:14" x14ac:dyDescent="0.25">
      <c r="A25" s="34">
        <v>39600</v>
      </c>
      <c r="B25" s="1">
        <v>444.7</v>
      </c>
      <c r="C25" s="34">
        <v>39600</v>
      </c>
      <c r="D25" s="1">
        <v>252</v>
      </c>
      <c r="E25" s="34">
        <v>39600</v>
      </c>
      <c r="F25" s="1">
        <v>4.5</v>
      </c>
      <c r="G25" s="34">
        <v>39600</v>
      </c>
      <c r="H25" s="1">
        <v>-1.89</v>
      </c>
      <c r="I25" s="34">
        <v>39600</v>
      </c>
      <c r="J25" s="1">
        <v>166.78</v>
      </c>
      <c r="K25" s="34">
        <v>39600</v>
      </c>
      <c r="L25" s="1">
        <v>454</v>
      </c>
      <c r="M25" s="34">
        <v>39600</v>
      </c>
      <c r="N25" s="1">
        <v>88.1</v>
      </c>
    </row>
    <row r="26" spans="1:14" x14ac:dyDescent="0.25">
      <c r="A26" s="34">
        <v>39630</v>
      </c>
      <c r="B26" s="1">
        <v>445.3</v>
      </c>
      <c r="C26" s="34">
        <v>39630</v>
      </c>
      <c r="D26" s="1">
        <v>260</v>
      </c>
      <c r="E26" s="34">
        <v>39630</v>
      </c>
      <c r="F26" s="1">
        <v>4.5999999999999996</v>
      </c>
      <c r="G26" s="34">
        <v>39630</v>
      </c>
      <c r="H26" s="1">
        <v>-1.23</v>
      </c>
      <c r="I26" s="34">
        <v>39630</v>
      </c>
      <c r="J26" s="1">
        <v>166.2</v>
      </c>
      <c r="K26" s="34">
        <v>39630</v>
      </c>
      <c r="L26" s="1">
        <v>452.4</v>
      </c>
      <c r="M26" s="34">
        <v>39630</v>
      </c>
      <c r="N26" s="1">
        <v>83.7</v>
      </c>
    </row>
    <row r="27" spans="1:14" x14ac:dyDescent="0.25">
      <c r="A27" s="34">
        <v>39661</v>
      </c>
      <c r="B27" s="1">
        <v>444.2</v>
      </c>
      <c r="C27" s="34">
        <v>39661</v>
      </c>
      <c r="D27" s="1">
        <v>266</v>
      </c>
      <c r="E27" s="34">
        <v>39661</v>
      </c>
      <c r="F27" s="1">
        <v>4.7</v>
      </c>
      <c r="G27" s="34">
        <v>39661</v>
      </c>
      <c r="H27" s="1">
        <v>-1.89</v>
      </c>
      <c r="I27" s="34">
        <v>39661</v>
      </c>
      <c r="J27" s="1">
        <v>165.63</v>
      </c>
      <c r="K27" s="34">
        <v>39661</v>
      </c>
      <c r="L27" s="1">
        <v>453.3</v>
      </c>
      <c r="M27" s="34">
        <v>39661</v>
      </c>
      <c r="N27" s="1">
        <v>84</v>
      </c>
    </row>
    <row r="28" spans="1:14" x14ac:dyDescent="0.25">
      <c r="A28" s="34">
        <v>39692</v>
      </c>
      <c r="B28" s="1">
        <v>443.5</v>
      </c>
      <c r="C28" s="34">
        <v>39692</v>
      </c>
      <c r="D28" s="1">
        <v>229</v>
      </c>
      <c r="E28" s="34">
        <v>39692</v>
      </c>
      <c r="F28" s="1">
        <v>4.9000000000000004</v>
      </c>
      <c r="G28" s="34">
        <v>39692</v>
      </c>
      <c r="H28" s="1">
        <v>-2.2200000000000002</v>
      </c>
      <c r="I28" s="34">
        <v>39692</v>
      </c>
      <c r="J28" s="1">
        <v>164.92</v>
      </c>
      <c r="K28" s="34">
        <v>39692</v>
      </c>
      <c r="L28" s="1">
        <v>450.3</v>
      </c>
      <c r="M28" s="34">
        <v>39692</v>
      </c>
      <c r="N28" s="1">
        <v>88</v>
      </c>
    </row>
    <row r="29" spans="1:14" x14ac:dyDescent="0.25">
      <c r="A29" s="34">
        <v>39722</v>
      </c>
      <c r="B29" s="1">
        <v>442.3</v>
      </c>
      <c r="C29" s="34">
        <v>39722</v>
      </c>
      <c r="D29" s="1">
        <v>182</v>
      </c>
      <c r="E29" s="34">
        <v>39722</v>
      </c>
      <c r="F29" s="1">
        <v>5</v>
      </c>
      <c r="G29" s="34">
        <v>39722</v>
      </c>
      <c r="H29" s="1">
        <v>-2.21</v>
      </c>
      <c r="I29" s="34">
        <v>39722</v>
      </c>
      <c r="J29" s="1">
        <v>164.12</v>
      </c>
      <c r="K29" s="34">
        <v>39722</v>
      </c>
      <c r="L29" s="1">
        <v>447.1</v>
      </c>
      <c r="M29" s="34">
        <v>39722</v>
      </c>
      <c r="N29" s="1">
        <v>91.2</v>
      </c>
    </row>
    <row r="30" spans="1:14" x14ac:dyDescent="0.25">
      <c r="A30" s="34">
        <v>39753</v>
      </c>
      <c r="B30" s="1">
        <v>441.5</v>
      </c>
      <c r="C30" s="34">
        <v>39753</v>
      </c>
      <c r="D30" s="1">
        <v>99</v>
      </c>
      <c r="E30" s="34">
        <v>39753</v>
      </c>
      <c r="F30" s="1">
        <v>5.0999999999999996</v>
      </c>
      <c r="G30" s="34">
        <v>39753</v>
      </c>
      <c r="H30" s="1">
        <v>-3.16</v>
      </c>
      <c r="I30" s="34">
        <v>39753</v>
      </c>
      <c r="J30" s="1">
        <v>163.15</v>
      </c>
      <c r="K30" s="34">
        <v>39753</v>
      </c>
      <c r="L30" s="1">
        <v>442.5</v>
      </c>
      <c r="M30" s="34">
        <v>39753</v>
      </c>
      <c r="N30" s="1">
        <v>91.8</v>
      </c>
    </row>
    <row r="31" spans="1:14" x14ac:dyDescent="0.25">
      <c r="A31" s="34">
        <v>39783</v>
      </c>
      <c r="B31" s="1">
        <v>439.3</v>
      </c>
      <c r="C31" s="34">
        <v>39783</v>
      </c>
      <c r="D31" s="1">
        <v>77</v>
      </c>
      <c r="E31" s="34">
        <v>39783</v>
      </c>
      <c r="F31" s="1">
        <v>5.3</v>
      </c>
      <c r="G31" s="34">
        <v>39783</v>
      </c>
      <c r="H31" s="1">
        <v>-3.5</v>
      </c>
      <c r="I31" s="34">
        <v>39783</v>
      </c>
      <c r="J31" s="1">
        <v>162</v>
      </c>
      <c r="K31" s="34">
        <v>39783</v>
      </c>
      <c r="L31" s="1">
        <v>439.8</v>
      </c>
      <c r="M31" s="34">
        <v>39783</v>
      </c>
      <c r="N31" s="1">
        <v>90.1</v>
      </c>
    </row>
    <row r="32" spans="1:14" x14ac:dyDescent="0.25">
      <c r="A32" s="34">
        <v>39814</v>
      </c>
      <c r="B32" s="1">
        <v>434.2</v>
      </c>
      <c r="C32" s="34">
        <v>39814</v>
      </c>
      <c r="D32" s="1">
        <v>75</v>
      </c>
      <c r="E32" s="34">
        <v>39814</v>
      </c>
      <c r="F32" s="1">
        <v>5.4</v>
      </c>
      <c r="G32" s="34">
        <v>39814</v>
      </c>
      <c r="H32" s="1">
        <v>-3.21</v>
      </c>
      <c r="I32" s="34">
        <v>39814</v>
      </c>
      <c r="J32" s="1">
        <v>160.81</v>
      </c>
      <c r="K32" s="34">
        <v>39814</v>
      </c>
      <c r="L32" s="1">
        <v>420.1</v>
      </c>
      <c r="M32" s="34">
        <v>39814</v>
      </c>
      <c r="N32" s="1">
        <v>86.8</v>
      </c>
    </row>
    <row r="33" spans="1:14" x14ac:dyDescent="0.25">
      <c r="A33" s="34">
        <v>39845</v>
      </c>
      <c r="B33" s="1">
        <v>432.6</v>
      </c>
      <c r="C33" s="34">
        <v>39845</v>
      </c>
      <c r="D33" s="1">
        <v>76</v>
      </c>
      <c r="E33" s="34">
        <v>39845</v>
      </c>
      <c r="F33" s="1">
        <v>5.5</v>
      </c>
      <c r="G33" s="34">
        <v>39845</v>
      </c>
      <c r="H33" s="1">
        <v>-2.8</v>
      </c>
      <c r="I33" s="34">
        <v>39845</v>
      </c>
      <c r="J33" s="1">
        <v>159.72999999999999</v>
      </c>
      <c r="K33" s="34">
        <v>39845</v>
      </c>
      <c r="L33" s="1">
        <v>420</v>
      </c>
      <c r="M33" s="34">
        <v>39845</v>
      </c>
      <c r="N33" s="1">
        <v>88.9</v>
      </c>
    </row>
    <row r="34" spans="1:14" x14ac:dyDescent="0.25">
      <c r="A34" s="34">
        <v>39873</v>
      </c>
      <c r="B34" s="1">
        <v>428.7</v>
      </c>
      <c r="C34" s="34">
        <v>39873</v>
      </c>
      <c r="D34" s="1">
        <v>108</v>
      </c>
      <c r="E34" s="34">
        <v>39873</v>
      </c>
      <c r="F34" s="1">
        <v>5.6</v>
      </c>
      <c r="G34" s="34">
        <v>39873</v>
      </c>
      <c r="H34" s="1">
        <v>-2.2799999999999998</v>
      </c>
      <c r="I34" s="34">
        <v>39873</v>
      </c>
      <c r="J34" s="1">
        <v>158.81</v>
      </c>
      <c r="K34" s="34">
        <v>39873</v>
      </c>
      <c r="L34" s="1">
        <v>419.7</v>
      </c>
      <c r="M34" s="34">
        <v>39873</v>
      </c>
      <c r="N34" s="1">
        <v>89.6</v>
      </c>
    </row>
    <row r="35" spans="1:14" x14ac:dyDescent="0.25">
      <c r="A35" s="34">
        <v>39904</v>
      </c>
      <c r="B35" s="1">
        <v>429</v>
      </c>
      <c r="C35" s="34">
        <v>39904</v>
      </c>
      <c r="D35" s="1">
        <v>98</v>
      </c>
      <c r="E35" s="34">
        <v>39904</v>
      </c>
      <c r="F35" s="1">
        <v>5.7</v>
      </c>
      <c r="G35" s="34">
        <v>39904</v>
      </c>
      <c r="H35" s="1">
        <v>-1.95</v>
      </c>
      <c r="I35" s="34">
        <v>39904</v>
      </c>
      <c r="J35" s="1">
        <v>158.01</v>
      </c>
      <c r="K35" s="34">
        <v>39904</v>
      </c>
      <c r="L35" s="1">
        <v>425.4</v>
      </c>
      <c r="M35" s="34">
        <v>39904</v>
      </c>
      <c r="N35" s="1">
        <v>90.2</v>
      </c>
    </row>
    <row r="36" spans="1:14" x14ac:dyDescent="0.25">
      <c r="A36" s="34">
        <v>39934</v>
      </c>
      <c r="B36" s="1">
        <v>429.2</v>
      </c>
      <c r="C36" s="34">
        <v>39934</v>
      </c>
      <c r="D36" s="1">
        <v>160</v>
      </c>
      <c r="E36" s="34">
        <v>39934</v>
      </c>
      <c r="F36" s="1">
        <v>5.8</v>
      </c>
      <c r="G36" s="34">
        <v>39934</v>
      </c>
      <c r="H36" s="1">
        <v>-1.61</v>
      </c>
      <c r="I36" s="34">
        <v>39934</v>
      </c>
      <c r="J36" s="1">
        <v>157.28</v>
      </c>
      <c r="K36" s="34">
        <v>39934</v>
      </c>
      <c r="L36" s="1">
        <v>431.6</v>
      </c>
      <c r="M36" s="34">
        <v>39934</v>
      </c>
      <c r="N36" s="1">
        <v>92.1</v>
      </c>
    </row>
    <row r="37" spans="1:14" x14ac:dyDescent="0.25">
      <c r="A37" s="34">
        <v>39965</v>
      </c>
      <c r="B37" s="1">
        <v>429.3</v>
      </c>
      <c r="C37" s="34">
        <v>39965</v>
      </c>
      <c r="D37" s="1">
        <v>282</v>
      </c>
      <c r="E37" s="34">
        <v>39965</v>
      </c>
      <c r="F37" s="1">
        <v>6</v>
      </c>
      <c r="G37" s="34">
        <v>39965</v>
      </c>
      <c r="H37" s="1">
        <v>-1.36</v>
      </c>
      <c r="I37" s="34">
        <v>39965</v>
      </c>
      <c r="J37" s="1">
        <v>156.62</v>
      </c>
      <c r="K37" s="34">
        <v>39965</v>
      </c>
      <c r="L37" s="1">
        <v>438.2</v>
      </c>
      <c r="M37" s="34">
        <v>39965</v>
      </c>
      <c r="N37" s="1">
        <v>90.3</v>
      </c>
    </row>
    <row r="38" spans="1:14" x14ac:dyDescent="0.25">
      <c r="A38" s="34">
        <v>39995</v>
      </c>
      <c r="B38" s="1">
        <v>428.3</v>
      </c>
      <c r="C38" s="34">
        <v>39995</v>
      </c>
      <c r="D38" s="1">
        <v>288</v>
      </c>
      <c r="E38" s="34">
        <v>39995</v>
      </c>
      <c r="F38" s="1">
        <v>6.1</v>
      </c>
      <c r="G38" s="34">
        <v>39995</v>
      </c>
      <c r="H38" s="1">
        <v>-0.9</v>
      </c>
      <c r="I38" s="34">
        <v>39995</v>
      </c>
      <c r="J38" s="1">
        <v>156.08000000000001</v>
      </c>
      <c r="K38" s="34">
        <v>39995</v>
      </c>
      <c r="L38" s="1">
        <v>435.5</v>
      </c>
      <c r="M38" s="34">
        <v>39995</v>
      </c>
      <c r="N38" s="1">
        <v>85.4</v>
      </c>
    </row>
    <row r="39" spans="1:14" x14ac:dyDescent="0.25">
      <c r="A39" s="34">
        <v>40026</v>
      </c>
      <c r="B39" s="1">
        <v>427.6</v>
      </c>
      <c r="C39" s="34">
        <v>40026</v>
      </c>
      <c r="D39" s="1">
        <v>151</v>
      </c>
      <c r="E39" s="34">
        <v>40026</v>
      </c>
      <c r="F39" s="1">
        <v>6.2</v>
      </c>
      <c r="G39" s="34">
        <v>40026</v>
      </c>
      <c r="H39" s="1">
        <v>-1.25</v>
      </c>
      <c r="I39" s="34">
        <v>40026</v>
      </c>
      <c r="J39" s="1">
        <v>155.54</v>
      </c>
      <c r="K39" s="34">
        <v>40026</v>
      </c>
      <c r="L39" s="1">
        <v>435.6</v>
      </c>
      <c r="M39" s="34">
        <v>40026</v>
      </c>
      <c r="N39" s="1">
        <v>85.9</v>
      </c>
    </row>
    <row r="40" spans="1:14" x14ac:dyDescent="0.25">
      <c r="A40" s="34">
        <v>40057</v>
      </c>
      <c r="B40" s="1">
        <v>426.8</v>
      </c>
      <c r="C40" s="34">
        <v>40057</v>
      </c>
      <c r="D40" s="1">
        <v>175</v>
      </c>
      <c r="E40" s="34">
        <v>40057</v>
      </c>
      <c r="F40" s="1">
        <v>6.4</v>
      </c>
      <c r="G40" s="34">
        <v>40057</v>
      </c>
      <c r="H40" s="1">
        <v>-1.0900000000000001</v>
      </c>
      <c r="I40" s="34">
        <v>40057</v>
      </c>
      <c r="J40" s="1">
        <v>155.01</v>
      </c>
      <c r="K40" s="34">
        <v>40057</v>
      </c>
      <c r="L40" s="1">
        <v>433.6</v>
      </c>
      <c r="M40" s="34">
        <v>40057</v>
      </c>
      <c r="N40" s="1">
        <v>89.1</v>
      </c>
    </row>
    <row r="41" spans="1:14" x14ac:dyDescent="0.25">
      <c r="A41" s="34">
        <v>40087</v>
      </c>
      <c r="B41" s="1">
        <v>427.5</v>
      </c>
      <c r="C41" s="34">
        <v>40087</v>
      </c>
      <c r="D41" s="1">
        <v>142</v>
      </c>
      <c r="E41" s="34">
        <v>40087</v>
      </c>
      <c r="F41" s="1">
        <v>6.5</v>
      </c>
      <c r="G41" s="34">
        <v>40087</v>
      </c>
      <c r="H41" s="1">
        <v>-0.39</v>
      </c>
      <c r="I41" s="34">
        <v>40087</v>
      </c>
      <c r="J41" s="1">
        <v>154.65</v>
      </c>
      <c r="K41" s="34">
        <v>40087</v>
      </c>
      <c r="L41" s="1">
        <v>432</v>
      </c>
      <c r="M41" s="34">
        <v>40087</v>
      </c>
      <c r="N41" s="1">
        <v>92.8</v>
      </c>
    </row>
    <row r="42" spans="1:14" x14ac:dyDescent="0.25">
      <c r="A42" s="34">
        <v>40118</v>
      </c>
      <c r="B42" s="1">
        <v>427.4</v>
      </c>
      <c r="C42" s="34">
        <v>40118</v>
      </c>
      <c r="D42" s="1">
        <v>149</v>
      </c>
      <c r="E42" s="34">
        <v>40118</v>
      </c>
      <c r="F42" s="1">
        <v>6.5</v>
      </c>
      <c r="G42" s="34">
        <v>40118</v>
      </c>
      <c r="H42" s="1">
        <v>-0.26</v>
      </c>
      <c r="I42" s="34">
        <v>40118</v>
      </c>
      <c r="J42" s="1">
        <v>154.44999999999999</v>
      </c>
      <c r="K42" s="34">
        <v>40118</v>
      </c>
      <c r="L42" s="1">
        <v>428.7</v>
      </c>
      <c r="M42" s="34">
        <v>40118</v>
      </c>
      <c r="N42" s="1">
        <v>92.6</v>
      </c>
    </row>
    <row r="43" spans="1:14" x14ac:dyDescent="0.25">
      <c r="A43" s="34">
        <v>40148</v>
      </c>
      <c r="B43" s="1">
        <v>426.5</v>
      </c>
      <c r="C43" s="34">
        <v>40148</v>
      </c>
      <c r="D43" s="1">
        <v>67</v>
      </c>
      <c r="E43" s="34">
        <v>40148</v>
      </c>
      <c r="F43" s="1">
        <v>6.6</v>
      </c>
      <c r="G43" s="34">
        <v>40148</v>
      </c>
      <c r="H43" s="1">
        <v>-0.2</v>
      </c>
      <c r="I43" s="34">
        <v>40148</v>
      </c>
      <c r="J43" s="1">
        <v>154.30000000000001</v>
      </c>
      <c r="K43" s="34">
        <v>40148</v>
      </c>
      <c r="L43" s="1">
        <v>426.8</v>
      </c>
      <c r="M43" s="34">
        <v>40148</v>
      </c>
      <c r="N43" s="1">
        <v>92.3</v>
      </c>
    </row>
    <row r="44" spans="1:14" x14ac:dyDescent="0.25">
      <c r="A44" s="34">
        <v>40179</v>
      </c>
      <c r="B44" s="1">
        <v>427.2</v>
      </c>
      <c r="C44" s="34">
        <v>40179</v>
      </c>
      <c r="D44" s="1">
        <v>100</v>
      </c>
      <c r="E44" s="34">
        <v>40179</v>
      </c>
      <c r="F44" s="1">
        <v>6.6</v>
      </c>
      <c r="G44" s="34">
        <v>40179</v>
      </c>
      <c r="H44" s="1">
        <v>0.02</v>
      </c>
      <c r="I44" s="34">
        <v>40179</v>
      </c>
      <c r="J44" s="1">
        <v>154.19999999999999</v>
      </c>
      <c r="K44" s="34">
        <v>40179</v>
      </c>
      <c r="L44" s="1">
        <v>413.3</v>
      </c>
      <c r="M44" s="34">
        <v>40179</v>
      </c>
      <c r="N44" s="1">
        <v>90.2</v>
      </c>
    </row>
    <row r="45" spans="1:14" x14ac:dyDescent="0.25">
      <c r="A45" s="34">
        <v>40210</v>
      </c>
      <c r="B45" s="1">
        <v>426.7</v>
      </c>
      <c r="C45" s="34">
        <v>40210</v>
      </c>
      <c r="D45" s="1">
        <v>118</v>
      </c>
      <c r="E45" s="34">
        <v>40210</v>
      </c>
      <c r="F45" s="1">
        <v>6.7</v>
      </c>
      <c r="G45" s="34">
        <v>40210</v>
      </c>
      <c r="H45" s="1">
        <v>-0.03</v>
      </c>
      <c r="I45" s="34">
        <v>40210</v>
      </c>
      <c r="J45" s="1">
        <v>154.13</v>
      </c>
      <c r="K45" s="34">
        <v>40210</v>
      </c>
      <c r="L45" s="1">
        <v>414</v>
      </c>
      <c r="M45" s="34">
        <v>40210</v>
      </c>
      <c r="N45" s="1">
        <v>91.4</v>
      </c>
    </row>
    <row r="46" spans="1:14" x14ac:dyDescent="0.25">
      <c r="A46" s="34">
        <v>40238</v>
      </c>
      <c r="B46" s="1">
        <v>428.1</v>
      </c>
      <c r="C46" s="34">
        <v>40238</v>
      </c>
      <c r="D46" s="1">
        <v>197</v>
      </c>
      <c r="E46" s="34">
        <v>40238</v>
      </c>
      <c r="F46" s="1">
        <v>6.7</v>
      </c>
      <c r="G46" s="34">
        <v>40238</v>
      </c>
      <c r="H46" s="1">
        <v>0.39</v>
      </c>
      <c r="I46" s="34">
        <v>40238</v>
      </c>
      <c r="J46" s="1">
        <v>154.13999999999999</v>
      </c>
      <c r="K46" s="34">
        <v>40238</v>
      </c>
      <c r="L46" s="1">
        <v>418.6</v>
      </c>
      <c r="M46" s="34">
        <v>40238</v>
      </c>
      <c r="N46" s="1">
        <v>93.2</v>
      </c>
    </row>
    <row r="47" spans="1:14" x14ac:dyDescent="0.25">
      <c r="A47" s="34">
        <v>40269</v>
      </c>
      <c r="B47" s="1">
        <v>427.6</v>
      </c>
      <c r="C47" s="34">
        <v>40269</v>
      </c>
      <c r="D47" s="1">
        <v>241</v>
      </c>
      <c r="E47" s="34">
        <v>40269</v>
      </c>
      <c r="F47" s="1">
        <v>6.7</v>
      </c>
      <c r="G47" s="34">
        <v>40269</v>
      </c>
      <c r="H47" s="1">
        <v>0.36</v>
      </c>
      <c r="I47" s="34">
        <v>40269</v>
      </c>
      <c r="J47" s="1">
        <v>154.19999999999999</v>
      </c>
      <c r="K47" s="34">
        <v>40269</v>
      </c>
      <c r="L47" s="1">
        <v>423.8</v>
      </c>
      <c r="M47" s="34">
        <v>40269</v>
      </c>
      <c r="N47" s="1">
        <v>92.7</v>
      </c>
    </row>
    <row r="48" spans="1:14" x14ac:dyDescent="0.25">
      <c r="A48" s="34">
        <v>40299</v>
      </c>
      <c r="B48" s="1">
        <v>429.7</v>
      </c>
      <c r="C48" s="34">
        <v>40299</v>
      </c>
      <c r="D48" s="1">
        <v>212</v>
      </c>
      <c r="E48" s="34">
        <v>40299</v>
      </c>
      <c r="F48" s="1">
        <v>6.7</v>
      </c>
      <c r="G48" s="34">
        <v>40299</v>
      </c>
      <c r="H48" s="1">
        <v>0.4</v>
      </c>
      <c r="I48" s="34">
        <v>40299</v>
      </c>
      <c r="J48" s="1">
        <v>154.27000000000001</v>
      </c>
      <c r="K48" s="34">
        <v>40299</v>
      </c>
      <c r="L48" s="1">
        <v>432.2</v>
      </c>
      <c r="M48" s="34">
        <v>40299</v>
      </c>
      <c r="N48" s="1">
        <v>96</v>
      </c>
    </row>
    <row r="49" spans="1:14" x14ac:dyDescent="0.25">
      <c r="A49" s="34">
        <v>40330</v>
      </c>
      <c r="B49" s="1">
        <v>429</v>
      </c>
      <c r="C49" s="34">
        <v>40330</v>
      </c>
      <c r="D49" s="1">
        <v>196</v>
      </c>
      <c r="E49" s="34">
        <v>40330</v>
      </c>
      <c r="F49" s="1">
        <v>6.7</v>
      </c>
      <c r="G49" s="34">
        <v>40330</v>
      </c>
      <c r="H49" s="1">
        <v>-0.06</v>
      </c>
      <c r="I49" s="34">
        <v>40330</v>
      </c>
      <c r="J49" s="1">
        <v>154.28</v>
      </c>
      <c r="K49" s="34">
        <v>40330</v>
      </c>
      <c r="L49" s="1">
        <v>437.4</v>
      </c>
      <c r="M49" s="34">
        <v>40330</v>
      </c>
      <c r="N49" s="1">
        <v>93.1</v>
      </c>
    </row>
    <row r="50" spans="1:14" x14ac:dyDescent="0.25">
      <c r="A50" s="34">
        <v>40360</v>
      </c>
      <c r="B50" s="1">
        <v>429.2</v>
      </c>
      <c r="C50" s="34">
        <v>40360</v>
      </c>
      <c r="D50" s="1">
        <v>188</v>
      </c>
      <c r="E50" s="34">
        <v>40360</v>
      </c>
      <c r="F50" s="1">
        <v>6.7</v>
      </c>
      <c r="G50" s="34">
        <v>40360</v>
      </c>
      <c r="H50" s="1">
        <v>-0.48</v>
      </c>
      <c r="I50" s="34">
        <v>40360</v>
      </c>
      <c r="J50" s="1">
        <v>154.18</v>
      </c>
      <c r="K50" s="34">
        <v>40360</v>
      </c>
      <c r="L50" s="1">
        <v>436.7</v>
      </c>
      <c r="M50" s="34">
        <v>40360</v>
      </c>
      <c r="N50" s="1">
        <v>88.7</v>
      </c>
    </row>
    <row r="51" spans="1:14" x14ac:dyDescent="0.25">
      <c r="A51" s="34">
        <v>40391</v>
      </c>
      <c r="B51" s="1">
        <v>429.1</v>
      </c>
      <c r="C51" s="34">
        <v>40391</v>
      </c>
      <c r="D51" s="1">
        <v>211</v>
      </c>
      <c r="E51" s="34">
        <v>40391</v>
      </c>
      <c r="F51" s="1">
        <v>6.8</v>
      </c>
      <c r="G51" s="34">
        <v>40391</v>
      </c>
      <c r="H51" s="1">
        <v>-0.76</v>
      </c>
      <c r="I51" s="34">
        <v>40391</v>
      </c>
      <c r="J51" s="1">
        <v>153.96</v>
      </c>
      <c r="K51" s="34">
        <v>40391</v>
      </c>
      <c r="L51" s="1">
        <v>437.5</v>
      </c>
      <c r="M51" s="34">
        <v>40391</v>
      </c>
      <c r="N51" s="1">
        <v>88.7</v>
      </c>
    </row>
    <row r="52" spans="1:14" x14ac:dyDescent="0.25">
      <c r="A52" s="34">
        <v>40422</v>
      </c>
      <c r="B52" s="1">
        <v>427.7</v>
      </c>
      <c r="C52" s="34">
        <v>40422</v>
      </c>
      <c r="D52" s="1">
        <v>251</v>
      </c>
      <c r="E52" s="34">
        <v>40422</v>
      </c>
      <c r="F52" s="1">
        <v>6.8</v>
      </c>
      <c r="G52" s="34">
        <v>40422</v>
      </c>
      <c r="H52" s="1">
        <v>-0.53</v>
      </c>
      <c r="I52" s="34">
        <v>40422</v>
      </c>
      <c r="J52" s="1">
        <v>153.75</v>
      </c>
      <c r="K52" s="34">
        <v>40422</v>
      </c>
      <c r="L52" s="1">
        <v>435.6</v>
      </c>
      <c r="M52" s="34">
        <v>40422</v>
      </c>
      <c r="N52" s="1">
        <v>91.7</v>
      </c>
    </row>
    <row r="53" spans="1:14" x14ac:dyDescent="0.25">
      <c r="A53" s="34">
        <v>40452</v>
      </c>
      <c r="B53" s="1">
        <v>428.3</v>
      </c>
      <c r="C53" s="34">
        <v>40452</v>
      </c>
      <c r="D53" s="1">
        <v>173</v>
      </c>
      <c r="E53" s="34">
        <v>40452</v>
      </c>
      <c r="F53" s="1">
        <v>6.8</v>
      </c>
      <c r="G53" s="34">
        <v>40452</v>
      </c>
      <c r="H53" s="1">
        <v>-0.36</v>
      </c>
      <c r="I53" s="34">
        <v>40452</v>
      </c>
      <c r="J53" s="1">
        <v>153.59</v>
      </c>
      <c r="K53" s="34">
        <v>40452</v>
      </c>
      <c r="L53" s="1">
        <v>433</v>
      </c>
      <c r="M53" s="34">
        <v>40452</v>
      </c>
      <c r="N53" s="1">
        <v>93.2</v>
      </c>
    </row>
    <row r="54" spans="1:14" x14ac:dyDescent="0.25">
      <c r="A54" s="34">
        <v>40483</v>
      </c>
      <c r="B54" s="1">
        <v>427.2</v>
      </c>
      <c r="C54" s="34">
        <v>40483</v>
      </c>
      <c r="D54" s="1">
        <v>139</v>
      </c>
      <c r="E54" s="34">
        <v>40483</v>
      </c>
      <c r="F54" s="1">
        <v>6.8</v>
      </c>
      <c r="G54" s="34">
        <v>40483</v>
      </c>
      <c r="H54" s="1">
        <v>0.15</v>
      </c>
      <c r="I54" s="34">
        <v>40483</v>
      </c>
      <c r="J54" s="1">
        <v>153.51</v>
      </c>
      <c r="K54" s="34">
        <v>40483</v>
      </c>
      <c r="L54" s="1">
        <v>428</v>
      </c>
      <c r="M54" s="34">
        <v>40483</v>
      </c>
      <c r="N54" s="1">
        <v>92.8</v>
      </c>
    </row>
    <row r="55" spans="1:14" x14ac:dyDescent="0.25">
      <c r="A55" s="34">
        <v>40513</v>
      </c>
      <c r="B55" s="1">
        <v>427.3</v>
      </c>
      <c r="C55" s="34">
        <v>40513</v>
      </c>
      <c r="D55" s="1">
        <v>117</v>
      </c>
      <c r="E55" s="34">
        <v>40513</v>
      </c>
      <c r="F55" s="1">
        <v>6.7</v>
      </c>
      <c r="G55" s="34">
        <v>40513</v>
      </c>
      <c r="H55" s="1">
        <v>0.46</v>
      </c>
      <c r="I55" s="34">
        <v>40513</v>
      </c>
      <c r="J55" s="1">
        <v>153.54</v>
      </c>
      <c r="K55" s="34">
        <v>40513</v>
      </c>
      <c r="L55" s="1">
        <v>427.4</v>
      </c>
      <c r="M55" s="34">
        <v>40513</v>
      </c>
      <c r="N55" s="1">
        <v>92.5</v>
      </c>
    </row>
    <row r="56" spans="1:14" x14ac:dyDescent="0.25">
      <c r="A56" s="34">
        <v>40544</v>
      </c>
      <c r="B56" s="1">
        <v>427.4</v>
      </c>
      <c r="C56" s="34">
        <v>40544</v>
      </c>
      <c r="D56" s="1">
        <v>57</v>
      </c>
      <c r="E56" s="34">
        <v>40544</v>
      </c>
      <c r="F56" s="1">
        <v>6.7</v>
      </c>
      <c r="G56" s="34">
        <v>40544</v>
      </c>
      <c r="H56" s="1">
        <v>0.38</v>
      </c>
      <c r="I56" s="34">
        <v>40544</v>
      </c>
      <c r="J56" s="1">
        <v>153.62</v>
      </c>
      <c r="K56" s="34">
        <v>40544</v>
      </c>
      <c r="L56" s="1">
        <v>413.7</v>
      </c>
      <c r="M56" s="34">
        <v>40544</v>
      </c>
      <c r="N56" s="1">
        <v>89.4</v>
      </c>
    </row>
    <row r="57" spans="1:14" x14ac:dyDescent="0.25">
      <c r="A57" s="34">
        <v>40575</v>
      </c>
      <c r="B57" s="1">
        <v>428.6</v>
      </c>
      <c r="C57" s="34">
        <v>40575</v>
      </c>
      <c r="D57" s="1">
        <v>78</v>
      </c>
      <c r="E57" s="34">
        <v>40575</v>
      </c>
      <c r="F57" s="1">
        <v>6.6</v>
      </c>
      <c r="G57" s="34">
        <v>40575</v>
      </c>
      <c r="H57" s="1">
        <v>0.97</v>
      </c>
      <c r="I57" s="34">
        <v>40575</v>
      </c>
      <c r="J57" s="1">
        <v>153.79</v>
      </c>
      <c r="K57" s="34">
        <v>40575</v>
      </c>
      <c r="L57" s="1">
        <v>415.7</v>
      </c>
      <c r="M57" s="34">
        <v>40575</v>
      </c>
      <c r="N57" s="1">
        <v>91</v>
      </c>
    </row>
    <row r="58" spans="1:14" x14ac:dyDescent="0.25">
      <c r="A58" s="34">
        <v>40603</v>
      </c>
      <c r="B58" s="1">
        <v>429.1</v>
      </c>
      <c r="C58" s="34">
        <v>40603</v>
      </c>
      <c r="D58" s="1">
        <v>155</v>
      </c>
      <c r="E58" s="34">
        <v>40603</v>
      </c>
      <c r="F58" s="1">
        <v>6.6</v>
      </c>
      <c r="G58" s="34">
        <v>40603</v>
      </c>
      <c r="H58" s="1">
        <v>0.47</v>
      </c>
      <c r="I58" s="34">
        <v>40603</v>
      </c>
      <c r="J58" s="1">
        <v>153.94</v>
      </c>
      <c r="K58" s="34">
        <v>40603</v>
      </c>
      <c r="L58" s="1">
        <v>419.7</v>
      </c>
      <c r="M58" s="34">
        <v>40603</v>
      </c>
      <c r="N58" s="1">
        <v>91.9</v>
      </c>
    </row>
    <row r="59" spans="1:14" x14ac:dyDescent="0.25">
      <c r="A59" s="34">
        <v>40634</v>
      </c>
      <c r="B59" s="1">
        <v>429.1</v>
      </c>
      <c r="C59" s="34">
        <v>40634</v>
      </c>
      <c r="D59" s="1">
        <v>114</v>
      </c>
      <c r="E59" s="34">
        <v>40634</v>
      </c>
      <c r="F59" s="1">
        <v>6.6</v>
      </c>
      <c r="G59" s="34">
        <v>40634</v>
      </c>
      <c r="H59" s="1">
        <v>0.62</v>
      </c>
      <c r="I59" s="34">
        <v>40634</v>
      </c>
      <c r="J59" s="1">
        <v>154.1</v>
      </c>
      <c r="K59" s="34">
        <v>40634</v>
      </c>
      <c r="L59" s="1">
        <v>425.5</v>
      </c>
      <c r="M59" s="34">
        <v>40634</v>
      </c>
      <c r="N59" s="1">
        <v>91.6</v>
      </c>
    </row>
    <row r="60" spans="1:14" x14ac:dyDescent="0.25">
      <c r="A60" s="34">
        <v>40664</v>
      </c>
      <c r="B60" s="1">
        <v>430.8</v>
      </c>
      <c r="C60" s="34">
        <v>40664</v>
      </c>
      <c r="D60" s="1">
        <v>162</v>
      </c>
      <c r="E60" s="34">
        <v>40664</v>
      </c>
      <c r="F60" s="1">
        <v>6.6</v>
      </c>
      <c r="G60" s="34">
        <v>40664</v>
      </c>
      <c r="H60" s="1">
        <v>0.46</v>
      </c>
      <c r="I60" s="34">
        <v>40664</v>
      </c>
      <c r="J60" s="1">
        <v>154.24</v>
      </c>
      <c r="K60" s="34">
        <v>40664</v>
      </c>
      <c r="L60" s="1">
        <v>433.6</v>
      </c>
      <c r="M60" s="34">
        <v>40664</v>
      </c>
      <c r="N60" s="1">
        <v>93.3</v>
      </c>
    </row>
    <row r="61" spans="1:14" x14ac:dyDescent="0.25">
      <c r="A61" s="34">
        <v>40695</v>
      </c>
      <c r="B61" s="1">
        <v>430.1</v>
      </c>
      <c r="C61" s="34">
        <v>40695</v>
      </c>
      <c r="D61" s="1">
        <v>361</v>
      </c>
      <c r="E61" s="34">
        <v>40695</v>
      </c>
      <c r="F61" s="1">
        <v>6.6</v>
      </c>
      <c r="G61" s="34">
        <v>40695</v>
      </c>
      <c r="H61" s="1">
        <v>0.59</v>
      </c>
      <c r="I61" s="34">
        <v>40695</v>
      </c>
      <c r="J61" s="1">
        <v>154.4</v>
      </c>
      <c r="K61" s="34">
        <v>40695</v>
      </c>
      <c r="L61" s="1">
        <v>438.8</v>
      </c>
      <c r="M61" s="34">
        <v>40695</v>
      </c>
      <c r="N61" s="1">
        <v>91</v>
      </c>
    </row>
    <row r="62" spans="1:14" x14ac:dyDescent="0.25">
      <c r="A62" s="34">
        <v>40725</v>
      </c>
      <c r="B62" s="1">
        <v>429.8</v>
      </c>
      <c r="C62" s="34">
        <v>40725</v>
      </c>
      <c r="D62" s="1">
        <v>184</v>
      </c>
      <c r="E62" s="34">
        <v>40725</v>
      </c>
      <c r="F62" s="1">
        <v>6.7</v>
      </c>
      <c r="G62" s="34">
        <v>40725</v>
      </c>
      <c r="H62" s="1">
        <v>0.88</v>
      </c>
      <c r="I62" s="34">
        <v>40725</v>
      </c>
      <c r="J62" s="1">
        <v>154.61000000000001</v>
      </c>
      <c r="K62" s="34">
        <v>40725</v>
      </c>
      <c r="L62" s="1">
        <v>437.4</v>
      </c>
      <c r="M62" s="34">
        <v>40725</v>
      </c>
      <c r="N62" s="1">
        <v>84.5</v>
      </c>
    </row>
    <row r="63" spans="1:14" x14ac:dyDescent="0.25">
      <c r="A63" s="34">
        <v>40756</v>
      </c>
      <c r="B63" s="1">
        <v>431.9</v>
      </c>
      <c r="C63" s="34">
        <v>40756</v>
      </c>
      <c r="D63" s="1">
        <v>209</v>
      </c>
      <c r="E63" s="34">
        <v>40756</v>
      </c>
      <c r="F63" s="1">
        <v>6.6</v>
      </c>
      <c r="G63" s="34">
        <v>40756</v>
      </c>
      <c r="H63" s="1">
        <v>2.11</v>
      </c>
      <c r="I63" s="34">
        <v>40756</v>
      </c>
      <c r="J63" s="1">
        <v>155</v>
      </c>
      <c r="K63" s="34">
        <v>40756</v>
      </c>
      <c r="L63" s="1">
        <v>440.3</v>
      </c>
      <c r="M63" s="34">
        <v>40756</v>
      </c>
      <c r="N63" s="1">
        <v>85.8</v>
      </c>
    </row>
    <row r="64" spans="1:14" x14ac:dyDescent="0.25">
      <c r="A64" s="34">
        <v>40787</v>
      </c>
      <c r="B64" s="1">
        <v>433.1</v>
      </c>
      <c r="C64" s="34">
        <v>40787</v>
      </c>
      <c r="D64" s="1">
        <v>172</v>
      </c>
      <c r="E64" s="34">
        <v>40787</v>
      </c>
      <c r="F64" s="1">
        <v>6.6</v>
      </c>
      <c r="G64" s="34">
        <v>40787</v>
      </c>
      <c r="H64" s="1">
        <v>2.08</v>
      </c>
      <c r="I64" s="34">
        <v>40787</v>
      </c>
      <c r="J64" s="1">
        <v>155.5</v>
      </c>
      <c r="K64" s="34">
        <v>40787</v>
      </c>
      <c r="L64" s="1">
        <v>441.2</v>
      </c>
      <c r="M64" s="34">
        <v>40787</v>
      </c>
      <c r="N64" s="1">
        <v>90.8</v>
      </c>
    </row>
    <row r="65" spans="1:14" x14ac:dyDescent="0.25">
      <c r="A65" s="34">
        <v>40817</v>
      </c>
      <c r="B65" s="1">
        <v>433.9</v>
      </c>
      <c r="C65" s="34">
        <v>40817</v>
      </c>
      <c r="D65" s="1">
        <v>356</v>
      </c>
      <c r="E65" s="34">
        <v>40817</v>
      </c>
      <c r="F65" s="1">
        <v>6.5</v>
      </c>
      <c r="G65" s="34">
        <v>40817</v>
      </c>
      <c r="H65" s="1">
        <v>2.8</v>
      </c>
      <c r="I65" s="34">
        <v>40817</v>
      </c>
      <c r="J65" s="1">
        <v>156.15</v>
      </c>
      <c r="K65" s="34">
        <v>40817</v>
      </c>
      <c r="L65" s="1">
        <v>438.2</v>
      </c>
      <c r="M65" s="34">
        <v>40817</v>
      </c>
      <c r="N65" s="1">
        <v>91.2</v>
      </c>
    </row>
    <row r="66" spans="1:14" x14ac:dyDescent="0.25">
      <c r="A66" s="34">
        <v>40848</v>
      </c>
      <c r="B66" s="1">
        <v>434.4</v>
      </c>
      <c r="C66" s="34">
        <v>40848</v>
      </c>
      <c r="D66" s="1">
        <v>117</v>
      </c>
      <c r="E66" s="34">
        <v>40848</v>
      </c>
      <c r="F66" s="1">
        <v>6.4</v>
      </c>
      <c r="G66" s="34">
        <v>40848</v>
      </c>
      <c r="H66" s="1">
        <v>2.77</v>
      </c>
      <c r="I66" s="34">
        <v>40848</v>
      </c>
      <c r="J66" s="1">
        <v>156.91</v>
      </c>
      <c r="K66" s="34">
        <v>40848</v>
      </c>
      <c r="L66" s="1">
        <v>434.7</v>
      </c>
      <c r="M66" s="34">
        <v>40848</v>
      </c>
      <c r="N66" s="1">
        <v>90.8</v>
      </c>
    </row>
    <row r="67" spans="1:14" x14ac:dyDescent="0.25">
      <c r="A67" s="34">
        <v>40878</v>
      </c>
      <c r="B67" s="1">
        <v>435.4</v>
      </c>
      <c r="C67" s="34">
        <v>40878</v>
      </c>
      <c r="D67" s="1">
        <v>116</v>
      </c>
      <c r="E67" s="34">
        <v>40878</v>
      </c>
      <c r="F67" s="1">
        <v>6.2</v>
      </c>
      <c r="G67" s="34">
        <v>40878</v>
      </c>
      <c r="H67" s="1">
        <v>2.71</v>
      </c>
      <c r="I67" s="34">
        <v>40878</v>
      </c>
      <c r="J67" s="1">
        <v>157.69</v>
      </c>
      <c r="K67" s="34">
        <v>40878</v>
      </c>
      <c r="L67" s="1">
        <v>434.7</v>
      </c>
      <c r="M67" s="34">
        <v>40878</v>
      </c>
      <c r="N67" s="1">
        <v>90.6</v>
      </c>
    </row>
    <row r="68" spans="1:14" x14ac:dyDescent="0.25">
      <c r="A68" s="34">
        <v>40909</v>
      </c>
      <c r="B68" s="1">
        <v>436.4</v>
      </c>
      <c r="C68" s="34">
        <v>40909</v>
      </c>
      <c r="D68" s="1">
        <v>90</v>
      </c>
      <c r="E68" s="34">
        <v>40909</v>
      </c>
      <c r="F68" s="1">
        <v>6.2</v>
      </c>
      <c r="G68" s="34">
        <v>40909</v>
      </c>
      <c r="H68" s="1">
        <v>1.81</v>
      </c>
      <c r="I68" s="34">
        <v>40909</v>
      </c>
      <c r="J68" s="1">
        <v>158.32</v>
      </c>
      <c r="K68" s="34">
        <v>40909</v>
      </c>
      <c r="L68" s="1">
        <v>422.8</v>
      </c>
      <c r="M68" s="34">
        <v>40909</v>
      </c>
      <c r="N68" s="1">
        <v>88.7</v>
      </c>
    </row>
    <row r="69" spans="1:14" x14ac:dyDescent="0.25">
      <c r="A69" s="34">
        <v>40940</v>
      </c>
      <c r="B69" s="1">
        <v>436.7</v>
      </c>
      <c r="C69" s="34">
        <v>40940</v>
      </c>
      <c r="D69" s="1">
        <v>120</v>
      </c>
      <c r="E69" s="34">
        <v>40940</v>
      </c>
      <c r="F69" s="1">
        <v>6.1</v>
      </c>
      <c r="G69" s="34">
        <v>40940</v>
      </c>
      <c r="H69" s="1">
        <v>1.83</v>
      </c>
      <c r="I69" s="34">
        <v>40940</v>
      </c>
      <c r="J69" s="1">
        <v>158.84</v>
      </c>
      <c r="K69" s="34">
        <v>40940</v>
      </c>
      <c r="L69" s="1">
        <v>424</v>
      </c>
      <c r="M69" s="34">
        <v>40940</v>
      </c>
      <c r="N69" s="1">
        <v>89.6</v>
      </c>
    </row>
    <row r="70" spans="1:14" x14ac:dyDescent="0.25">
      <c r="A70" s="34">
        <v>40969</v>
      </c>
      <c r="B70" s="1">
        <v>437.2</v>
      </c>
      <c r="C70" s="34">
        <v>40969</v>
      </c>
      <c r="D70" s="1">
        <v>266</v>
      </c>
      <c r="E70" s="34">
        <v>40969</v>
      </c>
      <c r="F70" s="1">
        <v>6.1</v>
      </c>
      <c r="G70" s="34">
        <v>40969</v>
      </c>
      <c r="H70" s="1">
        <v>1.42</v>
      </c>
      <c r="I70" s="34">
        <v>40969</v>
      </c>
      <c r="J70" s="1">
        <v>159.26</v>
      </c>
      <c r="K70" s="34">
        <v>40969</v>
      </c>
      <c r="L70" s="1">
        <v>427.9</v>
      </c>
      <c r="M70" s="34">
        <v>40969</v>
      </c>
      <c r="N70" s="1">
        <v>90.4</v>
      </c>
    </row>
    <row r="71" spans="1:14" x14ac:dyDescent="0.25">
      <c r="A71" s="34">
        <v>41000</v>
      </c>
      <c r="B71" s="1">
        <v>439.4</v>
      </c>
      <c r="C71" s="34">
        <v>41000</v>
      </c>
      <c r="D71" s="1">
        <v>323</v>
      </c>
      <c r="E71" s="34">
        <v>41000</v>
      </c>
      <c r="F71" s="1">
        <v>6.1</v>
      </c>
      <c r="G71" s="34">
        <v>41000</v>
      </c>
      <c r="H71" s="1">
        <v>1.62</v>
      </c>
      <c r="I71" s="34">
        <v>41000</v>
      </c>
      <c r="J71" s="1">
        <v>159.65</v>
      </c>
      <c r="K71" s="34">
        <v>41000</v>
      </c>
      <c r="L71" s="1">
        <v>434.5</v>
      </c>
      <c r="M71" s="34">
        <v>41000</v>
      </c>
      <c r="N71" s="1">
        <v>90.3</v>
      </c>
    </row>
    <row r="72" spans="1:14" x14ac:dyDescent="0.25">
      <c r="A72" s="34">
        <v>41030</v>
      </c>
      <c r="B72" s="1">
        <v>440.4</v>
      </c>
      <c r="C72" s="34">
        <v>41030</v>
      </c>
      <c r="D72" s="1">
        <v>197</v>
      </c>
      <c r="E72" s="34">
        <v>41030</v>
      </c>
      <c r="F72" s="1">
        <v>6.1</v>
      </c>
      <c r="G72" s="34">
        <v>41030</v>
      </c>
      <c r="H72" s="1">
        <v>1.44</v>
      </c>
      <c r="I72" s="34">
        <v>41030</v>
      </c>
      <c r="J72" s="1">
        <v>160.02000000000001</v>
      </c>
      <c r="K72" s="34">
        <v>41030</v>
      </c>
      <c r="L72" s="1">
        <v>443.6</v>
      </c>
      <c r="M72" s="34">
        <v>41030</v>
      </c>
      <c r="N72" s="1">
        <v>92.4</v>
      </c>
    </row>
    <row r="73" spans="1:14" x14ac:dyDescent="0.25">
      <c r="A73" s="34">
        <v>41061</v>
      </c>
      <c r="B73" s="1">
        <v>439.9</v>
      </c>
      <c r="C73" s="34">
        <v>41061</v>
      </c>
      <c r="D73" s="1">
        <v>213</v>
      </c>
      <c r="E73" s="34">
        <v>41061</v>
      </c>
      <c r="F73" s="1">
        <v>6.1</v>
      </c>
      <c r="G73" s="34">
        <v>41061</v>
      </c>
      <c r="H73" s="1">
        <v>1.24</v>
      </c>
      <c r="I73" s="34">
        <v>41061</v>
      </c>
      <c r="J73" s="1">
        <v>160.33000000000001</v>
      </c>
      <c r="K73" s="34">
        <v>41061</v>
      </c>
      <c r="L73" s="1">
        <v>448.5</v>
      </c>
      <c r="M73" s="34">
        <v>41061</v>
      </c>
      <c r="N73" s="1">
        <v>89.1</v>
      </c>
    </row>
    <row r="74" spans="1:14" x14ac:dyDescent="0.25">
      <c r="A74" s="34">
        <v>41091</v>
      </c>
      <c r="B74" s="1">
        <v>440.7</v>
      </c>
      <c r="C74" s="34">
        <v>41091</v>
      </c>
      <c r="D74" s="1">
        <v>208</v>
      </c>
      <c r="E74" s="34">
        <v>41091</v>
      </c>
      <c r="F74" s="1">
        <v>6.1</v>
      </c>
      <c r="G74" s="34">
        <v>41091</v>
      </c>
      <c r="H74" s="1">
        <v>1.35</v>
      </c>
      <c r="I74" s="34">
        <v>41091</v>
      </c>
      <c r="J74" s="1">
        <v>160.63</v>
      </c>
      <c r="K74" s="34">
        <v>41091</v>
      </c>
      <c r="L74" s="1">
        <v>448.3</v>
      </c>
      <c r="M74" s="34">
        <v>41091</v>
      </c>
      <c r="N74" s="1">
        <v>86.2</v>
      </c>
    </row>
    <row r="75" spans="1:14" x14ac:dyDescent="0.25">
      <c r="A75" s="34">
        <v>41122</v>
      </c>
      <c r="B75" s="1">
        <v>441.3</v>
      </c>
      <c r="C75" s="34">
        <v>41122</v>
      </c>
      <c r="D75" s="1">
        <v>559</v>
      </c>
      <c r="E75" s="34">
        <v>41122</v>
      </c>
      <c r="F75" s="1">
        <v>6.1</v>
      </c>
      <c r="G75" s="34">
        <v>41122</v>
      </c>
      <c r="H75" s="1">
        <v>1.64</v>
      </c>
      <c r="I75" s="34">
        <v>41122</v>
      </c>
      <c r="J75" s="1">
        <v>161.01</v>
      </c>
      <c r="K75" s="34">
        <v>41122</v>
      </c>
      <c r="L75" s="1">
        <v>450.2</v>
      </c>
      <c r="M75" s="34">
        <v>41122</v>
      </c>
      <c r="N75" s="1">
        <v>85.6</v>
      </c>
    </row>
    <row r="76" spans="1:14" x14ac:dyDescent="0.25">
      <c r="A76" s="34">
        <v>41153</v>
      </c>
      <c r="B76" s="1">
        <v>442.3</v>
      </c>
      <c r="C76" s="34">
        <v>41153</v>
      </c>
      <c r="D76" s="1">
        <v>291</v>
      </c>
      <c r="E76" s="34">
        <v>41153</v>
      </c>
      <c r="F76" s="1">
        <v>6</v>
      </c>
      <c r="G76" s="34">
        <v>41153</v>
      </c>
      <c r="H76" s="1">
        <v>2.08</v>
      </c>
      <c r="I76" s="34">
        <v>41153</v>
      </c>
      <c r="J76" s="1">
        <v>161.52000000000001</v>
      </c>
      <c r="K76" s="34">
        <v>41153</v>
      </c>
      <c r="L76" s="1">
        <v>449.9</v>
      </c>
      <c r="M76" s="34">
        <v>41153</v>
      </c>
      <c r="N76" s="1">
        <v>90.3</v>
      </c>
    </row>
    <row r="77" spans="1:14" x14ac:dyDescent="0.25">
      <c r="A77" s="34">
        <v>41183</v>
      </c>
      <c r="B77" s="1">
        <v>443.2</v>
      </c>
      <c r="C77" s="34">
        <v>41183</v>
      </c>
      <c r="D77" s="1">
        <v>293</v>
      </c>
      <c r="E77" s="34">
        <v>41183</v>
      </c>
      <c r="F77" s="1">
        <v>5.9</v>
      </c>
      <c r="G77" s="34">
        <v>41183</v>
      </c>
      <c r="H77" s="1">
        <v>1.74</v>
      </c>
      <c r="I77" s="34">
        <v>41183</v>
      </c>
      <c r="J77" s="1">
        <v>162.05000000000001</v>
      </c>
      <c r="K77" s="34">
        <v>41183</v>
      </c>
      <c r="L77" s="1">
        <v>447.2</v>
      </c>
      <c r="M77" s="34">
        <v>41183</v>
      </c>
      <c r="N77" s="1">
        <v>91</v>
      </c>
    </row>
    <row r="78" spans="1:14" x14ac:dyDescent="0.25">
      <c r="A78" s="34">
        <v>41214</v>
      </c>
      <c r="B78" s="1">
        <v>444</v>
      </c>
      <c r="C78" s="34">
        <v>41214</v>
      </c>
      <c r="D78" s="1">
        <v>247</v>
      </c>
      <c r="E78" s="34">
        <v>41214</v>
      </c>
      <c r="F78" s="1">
        <v>5.9</v>
      </c>
      <c r="G78" s="34">
        <v>41214</v>
      </c>
      <c r="H78" s="1">
        <v>1.85</v>
      </c>
      <c r="I78" s="34">
        <v>41214</v>
      </c>
      <c r="J78" s="1">
        <v>162.56</v>
      </c>
      <c r="K78" s="34">
        <v>41214</v>
      </c>
      <c r="L78" s="1">
        <v>443.2</v>
      </c>
      <c r="M78" s="34">
        <v>41214</v>
      </c>
      <c r="N78" s="1">
        <v>91</v>
      </c>
    </row>
    <row r="79" spans="1:14" x14ac:dyDescent="0.25">
      <c r="A79" s="34">
        <v>41244</v>
      </c>
      <c r="B79" s="1">
        <v>445</v>
      </c>
      <c r="C79" s="34">
        <v>41244</v>
      </c>
      <c r="D79" s="1">
        <v>104</v>
      </c>
      <c r="E79" s="34">
        <v>41244</v>
      </c>
      <c r="F79" s="1">
        <v>5.8</v>
      </c>
      <c r="G79" s="34">
        <v>41244</v>
      </c>
      <c r="H79" s="1">
        <v>2.0699999999999998</v>
      </c>
      <c r="I79" s="34">
        <v>41244</v>
      </c>
      <c r="J79" s="1">
        <v>163.08000000000001</v>
      </c>
      <c r="K79" s="34">
        <v>41244</v>
      </c>
      <c r="L79" s="1">
        <v>443.8</v>
      </c>
      <c r="M79" s="34">
        <v>41244</v>
      </c>
      <c r="N79" s="1">
        <v>90.5</v>
      </c>
    </row>
    <row r="80" spans="1:14" x14ac:dyDescent="0.25">
      <c r="A80" s="34">
        <v>41275</v>
      </c>
      <c r="B80" s="1">
        <v>445.5</v>
      </c>
      <c r="C80" s="34">
        <v>41275</v>
      </c>
      <c r="D80" s="1">
        <v>159</v>
      </c>
      <c r="E80" s="34">
        <v>41275</v>
      </c>
      <c r="F80" s="1">
        <v>5.8</v>
      </c>
      <c r="G80" s="34">
        <v>41275</v>
      </c>
      <c r="H80" s="1">
        <v>1.65</v>
      </c>
      <c r="I80" s="34">
        <v>41275</v>
      </c>
      <c r="J80" s="1">
        <v>163.58000000000001</v>
      </c>
      <c r="K80" s="34">
        <v>41275</v>
      </c>
      <c r="L80" s="1">
        <v>432.4</v>
      </c>
      <c r="M80" s="34">
        <v>41275</v>
      </c>
      <c r="N80" s="1">
        <v>90.2</v>
      </c>
    </row>
    <row r="81" spans="1:14" x14ac:dyDescent="0.25">
      <c r="A81" s="34">
        <v>41306</v>
      </c>
      <c r="B81" s="1">
        <v>448.5</v>
      </c>
      <c r="C81" s="34">
        <v>41306</v>
      </c>
      <c r="D81" s="1">
        <v>204</v>
      </c>
      <c r="E81" s="34">
        <v>41306</v>
      </c>
      <c r="F81" s="1">
        <v>5.7</v>
      </c>
      <c r="G81" s="34">
        <v>41306</v>
      </c>
      <c r="H81" s="1">
        <v>1.4</v>
      </c>
      <c r="I81" s="34">
        <v>41306</v>
      </c>
      <c r="J81" s="1">
        <v>164.01</v>
      </c>
      <c r="K81" s="34">
        <v>41306</v>
      </c>
      <c r="L81" s="1">
        <v>435.8</v>
      </c>
      <c r="M81" s="34">
        <v>41306</v>
      </c>
      <c r="N81" s="1">
        <v>91.5</v>
      </c>
    </row>
    <row r="82" spans="1:14" x14ac:dyDescent="0.25">
      <c r="A82" s="34">
        <v>41334</v>
      </c>
      <c r="B82" s="1">
        <v>448</v>
      </c>
      <c r="C82" s="34">
        <v>41334</v>
      </c>
      <c r="D82" s="1">
        <v>365</v>
      </c>
      <c r="E82" s="34">
        <v>41334</v>
      </c>
      <c r="F82" s="1">
        <v>5.7</v>
      </c>
      <c r="G82" s="34">
        <v>41334</v>
      </c>
      <c r="H82" s="1">
        <v>0.71</v>
      </c>
      <c r="I82" s="34">
        <v>41334</v>
      </c>
      <c r="J82" s="1">
        <v>164.3</v>
      </c>
      <c r="K82" s="34">
        <v>41334</v>
      </c>
      <c r="L82" s="1">
        <v>439.1</v>
      </c>
      <c r="M82" s="34">
        <v>41334</v>
      </c>
      <c r="N82" s="1">
        <v>91.9</v>
      </c>
    </row>
    <row r="83" spans="1:14" x14ac:dyDescent="0.25">
      <c r="A83" s="34">
        <v>41365</v>
      </c>
      <c r="B83" s="1">
        <v>449.5</v>
      </c>
      <c r="C83" s="34">
        <v>41365</v>
      </c>
      <c r="D83" s="1">
        <v>318</v>
      </c>
      <c r="E83" s="34">
        <v>41365</v>
      </c>
      <c r="F83" s="1">
        <v>5.7</v>
      </c>
      <c r="G83" s="34">
        <v>41365</v>
      </c>
      <c r="H83" s="1">
        <v>0.43</v>
      </c>
      <c r="I83" s="34">
        <v>41365</v>
      </c>
      <c r="J83" s="1">
        <v>164.41</v>
      </c>
      <c r="K83" s="34">
        <v>41365</v>
      </c>
      <c r="L83" s="1">
        <v>445.1</v>
      </c>
      <c r="M83" s="34">
        <v>41365</v>
      </c>
      <c r="N83" s="1">
        <v>91.5</v>
      </c>
    </row>
    <row r="84" spans="1:14" x14ac:dyDescent="0.25">
      <c r="A84" s="34">
        <v>41395</v>
      </c>
      <c r="B84" s="1">
        <v>448.6</v>
      </c>
      <c r="C84" s="34">
        <v>41395</v>
      </c>
      <c r="D84" s="1">
        <v>316</v>
      </c>
      <c r="E84" s="34">
        <v>41395</v>
      </c>
      <c r="F84" s="1">
        <v>5.7</v>
      </c>
      <c r="G84" s="34">
        <v>41395</v>
      </c>
      <c r="H84" s="1">
        <v>0.02</v>
      </c>
      <c r="I84" s="34">
        <v>41395</v>
      </c>
      <c r="J84" s="1">
        <v>164.4</v>
      </c>
      <c r="K84" s="34">
        <v>41395</v>
      </c>
      <c r="L84" s="1">
        <v>452.8</v>
      </c>
      <c r="M84" s="34">
        <v>41395</v>
      </c>
      <c r="N84" s="1">
        <v>92</v>
      </c>
    </row>
    <row r="85" spans="1:14" x14ac:dyDescent="0.25">
      <c r="A85" s="34">
        <v>41426</v>
      </c>
      <c r="B85" s="1">
        <v>448.3</v>
      </c>
      <c r="C85" s="34">
        <v>41426</v>
      </c>
      <c r="D85" s="1">
        <v>265</v>
      </c>
      <c r="E85" s="34">
        <v>41426</v>
      </c>
      <c r="F85" s="1">
        <v>5.7</v>
      </c>
      <c r="G85" s="34">
        <v>41426</v>
      </c>
      <c r="H85" s="1">
        <v>7.0000000000000007E-2</v>
      </c>
      <c r="I85" s="34">
        <v>41426</v>
      </c>
      <c r="J85" s="1">
        <v>164.35</v>
      </c>
      <c r="K85" s="34">
        <v>41426</v>
      </c>
      <c r="L85" s="1">
        <v>456.9</v>
      </c>
      <c r="M85" s="34">
        <v>41426</v>
      </c>
      <c r="N85" s="1">
        <v>89.1</v>
      </c>
    </row>
    <row r="86" spans="1:14" x14ac:dyDescent="0.25">
      <c r="A86" s="34">
        <v>41456</v>
      </c>
      <c r="B86" s="1">
        <v>449.1</v>
      </c>
      <c r="C86" s="34">
        <v>41456</v>
      </c>
      <c r="D86" s="1">
        <v>541</v>
      </c>
      <c r="E86" s="34">
        <v>41456</v>
      </c>
      <c r="F86" s="1">
        <v>5.7</v>
      </c>
      <c r="G86" s="34">
        <v>41456</v>
      </c>
      <c r="H86" s="1">
        <v>0.49</v>
      </c>
      <c r="I86" s="34">
        <v>41456</v>
      </c>
      <c r="J86" s="1">
        <v>164.35</v>
      </c>
      <c r="K86" s="34">
        <v>41456</v>
      </c>
      <c r="L86" s="1">
        <v>456.4</v>
      </c>
      <c r="M86" s="34">
        <v>41456</v>
      </c>
      <c r="N86" s="1">
        <v>85.7</v>
      </c>
    </row>
    <row r="87" spans="1:14" x14ac:dyDescent="0.25">
      <c r="A87" s="34">
        <v>41487</v>
      </c>
      <c r="B87" s="1">
        <v>449.3</v>
      </c>
      <c r="C87" s="34">
        <v>41487</v>
      </c>
      <c r="D87" s="1">
        <v>713</v>
      </c>
      <c r="E87" s="34">
        <v>41487</v>
      </c>
      <c r="F87" s="1">
        <v>5.7</v>
      </c>
      <c r="G87" s="34">
        <v>41487</v>
      </c>
      <c r="H87" s="1">
        <v>0.8</v>
      </c>
      <c r="I87" s="34">
        <v>41487</v>
      </c>
      <c r="J87" s="1">
        <v>164.46</v>
      </c>
      <c r="K87" s="34">
        <v>41487</v>
      </c>
      <c r="L87" s="1">
        <v>458.3</v>
      </c>
      <c r="M87" s="34">
        <v>41487</v>
      </c>
      <c r="N87" s="1">
        <v>85.9</v>
      </c>
    </row>
    <row r="88" spans="1:14" x14ac:dyDescent="0.25">
      <c r="A88" s="34">
        <v>41518</v>
      </c>
      <c r="B88" s="1">
        <v>449.8</v>
      </c>
      <c r="C88" s="34">
        <v>41518</v>
      </c>
      <c r="D88" s="1">
        <v>183</v>
      </c>
      <c r="E88" s="34">
        <v>41518</v>
      </c>
      <c r="F88" s="1">
        <v>5.6</v>
      </c>
      <c r="G88" s="34">
        <v>41518</v>
      </c>
      <c r="H88" s="1">
        <v>1.37</v>
      </c>
      <c r="I88" s="34">
        <v>41518</v>
      </c>
      <c r="J88" s="1">
        <v>164.71</v>
      </c>
      <c r="K88" s="34">
        <v>41518</v>
      </c>
      <c r="L88" s="1">
        <v>457.2</v>
      </c>
      <c r="M88" s="34">
        <v>41518</v>
      </c>
      <c r="N88" s="1">
        <v>90.7</v>
      </c>
    </row>
    <row r="89" spans="1:14" x14ac:dyDescent="0.25">
      <c r="A89" s="34">
        <v>41548</v>
      </c>
      <c r="B89" s="1">
        <v>448.3</v>
      </c>
      <c r="C89" s="34">
        <v>41548</v>
      </c>
      <c r="D89" s="1">
        <v>249</v>
      </c>
      <c r="E89" s="34">
        <v>41548</v>
      </c>
      <c r="F89" s="1">
        <v>5.5</v>
      </c>
      <c r="G89" s="34">
        <v>41548</v>
      </c>
      <c r="H89" s="1">
        <v>1.19</v>
      </c>
      <c r="I89" s="34">
        <v>41548</v>
      </c>
      <c r="J89" s="1">
        <v>165.03</v>
      </c>
      <c r="K89" s="34">
        <v>41548</v>
      </c>
      <c r="L89" s="1">
        <v>453</v>
      </c>
      <c r="M89" s="34">
        <v>41548</v>
      </c>
      <c r="N89" s="1">
        <v>91.1</v>
      </c>
    </row>
    <row r="90" spans="1:14" x14ac:dyDescent="0.25">
      <c r="A90" s="34">
        <v>41579</v>
      </c>
      <c r="B90" s="1">
        <v>449.9</v>
      </c>
      <c r="C90" s="34">
        <v>41579</v>
      </c>
      <c r="D90" s="1">
        <v>563</v>
      </c>
      <c r="E90" s="34">
        <v>41579</v>
      </c>
      <c r="F90" s="1">
        <v>5.4</v>
      </c>
      <c r="G90" s="34">
        <v>41579</v>
      </c>
      <c r="H90" s="1">
        <v>0.95</v>
      </c>
      <c r="I90" s="34">
        <v>41579</v>
      </c>
      <c r="J90" s="1">
        <v>165.31</v>
      </c>
      <c r="K90" s="34">
        <v>41579</v>
      </c>
      <c r="L90" s="1">
        <v>450.1</v>
      </c>
      <c r="M90" s="34">
        <v>41579</v>
      </c>
      <c r="N90" s="1">
        <v>91</v>
      </c>
    </row>
    <row r="91" spans="1:14" x14ac:dyDescent="0.25">
      <c r="A91" s="34">
        <v>41609</v>
      </c>
      <c r="B91" s="1">
        <v>450.6</v>
      </c>
      <c r="C91" s="34">
        <v>41609</v>
      </c>
      <c r="D91" s="1">
        <v>83</v>
      </c>
      <c r="E91" s="34">
        <v>41609</v>
      </c>
      <c r="F91" s="1">
        <v>5.4</v>
      </c>
      <c r="G91" s="34">
        <v>41609</v>
      </c>
      <c r="H91" s="1">
        <v>1.33</v>
      </c>
      <c r="I91" s="34">
        <v>41609</v>
      </c>
      <c r="J91" s="1">
        <v>165.62</v>
      </c>
      <c r="K91" s="34">
        <v>41609</v>
      </c>
      <c r="L91" s="1">
        <v>448.7</v>
      </c>
      <c r="M91" s="34">
        <v>41609</v>
      </c>
      <c r="N91" s="1">
        <v>90.5</v>
      </c>
    </row>
    <row r="92" spans="1:14" x14ac:dyDescent="0.25">
      <c r="A92" s="34">
        <v>41640</v>
      </c>
      <c r="B92" s="1">
        <v>452.4</v>
      </c>
      <c r="C92" s="34">
        <v>41640</v>
      </c>
      <c r="D92" s="1">
        <v>120</v>
      </c>
      <c r="E92" s="34">
        <v>41640</v>
      </c>
      <c r="F92" s="1">
        <v>5.3</v>
      </c>
      <c r="G92" s="34">
        <v>41640</v>
      </c>
      <c r="H92" s="1">
        <v>2.04</v>
      </c>
      <c r="I92" s="34">
        <v>41640</v>
      </c>
      <c r="J92" s="1">
        <v>166.09</v>
      </c>
      <c r="K92" s="34">
        <v>41640</v>
      </c>
      <c r="L92" s="1">
        <v>437.5</v>
      </c>
      <c r="M92" s="34">
        <v>41640</v>
      </c>
      <c r="N92" s="1">
        <v>88.2</v>
      </c>
    </row>
    <row r="93" spans="1:14" x14ac:dyDescent="0.25">
      <c r="A93" s="34">
        <v>41671</v>
      </c>
      <c r="B93" s="1">
        <v>452.5</v>
      </c>
      <c r="C93" s="34">
        <v>41671</v>
      </c>
      <c r="D93" s="1">
        <v>78</v>
      </c>
      <c r="E93" s="34">
        <v>41671</v>
      </c>
      <c r="F93" s="1">
        <v>5.0999999999999996</v>
      </c>
      <c r="G93" s="34">
        <v>41671</v>
      </c>
      <c r="H93" s="1">
        <v>2.1</v>
      </c>
      <c r="I93" s="34">
        <v>41671</v>
      </c>
      <c r="J93" s="1">
        <v>166.66</v>
      </c>
      <c r="K93" s="34">
        <v>41671</v>
      </c>
      <c r="L93" s="1">
        <v>439.1</v>
      </c>
      <c r="M93" s="34">
        <v>41671</v>
      </c>
      <c r="N93" s="1">
        <v>89.9</v>
      </c>
    </row>
    <row r="94" spans="1:14" x14ac:dyDescent="0.25">
      <c r="A94" s="34">
        <v>41699</v>
      </c>
      <c r="B94" s="1">
        <v>453.5</v>
      </c>
      <c r="C94" s="34">
        <v>41699</v>
      </c>
      <c r="D94" s="1">
        <v>184</v>
      </c>
      <c r="E94" s="34">
        <v>41699</v>
      </c>
      <c r="F94" s="1">
        <v>5.0999999999999996</v>
      </c>
      <c r="G94" s="34">
        <v>41699</v>
      </c>
      <c r="H94" s="1">
        <v>1.58</v>
      </c>
      <c r="I94" s="34">
        <v>41699</v>
      </c>
      <c r="J94" s="1">
        <v>167.23</v>
      </c>
      <c r="K94" s="34">
        <v>41699</v>
      </c>
      <c r="L94" s="1">
        <v>443.4</v>
      </c>
      <c r="M94" s="34">
        <v>41699</v>
      </c>
      <c r="N94" s="1">
        <v>90.9</v>
      </c>
    </row>
    <row r="95" spans="1:14" x14ac:dyDescent="0.25">
      <c r="A95" s="34">
        <v>41730</v>
      </c>
      <c r="B95" s="1">
        <v>453.5</v>
      </c>
      <c r="C95" s="34">
        <v>41730</v>
      </c>
      <c r="D95" s="1">
        <v>268</v>
      </c>
      <c r="E95" s="34">
        <v>41730</v>
      </c>
      <c r="F95" s="1">
        <v>4.8</v>
      </c>
      <c r="G95" s="34">
        <v>41730</v>
      </c>
      <c r="H95" s="1">
        <v>3.19</v>
      </c>
      <c r="I95" s="34">
        <v>41730</v>
      </c>
      <c r="J95" s="1">
        <v>167.99</v>
      </c>
      <c r="K95" s="34">
        <v>41730</v>
      </c>
      <c r="L95" s="1">
        <v>448.3</v>
      </c>
      <c r="M95" s="34">
        <v>41730</v>
      </c>
      <c r="N95" s="1">
        <v>90.8</v>
      </c>
    </row>
    <row r="96" spans="1:14" x14ac:dyDescent="0.25">
      <c r="A96" s="34">
        <v>41760</v>
      </c>
      <c r="B96" s="1">
        <v>452.9</v>
      </c>
      <c r="C96" s="34">
        <v>41760</v>
      </c>
      <c r="D96" s="1">
        <v>316</v>
      </c>
      <c r="E96" s="34">
        <v>41760</v>
      </c>
      <c r="F96" s="1">
        <v>4.5999999999999996</v>
      </c>
      <c r="G96" s="34">
        <v>41760</v>
      </c>
      <c r="H96" s="1">
        <v>2.4900000000000002</v>
      </c>
      <c r="I96" s="34">
        <v>41760</v>
      </c>
      <c r="J96" s="1">
        <v>168.85</v>
      </c>
      <c r="K96" s="34">
        <v>41760</v>
      </c>
      <c r="L96" s="1">
        <v>457</v>
      </c>
      <c r="M96" s="34">
        <v>41760</v>
      </c>
      <c r="N96" s="1">
        <v>91.8</v>
      </c>
    </row>
    <row r="97" spans="1:14" x14ac:dyDescent="0.25">
      <c r="A97" s="34">
        <v>41791</v>
      </c>
      <c r="B97" s="1">
        <v>454.8</v>
      </c>
      <c r="C97" s="34">
        <v>41791</v>
      </c>
      <c r="D97" s="1">
        <v>320</v>
      </c>
      <c r="E97" s="34">
        <v>41791</v>
      </c>
      <c r="F97" s="1">
        <v>4.5</v>
      </c>
      <c r="G97" s="34">
        <v>41791</v>
      </c>
      <c r="H97" s="1">
        <v>0.98</v>
      </c>
      <c r="I97" s="34">
        <v>41791</v>
      </c>
      <c r="J97" s="1">
        <v>169.44</v>
      </c>
      <c r="K97" s="34">
        <v>41791</v>
      </c>
      <c r="L97" s="1">
        <v>465</v>
      </c>
      <c r="M97" s="34">
        <v>41791</v>
      </c>
      <c r="N97" s="1">
        <v>89.2</v>
      </c>
    </row>
    <row r="98" spans="1:14" x14ac:dyDescent="0.25">
      <c r="A98" s="34">
        <v>41821</v>
      </c>
      <c r="B98" s="1">
        <v>457.5</v>
      </c>
      <c r="C98" s="34">
        <v>41821</v>
      </c>
      <c r="D98" s="1">
        <v>491</v>
      </c>
      <c r="E98" s="34">
        <v>41821</v>
      </c>
      <c r="F98" s="1">
        <v>4.5999999999999996</v>
      </c>
      <c r="G98" s="34">
        <v>41821</v>
      </c>
      <c r="H98" s="1">
        <v>0.3</v>
      </c>
      <c r="I98" s="34">
        <v>41821</v>
      </c>
      <c r="J98" s="1">
        <v>169.63</v>
      </c>
      <c r="K98" s="34">
        <v>41821</v>
      </c>
      <c r="L98" s="1">
        <v>466.9</v>
      </c>
      <c r="M98" s="34">
        <v>41821</v>
      </c>
      <c r="N98" s="1">
        <v>86</v>
      </c>
    </row>
    <row r="99" spans="1:14" x14ac:dyDescent="0.25">
      <c r="A99" s="34">
        <v>41852</v>
      </c>
      <c r="B99" s="1">
        <v>457.6</v>
      </c>
      <c r="C99" s="34">
        <v>41852</v>
      </c>
      <c r="D99" s="1">
        <v>322</v>
      </c>
      <c r="E99" s="34">
        <v>41852</v>
      </c>
      <c r="F99" s="1">
        <v>4.7</v>
      </c>
      <c r="G99" s="34">
        <v>41852</v>
      </c>
      <c r="H99" s="1">
        <v>1.05</v>
      </c>
      <c r="I99" s="34">
        <v>41852</v>
      </c>
      <c r="J99" s="1">
        <v>169.73</v>
      </c>
      <c r="K99" s="34">
        <v>41852</v>
      </c>
      <c r="L99" s="1">
        <v>466.7</v>
      </c>
      <c r="M99" s="34">
        <v>41852</v>
      </c>
      <c r="N99" s="1">
        <v>85.8</v>
      </c>
    </row>
    <row r="100" spans="1:14" x14ac:dyDescent="0.25">
      <c r="A100" s="34">
        <v>41883</v>
      </c>
      <c r="B100" s="1">
        <v>457.9</v>
      </c>
      <c r="C100" s="34">
        <v>41883</v>
      </c>
      <c r="D100" s="1">
        <v>335</v>
      </c>
      <c r="E100" s="34">
        <v>41883</v>
      </c>
      <c r="F100" s="1">
        <v>4.5999999999999996</v>
      </c>
      <c r="G100" s="34">
        <v>41883</v>
      </c>
      <c r="H100" s="1">
        <v>1.47</v>
      </c>
      <c r="I100" s="34">
        <v>41883</v>
      </c>
      <c r="J100" s="1">
        <v>170.04</v>
      </c>
      <c r="K100" s="34">
        <v>41883</v>
      </c>
      <c r="L100" s="1">
        <v>464.6</v>
      </c>
      <c r="M100" s="34">
        <v>41883</v>
      </c>
      <c r="N100" s="1">
        <v>90.6</v>
      </c>
    </row>
    <row r="101" spans="1:14" x14ac:dyDescent="0.25">
      <c r="A101" s="34">
        <v>41913</v>
      </c>
      <c r="B101" s="1">
        <v>455.1</v>
      </c>
      <c r="C101" s="34">
        <v>41913</v>
      </c>
      <c r="D101" s="1">
        <v>408</v>
      </c>
      <c r="E101" s="34">
        <v>41913</v>
      </c>
      <c r="F101" s="1">
        <v>4.5</v>
      </c>
      <c r="G101" s="34">
        <v>41913</v>
      </c>
      <c r="H101" s="1">
        <v>1.86</v>
      </c>
      <c r="I101" s="34">
        <v>41913</v>
      </c>
      <c r="J101" s="1">
        <v>170.52</v>
      </c>
      <c r="K101" s="34">
        <v>41913</v>
      </c>
      <c r="L101" s="1">
        <v>461.5</v>
      </c>
      <c r="M101" s="34">
        <v>41913</v>
      </c>
      <c r="N101" s="1">
        <v>91</v>
      </c>
    </row>
    <row r="102" spans="1:14" x14ac:dyDescent="0.25">
      <c r="A102" s="34">
        <v>41944</v>
      </c>
      <c r="B102" s="1">
        <v>454.7</v>
      </c>
      <c r="C102" s="34">
        <v>41944</v>
      </c>
      <c r="D102" s="1">
        <v>205</v>
      </c>
      <c r="E102" s="34">
        <v>41944</v>
      </c>
      <c r="F102" s="1">
        <v>4.3</v>
      </c>
      <c r="G102" s="34">
        <v>41944</v>
      </c>
      <c r="H102" s="1">
        <v>2.0299999999999998</v>
      </c>
      <c r="I102" s="34">
        <v>41944</v>
      </c>
      <c r="J102" s="1">
        <v>171.09</v>
      </c>
      <c r="K102" s="34">
        <v>41944</v>
      </c>
      <c r="L102" s="1">
        <v>456.7</v>
      </c>
      <c r="M102" s="34">
        <v>41944</v>
      </c>
      <c r="N102" s="1">
        <v>90.9</v>
      </c>
    </row>
    <row r="103" spans="1:14" x14ac:dyDescent="0.25">
      <c r="A103" s="34">
        <v>41974</v>
      </c>
      <c r="B103" s="1">
        <v>457.8</v>
      </c>
      <c r="E103" s="34">
        <v>41974</v>
      </c>
      <c r="F103" s="1">
        <v>4.2</v>
      </c>
      <c r="K103" s="34">
        <v>41974</v>
      </c>
      <c r="L103" s="1">
        <v>456</v>
      </c>
      <c r="M103" s="34">
        <v>41974</v>
      </c>
      <c r="N103" s="1">
        <v>90.2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P103"/>
  <sheetViews>
    <sheetView topLeftCell="A77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213</v>
      </c>
      <c r="C1" s="34" t="s">
        <v>214</v>
      </c>
      <c r="E1" s="34" t="s">
        <v>215</v>
      </c>
      <c r="G1" s="34" t="s">
        <v>216</v>
      </c>
      <c r="I1" s="34" t="s">
        <v>217</v>
      </c>
      <c r="K1" s="34" t="str">
        <f>CONCATENATE(LEFT(A1,2), "NAN")</f>
        <v>NCNAN</v>
      </c>
      <c r="M1" s="34" t="str">
        <f>CONCATENATE(LEFT(A1,2), "GOVTN")</f>
        <v>NCGOVTN</v>
      </c>
      <c r="O1" s="34" t="str">
        <f>CONCATENATE(LEFT($A$1,2), "RGSP")</f>
        <v>NCRGSP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898</v>
      </c>
      <c r="C5" s="35" t="s">
        <v>407</v>
      </c>
      <c r="E5" s="35" t="s">
        <v>408</v>
      </c>
      <c r="G5" s="35" t="s">
        <v>409</v>
      </c>
      <c r="I5" s="35" t="s">
        <v>410</v>
      </c>
      <c r="K5" s="35" t="s">
        <v>898</v>
      </c>
      <c r="M5" s="35" t="s">
        <v>899</v>
      </c>
      <c r="O5" s="35" t="s">
        <v>793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4107.8</v>
      </c>
      <c r="C8" s="34">
        <v>39083</v>
      </c>
      <c r="D8" s="1">
        <v>7731</v>
      </c>
      <c r="E8" s="34">
        <v>39083</v>
      </c>
      <c r="F8" s="1">
        <v>4.7</v>
      </c>
      <c r="G8" s="34">
        <v>39083</v>
      </c>
      <c r="H8" s="1">
        <v>1.88</v>
      </c>
      <c r="I8" s="34">
        <v>39083</v>
      </c>
      <c r="J8" s="1">
        <v>155.69</v>
      </c>
      <c r="K8" s="34">
        <v>39083</v>
      </c>
      <c r="L8" s="1">
        <v>4050.2</v>
      </c>
      <c r="M8" s="34">
        <v>39083</v>
      </c>
      <c r="N8" s="1">
        <v>701.7</v>
      </c>
      <c r="O8" s="34">
        <v>39083</v>
      </c>
      <c r="P8" s="1">
        <v>417105</v>
      </c>
    </row>
    <row r="9" spans="1:16" x14ac:dyDescent="0.25">
      <c r="A9" s="34">
        <v>39114</v>
      </c>
      <c r="B9" s="1">
        <v>4118.2</v>
      </c>
      <c r="C9" s="34">
        <v>39114</v>
      </c>
      <c r="D9" s="1">
        <v>6864</v>
      </c>
      <c r="E9" s="34">
        <v>39114</v>
      </c>
      <c r="F9" s="1">
        <v>4.5999999999999996</v>
      </c>
      <c r="G9" s="34">
        <v>39114</v>
      </c>
      <c r="H9" s="1">
        <v>1.76</v>
      </c>
      <c r="I9" s="34">
        <v>39114</v>
      </c>
      <c r="J9" s="1">
        <v>156.33000000000001</v>
      </c>
      <c r="K9" s="34">
        <v>39114</v>
      </c>
      <c r="L9" s="1">
        <v>4073.3</v>
      </c>
      <c r="M9" s="34">
        <v>39114</v>
      </c>
      <c r="N9" s="1">
        <v>708.4</v>
      </c>
      <c r="O9" s="34">
        <v>39448</v>
      </c>
      <c r="P9" s="1">
        <v>416316</v>
      </c>
    </row>
    <row r="10" spans="1:16" x14ac:dyDescent="0.25">
      <c r="A10" s="34">
        <v>39142</v>
      </c>
      <c r="B10" s="1">
        <v>4131</v>
      </c>
      <c r="C10" s="34">
        <v>39142</v>
      </c>
      <c r="D10" s="1">
        <v>8554</v>
      </c>
      <c r="E10" s="34">
        <v>39142</v>
      </c>
      <c r="F10" s="1">
        <v>4.5999999999999996</v>
      </c>
      <c r="G10" s="34">
        <v>39142</v>
      </c>
      <c r="H10" s="1">
        <v>0.89</v>
      </c>
      <c r="I10" s="34">
        <v>39142</v>
      </c>
      <c r="J10" s="1">
        <v>156.85</v>
      </c>
      <c r="K10" s="34">
        <v>39142</v>
      </c>
      <c r="L10" s="1">
        <v>4113.5</v>
      </c>
      <c r="M10" s="34">
        <v>39142</v>
      </c>
      <c r="N10" s="1">
        <v>713.6</v>
      </c>
      <c r="O10" s="34">
        <v>39814</v>
      </c>
      <c r="P10" s="1">
        <v>409453</v>
      </c>
    </row>
    <row r="11" spans="1:16" x14ac:dyDescent="0.25">
      <c r="A11" s="34">
        <v>39173</v>
      </c>
      <c r="B11" s="1">
        <v>4126.8</v>
      </c>
      <c r="C11" s="34">
        <v>39173</v>
      </c>
      <c r="D11" s="1">
        <v>7148</v>
      </c>
      <c r="E11" s="34">
        <v>39173</v>
      </c>
      <c r="F11" s="1">
        <v>4.5999999999999996</v>
      </c>
      <c r="G11" s="34">
        <v>39173</v>
      </c>
      <c r="H11" s="1">
        <v>0.46</v>
      </c>
      <c r="I11" s="34">
        <v>39173</v>
      </c>
      <c r="J11" s="1">
        <v>157.21</v>
      </c>
      <c r="K11" s="34">
        <v>39173</v>
      </c>
      <c r="L11" s="1">
        <v>4123</v>
      </c>
      <c r="M11" s="34">
        <v>39173</v>
      </c>
      <c r="N11" s="1">
        <v>713.5</v>
      </c>
      <c r="O11" s="34">
        <v>40179</v>
      </c>
      <c r="P11" s="1">
        <v>418473</v>
      </c>
    </row>
    <row r="12" spans="1:16" x14ac:dyDescent="0.25">
      <c r="A12" s="34">
        <v>39203</v>
      </c>
      <c r="B12" s="1">
        <v>4136.7</v>
      </c>
      <c r="C12" s="34">
        <v>39203</v>
      </c>
      <c r="D12" s="1">
        <v>8111</v>
      </c>
      <c r="E12" s="34">
        <v>39203</v>
      </c>
      <c r="F12" s="1">
        <v>4.7</v>
      </c>
      <c r="G12" s="34">
        <v>39203</v>
      </c>
      <c r="H12" s="1">
        <v>0.87</v>
      </c>
      <c r="I12" s="34">
        <v>39203</v>
      </c>
      <c r="J12" s="1">
        <v>157.47999999999999</v>
      </c>
      <c r="K12" s="34">
        <v>39203</v>
      </c>
      <c r="L12" s="1">
        <v>4160.6000000000004</v>
      </c>
      <c r="M12" s="34">
        <v>39203</v>
      </c>
      <c r="N12" s="1">
        <v>717.6</v>
      </c>
      <c r="O12" s="34">
        <v>40544</v>
      </c>
      <c r="P12" s="1">
        <v>419683</v>
      </c>
    </row>
    <row r="13" spans="1:16" x14ac:dyDescent="0.25">
      <c r="A13" s="34">
        <v>39234</v>
      </c>
      <c r="B13" s="1">
        <v>4151.3999999999996</v>
      </c>
      <c r="C13" s="34">
        <v>39234</v>
      </c>
      <c r="D13" s="1">
        <v>7844</v>
      </c>
      <c r="E13" s="34">
        <v>39234</v>
      </c>
      <c r="F13" s="1">
        <v>4.7</v>
      </c>
      <c r="G13" s="34">
        <v>39234</v>
      </c>
      <c r="H13" s="1">
        <v>0.62</v>
      </c>
      <c r="I13" s="34">
        <v>39234</v>
      </c>
      <c r="J13" s="1">
        <v>157.72</v>
      </c>
      <c r="K13" s="34">
        <v>39234</v>
      </c>
      <c r="L13" s="1">
        <v>4164.1000000000004</v>
      </c>
      <c r="M13" s="34">
        <v>39234</v>
      </c>
      <c r="N13" s="1">
        <v>689.5</v>
      </c>
      <c r="O13" s="34">
        <v>40909</v>
      </c>
      <c r="P13" s="1">
        <v>429707</v>
      </c>
    </row>
    <row r="14" spans="1:16" x14ac:dyDescent="0.25">
      <c r="A14" s="34">
        <v>39264</v>
      </c>
      <c r="B14" s="1">
        <v>4145</v>
      </c>
      <c r="C14" s="34">
        <v>39264</v>
      </c>
      <c r="D14" s="1">
        <v>6921</v>
      </c>
      <c r="E14" s="34">
        <v>39264</v>
      </c>
      <c r="F14" s="1">
        <v>4.8</v>
      </c>
      <c r="G14" s="34">
        <v>39264</v>
      </c>
      <c r="H14" s="1">
        <v>0.13</v>
      </c>
      <c r="I14" s="34">
        <v>39264</v>
      </c>
      <c r="J14" s="1">
        <v>157.88999999999999</v>
      </c>
      <c r="K14" s="34">
        <v>39264</v>
      </c>
      <c r="L14" s="1">
        <v>4077.2</v>
      </c>
      <c r="M14" s="34">
        <v>39264</v>
      </c>
      <c r="N14" s="1">
        <v>616.1</v>
      </c>
      <c r="O14" s="34">
        <v>41275</v>
      </c>
      <c r="P14" s="1">
        <v>439672</v>
      </c>
    </row>
    <row r="15" spans="1:16" x14ac:dyDescent="0.25">
      <c r="A15" s="34">
        <v>39295</v>
      </c>
      <c r="B15" s="1">
        <v>4149.8999999999996</v>
      </c>
      <c r="C15" s="34">
        <v>39295</v>
      </c>
      <c r="D15" s="1">
        <v>6766</v>
      </c>
      <c r="E15" s="34">
        <v>39295</v>
      </c>
      <c r="F15" s="1">
        <v>4.8</v>
      </c>
      <c r="G15" s="34">
        <v>39295</v>
      </c>
      <c r="H15" s="1">
        <v>0.71</v>
      </c>
      <c r="I15" s="34">
        <v>39295</v>
      </c>
      <c r="J15" s="1">
        <v>158.06</v>
      </c>
      <c r="K15" s="34">
        <v>39295</v>
      </c>
      <c r="L15" s="1">
        <v>4155.8999999999996</v>
      </c>
      <c r="M15" s="34">
        <v>39295</v>
      </c>
      <c r="N15" s="1">
        <v>680.8</v>
      </c>
    </row>
    <row r="16" spans="1:16" x14ac:dyDescent="0.25">
      <c r="A16" s="34">
        <v>39326</v>
      </c>
      <c r="B16" s="1">
        <v>4149.8999999999996</v>
      </c>
      <c r="C16" s="34">
        <v>39326</v>
      </c>
      <c r="D16" s="1">
        <v>6185</v>
      </c>
      <c r="E16" s="34">
        <v>39326</v>
      </c>
      <c r="F16" s="1">
        <v>4.9000000000000004</v>
      </c>
      <c r="G16" s="34">
        <v>39326</v>
      </c>
      <c r="H16" s="1">
        <v>0.51</v>
      </c>
      <c r="I16" s="34">
        <v>39326</v>
      </c>
      <c r="J16" s="1">
        <v>158.22999999999999</v>
      </c>
      <c r="K16" s="34">
        <v>39326</v>
      </c>
      <c r="L16" s="1">
        <v>4182.3</v>
      </c>
      <c r="M16" s="34">
        <v>39326</v>
      </c>
      <c r="N16" s="1">
        <v>719.1</v>
      </c>
    </row>
    <row r="17" spans="1:14" x14ac:dyDescent="0.25">
      <c r="A17" s="34">
        <v>39356</v>
      </c>
      <c r="B17" s="1">
        <v>4154.7</v>
      </c>
      <c r="C17" s="34">
        <v>39356</v>
      </c>
      <c r="D17" s="1">
        <v>5588</v>
      </c>
      <c r="E17" s="34">
        <v>39356</v>
      </c>
      <c r="F17" s="1">
        <v>4.9000000000000004</v>
      </c>
      <c r="G17" s="34">
        <v>39356</v>
      </c>
      <c r="H17" s="1">
        <v>1.05</v>
      </c>
      <c r="I17" s="34">
        <v>39356</v>
      </c>
      <c r="J17" s="1">
        <v>158.46</v>
      </c>
      <c r="K17" s="34">
        <v>39356</v>
      </c>
      <c r="L17" s="1">
        <v>4185.2</v>
      </c>
      <c r="M17" s="34">
        <v>39356</v>
      </c>
      <c r="N17" s="1">
        <v>719.9</v>
      </c>
    </row>
    <row r="18" spans="1:14" x14ac:dyDescent="0.25">
      <c r="A18" s="34">
        <v>39387</v>
      </c>
      <c r="B18" s="1">
        <v>4161.8999999999996</v>
      </c>
      <c r="C18" s="34">
        <v>39387</v>
      </c>
      <c r="D18" s="1">
        <v>5920</v>
      </c>
      <c r="E18" s="34">
        <v>39387</v>
      </c>
      <c r="F18" s="1">
        <v>4.9000000000000004</v>
      </c>
      <c r="G18" s="34">
        <v>39387</v>
      </c>
      <c r="H18" s="1">
        <v>0.56999999999999995</v>
      </c>
      <c r="I18" s="34">
        <v>39387</v>
      </c>
      <c r="J18" s="1">
        <v>158.71</v>
      </c>
      <c r="K18" s="34">
        <v>39387</v>
      </c>
      <c r="L18" s="1">
        <v>4203.3999999999996</v>
      </c>
      <c r="M18" s="34">
        <v>39387</v>
      </c>
      <c r="N18" s="1">
        <v>727.3</v>
      </c>
    </row>
    <row r="19" spans="1:14" x14ac:dyDescent="0.25">
      <c r="A19" s="34">
        <v>39417</v>
      </c>
      <c r="B19" s="1">
        <v>4168</v>
      </c>
      <c r="C19" s="34">
        <v>39417</v>
      </c>
      <c r="D19" s="1">
        <v>4419</v>
      </c>
      <c r="E19" s="34">
        <v>39417</v>
      </c>
      <c r="F19" s="1">
        <v>5</v>
      </c>
      <c r="G19" s="34">
        <v>39417</v>
      </c>
      <c r="H19" s="1">
        <v>0.01</v>
      </c>
      <c r="I19" s="34">
        <v>39417</v>
      </c>
      <c r="J19" s="1">
        <v>158.91</v>
      </c>
      <c r="K19" s="34">
        <v>39417</v>
      </c>
      <c r="L19" s="1">
        <v>4206.3999999999996</v>
      </c>
      <c r="M19" s="34">
        <v>39417</v>
      </c>
      <c r="N19" s="1">
        <v>726</v>
      </c>
    </row>
    <row r="20" spans="1:14" x14ac:dyDescent="0.25">
      <c r="A20" s="34">
        <v>39448</v>
      </c>
      <c r="B20" s="1">
        <v>4168.7</v>
      </c>
      <c r="C20" s="34">
        <v>39448</v>
      </c>
      <c r="D20" s="1">
        <v>5375</v>
      </c>
      <c r="E20" s="34">
        <v>39448</v>
      </c>
      <c r="F20" s="1">
        <v>5.0999999999999996</v>
      </c>
      <c r="G20" s="34">
        <v>39448</v>
      </c>
      <c r="H20" s="1">
        <v>0.06</v>
      </c>
      <c r="I20" s="34">
        <v>39448</v>
      </c>
      <c r="J20" s="1">
        <v>159.03</v>
      </c>
      <c r="K20" s="34">
        <v>39448</v>
      </c>
      <c r="L20" s="1">
        <v>4109.3999999999996</v>
      </c>
      <c r="M20" s="34">
        <v>39448</v>
      </c>
      <c r="N20" s="1">
        <v>717.1</v>
      </c>
    </row>
    <row r="21" spans="1:14" x14ac:dyDescent="0.25">
      <c r="A21" s="34">
        <v>39479</v>
      </c>
      <c r="B21" s="1">
        <v>4174.5</v>
      </c>
      <c r="C21" s="34">
        <v>39479</v>
      </c>
      <c r="D21" s="1">
        <v>5396</v>
      </c>
      <c r="E21" s="34">
        <v>39479</v>
      </c>
      <c r="F21" s="1">
        <v>5.0999999999999996</v>
      </c>
      <c r="G21" s="34">
        <v>39479</v>
      </c>
      <c r="H21" s="1">
        <v>-0.59</v>
      </c>
      <c r="I21" s="34">
        <v>39479</v>
      </c>
      <c r="J21" s="1">
        <v>159.05000000000001</v>
      </c>
      <c r="K21" s="34">
        <v>39479</v>
      </c>
      <c r="L21" s="1">
        <v>4129</v>
      </c>
      <c r="M21" s="34">
        <v>39479</v>
      </c>
      <c r="N21" s="1">
        <v>724.8</v>
      </c>
    </row>
    <row r="22" spans="1:14" x14ac:dyDescent="0.25">
      <c r="A22" s="34">
        <v>39508</v>
      </c>
      <c r="B22" s="1">
        <v>4168.5</v>
      </c>
      <c r="C22" s="34">
        <v>39508</v>
      </c>
      <c r="D22" s="1">
        <v>5348</v>
      </c>
      <c r="E22" s="34">
        <v>39508</v>
      </c>
      <c r="F22" s="1">
        <v>5.3</v>
      </c>
      <c r="G22" s="34">
        <v>39508</v>
      </c>
      <c r="H22" s="1">
        <v>-1.57</v>
      </c>
      <c r="I22" s="34">
        <v>39508</v>
      </c>
      <c r="J22" s="1">
        <v>158.87</v>
      </c>
      <c r="K22" s="34">
        <v>39508</v>
      </c>
      <c r="L22" s="1">
        <v>4149.8</v>
      </c>
      <c r="M22" s="34">
        <v>39508</v>
      </c>
      <c r="N22" s="1">
        <v>730</v>
      </c>
    </row>
    <row r="23" spans="1:14" x14ac:dyDescent="0.25">
      <c r="A23" s="34">
        <v>39539</v>
      </c>
      <c r="B23" s="1">
        <v>4155.3999999999996</v>
      </c>
      <c r="C23" s="34">
        <v>39539</v>
      </c>
      <c r="D23" s="1">
        <v>5067</v>
      </c>
      <c r="E23" s="34">
        <v>39539</v>
      </c>
      <c r="F23" s="1">
        <v>5.4</v>
      </c>
      <c r="G23" s="34">
        <v>39539</v>
      </c>
      <c r="H23" s="1">
        <v>-1.63</v>
      </c>
      <c r="I23" s="34">
        <v>39539</v>
      </c>
      <c r="J23" s="1">
        <v>158.5</v>
      </c>
      <c r="K23" s="34">
        <v>39539</v>
      </c>
      <c r="L23" s="1">
        <v>4152.3</v>
      </c>
      <c r="M23" s="34">
        <v>39539</v>
      </c>
      <c r="N23" s="1">
        <v>731.7</v>
      </c>
    </row>
    <row r="24" spans="1:14" x14ac:dyDescent="0.25">
      <c r="A24" s="34">
        <v>39569</v>
      </c>
      <c r="B24" s="1">
        <v>4149.7</v>
      </c>
      <c r="C24" s="34">
        <v>39569</v>
      </c>
      <c r="D24" s="1">
        <v>4962</v>
      </c>
      <c r="E24" s="34">
        <v>39569</v>
      </c>
      <c r="F24" s="1">
        <v>5.8</v>
      </c>
      <c r="G24" s="34">
        <v>39569</v>
      </c>
      <c r="H24" s="1">
        <v>-1.83</v>
      </c>
      <c r="I24" s="34">
        <v>39569</v>
      </c>
      <c r="J24" s="1">
        <v>157.99</v>
      </c>
      <c r="K24" s="34">
        <v>39569</v>
      </c>
      <c r="L24" s="1">
        <v>4177.8</v>
      </c>
      <c r="M24" s="34">
        <v>39569</v>
      </c>
      <c r="N24" s="1">
        <v>736.3</v>
      </c>
    </row>
    <row r="25" spans="1:14" x14ac:dyDescent="0.25">
      <c r="A25" s="34">
        <v>39600</v>
      </c>
      <c r="B25" s="1">
        <v>4144.2</v>
      </c>
      <c r="C25" s="34">
        <v>39600</v>
      </c>
      <c r="D25" s="1">
        <v>5530</v>
      </c>
      <c r="E25" s="34">
        <v>39600</v>
      </c>
      <c r="F25" s="1">
        <v>6</v>
      </c>
      <c r="G25" s="34">
        <v>39600</v>
      </c>
      <c r="H25" s="1">
        <v>-1.42</v>
      </c>
      <c r="I25" s="34">
        <v>39600</v>
      </c>
      <c r="J25" s="1">
        <v>157.44</v>
      </c>
      <c r="K25" s="34">
        <v>39600</v>
      </c>
      <c r="L25" s="1">
        <v>4159.5</v>
      </c>
      <c r="M25" s="34">
        <v>39600</v>
      </c>
      <c r="N25" s="1">
        <v>708.4</v>
      </c>
    </row>
    <row r="26" spans="1:14" x14ac:dyDescent="0.25">
      <c r="A26" s="34">
        <v>39630</v>
      </c>
      <c r="B26" s="1">
        <v>4135.7</v>
      </c>
      <c r="C26" s="34">
        <v>39630</v>
      </c>
      <c r="D26" s="1">
        <v>6701</v>
      </c>
      <c r="E26" s="34">
        <v>39630</v>
      </c>
      <c r="F26" s="1">
        <v>6.4</v>
      </c>
      <c r="G26" s="34">
        <v>39630</v>
      </c>
      <c r="H26" s="1">
        <v>-1.96</v>
      </c>
      <c r="I26" s="34">
        <v>39630</v>
      </c>
      <c r="J26" s="1">
        <v>156.84</v>
      </c>
      <c r="K26" s="34">
        <v>39630</v>
      </c>
      <c r="L26" s="1">
        <v>4067.3</v>
      </c>
      <c r="M26" s="34">
        <v>39630</v>
      </c>
      <c r="N26" s="1">
        <v>629.70000000000005</v>
      </c>
    </row>
    <row r="27" spans="1:14" x14ac:dyDescent="0.25">
      <c r="A27" s="34">
        <v>39661</v>
      </c>
      <c r="B27" s="1">
        <v>4129.7</v>
      </c>
      <c r="C27" s="34">
        <v>39661</v>
      </c>
      <c r="D27" s="1">
        <v>4179</v>
      </c>
      <c r="E27" s="34">
        <v>39661</v>
      </c>
      <c r="F27" s="1">
        <v>6.6</v>
      </c>
      <c r="G27" s="34">
        <v>39661</v>
      </c>
      <c r="H27" s="1">
        <v>-1.81</v>
      </c>
      <c r="I27" s="34">
        <v>39661</v>
      </c>
      <c r="J27" s="1">
        <v>156.22</v>
      </c>
      <c r="K27" s="34">
        <v>39661</v>
      </c>
      <c r="L27" s="1">
        <v>4135.3999999999996</v>
      </c>
      <c r="M27" s="34">
        <v>39661</v>
      </c>
      <c r="N27" s="1">
        <v>695.5</v>
      </c>
    </row>
    <row r="28" spans="1:14" x14ac:dyDescent="0.25">
      <c r="A28" s="34">
        <v>39692</v>
      </c>
      <c r="B28" s="1">
        <v>4122.8999999999996</v>
      </c>
      <c r="C28" s="34">
        <v>39692</v>
      </c>
      <c r="D28" s="1">
        <v>3692</v>
      </c>
      <c r="E28" s="34">
        <v>39692</v>
      </c>
      <c r="F28" s="1">
        <v>6.9</v>
      </c>
      <c r="G28" s="34">
        <v>39692</v>
      </c>
      <c r="H28" s="1">
        <v>-3.08</v>
      </c>
      <c r="I28" s="34">
        <v>39692</v>
      </c>
      <c r="J28" s="1">
        <v>155.47999999999999</v>
      </c>
      <c r="K28" s="34">
        <v>39692</v>
      </c>
      <c r="L28" s="1">
        <v>4154.7</v>
      </c>
      <c r="M28" s="34">
        <v>39692</v>
      </c>
      <c r="N28" s="1">
        <v>740.6</v>
      </c>
    </row>
    <row r="29" spans="1:14" x14ac:dyDescent="0.25">
      <c r="A29" s="34">
        <v>39722</v>
      </c>
      <c r="B29" s="1">
        <v>4094.6</v>
      </c>
      <c r="C29" s="34">
        <v>39722</v>
      </c>
      <c r="D29" s="1">
        <v>3551</v>
      </c>
      <c r="E29" s="34">
        <v>39722</v>
      </c>
      <c r="F29" s="1">
        <v>7.3</v>
      </c>
      <c r="G29" s="34">
        <v>39722</v>
      </c>
      <c r="H29" s="1">
        <v>-3.92</v>
      </c>
      <c r="I29" s="34">
        <v>39722</v>
      </c>
      <c r="J29" s="1">
        <v>154.52000000000001</v>
      </c>
      <c r="K29" s="34">
        <v>39722</v>
      </c>
      <c r="L29" s="1">
        <v>4131</v>
      </c>
      <c r="M29" s="34">
        <v>39722</v>
      </c>
      <c r="N29" s="1">
        <v>742.3</v>
      </c>
    </row>
    <row r="30" spans="1:14" x14ac:dyDescent="0.25">
      <c r="A30" s="34">
        <v>39753</v>
      </c>
      <c r="B30" s="1">
        <v>4071.7</v>
      </c>
      <c r="C30" s="34">
        <v>39753</v>
      </c>
      <c r="D30" s="1">
        <v>2247</v>
      </c>
      <c r="E30" s="34">
        <v>39753</v>
      </c>
      <c r="F30" s="1">
        <v>7.7</v>
      </c>
      <c r="G30" s="34">
        <v>39753</v>
      </c>
      <c r="H30" s="1">
        <v>-5.16</v>
      </c>
      <c r="I30" s="34">
        <v>39753</v>
      </c>
      <c r="J30" s="1">
        <v>153.25</v>
      </c>
      <c r="K30" s="34">
        <v>39753</v>
      </c>
      <c r="L30" s="1">
        <v>4112.3</v>
      </c>
      <c r="M30" s="34">
        <v>39753</v>
      </c>
      <c r="N30" s="1">
        <v>747.2</v>
      </c>
    </row>
    <row r="31" spans="1:14" x14ac:dyDescent="0.25">
      <c r="A31" s="34">
        <v>39783</v>
      </c>
      <c r="B31" s="1">
        <v>4049.7</v>
      </c>
      <c r="C31" s="34">
        <v>39783</v>
      </c>
      <c r="D31" s="1">
        <v>2260</v>
      </c>
      <c r="E31" s="34">
        <v>39783</v>
      </c>
      <c r="F31" s="1">
        <v>8.4</v>
      </c>
      <c r="G31" s="34">
        <v>39783</v>
      </c>
      <c r="H31" s="1">
        <v>-5.86</v>
      </c>
      <c r="I31" s="34">
        <v>39783</v>
      </c>
      <c r="J31" s="1">
        <v>151.66999999999999</v>
      </c>
      <c r="K31" s="34">
        <v>39783</v>
      </c>
      <c r="L31" s="1">
        <v>4089.5</v>
      </c>
      <c r="M31" s="34">
        <v>39783</v>
      </c>
      <c r="N31" s="1">
        <v>745.2</v>
      </c>
    </row>
    <row r="32" spans="1:14" x14ac:dyDescent="0.25">
      <c r="A32" s="34">
        <v>39814</v>
      </c>
      <c r="B32" s="1">
        <v>3997.8</v>
      </c>
      <c r="C32" s="34">
        <v>39814</v>
      </c>
      <c r="D32" s="1">
        <v>2522</v>
      </c>
      <c r="E32" s="34">
        <v>39814</v>
      </c>
      <c r="F32" s="1">
        <v>9</v>
      </c>
      <c r="G32" s="34">
        <v>39814</v>
      </c>
      <c r="H32" s="1">
        <v>-5.22</v>
      </c>
      <c r="I32" s="34">
        <v>39814</v>
      </c>
      <c r="J32" s="1">
        <v>149.91999999999999</v>
      </c>
      <c r="K32" s="34">
        <v>39814</v>
      </c>
      <c r="L32" s="1">
        <v>3947.3</v>
      </c>
      <c r="M32" s="34">
        <v>39814</v>
      </c>
      <c r="N32" s="1">
        <v>732.5</v>
      </c>
    </row>
    <row r="33" spans="1:14" x14ac:dyDescent="0.25">
      <c r="A33" s="34">
        <v>39845</v>
      </c>
      <c r="B33" s="1">
        <v>3978.2</v>
      </c>
      <c r="C33" s="34">
        <v>39845</v>
      </c>
      <c r="D33" s="1">
        <v>2119</v>
      </c>
      <c r="E33" s="34">
        <v>39845</v>
      </c>
      <c r="F33" s="1">
        <v>9.5</v>
      </c>
      <c r="G33" s="34">
        <v>39845</v>
      </c>
      <c r="H33" s="1">
        <v>-4.29</v>
      </c>
      <c r="I33" s="34">
        <v>39845</v>
      </c>
      <c r="J33" s="1">
        <v>148.24</v>
      </c>
      <c r="K33" s="34">
        <v>39845</v>
      </c>
      <c r="L33" s="1">
        <v>3935.9</v>
      </c>
      <c r="M33" s="34">
        <v>39845</v>
      </c>
      <c r="N33" s="1">
        <v>736.3</v>
      </c>
    </row>
    <row r="34" spans="1:14" x14ac:dyDescent="0.25">
      <c r="A34" s="34">
        <v>39873</v>
      </c>
      <c r="B34" s="1">
        <v>3944.8</v>
      </c>
      <c r="C34" s="34">
        <v>39873</v>
      </c>
      <c r="D34" s="1">
        <v>2640</v>
      </c>
      <c r="E34" s="34">
        <v>39873</v>
      </c>
      <c r="F34" s="1">
        <v>10</v>
      </c>
      <c r="G34" s="34">
        <v>39873</v>
      </c>
      <c r="H34" s="1">
        <v>-3.56</v>
      </c>
      <c r="I34" s="34">
        <v>39873</v>
      </c>
      <c r="J34" s="1">
        <v>146.76</v>
      </c>
      <c r="K34" s="34">
        <v>39873</v>
      </c>
      <c r="L34" s="1">
        <v>3928.9</v>
      </c>
      <c r="M34" s="34">
        <v>39873</v>
      </c>
      <c r="N34" s="1">
        <v>741.5</v>
      </c>
    </row>
    <row r="35" spans="1:14" x14ac:dyDescent="0.25">
      <c r="A35" s="34">
        <v>39904</v>
      </c>
      <c r="B35" s="1">
        <v>3917.2</v>
      </c>
      <c r="C35" s="34">
        <v>39904</v>
      </c>
      <c r="D35" s="1">
        <v>3096</v>
      </c>
      <c r="E35" s="34">
        <v>39904</v>
      </c>
      <c r="F35" s="1">
        <v>10.199999999999999</v>
      </c>
      <c r="G35" s="34">
        <v>39904</v>
      </c>
      <c r="H35" s="1">
        <v>-2.2400000000000002</v>
      </c>
      <c r="I35" s="34">
        <v>39904</v>
      </c>
      <c r="J35" s="1">
        <v>145.6</v>
      </c>
      <c r="K35" s="34">
        <v>39904</v>
      </c>
      <c r="L35" s="1">
        <v>3921.9</v>
      </c>
      <c r="M35" s="34">
        <v>39904</v>
      </c>
      <c r="N35" s="1">
        <v>745.4</v>
      </c>
    </row>
    <row r="36" spans="1:14" x14ac:dyDescent="0.25">
      <c r="A36" s="34">
        <v>39934</v>
      </c>
      <c r="B36" s="1">
        <v>3909.9</v>
      </c>
      <c r="C36" s="34">
        <v>39934</v>
      </c>
      <c r="D36" s="1">
        <v>3331</v>
      </c>
      <c r="E36" s="34">
        <v>39934</v>
      </c>
      <c r="F36" s="1">
        <v>10.5</v>
      </c>
      <c r="G36" s="34">
        <v>39934</v>
      </c>
      <c r="H36" s="1">
        <v>-2.04</v>
      </c>
      <c r="I36" s="34">
        <v>39934</v>
      </c>
      <c r="J36" s="1">
        <v>144.71</v>
      </c>
      <c r="K36" s="34">
        <v>39934</v>
      </c>
      <c r="L36" s="1">
        <v>3937</v>
      </c>
      <c r="M36" s="34">
        <v>39934</v>
      </c>
      <c r="N36" s="1">
        <v>744.8</v>
      </c>
    </row>
    <row r="37" spans="1:14" x14ac:dyDescent="0.25">
      <c r="A37" s="34">
        <v>39965</v>
      </c>
      <c r="B37" s="1">
        <v>3897</v>
      </c>
      <c r="C37" s="34">
        <v>39965</v>
      </c>
      <c r="D37" s="1">
        <v>3502</v>
      </c>
      <c r="E37" s="34">
        <v>39965</v>
      </c>
      <c r="F37" s="1">
        <v>10.6</v>
      </c>
      <c r="G37" s="34">
        <v>39965</v>
      </c>
      <c r="H37" s="1">
        <v>-1.22</v>
      </c>
      <c r="I37" s="34">
        <v>39965</v>
      </c>
      <c r="J37" s="1">
        <v>144.04</v>
      </c>
      <c r="K37" s="34">
        <v>39965</v>
      </c>
      <c r="L37" s="1">
        <v>3909.7</v>
      </c>
      <c r="M37" s="34">
        <v>39965</v>
      </c>
      <c r="N37" s="1">
        <v>713.7</v>
      </c>
    </row>
    <row r="38" spans="1:14" x14ac:dyDescent="0.25">
      <c r="A38" s="34">
        <v>39995</v>
      </c>
      <c r="B38" s="1">
        <v>3885.1</v>
      </c>
      <c r="C38" s="34">
        <v>39995</v>
      </c>
      <c r="D38" s="1">
        <v>2660</v>
      </c>
      <c r="E38" s="34">
        <v>39995</v>
      </c>
      <c r="F38" s="1">
        <v>10.7</v>
      </c>
      <c r="G38" s="34">
        <v>39995</v>
      </c>
      <c r="H38" s="1">
        <v>-0.83</v>
      </c>
      <c r="I38" s="34">
        <v>39995</v>
      </c>
      <c r="J38" s="1">
        <v>143.54</v>
      </c>
      <c r="K38" s="34">
        <v>39995</v>
      </c>
      <c r="L38" s="1">
        <v>3818.6</v>
      </c>
      <c r="M38" s="34">
        <v>39995</v>
      </c>
      <c r="N38" s="1">
        <v>634.5</v>
      </c>
    </row>
    <row r="39" spans="1:14" x14ac:dyDescent="0.25">
      <c r="A39" s="34">
        <v>40026</v>
      </c>
      <c r="B39" s="1">
        <v>3875.9</v>
      </c>
      <c r="C39" s="34">
        <v>40026</v>
      </c>
      <c r="D39" s="1">
        <v>3325</v>
      </c>
      <c r="E39" s="34">
        <v>40026</v>
      </c>
      <c r="F39" s="1">
        <v>10.7</v>
      </c>
      <c r="G39" s="34">
        <v>40026</v>
      </c>
      <c r="H39" s="1">
        <v>-0.62</v>
      </c>
      <c r="I39" s="34">
        <v>40026</v>
      </c>
      <c r="J39" s="1">
        <v>143.13999999999999</v>
      </c>
      <c r="K39" s="34">
        <v>40026</v>
      </c>
      <c r="L39" s="1">
        <v>3879.7</v>
      </c>
      <c r="M39" s="34">
        <v>40026</v>
      </c>
      <c r="N39" s="1">
        <v>697.2</v>
      </c>
    </row>
    <row r="40" spans="1:14" x14ac:dyDescent="0.25">
      <c r="A40" s="34">
        <v>40057</v>
      </c>
      <c r="B40" s="1">
        <v>3867.7</v>
      </c>
      <c r="C40" s="34">
        <v>40057</v>
      </c>
      <c r="D40" s="1">
        <v>3375</v>
      </c>
      <c r="E40" s="34">
        <v>40057</v>
      </c>
      <c r="F40" s="1">
        <v>10.8</v>
      </c>
      <c r="G40" s="34">
        <v>40057</v>
      </c>
      <c r="H40" s="1">
        <v>-0.98</v>
      </c>
      <c r="I40" s="34">
        <v>40057</v>
      </c>
      <c r="J40" s="1">
        <v>142.78</v>
      </c>
      <c r="K40" s="34">
        <v>40057</v>
      </c>
      <c r="L40" s="1">
        <v>3902.9</v>
      </c>
      <c r="M40" s="34">
        <v>40057</v>
      </c>
      <c r="N40" s="1">
        <v>737.3</v>
      </c>
    </row>
    <row r="41" spans="1:14" x14ac:dyDescent="0.25">
      <c r="A41" s="34">
        <v>40087</v>
      </c>
      <c r="B41" s="1">
        <v>3859.1</v>
      </c>
      <c r="C41" s="34">
        <v>40087</v>
      </c>
      <c r="D41" s="1">
        <v>2757</v>
      </c>
      <c r="E41" s="34">
        <v>40087</v>
      </c>
      <c r="F41" s="1">
        <v>10.9</v>
      </c>
      <c r="G41" s="34">
        <v>40087</v>
      </c>
      <c r="H41" s="1">
        <v>-0.81</v>
      </c>
      <c r="I41" s="34">
        <v>40087</v>
      </c>
      <c r="J41" s="1">
        <v>142.41999999999999</v>
      </c>
      <c r="K41" s="34">
        <v>40087</v>
      </c>
      <c r="L41" s="1">
        <v>3889.8</v>
      </c>
      <c r="M41" s="34">
        <v>40087</v>
      </c>
      <c r="N41" s="1">
        <v>732.7</v>
      </c>
    </row>
    <row r="42" spans="1:14" x14ac:dyDescent="0.25">
      <c r="A42" s="34">
        <v>40118</v>
      </c>
      <c r="B42" s="1">
        <v>3856.1</v>
      </c>
      <c r="C42" s="34">
        <v>40118</v>
      </c>
      <c r="D42" s="1">
        <v>2398</v>
      </c>
      <c r="E42" s="34">
        <v>40118</v>
      </c>
      <c r="F42" s="1">
        <v>11</v>
      </c>
      <c r="G42" s="34">
        <v>40118</v>
      </c>
      <c r="H42" s="1">
        <v>-0.49</v>
      </c>
      <c r="I42" s="34">
        <v>40118</v>
      </c>
      <c r="J42" s="1">
        <v>142.1</v>
      </c>
      <c r="K42" s="34">
        <v>40118</v>
      </c>
      <c r="L42" s="1">
        <v>3893.4</v>
      </c>
      <c r="M42" s="34">
        <v>40118</v>
      </c>
      <c r="N42" s="1">
        <v>736</v>
      </c>
    </row>
    <row r="43" spans="1:14" x14ac:dyDescent="0.25">
      <c r="A43" s="34">
        <v>40148</v>
      </c>
      <c r="B43" s="1">
        <v>3846.8</v>
      </c>
      <c r="C43" s="34">
        <v>40148</v>
      </c>
      <c r="D43" s="1">
        <v>2364</v>
      </c>
      <c r="E43" s="34">
        <v>40148</v>
      </c>
      <c r="F43" s="1">
        <v>11.2</v>
      </c>
      <c r="G43" s="34">
        <v>40148</v>
      </c>
      <c r="H43" s="1">
        <v>-0.28000000000000003</v>
      </c>
      <c r="I43" s="34">
        <v>40148</v>
      </c>
      <c r="J43" s="1">
        <v>141.84</v>
      </c>
      <c r="K43" s="34">
        <v>40148</v>
      </c>
      <c r="L43" s="1">
        <v>3882.7</v>
      </c>
      <c r="M43" s="34">
        <v>40148</v>
      </c>
      <c r="N43" s="1">
        <v>733.4</v>
      </c>
    </row>
    <row r="44" spans="1:14" x14ac:dyDescent="0.25">
      <c r="A44" s="34">
        <v>40179</v>
      </c>
      <c r="B44" s="1">
        <v>3842.9</v>
      </c>
      <c r="C44" s="34">
        <v>40179</v>
      </c>
      <c r="D44" s="1">
        <v>2513</v>
      </c>
      <c r="E44" s="34">
        <v>40179</v>
      </c>
      <c r="F44" s="1">
        <v>11.3</v>
      </c>
      <c r="G44" s="34">
        <v>40179</v>
      </c>
      <c r="H44" s="1">
        <v>0.88</v>
      </c>
      <c r="I44" s="34">
        <v>40179</v>
      </c>
      <c r="J44" s="1">
        <v>141.72</v>
      </c>
      <c r="K44" s="34">
        <v>40179</v>
      </c>
      <c r="L44" s="1">
        <v>3791.9</v>
      </c>
      <c r="M44" s="34">
        <v>40179</v>
      </c>
      <c r="N44" s="1">
        <v>723.2</v>
      </c>
    </row>
    <row r="45" spans="1:14" x14ac:dyDescent="0.25">
      <c r="A45" s="34">
        <v>40210</v>
      </c>
      <c r="B45" s="1">
        <v>3839.2</v>
      </c>
      <c r="C45" s="34">
        <v>40210</v>
      </c>
      <c r="D45" s="1">
        <v>2943</v>
      </c>
      <c r="E45" s="34">
        <v>40210</v>
      </c>
      <c r="F45" s="1">
        <v>11.3</v>
      </c>
      <c r="G45" s="34">
        <v>40210</v>
      </c>
      <c r="H45" s="1">
        <v>1.54</v>
      </c>
      <c r="I45" s="34">
        <v>40210</v>
      </c>
      <c r="J45" s="1">
        <v>141.80000000000001</v>
      </c>
      <c r="K45" s="34">
        <v>40210</v>
      </c>
      <c r="L45" s="1">
        <v>3797.4</v>
      </c>
      <c r="M45" s="34">
        <v>40210</v>
      </c>
      <c r="N45" s="1">
        <v>729</v>
      </c>
    </row>
    <row r="46" spans="1:14" x14ac:dyDescent="0.25">
      <c r="A46" s="34">
        <v>40238</v>
      </c>
      <c r="B46" s="1">
        <v>3847.9</v>
      </c>
      <c r="C46" s="34">
        <v>40238</v>
      </c>
      <c r="D46" s="1">
        <v>3680</v>
      </c>
      <c r="E46" s="34">
        <v>40238</v>
      </c>
      <c r="F46" s="1">
        <v>11.2</v>
      </c>
      <c r="G46" s="34">
        <v>40238</v>
      </c>
      <c r="H46" s="1">
        <v>2.14</v>
      </c>
      <c r="I46" s="34">
        <v>40238</v>
      </c>
      <c r="J46" s="1">
        <v>142.1</v>
      </c>
      <c r="K46" s="34">
        <v>40238</v>
      </c>
      <c r="L46" s="1">
        <v>3833.2</v>
      </c>
      <c r="M46" s="34">
        <v>40238</v>
      </c>
      <c r="N46" s="1">
        <v>735.3</v>
      </c>
    </row>
    <row r="47" spans="1:14" x14ac:dyDescent="0.25">
      <c r="A47" s="34">
        <v>40269</v>
      </c>
      <c r="B47" s="1">
        <v>3858.6</v>
      </c>
      <c r="C47" s="34">
        <v>40269</v>
      </c>
      <c r="D47" s="1">
        <v>3284</v>
      </c>
      <c r="E47" s="34">
        <v>40269</v>
      </c>
      <c r="F47" s="1">
        <v>11.1</v>
      </c>
      <c r="G47" s="34">
        <v>40269</v>
      </c>
      <c r="H47" s="1">
        <v>1.91</v>
      </c>
      <c r="I47" s="34">
        <v>40269</v>
      </c>
      <c r="J47" s="1">
        <v>142.52000000000001</v>
      </c>
      <c r="K47" s="34">
        <v>40269</v>
      </c>
      <c r="L47" s="1">
        <v>3866.4</v>
      </c>
      <c r="M47" s="34">
        <v>40269</v>
      </c>
      <c r="N47" s="1">
        <v>740.8</v>
      </c>
    </row>
    <row r="48" spans="1:14" x14ac:dyDescent="0.25">
      <c r="A48" s="34">
        <v>40299</v>
      </c>
      <c r="B48" s="1">
        <v>3878.1</v>
      </c>
      <c r="C48" s="34">
        <v>40299</v>
      </c>
      <c r="D48" s="1">
        <v>3028</v>
      </c>
      <c r="E48" s="34">
        <v>40299</v>
      </c>
      <c r="F48" s="1">
        <v>10.9</v>
      </c>
      <c r="G48" s="34">
        <v>40299</v>
      </c>
      <c r="H48" s="1">
        <v>1.71</v>
      </c>
      <c r="I48" s="34">
        <v>40299</v>
      </c>
      <c r="J48" s="1">
        <v>142.97999999999999</v>
      </c>
      <c r="K48" s="34">
        <v>40299</v>
      </c>
      <c r="L48" s="1">
        <v>3907.1</v>
      </c>
      <c r="M48" s="34">
        <v>40299</v>
      </c>
      <c r="N48" s="1">
        <v>759.1</v>
      </c>
    </row>
    <row r="49" spans="1:14" x14ac:dyDescent="0.25">
      <c r="A49" s="34">
        <v>40330</v>
      </c>
      <c r="B49" s="1">
        <v>3874.1</v>
      </c>
      <c r="C49" s="34">
        <v>40330</v>
      </c>
      <c r="D49" s="1">
        <v>3323</v>
      </c>
      <c r="E49" s="34">
        <v>40330</v>
      </c>
      <c r="F49" s="1">
        <v>10.7</v>
      </c>
      <c r="G49" s="34">
        <v>40330</v>
      </c>
      <c r="H49" s="1">
        <v>0.92</v>
      </c>
      <c r="I49" s="34">
        <v>40330</v>
      </c>
      <c r="J49" s="1">
        <v>143.35</v>
      </c>
      <c r="K49" s="34">
        <v>40330</v>
      </c>
      <c r="L49" s="1">
        <v>3886.4</v>
      </c>
      <c r="M49" s="34">
        <v>40330</v>
      </c>
      <c r="N49" s="1">
        <v>717.8</v>
      </c>
    </row>
    <row r="50" spans="1:14" x14ac:dyDescent="0.25">
      <c r="A50" s="34">
        <v>40360</v>
      </c>
      <c r="B50" s="1">
        <v>3877.7</v>
      </c>
      <c r="C50" s="34">
        <v>40360</v>
      </c>
      <c r="D50" s="1">
        <v>3191</v>
      </c>
      <c r="E50" s="34">
        <v>40360</v>
      </c>
      <c r="F50" s="1">
        <v>10.6</v>
      </c>
      <c r="G50" s="34">
        <v>40360</v>
      </c>
      <c r="H50" s="1">
        <v>0.64</v>
      </c>
      <c r="I50" s="34">
        <v>40360</v>
      </c>
      <c r="J50" s="1">
        <v>143.6</v>
      </c>
      <c r="K50" s="34">
        <v>40360</v>
      </c>
      <c r="L50" s="1">
        <v>3810.2</v>
      </c>
      <c r="M50" s="34">
        <v>40360</v>
      </c>
      <c r="N50" s="1">
        <v>629.70000000000005</v>
      </c>
    </row>
    <row r="51" spans="1:14" x14ac:dyDescent="0.25">
      <c r="A51" s="34">
        <v>40391</v>
      </c>
      <c r="B51" s="1">
        <v>3874.1</v>
      </c>
      <c r="C51" s="34">
        <v>40391</v>
      </c>
      <c r="D51" s="1">
        <v>3046</v>
      </c>
      <c r="E51" s="34">
        <v>40391</v>
      </c>
      <c r="F51" s="1">
        <v>10.6</v>
      </c>
      <c r="G51" s="34">
        <v>40391</v>
      </c>
      <c r="H51" s="1">
        <v>1</v>
      </c>
      <c r="I51" s="34">
        <v>40391</v>
      </c>
      <c r="J51" s="1">
        <v>143.78</v>
      </c>
      <c r="K51" s="34">
        <v>40391</v>
      </c>
      <c r="L51" s="1">
        <v>3876.9</v>
      </c>
      <c r="M51" s="34">
        <v>40391</v>
      </c>
      <c r="N51" s="1">
        <v>689.4</v>
      </c>
    </row>
    <row r="52" spans="1:14" x14ac:dyDescent="0.25">
      <c r="A52" s="34">
        <v>40422</v>
      </c>
      <c r="B52" s="1">
        <v>3873.6</v>
      </c>
      <c r="C52" s="34">
        <v>40422</v>
      </c>
      <c r="D52" s="1">
        <v>2248</v>
      </c>
      <c r="E52" s="34">
        <v>40422</v>
      </c>
      <c r="F52" s="1">
        <v>10.5</v>
      </c>
      <c r="G52" s="34">
        <v>40422</v>
      </c>
      <c r="H52" s="1">
        <v>1.32</v>
      </c>
      <c r="I52" s="34">
        <v>40422</v>
      </c>
      <c r="J52" s="1">
        <v>143.97</v>
      </c>
      <c r="K52" s="34">
        <v>40422</v>
      </c>
      <c r="L52" s="1">
        <v>3893</v>
      </c>
      <c r="M52" s="34">
        <v>40422</v>
      </c>
      <c r="N52" s="1">
        <v>720.5</v>
      </c>
    </row>
    <row r="53" spans="1:14" x14ac:dyDescent="0.25">
      <c r="A53" s="34">
        <v>40452</v>
      </c>
      <c r="B53" s="1">
        <v>3889.3</v>
      </c>
      <c r="C53" s="34">
        <v>40452</v>
      </c>
      <c r="D53" s="1">
        <v>2365</v>
      </c>
      <c r="E53" s="34">
        <v>40452</v>
      </c>
      <c r="F53" s="1">
        <v>10.5</v>
      </c>
      <c r="G53" s="34">
        <v>40452</v>
      </c>
      <c r="H53" s="1">
        <v>0.91</v>
      </c>
      <c r="I53" s="34">
        <v>40452</v>
      </c>
      <c r="J53" s="1">
        <v>144.19</v>
      </c>
      <c r="K53" s="34">
        <v>40452</v>
      </c>
      <c r="L53" s="1">
        <v>3920.9</v>
      </c>
      <c r="M53" s="34">
        <v>40452</v>
      </c>
      <c r="N53" s="1">
        <v>732.9</v>
      </c>
    </row>
    <row r="54" spans="1:14" x14ac:dyDescent="0.25">
      <c r="A54" s="34">
        <v>40483</v>
      </c>
      <c r="B54" s="1">
        <v>3893.7</v>
      </c>
      <c r="C54" s="34">
        <v>40483</v>
      </c>
      <c r="D54" s="1">
        <v>2262</v>
      </c>
      <c r="E54" s="34">
        <v>40483</v>
      </c>
      <c r="F54" s="1">
        <v>10.5</v>
      </c>
      <c r="G54" s="34">
        <v>40483</v>
      </c>
      <c r="H54" s="1">
        <v>0.81</v>
      </c>
      <c r="I54" s="34">
        <v>40483</v>
      </c>
      <c r="J54" s="1">
        <v>144.4</v>
      </c>
      <c r="K54" s="34">
        <v>40483</v>
      </c>
      <c r="L54" s="1">
        <v>3930.6</v>
      </c>
      <c r="M54" s="34">
        <v>40483</v>
      </c>
      <c r="N54" s="1">
        <v>737.8</v>
      </c>
    </row>
    <row r="55" spans="1:14" x14ac:dyDescent="0.25">
      <c r="A55" s="34">
        <v>40513</v>
      </c>
      <c r="B55" s="1">
        <v>3895.8</v>
      </c>
      <c r="C55" s="34">
        <v>40513</v>
      </c>
      <c r="D55" s="1">
        <v>1994</v>
      </c>
      <c r="E55" s="34">
        <v>40513</v>
      </c>
      <c r="F55" s="1">
        <v>10.5</v>
      </c>
      <c r="G55" s="34">
        <v>40513</v>
      </c>
      <c r="H55" s="1">
        <v>1.34</v>
      </c>
      <c r="I55" s="34">
        <v>40513</v>
      </c>
      <c r="J55" s="1">
        <v>144.63999999999999</v>
      </c>
      <c r="K55" s="34">
        <v>40513</v>
      </c>
      <c r="L55" s="1">
        <v>3920.6</v>
      </c>
      <c r="M55" s="34">
        <v>40513</v>
      </c>
      <c r="N55" s="1">
        <v>734.3</v>
      </c>
    </row>
    <row r="56" spans="1:14" x14ac:dyDescent="0.25">
      <c r="A56" s="34">
        <v>40544</v>
      </c>
      <c r="B56" s="1">
        <v>3887.3</v>
      </c>
      <c r="C56" s="34">
        <v>40544</v>
      </c>
      <c r="D56" s="1">
        <v>2034</v>
      </c>
      <c r="E56" s="34">
        <v>40544</v>
      </c>
      <c r="F56" s="1">
        <v>10.4</v>
      </c>
      <c r="G56" s="34">
        <v>40544</v>
      </c>
      <c r="H56" s="1">
        <v>1.77</v>
      </c>
      <c r="I56" s="34">
        <v>40544</v>
      </c>
      <c r="J56" s="1">
        <v>144.97</v>
      </c>
      <c r="K56" s="34">
        <v>40544</v>
      </c>
      <c r="L56" s="1">
        <v>3825.9</v>
      </c>
      <c r="M56" s="34">
        <v>40544</v>
      </c>
      <c r="N56" s="1">
        <v>723.1</v>
      </c>
    </row>
    <row r="57" spans="1:14" x14ac:dyDescent="0.25">
      <c r="A57" s="34">
        <v>40575</v>
      </c>
      <c r="B57" s="1">
        <v>3902.4</v>
      </c>
      <c r="C57" s="34">
        <v>40575</v>
      </c>
      <c r="D57" s="1">
        <v>3031</v>
      </c>
      <c r="E57" s="34">
        <v>40575</v>
      </c>
      <c r="F57" s="1">
        <v>10.3</v>
      </c>
      <c r="G57" s="34">
        <v>40575</v>
      </c>
      <c r="H57" s="1">
        <v>1.83</v>
      </c>
      <c r="I57" s="34">
        <v>40575</v>
      </c>
      <c r="J57" s="1">
        <v>145.38999999999999</v>
      </c>
      <c r="K57" s="34">
        <v>40575</v>
      </c>
      <c r="L57" s="1">
        <v>3861.1</v>
      </c>
      <c r="M57" s="34">
        <v>40575</v>
      </c>
      <c r="N57" s="1">
        <v>729.6</v>
      </c>
    </row>
    <row r="58" spans="1:14" x14ac:dyDescent="0.25">
      <c r="A58" s="34">
        <v>40603</v>
      </c>
      <c r="B58" s="1">
        <v>3905.2</v>
      </c>
      <c r="C58" s="34">
        <v>40603</v>
      </c>
      <c r="D58" s="1">
        <v>3406</v>
      </c>
      <c r="E58" s="34">
        <v>40603</v>
      </c>
      <c r="F58" s="1">
        <v>10.199999999999999</v>
      </c>
      <c r="G58" s="34">
        <v>40603</v>
      </c>
      <c r="H58" s="1">
        <v>1.05</v>
      </c>
      <c r="I58" s="34">
        <v>40603</v>
      </c>
      <c r="J58" s="1">
        <v>145.78</v>
      </c>
      <c r="K58" s="34">
        <v>40603</v>
      </c>
      <c r="L58" s="1">
        <v>3891</v>
      </c>
      <c r="M58" s="34">
        <v>40603</v>
      </c>
      <c r="N58" s="1">
        <v>734</v>
      </c>
    </row>
    <row r="59" spans="1:14" x14ac:dyDescent="0.25">
      <c r="A59" s="34">
        <v>40634</v>
      </c>
      <c r="B59" s="1">
        <v>3911.3</v>
      </c>
      <c r="C59" s="34">
        <v>40634</v>
      </c>
      <c r="D59" s="1">
        <v>2681</v>
      </c>
      <c r="E59" s="34">
        <v>40634</v>
      </c>
      <c r="F59" s="1">
        <v>10.199999999999999</v>
      </c>
      <c r="G59" s="34">
        <v>40634</v>
      </c>
      <c r="H59" s="1">
        <v>0.5</v>
      </c>
      <c r="I59" s="34">
        <v>40634</v>
      </c>
      <c r="J59" s="1">
        <v>146.05000000000001</v>
      </c>
      <c r="K59" s="34">
        <v>40634</v>
      </c>
      <c r="L59" s="1">
        <v>3922.6</v>
      </c>
      <c r="M59" s="34">
        <v>40634</v>
      </c>
      <c r="N59" s="1">
        <v>735.4</v>
      </c>
    </row>
    <row r="60" spans="1:14" x14ac:dyDescent="0.25">
      <c r="A60" s="34">
        <v>40664</v>
      </c>
      <c r="B60" s="1">
        <v>3911.3</v>
      </c>
      <c r="C60" s="34">
        <v>40664</v>
      </c>
      <c r="D60" s="1">
        <v>2955</v>
      </c>
      <c r="E60" s="34">
        <v>40664</v>
      </c>
      <c r="F60" s="1">
        <v>10.3</v>
      </c>
      <c r="G60" s="34">
        <v>40664</v>
      </c>
      <c r="H60" s="1">
        <v>0.37</v>
      </c>
      <c r="I60" s="34">
        <v>40664</v>
      </c>
      <c r="J60" s="1">
        <v>146.18</v>
      </c>
      <c r="K60" s="34">
        <v>40664</v>
      </c>
      <c r="L60" s="1">
        <v>3942.3</v>
      </c>
      <c r="M60" s="34">
        <v>40664</v>
      </c>
      <c r="N60" s="1">
        <v>735.2</v>
      </c>
    </row>
    <row r="61" spans="1:14" x14ac:dyDescent="0.25">
      <c r="A61" s="34">
        <v>40695</v>
      </c>
      <c r="B61" s="1">
        <v>3917.3</v>
      </c>
      <c r="C61" s="34">
        <v>40695</v>
      </c>
      <c r="D61" s="1">
        <v>3037</v>
      </c>
      <c r="E61" s="34">
        <v>40695</v>
      </c>
      <c r="F61" s="1">
        <v>10.4</v>
      </c>
      <c r="G61" s="34">
        <v>40695</v>
      </c>
      <c r="H61" s="1">
        <v>1.05</v>
      </c>
      <c r="I61" s="34">
        <v>40695</v>
      </c>
      <c r="J61" s="1">
        <v>146.27000000000001</v>
      </c>
      <c r="K61" s="34">
        <v>40695</v>
      </c>
      <c r="L61" s="1">
        <v>3928</v>
      </c>
      <c r="M61" s="34">
        <v>40695</v>
      </c>
      <c r="N61" s="1">
        <v>699.7</v>
      </c>
    </row>
    <row r="62" spans="1:14" x14ac:dyDescent="0.25">
      <c r="A62" s="34">
        <v>40725</v>
      </c>
      <c r="B62" s="1">
        <v>3920.8</v>
      </c>
      <c r="C62" s="34">
        <v>40725</v>
      </c>
      <c r="D62" s="1">
        <v>2583</v>
      </c>
      <c r="E62" s="34">
        <v>40725</v>
      </c>
      <c r="F62" s="1">
        <v>10.4</v>
      </c>
      <c r="G62" s="34">
        <v>40725</v>
      </c>
      <c r="H62" s="1">
        <v>0.98</v>
      </c>
      <c r="I62" s="34">
        <v>40725</v>
      </c>
      <c r="J62" s="1">
        <v>146.36000000000001</v>
      </c>
      <c r="K62" s="34">
        <v>40725</v>
      </c>
      <c r="L62" s="1">
        <v>3852.5</v>
      </c>
      <c r="M62" s="34">
        <v>40725</v>
      </c>
      <c r="N62" s="1">
        <v>620.20000000000005</v>
      </c>
    </row>
    <row r="63" spans="1:14" x14ac:dyDescent="0.25">
      <c r="A63" s="34">
        <v>40756</v>
      </c>
      <c r="B63" s="1">
        <v>3923.7</v>
      </c>
      <c r="C63" s="34">
        <v>40756</v>
      </c>
      <c r="D63" s="1">
        <v>3040</v>
      </c>
      <c r="E63" s="34">
        <v>40756</v>
      </c>
      <c r="F63" s="1">
        <v>10.4</v>
      </c>
      <c r="G63" s="34">
        <v>40756</v>
      </c>
      <c r="H63" s="1">
        <v>1.0900000000000001</v>
      </c>
      <c r="I63" s="34">
        <v>40756</v>
      </c>
      <c r="J63" s="1">
        <v>146.49</v>
      </c>
      <c r="K63" s="34">
        <v>40756</v>
      </c>
      <c r="L63" s="1">
        <v>3925.4</v>
      </c>
      <c r="M63" s="34">
        <v>40756</v>
      </c>
      <c r="N63" s="1">
        <v>682.4</v>
      </c>
    </row>
    <row r="64" spans="1:14" x14ac:dyDescent="0.25">
      <c r="A64" s="34">
        <v>40787</v>
      </c>
      <c r="B64" s="1">
        <v>3929.2</v>
      </c>
      <c r="C64" s="34">
        <v>40787</v>
      </c>
      <c r="D64" s="1">
        <v>2221</v>
      </c>
      <c r="E64" s="34">
        <v>40787</v>
      </c>
      <c r="F64" s="1">
        <v>10.3</v>
      </c>
      <c r="G64" s="34">
        <v>40787</v>
      </c>
      <c r="H64" s="1">
        <v>1.87</v>
      </c>
      <c r="I64" s="34">
        <v>40787</v>
      </c>
      <c r="J64" s="1">
        <v>146.69</v>
      </c>
      <c r="K64" s="34">
        <v>40787</v>
      </c>
      <c r="L64" s="1">
        <v>3946</v>
      </c>
      <c r="M64" s="34">
        <v>40787</v>
      </c>
      <c r="N64" s="1">
        <v>712.7</v>
      </c>
    </row>
    <row r="65" spans="1:14" x14ac:dyDescent="0.25">
      <c r="A65" s="34">
        <v>40817</v>
      </c>
      <c r="B65" s="1">
        <v>3929.6</v>
      </c>
      <c r="C65" s="34">
        <v>40817</v>
      </c>
      <c r="D65" s="1">
        <v>2469</v>
      </c>
      <c r="E65" s="34">
        <v>40817</v>
      </c>
      <c r="F65" s="1">
        <v>10.1</v>
      </c>
      <c r="G65" s="34">
        <v>40817</v>
      </c>
      <c r="H65" s="1">
        <v>2.04</v>
      </c>
      <c r="I65" s="34">
        <v>40817</v>
      </c>
      <c r="J65" s="1">
        <v>147.01</v>
      </c>
      <c r="K65" s="34">
        <v>40817</v>
      </c>
      <c r="L65" s="1">
        <v>3960.1</v>
      </c>
      <c r="M65" s="34">
        <v>40817</v>
      </c>
      <c r="N65" s="1">
        <v>726.3</v>
      </c>
    </row>
    <row r="66" spans="1:14" x14ac:dyDescent="0.25">
      <c r="A66" s="34">
        <v>40848</v>
      </c>
      <c r="B66" s="1">
        <v>3938.6</v>
      </c>
      <c r="C66" s="34">
        <v>40848</v>
      </c>
      <c r="D66" s="1">
        <v>3089</v>
      </c>
      <c r="E66" s="34">
        <v>40848</v>
      </c>
      <c r="F66" s="1">
        <v>9.9</v>
      </c>
      <c r="G66" s="34">
        <v>40848</v>
      </c>
      <c r="H66" s="1">
        <v>2.12</v>
      </c>
      <c r="I66" s="34">
        <v>40848</v>
      </c>
      <c r="J66" s="1">
        <v>147.43</v>
      </c>
      <c r="K66" s="34">
        <v>40848</v>
      </c>
      <c r="L66" s="1">
        <v>3974.8</v>
      </c>
      <c r="M66" s="34">
        <v>40848</v>
      </c>
      <c r="N66" s="1">
        <v>732.5</v>
      </c>
    </row>
    <row r="67" spans="1:14" x14ac:dyDescent="0.25">
      <c r="A67" s="34">
        <v>40878</v>
      </c>
      <c r="B67" s="1">
        <v>3945.4</v>
      </c>
      <c r="C67" s="34">
        <v>40878</v>
      </c>
      <c r="D67" s="1">
        <v>2417</v>
      </c>
      <c r="E67" s="34">
        <v>40878</v>
      </c>
      <c r="F67" s="1">
        <v>9.6999999999999993</v>
      </c>
      <c r="G67" s="34">
        <v>40878</v>
      </c>
      <c r="H67" s="1">
        <v>2.37</v>
      </c>
      <c r="I67" s="34">
        <v>40878</v>
      </c>
      <c r="J67" s="1">
        <v>147.94999999999999</v>
      </c>
      <c r="K67" s="34">
        <v>40878</v>
      </c>
      <c r="L67" s="1">
        <v>3969.4</v>
      </c>
      <c r="M67" s="34">
        <v>40878</v>
      </c>
      <c r="N67" s="1">
        <v>726.7</v>
      </c>
    </row>
    <row r="68" spans="1:14" x14ac:dyDescent="0.25">
      <c r="A68" s="34">
        <v>40909</v>
      </c>
      <c r="B68" s="1">
        <v>3961.2</v>
      </c>
      <c r="C68" s="34">
        <v>40909</v>
      </c>
      <c r="D68" s="1">
        <v>3978</v>
      </c>
      <c r="E68" s="34">
        <v>40909</v>
      </c>
      <c r="F68" s="1">
        <v>9.5</v>
      </c>
      <c r="G68" s="34">
        <v>40909</v>
      </c>
      <c r="H68" s="1">
        <v>2.58</v>
      </c>
      <c r="I68" s="34">
        <v>40909</v>
      </c>
      <c r="J68" s="1">
        <v>148.52000000000001</v>
      </c>
      <c r="K68" s="34">
        <v>40909</v>
      </c>
      <c r="L68" s="1">
        <v>3899.5</v>
      </c>
      <c r="M68" s="34">
        <v>40909</v>
      </c>
      <c r="N68" s="1">
        <v>719.1</v>
      </c>
    </row>
    <row r="69" spans="1:14" x14ac:dyDescent="0.25">
      <c r="A69" s="34">
        <v>40940</v>
      </c>
      <c r="B69" s="1">
        <v>3964.7</v>
      </c>
      <c r="C69" s="34">
        <v>40940</v>
      </c>
      <c r="D69" s="1">
        <v>3398</v>
      </c>
      <c r="E69" s="34">
        <v>40940</v>
      </c>
      <c r="F69" s="1">
        <v>9.4</v>
      </c>
      <c r="G69" s="34">
        <v>40940</v>
      </c>
      <c r="H69" s="1">
        <v>1.83</v>
      </c>
      <c r="I69" s="34">
        <v>40940</v>
      </c>
      <c r="J69" s="1">
        <v>149.06</v>
      </c>
      <c r="K69" s="34">
        <v>40940</v>
      </c>
      <c r="L69" s="1">
        <v>3923.8</v>
      </c>
      <c r="M69" s="34">
        <v>40940</v>
      </c>
      <c r="N69" s="1">
        <v>727</v>
      </c>
    </row>
    <row r="70" spans="1:14" x14ac:dyDescent="0.25">
      <c r="A70" s="34">
        <v>40969</v>
      </c>
      <c r="B70" s="1">
        <v>3970.1</v>
      </c>
      <c r="C70" s="34">
        <v>40969</v>
      </c>
      <c r="D70" s="1">
        <v>3750</v>
      </c>
      <c r="E70" s="34">
        <v>40969</v>
      </c>
      <c r="F70" s="1">
        <v>9.3000000000000007</v>
      </c>
      <c r="G70" s="34">
        <v>40969</v>
      </c>
      <c r="H70" s="1">
        <v>1.8</v>
      </c>
      <c r="I70" s="34">
        <v>40969</v>
      </c>
      <c r="J70" s="1">
        <v>149.53</v>
      </c>
      <c r="K70" s="34">
        <v>40969</v>
      </c>
      <c r="L70" s="1">
        <v>3957.3</v>
      </c>
      <c r="M70" s="34">
        <v>40969</v>
      </c>
      <c r="N70" s="1">
        <v>730.4</v>
      </c>
    </row>
    <row r="71" spans="1:14" x14ac:dyDescent="0.25">
      <c r="A71" s="34">
        <v>41000</v>
      </c>
      <c r="B71" s="1">
        <v>3976.1</v>
      </c>
      <c r="C71" s="34">
        <v>41000</v>
      </c>
      <c r="D71" s="1">
        <v>3085</v>
      </c>
      <c r="E71" s="34">
        <v>41000</v>
      </c>
      <c r="F71" s="1">
        <v>9.1999999999999993</v>
      </c>
      <c r="G71" s="34">
        <v>41000</v>
      </c>
      <c r="H71" s="1">
        <v>0.97</v>
      </c>
      <c r="I71" s="34">
        <v>41000</v>
      </c>
      <c r="J71" s="1">
        <v>149.87</v>
      </c>
      <c r="K71" s="34">
        <v>41000</v>
      </c>
      <c r="L71" s="1">
        <v>3983</v>
      </c>
      <c r="M71" s="34">
        <v>41000</v>
      </c>
      <c r="N71" s="1">
        <v>731.4</v>
      </c>
    </row>
    <row r="72" spans="1:14" x14ac:dyDescent="0.25">
      <c r="A72" s="34">
        <v>41030</v>
      </c>
      <c r="B72" s="1">
        <v>3982.5</v>
      </c>
      <c r="C72" s="34">
        <v>41030</v>
      </c>
      <c r="D72" s="1">
        <v>5141</v>
      </c>
      <c r="E72" s="34">
        <v>41030</v>
      </c>
      <c r="F72" s="1">
        <v>9.3000000000000007</v>
      </c>
      <c r="G72" s="34">
        <v>41030</v>
      </c>
      <c r="H72" s="1">
        <v>0.55000000000000004</v>
      </c>
      <c r="I72" s="34">
        <v>41030</v>
      </c>
      <c r="J72" s="1">
        <v>150.06</v>
      </c>
      <c r="K72" s="34">
        <v>41030</v>
      </c>
      <c r="L72" s="1">
        <v>4014.9</v>
      </c>
      <c r="M72" s="34">
        <v>41030</v>
      </c>
      <c r="N72" s="1">
        <v>734.4</v>
      </c>
    </row>
    <row r="73" spans="1:14" x14ac:dyDescent="0.25">
      <c r="A73" s="34">
        <v>41061</v>
      </c>
      <c r="B73" s="1">
        <v>3977.6</v>
      </c>
      <c r="C73" s="34">
        <v>41061</v>
      </c>
      <c r="D73" s="1">
        <v>3883</v>
      </c>
      <c r="E73" s="34">
        <v>41061</v>
      </c>
      <c r="F73" s="1">
        <v>9.4</v>
      </c>
      <c r="G73" s="34">
        <v>41061</v>
      </c>
      <c r="H73" s="1">
        <v>1.39</v>
      </c>
      <c r="I73" s="34">
        <v>41061</v>
      </c>
      <c r="J73" s="1">
        <v>150.21</v>
      </c>
      <c r="K73" s="34">
        <v>41061</v>
      </c>
      <c r="L73" s="1">
        <v>3988.3</v>
      </c>
      <c r="M73" s="34">
        <v>41061</v>
      </c>
      <c r="N73" s="1">
        <v>689.1</v>
      </c>
    </row>
    <row r="74" spans="1:14" x14ac:dyDescent="0.25">
      <c r="A74" s="34">
        <v>41091</v>
      </c>
      <c r="B74" s="1">
        <v>3979.4</v>
      </c>
      <c r="C74" s="34">
        <v>41091</v>
      </c>
      <c r="D74" s="1">
        <v>4578</v>
      </c>
      <c r="E74" s="34">
        <v>41091</v>
      </c>
      <c r="F74" s="1">
        <v>9.4</v>
      </c>
      <c r="G74" s="34">
        <v>41091</v>
      </c>
      <c r="H74" s="1">
        <v>2.15</v>
      </c>
      <c r="I74" s="34">
        <v>41091</v>
      </c>
      <c r="J74" s="1">
        <v>150.46</v>
      </c>
      <c r="K74" s="34">
        <v>41091</v>
      </c>
      <c r="L74" s="1">
        <v>3910.7</v>
      </c>
      <c r="M74" s="34">
        <v>41091</v>
      </c>
      <c r="N74" s="1">
        <v>610.9</v>
      </c>
    </row>
    <row r="75" spans="1:14" x14ac:dyDescent="0.25">
      <c r="A75" s="34">
        <v>41122</v>
      </c>
      <c r="B75" s="1">
        <v>3985.6</v>
      </c>
      <c r="C75" s="34">
        <v>41122</v>
      </c>
      <c r="D75" s="1">
        <v>3874</v>
      </c>
      <c r="E75" s="34">
        <v>41122</v>
      </c>
      <c r="F75" s="1">
        <v>9.3000000000000007</v>
      </c>
      <c r="G75" s="34">
        <v>41122</v>
      </c>
      <c r="H75" s="1">
        <v>1.92</v>
      </c>
      <c r="I75" s="34">
        <v>41122</v>
      </c>
      <c r="J75" s="1">
        <v>150.83000000000001</v>
      </c>
      <c r="K75" s="34">
        <v>41122</v>
      </c>
      <c r="L75" s="1">
        <v>3993.7</v>
      </c>
      <c r="M75" s="34">
        <v>41122</v>
      </c>
      <c r="N75" s="1">
        <v>684.1</v>
      </c>
    </row>
    <row r="76" spans="1:14" x14ac:dyDescent="0.25">
      <c r="A76" s="34">
        <v>41153</v>
      </c>
      <c r="B76" s="1">
        <v>3987.9</v>
      </c>
      <c r="C76" s="34">
        <v>41153</v>
      </c>
      <c r="D76" s="1">
        <v>2990</v>
      </c>
      <c r="E76" s="34">
        <v>41153</v>
      </c>
      <c r="F76" s="1">
        <v>9.1999999999999993</v>
      </c>
      <c r="G76" s="34">
        <v>41153</v>
      </c>
      <c r="H76" s="1">
        <v>1.53</v>
      </c>
      <c r="I76" s="34">
        <v>41153</v>
      </c>
      <c r="J76" s="1">
        <v>151.26</v>
      </c>
      <c r="K76" s="34">
        <v>41153</v>
      </c>
      <c r="L76" s="1">
        <v>4016.9</v>
      </c>
      <c r="M76" s="34">
        <v>41153</v>
      </c>
      <c r="N76" s="1">
        <v>718</v>
      </c>
    </row>
    <row r="77" spans="1:14" x14ac:dyDescent="0.25">
      <c r="A77" s="34">
        <v>41183</v>
      </c>
      <c r="B77" s="1">
        <v>4008.7</v>
      </c>
      <c r="C77" s="34">
        <v>41183</v>
      </c>
      <c r="D77" s="1">
        <v>4930</v>
      </c>
      <c r="E77" s="34">
        <v>41183</v>
      </c>
      <c r="F77" s="1">
        <v>9.1</v>
      </c>
      <c r="G77" s="34">
        <v>41183</v>
      </c>
      <c r="H77" s="1">
        <v>1.87</v>
      </c>
      <c r="I77" s="34">
        <v>41183</v>
      </c>
      <c r="J77" s="1">
        <v>151.71</v>
      </c>
      <c r="K77" s="34">
        <v>41183</v>
      </c>
      <c r="L77" s="1">
        <v>4037.7</v>
      </c>
      <c r="M77" s="34">
        <v>41183</v>
      </c>
      <c r="N77" s="1">
        <v>734.2</v>
      </c>
    </row>
    <row r="78" spans="1:14" x14ac:dyDescent="0.25">
      <c r="A78" s="34">
        <v>41214</v>
      </c>
      <c r="B78" s="1">
        <v>4013.6</v>
      </c>
      <c r="C78" s="34">
        <v>41214</v>
      </c>
      <c r="D78" s="1">
        <v>4415</v>
      </c>
      <c r="E78" s="34">
        <v>41214</v>
      </c>
      <c r="F78" s="1">
        <v>9</v>
      </c>
      <c r="G78" s="34">
        <v>41214</v>
      </c>
      <c r="H78" s="1">
        <v>2.1</v>
      </c>
      <c r="I78" s="34">
        <v>41214</v>
      </c>
      <c r="J78" s="1">
        <v>152.18</v>
      </c>
      <c r="K78" s="34">
        <v>41214</v>
      </c>
      <c r="L78" s="1">
        <v>4056.8</v>
      </c>
      <c r="M78" s="34">
        <v>41214</v>
      </c>
      <c r="N78" s="1">
        <v>740.5</v>
      </c>
    </row>
    <row r="79" spans="1:14" x14ac:dyDescent="0.25">
      <c r="A79" s="34">
        <v>41244</v>
      </c>
      <c r="B79" s="1">
        <v>4018.6</v>
      </c>
      <c r="C79" s="34">
        <v>41244</v>
      </c>
      <c r="D79" s="1">
        <v>3522</v>
      </c>
      <c r="E79" s="34">
        <v>41244</v>
      </c>
      <c r="F79" s="1">
        <v>8.9</v>
      </c>
      <c r="G79" s="34">
        <v>41244</v>
      </c>
      <c r="H79" s="1">
        <v>1.85</v>
      </c>
      <c r="I79" s="34">
        <v>41244</v>
      </c>
      <c r="J79" s="1">
        <v>152.65</v>
      </c>
      <c r="K79" s="34">
        <v>41244</v>
      </c>
      <c r="L79" s="1">
        <v>4052.5</v>
      </c>
      <c r="M79" s="34">
        <v>41244</v>
      </c>
      <c r="N79" s="1">
        <v>734.3</v>
      </c>
    </row>
    <row r="80" spans="1:14" x14ac:dyDescent="0.25">
      <c r="A80" s="34">
        <v>41275</v>
      </c>
      <c r="B80" s="1">
        <v>4026.9</v>
      </c>
      <c r="C80" s="34">
        <v>41275</v>
      </c>
      <c r="D80" s="1">
        <v>3832</v>
      </c>
      <c r="E80" s="34">
        <v>41275</v>
      </c>
      <c r="F80" s="1">
        <v>8.8000000000000007</v>
      </c>
      <c r="G80" s="34">
        <v>41275</v>
      </c>
      <c r="H80" s="1">
        <v>1.79</v>
      </c>
      <c r="I80" s="34">
        <v>41275</v>
      </c>
      <c r="J80" s="1">
        <v>153.11000000000001</v>
      </c>
      <c r="K80" s="34">
        <v>41275</v>
      </c>
      <c r="L80" s="1">
        <v>3964.8</v>
      </c>
      <c r="M80" s="34">
        <v>41275</v>
      </c>
      <c r="N80" s="1">
        <v>724.9</v>
      </c>
    </row>
    <row r="81" spans="1:14" x14ac:dyDescent="0.25">
      <c r="A81" s="34">
        <v>41306</v>
      </c>
      <c r="B81" s="1">
        <v>4034.5</v>
      </c>
      <c r="C81" s="34">
        <v>41306</v>
      </c>
      <c r="D81" s="1">
        <v>3581</v>
      </c>
      <c r="E81" s="34">
        <v>41306</v>
      </c>
      <c r="F81" s="1">
        <v>8.6</v>
      </c>
      <c r="G81" s="34">
        <v>41306</v>
      </c>
      <c r="H81" s="1">
        <v>1.7</v>
      </c>
      <c r="I81" s="34">
        <v>41306</v>
      </c>
      <c r="J81" s="1">
        <v>153.55000000000001</v>
      </c>
      <c r="K81" s="34">
        <v>41306</v>
      </c>
      <c r="L81" s="1">
        <v>3994.2</v>
      </c>
      <c r="M81" s="34">
        <v>41306</v>
      </c>
      <c r="N81" s="1">
        <v>733.8</v>
      </c>
    </row>
    <row r="82" spans="1:14" x14ac:dyDescent="0.25">
      <c r="A82" s="34">
        <v>41334</v>
      </c>
      <c r="B82" s="1">
        <v>4035.3</v>
      </c>
      <c r="C82" s="34">
        <v>41334</v>
      </c>
      <c r="D82" s="1">
        <v>3861</v>
      </c>
      <c r="E82" s="34">
        <v>41334</v>
      </c>
      <c r="F82" s="1">
        <v>8.5</v>
      </c>
      <c r="G82" s="34">
        <v>41334</v>
      </c>
      <c r="H82" s="1">
        <v>1.1100000000000001</v>
      </c>
      <c r="I82" s="34">
        <v>41334</v>
      </c>
      <c r="J82" s="1">
        <v>153.93</v>
      </c>
      <c r="K82" s="34">
        <v>41334</v>
      </c>
      <c r="L82" s="1">
        <v>4023.3</v>
      </c>
      <c r="M82" s="34">
        <v>41334</v>
      </c>
      <c r="N82" s="1">
        <v>737.2</v>
      </c>
    </row>
    <row r="83" spans="1:14" x14ac:dyDescent="0.25">
      <c r="A83" s="34">
        <v>41365</v>
      </c>
      <c r="B83" s="1">
        <v>4042.8</v>
      </c>
      <c r="C83" s="34">
        <v>41365</v>
      </c>
      <c r="D83" s="1">
        <v>4668</v>
      </c>
      <c r="E83" s="34">
        <v>41365</v>
      </c>
      <c r="F83" s="1">
        <v>8.4</v>
      </c>
      <c r="G83" s="34">
        <v>41365</v>
      </c>
      <c r="H83" s="1">
        <v>1.43</v>
      </c>
      <c r="I83" s="34">
        <v>41365</v>
      </c>
      <c r="J83" s="1">
        <v>154.25</v>
      </c>
      <c r="K83" s="34">
        <v>41365</v>
      </c>
      <c r="L83" s="1">
        <v>4051.2</v>
      </c>
      <c r="M83" s="34">
        <v>41365</v>
      </c>
      <c r="N83" s="1">
        <v>737</v>
      </c>
    </row>
    <row r="84" spans="1:14" x14ac:dyDescent="0.25">
      <c r="A84" s="34">
        <v>41395</v>
      </c>
      <c r="B84" s="1">
        <v>4044.7</v>
      </c>
      <c r="C84" s="34">
        <v>41395</v>
      </c>
      <c r="D84" s="1">
        <v>4726</v>
      </c>
      <c r="E84" s="34">
        <v>41395</v>
      </c>
      <c r="F84" s="1">
        <v>8.3000000000000007</v>
      </c>
      <c r="G84" s="34">
        <v>41395</v>
      </c>
      <c r="H84" s="1">
        <v>1.24</v>
      </c>
      <c r="I84" s="34">
        <v>41395</v>
      </c>
      <c r="J84" s="1">
        <v>154.54</v>
      </c>
      <c r="K84" s="34">
        <v>41395</v>
      </c>
      <c r="L84" s="1">
        <v>4077.4</v>
      </c>
      <c r="M84" s="34">
        <v>41395</v>
      </c>
      <c r="N84" s="1">
        <v>736.8</v>
      </c>
    </row>
    <row r="85" spans="1:14" x14ac:dyDescent="0.25">
      <c r="A85" s="34">
        <v>41426</v>
      </c>
      <c r="B85" s="1">
        <v>4044.7</v>
      </c>
      <c r="C85" s="34">
        <v>41426</v>
      </c>
      <c r="D85" s="1">
        <v>4311</v>
      </c>
      <c r="E85" s="34">
        <v>41426</v>
      </c>
      <c r="F85" s="1">
        <v>8.3000000000000007</v>
      </c>
      <c r="G85" s="34">
        <v>41426</v>
      </c>
      <c r="H85" s="1">
        <v>1.44</v>
      </c>
      <c r="I85" s="34">
        <v>41426</v>
      </c>
      <c r="J85" s="1">
        <v>154.83000000000001</v>
      </c>
      <c r="K85" s="34">
        <v>41426</v>
      </c>
      <c r="L85" s="1">
        <v>4057.1</v>
      </c>
      <c r="M85" s="34">
        <v>41426</v>
      </c>
      <c r="N85" s="1">
        <v>691.4</v>
      </c>
    </row>
    <row r="86" spans="1:14" x14ac:dyDescent="0.25">
      <c r="A86" s="34">
        <v>41456</v>
      </c>
      <c r="B86" s="1">
        <v>4050.8</v>
      </c>
      <c r="C86" s="34">
        <v>41456</v>
      </c>
      <c r="D86" s="1">
        <v>3828</v>
      </c>
      <c r="E86" s="34">
        <v>41456</v>
      </c>
      <c r="F86" s="1">
        <v>8.1</v>
      </c>
      <c r="G86" s="34">
        <v>41456</v>
      </c>
      <c r="H86" s="1">
        <v>2.1</v>
      </c>
      <c r="I86" s="34">
        <v>41456</v>
      </c>
      <c r="J86" s="1">
        <v>155.19</v>
      </c>
      <c r="K86" s="34">
        <v>41456</v>
      </c>
      <c r="L86" s="1">
        <v>3980.9</v>
      </c>
      <c r="M86" s="34">
        <v>41456</v>
      </c>
      <c r="N86" s="1">
        <v>615.4</v>
      </c>
    </row>
    <row r="87" spans="1:14" x14ac:dyDescent="0.25">
      <c r="A87" s="34">
        <v>41487</v>
      </c>
      <c r="B87" s="1">
        <v>4054.9</v>
      </c>
      <c r="C87" s="34">
        <v>41487</v>
      </c>
      <c r="D87" s="1">
        <v>4298</v>
      </c>
      <c r="E87" s="34">
        <v>41487</v>
      </c>
      <c r="F87" s="1">
        <v>8</v>
      </c>
      <c r="G87" s="34">
        <v>41487</v>
      </c>
      <c r="H87" s="1">
        <v>1.98</v>
      </c>
      <c r="I87" s="34">
        <v>41487</v>
      </c>
      <c r="J87" s="1">
        <v>155.65</v>
      </c>
      <c r="K87" s="34">
        <v>41487</v>
      </c>
      <c r="L87" s="1">
        <v>4062.4</v>
      </c>
      <c r="M87" s="34">
        <v>41487</v>
      </c>
      <c r="N87" s="1">
        <v>683.4</v>
      </c>
    </row>
    <row r="88" spans="1:14" x14ac:dyDescent="0.25">
      <c r="A88" s="34">
        <v>41518</v>
      </c>
      <c r="B88" s="1">
        <v>4061.5</v>
      </c>
      <c r="C88" s="34">
        <v>41518</v>
      </c>
      <c r="D88" s="1">
        <v>3896</v>
      </c>
      <c r="E88" s="34">
        <v>41518</v>
      </c>
      <c r="F88" s="1">
        <v>7.7</v>
      </c>
      <c r="G88" s="34">
        <v>41518</v>
      </c>
      <c r="H88" s="1">
        <v>2.37</v>
      </c>
      <c r="I88" s="34">
        <v>41518</v>
      </c>
      <c r="J88" s="1">
        <v>156.18</v>
      </c>
      <c r="K88" s="34">
        <v>41518</v>
      </c>
      <c r="L88" s="1">
        <v>4089.5</v>
      </c>
      <c r="M88" s="34">
        <v>41518</v>
      </c>
      <c r="N88" s="1">
        <v>719.8</v>
      </c>
    </row>
    <row r="89" spans="1:14" x14ac:dyDescent="0.25">
      <c r="A89" s="34">
        <v>41548</v>
      </c>
      <c r="B89" s="1">
        <v>4099.2</v>
      </c>
      <c r="C89" s="34">
        <v>41548</v>
      </c>
      <c r="D89" s="1">
        <v>4599</v>
      </c>
      <c r="E89" s="34">
        <v>41548</v>
      </c>
      <c r="F89" s="1">
        <v>7.5</v>
      </c>
      <c r="G89" s="34">
        <v>41548</v>
      </c>
      <c r="H89" s="1">
        <v>2.11</v>
      </c>
      <c r="I89" s="34">
        <v>41548</v>
      </c>
      <c r="J89" s="1">
        <v>156.72</v>
      </c>
      <c r="K89" s="34">
        <v>41548</v>
      </c>
      <c r="L89" s="1">
        <v>4124.6000000000004</v>
      </c>
      <c r="M89" s="34">
        <v>41548</v>
      </c>
      <c r="N89" s="1">
        <v>734.2</v>
      </c>
    </row>
    <row r="90" spans="1:14" x14ac:dyDescent="0.25">
      <c r="A90" s="34">
        <v>41579</v>
      </c>
      <c r="B90" s="1">
        <v>4096.5</v>
      </c>
      <c r="C90" s="34">
        <v>41579</v>
      </c>
      <c r="D90" s="1">
        <v>3645</v>
      </c>
      <c r="E90" s="34">
        <v>41579</v>
      </c>
      <c r="F90" s="1">
        <v>7.2</v>
      </c>
      <c r="G90" s="34">
        <v>41579</v>
      </c>
      <c r="H90" s="1">
        <v>2.41</v>
      </c>
      <c r="I90" s="34">
        <v>41579</v>
      </c>
      <c r="J90" s="1">
        <v>157.29</v>
      </c>
      <c r="K90" s="34">
        <v>41579</v>
      </c>
      <c r="L90" s="1">
        <v>4132.3</v>
      </c>
      <c r="M90" s="34">
        <v>41579</v>
      </c>
      <c r="N90" s="1">
        <v>740.4</v>
      </c>
    </row>
    <row r="91" spans="1:14" x14ac:dyDescent="0.25">
      <c r="A91" s="34">
        <v>41609</v>
      </c>
      <c r="B91" s="1">
        <v>4104.2</v>
      </c>
      <c r="C91" s="34">
        <v>41609</v>
      </c>
      <c r="D91" s="1">
        <v>4086</v>
      </c>
      <c r="E91" s="34">
        <v>41609</v>
      </c>
      <c r="F91" s="1">
        <v>6.9</v>
      </c>
      <c r="G91" s="34">
        <v>41609</v>
      </c>
      <c r="H91" s="1">
        <v>2.17</v>
      </c>
      <c r="I91" s="34">
        <v>41609</v>
      </c>
      <c r="J91" s="1">
        <v>157.86000000000001</v>
      </c>
      <c r="K91" s="34">
        <v>41609</v>
      </c>
      <c r="L91" s="1">
        <v>4125.6000000000004</v>
      </c>
      <c r="M91" s="34">
        <v>41609</v>
      </c>
      <c r="N91" s="1">
        <v>735.5</v>
      </c>
    </row>
    <row r="92" spans="1:14" x14ac:dyDescent="0.25">
      <c r="A92" s="34">
        <v>41640</v>
      </c>
      <c r="B92" s="1">
        <v>4092.2</v>
      </c>
      <c r="C92" s="34">
        <v>41640</v>
      </c>
      <c r="D92" s="1">
        <v>3389</v>
      </c>
      <c r="E92" s="34">
        <v>41640</v>
      </c>
      <c r="F92" s="1">
        <v>6.7</v>
      </c>
      <c r="G92" s="34">
        <v>41640</v>
      </c>
      <c r="H92" s="1">
        <v>2.1</v>
      </c>
      <c r="I92" s="34">
        <v>41640</v>
      </c>
      <c r="J92" s="1">
        <v>158.41</v>
      </c>
      <c r="K92" s="34">
        <v>41640</v>
      </c>
      <c r="L92" s="1">
        <v>4043.5</v>
      </c>
      <c r="M92" s="34">
        <v>41640</v>
      </c>
      <c r="N92" s="1">
        <v>726</v>
      </c>
    </row>
    <row r="93" spans="1:14" x14ac:dyDescent="0.25">
      <c r="A93" s="34">
        <v>41671</v>
      </c>
      <c r="B93" s="1">
        <v>4080.9</v>
      </c>
      <c r="C93" s="34">
        <v>41671</v>
      </c>
      <c r="D93" s="1">
        <v>3469</v>
      </c>
      <c r="E93" s="34">
        <v>41671</v>
      </c>
      <c r="F93" s="1">
        <v>6.4</v>
      </c>
      <c r="G93" s="34">
        <v>41671</v>
      </c>
      <c r="H93" s="1">
        <v>2.11</v>
      </c>
      <c r="I93" s="34">
        <v>41671</v>
      </c>
      <c r="J93" s="1">
        <v>158.94999999999999</v>
      </c>
      <c r="K93" s="34">
        <v>41671</v>
      </c>
      <c r="L93" s="1">
        <v>4048.6</v>
      </c>
      <c r="M93" s="34">
        <v>41671</v>
      </c>
      <c r="N93" s="1">
        <v>733.9</v>
      </c>
    </row>
    <row r="94" spans="1:14" x14ac:dyDescent="0.25">
      <c r="A94" s="34">
        <v>41699</v>
      </c>
      <c r="B94" s="1">
        <v>4098.6000000000004</v>
      </c>
      <c r="C94" s="34">
        <v>41699</v>
      </c>
      <c r="D94" s="1">
        <v>4164</v>
      </c>
      <c r="E94" s="34">
        <v>41699</v>
      </c>
      <c r="F94" s="1">
        <v>6.3</v>
      </c>
      <c r="G94" s="34">
        <v>41699</v>
      </c>
      <c r="H94" s="1">
        <v>1.78</v>
      </c>
      <c r="I94" s="34">
        <v>41699</v>
      </c>
      <c r="J94" s="1">
        <v>159.47</v>
      </c>
      <c r="K94" s="34">
        <v>41699</v>
      </c>
      <c r="L94" s="1">
        <v>4093.3</v>
      </c>
      <c r="M94" s="34">
        <v>41699</v>
      </c>
      <c r="N94" s="1">
        <v>737.7</v>
      </c>
    </row>
    <row r="95" spans="1:14" x14ac:dyDescent="0.25">
      <c r="A95" s="34">
        <v>41730</v>
      </c>
      <c r="B95" s="1">
        <v>4116.6000000000004</v>
      </c>
      <c r="C95" s="34">
        <v>41730</v>
      </c>
      <c r="D95" s="1">
        <v>4433</v>
      </c>
      <c r="E95" s="34">
        <v>41730</v>
      </c>
      <c r="F95" s="1">
        <v>6.2</v>
      </c>
      <c r="G95" s="34">
        <v>41730</v>
      </c>
      <c r="H95" s="1">
        <v>1.18</v>
      </c>
      <c r="I95" s="34">
        <v>41730</v>
      </c>
      <c r="J95" s="1">
        <v>159.91</v>
      </c>
      <c r="K95" s="34">
        <v>41730</v>
      </c>
      <c r="L95" s="1">
        <v>4130.3999999999996</v>
      </c>
      <c r="M95" s="34">
        <v>41730</v>
      </c>
      <c r="N95" s="1">
        <v>737.3</v>
      </c>
    </row>
    <row r="96" spans="1:14" x14ac:dyDescent="0.25">
      <c r="A96" s="34">
        <v>41760</v>
      </c>
      <c r="B96" s="1">
        <v>4125.3</v>
      </c>
      <c r="C96" s="34">
        <v>41760</v>
      </c>
      <c r="D96" s="1">
        <v>4196</v>
      </c>
      <c r="E96" s="34">
        <v>41760</v>
      </c>
      <c r="F96" s="1">
        <v>6.4</v>
      </c>
      <c r="G96" s="34">
        <v>41760</v>
      </c>
      <c r="H96" s="1">
        <v>1.23</v>
      </c>
      <c r="I96" s="34">
        <v>41760</v>
      </c>
      <c r="J96" s="1">
        <v>160.25</v>
      </c>
      <c r="K96" s="34">
        <v>41760</v>
      </c>
      <c r="L96" s="1">
        <v>4155.8</v>
      </c>
      <c r="M96" s="34">
        <v>41760</v>
      </c>
      <c r="N96" s="1">
        <v>731.9</v>
      </c>
    </row>
    <row r="97" spans="1:14" x14ac:dyDescent="0.25">
      <c r="A97" s="34">
        <v>41791</v>
      </c>
      <c r="B97" s="1">
        <v>4124</v>
      </c>
      <c r="C97" s="34">
        <v>41791</v>
      </c>
      <c r="D97" s="1">
        <v>3763</v>
      </c>
      <c r="E97" s="34">
        <v>41791</v>
      </c>
      <c r="F97" s="1">
        <v>6.4</v>
      </c>
      <c r="G97" s="34">
        <v>41791</v>
      </c>
      <c r="H97" s="1">
        <v>2.0099999999999998</v>
      </c>
      <c r="I97" s="34">
        <v>41791</v>
      </c>
      <c r="J97" s="1">
        <v>160.6</v>
      </c>
      <c r="K97" s="34">
        <v>41791</v>
      </c>
      <c r="L97" s="1">
        <v>4137.6000000000004</v>
      </c>
      <c r="M97" s="34">
        <v>41791</v>
      </c>
      <c r="N97" s="1">
        <v>683.3</v>
      </c>
    </row>
    <row r="98" spans="1:14" x14ac:dyDescent="0.25">
      <c r="A98" s="34">
        <v>41821</v>
      </c>
      <c r="B98" s="1">
        <v>4141.2</v>
      </c>
      <c r="C98" s="34">
        <v>41821</v>
      </c>
      <c r="D98" s="1">
        <v>4684</v>
      </c>
      <c r="E98" s="34">
        <v>41821</v>
      </c>
      <c r="F98" s="1">
        <v>6.5</v>
      </c>
      <c r="G98" s="34">
        <v>41821</v>
      </c>
      <c r="H98" s="1">
        <v>1.05</v>
      </c>
      <c r="I98" s="34">
        <v>41821</v>
      </c>
      <c r="J98" s="1">
        <v>160.93</v>
      </c>
      <c r="K98" s="34">
        <v>41821</v>
      </c>
      <c r="L98" s="1">
        <v>4076.3</v>
      </c>
      <c r="M98" s="34">
        <v>41821</v>
      </c>
      <c r="N98" s="1">
        <v>608.5</v>
      </c>
    </row>
    <row r="99" spans="1:14" x14ac:dyDescent="0.25">
      <c r="A99" s="34">
        <v>41852</v>
      </c>
      <c r="B99" s="1">
        <v>4156</v>
      </c>
      <c r="C99" s="34">
        <v>41852</v>
      </c>
      <c r="D99" s="1">
        <v>4925</v>
      </c>
      <c r="E99" s="34">
        <v>41852</v>
      </c>
      <c r="F99" s="1">
        <v>6.8</v>
      </c>
      <c r="G99" s="34">
        <v>41852</v>
      </c>
      <c r="H99" s="1">
        <v>1.81</v>
      </c>
      <c r="I99" s="34">
        <v>41852</v>
      </c>
      <c r="J99" s="1">
        <v>161.27000000000001</v>
      </c>
      <c r="K99" s="34">
        <v>41852</v>
      </c>
      <c r="L99" s="1">
        <v>4150.8</v>
      </c>
      <c r="M99" s="34">
        <v>41852</v>
      </c>
      <c r="N99" s="1">
        <v>676.3</v>
      </c>
    </row>
    <row r="100" spans="1:14" x14ac:dyDescent="0.25">
      <c r="A100" s="34">
        <v>41883</v>
      </c>
      <c r="B100" s="1">
        <v>4166.7</v>
      </c>
      <c r="C100" s="34">
        <v>41883</v>
      </c>
      <c r="D100" s="1">
        <v>4669</v>
      </c>
      <c r="E100" s="34">
        <v>41883</v>
      </c>
      <c r="F100" s="1">
        <v>6.7</v>
      </c>
      <c r="G100" s="34">
        <v>41883</v>
      </c>
      <c r="H100" s="1">
        <v>4.8600000000000003</v>
      </c>
      <c r="I100" s="34">
        <v>41883</v>
      </c>
      <c r="J100" s="1">
        <v>161.94</v>
      </c>
      <c r="K100" s="34">
        <v>41883</v>
      </c>
      <c r="L100" s="1">
        <v>4174.8999999999996</v>
      </c>
      <c r="M100" s="34">
        <v>41883</v>
      </c>
      <c r="N100" s="1">
        <v>711.7</v>
      </c>
    </row>
    <row r="101" spans="1:14" x14ac:dyDescent="0.25">
      <c r="A101" s="34">
        <v>41913</v>
      </c>
      <c r="B101" s="1">
        <v>4186.5</v>
      </c>
      <c r="C101" s="34">
        <v>41913</v>
      </c>
      <c r="D101" s="1">
        <v>4538</v>
      </c>
      <c r="E101" s="34">
        <v>41913</v>
      </c>
      <c r="F101" s="1">
        <v>6.3</v>
      </c>
      <c r="G101" s="34">
        <v>41913</v>
      </c>
      <c r="H101" s="1">
        <v>5.17</v>
      </c>
      <c r="I101" s="34">
        <v>41913</v>
      </c>
      <c r="J101" s="1">
        <v>163.02000000000001</v>
      </c>
      <c r="K101" s="34">
        <v>41913</v>
      </c>
      <c r="L101" s="1">
        <v>4220.3999999999996</v>
      </c>
      <c r="M101" s="34">
        <v>41913</v>
      </c>
      <c r="N101" s="1">
        <v>728.9</v>
      </c>
    </row>
    <row r="102" spans="1:14" x14ac:dyDescent="0.25">
      <c r="A102" s="34">
        <v>41944</v>
      </c>
      <c r="B102" s="1">
        <v>4203.6000000000004</v>
      </c>
      <c r="C102" s="34">
        <v>41944</v>
      </c>
      <c r="D102" s="1">
        <v>3807</v>
      </c>
      <c r="E102" s="34">
        <v>41944</v>
      </c>
      <c r="F102" s="1">
        <v>5.9</v>
      </c>
      <c r="G102" s="34">
        <v>41944</v>
      </c>
      <c r="H102" s="1">
        <v>4.16</v>
      </c>
      <c r="I102" s="34">
        <v>41944</v>
      </c>
      <c r="J102" s="1">
        <v>164.33</v>
      </c>
      <c r="K102" s="34">
        <v>41944</v>
      </c>
      <c r="L102" s="1">
        <v>4237.7</v>
      </c>
      <c r="M102" s="34">
        <v>41944</v>
      </c>
      <c r="N102" s="1">
        <v>735.6</v>
      </c>
    </row>
    <row r="103" spans="1:14" x14ac:dyDescent="0.25">
      <c r="A103" s="34">
        <v>41974</v>
      </c>
      <c r="B103" s="1">
        <v>4218.7</v>
      </c>
      <c r="E103" s="34">
        <v>41974</v>
      </c>
      <c r="F103" s="1">
        <v>5.5</v>
      </c>
      <c r="K103" s="34">
        <v>41974</v>
      </c>
      <c r="L103" s="1">
        <v>4241</v>
      </c>
      <c r="M103" s="34">
        <v>41974</v>
      </c>
      <c r="N103" s="1">
        <v>730.2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P103"/>
  <sheetViews>
    <sheetView topLeftCell="A78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218</v>
      </c>
      <c r="C1" s="34" t="s">
        <v>219</v>
      </c>
      <c r="E1" s="34" t="s">
        <v>220</v>
      </c>
      <c r="G1" s="34" t="s">
        <v>221</v>
      </c>
      <c r="I1" s="34" t="s">
        <v>222</v>
      </c>
      <c r="K1" s="34" t="str">
        <f>CONCATENATE(LEFT(A1,2), "NAN")</f>
        <v>NDNAN</v>
      </c>
      <c r="M1" s="34" t="str">
        <f>CONCATENATE(LEFT(A1,2), "GOVTN")</f>
        <v>NDGOVTN</v>
      </c>
      <c r="O1" s="34" t="str">
        <f>CONCATENATE(LEFT($A$1,2), "RGSP")</f>
        <v>NDRGSP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900</v>
      </c>
      <c r="C5" s="35" t="s">
        <v>403</v>
      </c>
      <c r="E5" s="35" t="s">
        <v>404</v>
      </c>
      <c r="G5" s="35" t="s">
        <v>405</v>
      </c>
      <c r="I5" s="35" t="s">
        <v>406</v>
      </c>
      <c r="K5" s="35" t="s">
        <v>900</v>
      </c>
      <c r="M5" s="35" t="s">
        <v>901</v>
      </c>
      <c r="O5" s="35" t="s">
        <v>792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355.8</v>
      </c>
      <c r="C8" s="34">
        <v>39083</v>
      </c>
      <c r="D8" s="1">
        <v>101</v>
      </c>
      <c r="E8" s="34">
        <v>39083</v>
      </c>
      <c r="F8" s="1">
        <v>3.1</v>
      </c>
      <c r="G8" s="34">
        <v>39083</v>
      </c>
      <c r="H8" s="1">
        <v>0.94</v>
      </c>
      <c r="I8" s="34">
        <v>39083</v>
      </c>
      <c r="J8" s="1">
        <v>137.69</v>
      </c>
      <c r="K8" s="34">
        <v>39083</v>
      </c>
      <c r="L8" s="1">
        <v>348.5</v>
      </c>
      <c r="M8" s="34">
        <v>39083</v>
      </c>
      <c r="N8" s="1">
        <v>76.5</v>
      </c>
      <c r="O8" s="34">
        <v>39083</v>
      </c>
      <c r="P8" s="1">
        <v>29160</v>
      </c>
    </row>
    <row r="9" spans="1:16" x14ac:dyDescent="0.25">
      <c r="A9" s="34">
        <v>39114</v>
      </c>
      <c r="B9" s="1">
        <v>355.6</v>
      </c>
      <c r="C9" s="34">
        <v>39114</v>
      </c>
      <c r="D9" s="1">
        <v>82</v>
      </c>
      <c r="E9" s="34">
        <v>39114</v>
      </c>
      <c r="F9" s="1">
        <v>3.1</v>
      </c>
      <c r="G9" s="34">
        <v>39114</v>
      </c>
      <c r="H9" s="1">
        <v>0.56000000000000005</v>
      </c>
      <c r="I9" s="34">
        <v>39114</v>
      </c>
      <c r="J9" s="1">
        <v>138.02000000000001</v>
      </c>
      <c r="K9" s="34">
        <v>39114</v>
      </c>
      <c r="L9" s="1">
        <v>349.6</v>
      </c>
      <c r="M9" s="34">
        <v>39114</v>
      </c>
      <c r="N9" s="1">
        <v>77.8</v>
      </c>
      <c r="O9" s="34">
        <v>39448</v>
      </c>
      <c r="P9" s="1">
        <v>31559</v>
      </c>
    </row>
    <row r="10" spans="1:16" x14ac:dyDescent="0.25">
      <c r="A10" s="34">
        <v>39142</v>
      </c>
      <c r="B10" s="1">
        <v>356.9</v>
      </c>
      <c r="C10" s="34">
        <v>39142</v>
      </c>
      <c r="D10" s="1">
        <v>153</v>
      </c>
      <c r="E10" s="34">
        <v>39142</v>
      </c>
      <c r="F10" s="1">
        <v>3</v>
      </c>
      <c r="G10" s="34">
        <v>39142</v>
      </c>
      <c r="H10" s="1">
        <v>1.18</v>
      </c>
      <c r="I10" s="34">
        <v>39142</v>
      </c>
      <c r="J10" s="1">
        <v>138.31</v>
      </c>
      <c r="K10" s="34">
        <v>39142</v>
      </c>
      <c r="L10" s="1">
        <v>352.6</v>
      </c>
      <c r="M10" s="34">
        <v>39142</v>
      </c>
      <c r="N10" s="1">
        <v>78</v>
      </c>
      <c r="O10" s="34">
        <v>39814</v>
      </c>
      <c r="P10" s="1">
        <v>32137</v>
      </c>
    </row>
    <row r="11" spans="1:16" x14ac:dyDescent="0.25">
      <c r="A11" s="34">
        <v>39173</v>
      </c>
      <c r="B11" s="1">
        <v>356.6</v>
      </c>
      <c r="C11" s="34">
        <v>39173</v>
      </c>
      <c r="D11" s="1">
        <v>354</v>
      </c>
      <c r="E11" s="34">
        <v>39173</v>
      </c>
      <c r="F11" s="1">
        <v>3</v>
      </c>
      <c r="G11" s="34">
        <v>39173</v>
      </c>
      <c r="H11" s="1">
        <v>0.19</v>
      </c>
      <c r="I11" s="34">
        <v>39173</v>
      </c>
      <c r="J11" s="1">
        <v>138.51</v>
      </c>
      <c r="K11" s="34">
        <v>39173</v>
      </c>
      <c r="L11" s="1">
        <v>356.2</v>
      </c>
      <c r="M11" s="34">
        <v>39173</v>
      </c>
      <c r="N11" s="1">
        <v>78.400000000000006</v>
      </c>
      <c r="O11" s="34">
        <v>40179</v>
      </c>
      <c r="P11" s="1">
        <v>34564</v>
      </c>
    </row>
    <row r="12" spans="1:16" x14ac:dyDescent="0.25">
      <c r="A12" s="34">
        <v>39203</v>
      </c>
      <c r="B12" s="1">
        <v>357.8</v>
      </c>
      <c r="C12" s="34">
        <v>39203</v>
      </c>
      <c r="D12" s="1">
        <v>516</v>
      </c>
      <c r="E12" s="34">
        <v>39203</v>
      </c>
      <c r="F12" s="1">
        <v>3.1</v>
      </c>
      <c r="G12" s="34">
        <v>39203</v>
      </c>
      <c r="H12" s="1">
        <v>0.76</v>
      </c>
      <c r="I12" s="34">
        <v>39203</v>
      </c>
      <c r="J12" s="1">
        <v>138.68</v>
      </c>
      <c r="K12" s="34">
        <v>39203</v>
      </c>
      <c r="L12" s="1">
        <v>362.7</v>
      </c>
      <c r="M12" s="34">
        <v>39203</v>
      </c>
      <c r="N12" s="1">
        <v>78.5</v>
      </c>
      <c r="O12" s="34">
        <v>40544</v>
      </c>
      <c r="P12" s="1">
        <v>37735</v>
      </c>
    </row>
    <row r="13" spans="1:16" x14ac:dyDescent="0.25">
      <c r="A13" s="34">
        <v>39234</v>
      </c>
      <c r="B13" s="1">
        <v>358.2</v>
      </c>
      <c r="C13" s="34">
        <v>39234</v>
      </c>
      <c r="D13" s="1">
        <v>264</v>
      </c>
      <c r="E13" s="34">
        <v>39234</v>
      </c>
      <c r="F13" s="1">
        <v>3.1</v>
      </c>
      <c r="G13" s="34">
        <v>39234</v>
      </c>
      <c r="H13" s="1">
        <v>0.6</v>
      </c>
      <c r="I13" s="34">
        <v>39234</v>
      </c>
      <c r="J13" s="1">
        <v>138.83000000000001</v>
      </c>
      <c r="K13" s="34">
        <v>39234</v>
      </c>
      <c r="L13" s="1">
        <v>362.7</v>
      </c>
      <c r="M13" s="34">
        <v>39234</v>
      </c>
      <c r="N13" s="1">
        <v>74.7</v>
      </c>
      <c r="O13" s="34">
        <v>40909</v>
      </c>
      <c r="P13" s="1">
        <v>45385</v>
      </c>
    </row>
    <row r="14" spans="1:16" x14ac:dyDescent="0.25">
      <c r="A14" s="34">
        <v>39264</v>
      </c>
      <c r="B14" s="1">
        <v>358.5</v>
      </c>
      <c r="C14" s="34">
        <v>39264</v>
      </c>
      <c r="D14" s="1">
        <v>280</v>
      </c>
      <c r="E14" s="34">
        <v>39264</v>
      </c>
      <c r="F14" s="1">
        <v>3.2</v>
      </c>
      <c r="G14" s="34">
        <v>39264</v>
      </c>
      <c r="H14" s="1">
        <v>0.4</v>
      </c>
      <c r="I14" s="34">
        <v>39264</v>
      </c>
      <c r="J14" s="1">
        <v>138.96</v>
      </c>
      <c r="K14" s="34">
        <v>39264</v>
      </c>
      <c r="L14" s="1">
        <v>352.9</v>
      </c>
      <c r="M14" s="34">
        <v>39264</v>
      </c>
      <c r="N14" s="1">
        <v>65.2</v>
      </c>
      <c r="O14" s="34">
        <v>41275</v>
      </c>
      <c r="P14" s="1">
        <v>49772</v>
      </c>
    </row>
    <row r="15" spans="1:16" x14ac:dyDescent="0.25">
      <c r="A15" s="34">
        <v>39295</v>
      </c>
      <c r="B15" s="1">
        <v>358.4</v>
      </c>
      <c r="C15" s="34">
        <v>39295</v>
      </c>
      <c r="D15" s="1">
        <v>287</v>
      </c>
      <c r="E15" s="34">
        <v>39295</v>
      </c>
      <c r="F15" s="1">
        <v>3.2</v>
      </c>
      <c r="G15" s="34">
        <v>39295</v>
      </c>
      <c r="H15" s="1">
        <v>1.9</v>
      </c>
      <c r="I15" s="34">
        <v>39295</v>
      </c>
      <c r="J15" s="1">
        <v>139.16999999999999</v>
      </c>
      <c r="K15" s="34">
        <v>39295</v>
      </c>
      <c r="L15" s="1">
        <v>354.2</v>
      </c>
      <c r="M15" s="34">
        <v>39295</v>
      </c>
      <c r="N15" s="1">
        <v>66.3</v>
      </c>
    </row>
    <row r="16" spans="1:16" x14ac:dyDescent="0.25">
      <c r="A16" s="34">
        <v>39326</v>
      </c>
      <c r="B16" s="1">
        <v>358.9</v>
      </c>
      <c r="C16" s="34">
        <v>39326</v>
      </c>
      <c r="D16" s="1">
        <v>338</v>
      </c>
      <c r="E16" s="34">
        <v>39326</v>
      </c>
      <c r="F16" s="1">
        <v>3.2</v>
      </c>
      <c r="G16" s="34">
        <v>39326</v>
      </c>
      <c r="H16" s="1">
        <v>1.98</v>
      </c>
      <c r="I16" s="34">
        <v>39326</v>
      </c>
      <c r="J16" s="1">
        <v>139.53</v>
      </c>
      <c r="K16" s="34">
        <v>39326</v>
      </c>
      <c r="L16" s="1">
        <v>364.2</v>
      </c>
      <c r="M16" s="34">
        <v>39326</v>
      </c>
      <c r="N16" s="1">
        <v>77</v>
      </c>
    </row>
    <row r="17" spans="1:14" x14ac:dyDescent="0.25">
      <c r="A17" s="34">
        <v>39356</v>
      </c>
      <c r="B17" s="1">
        <v>360.3</v>
      </c>
      <c r="C17" s="34">
        <v>39356</v>
      </c>
      <c r="D17" s="1">
        <v>320</v>
      </c>
      <c r="E17" s="34">
        <v>39356</v>
      </c>
      <c r="F17" s="1">
        <v>3.2</v>
      </c>
      <c r="G17" s="34">
        <v>39356</v>
      </c>
      <c r="H17" s="1">
        <v>2.25</v>
      </c>
      <c r="I17" s="34">
        <v>39356</v>
      </c>
      <c r="J17" s="1">
        <v>140.03</v>
      </c>
      <c r="K17" s="34">
        <v>39356</v>
      </c>
      <c r="L17" s="1">
        <v>365.8</v>
      </c>
      <c r="M17" s="34">
        <v>39356</v>
      </c>
      <c r="N17" s="1">
        <v>78.3</v>
      </c>
    </row>
    <row r="18" spans="1:14" x14ac:dyDescent="0.25">
      <c r="A18" s="34">
        <v>39387</v>
      </c>
      <c r="B18" s="1">
        <v>361.7</v>
      </c>
      <c r="C18" s="34">
        <v>39387</v>
      </c>
      <c r="D18" s="1">
        <v>335</v>
      </c>
      <c r="E18" s="34">
        <v>39387</v>
      </c>
      <c r="F18" s="1">
        <v>3.1</v>
      </c>
      <c r="G18" s="34">
        <v>39387</v>
      </c>
      <c r="H18" s="1">
        <v>3.15</v>
      </c>
      <c r="I18" s="34">
        <v>39387</v>
      </c>
      <c r="J18" s="1">
        <v>140.69999999999999</v>
      </c>
      <c r="K18" s="34">
        <v>39387</v>
      </c>
      <c r="L18" s="1">
        <v>365.8</v>
      </c>
      <c r="M18" s="34">
        <v>39387</v>
      </c>
      <c r="N18" s="1">
        <v>78.7</v>
      </c>
    </row>
    <row r="19" spans="1:14" x14ac:dyDescent="0.25">
      <c r="A19" s="34">
        <v>39417</v>
      </c>
      <c r="B19" s="1">
        <v>362</v>
      </c>
      <c r="C19" s="34">
        <v>39417</v>
      </c>
      <c r="D19" s="1">
        <v>52</v>
      </c>
      <c r="E19" s="34">
        <v>39417</v>
      </c>
      <c r="F19" s="1">
        <v>3</v>
      </c>
      <c r="G19" s="34">
        <v>39417</v>
      </c>
      <c r="H19" s="1">
        <v>2.4</v>
      </c>
      <c r="I19" s="34">
        <v>39417</v>
      </c>
      <c r="J19" s="1">
        <v>141.46</v>
      </c>
      <c r="K19" s="34">
        <v>39417</v>
      </c>
      <c r="L19" s="1">
        <v>365.6</v>
      </c>
      <c r="M19" s="34">
        <v>39417</v>
      </c>
      <c r="N19" s="1">
        <v>78.8</v>
      </c>
    </row>
    <row r="20" spans="1:14" x14ac:dyDescent="0.25">
      <c r="A20" s="34">
        <v>39448</v>
      </c>
      <c r="B20" s="1">
        <v>364.1</v>
      </c>
      <c r="C20" s="34">
        <v>39448</v>
      </c>
      <c r="D20" s="1">
        <v>70</v>
      </c>
      <c r="E20" s="34">
        <v>39448</v>
      </c>
      <c r="F20" s="1">
        <v>2.9</v>
      </c>
      <c r="G20" s="34">
        <v>39448</v>
      </c>
      <c r="H20" s="1">
        <v>2.12</v>
      </c>
      <c r="I20" s="34">
        <v>39448</v>
      </c>
      <c r="J20" s="1">
        <v>142.19999999999999</v>
      </c>
      <c r="K20" s="34">
        <v>39448</v>
      </c>
      <c r="L20" s="1">
        <v>356.9</v>
      </c>
      <c r="M20" s="34">
        <v>39448</v>
      </c>
      <c r="N20" s="1">
        <v>77</v>
      </c>
    </row>
    <row r="21" spans="1:14" x14ac:dyDescent="0.25">
      <c r="A21" s="34">
        <v>39479</v>
      </c>
      <c r="B21" s="1">
        <v>365.5</v>
      </c>
      <c r="C21" s="34">
        <v>39479</v>
      </c>
      <c r="D21" s="1">
        <v>56</v>
      </c>
      <c r="E21" s="34">
        <v>39479</v>
      </c>
      <c r="F21" s="1">
        <v>2.9</v>
      </c>
      <c r="G21" s="34">
        <v>39479</v>
      </c>
      <c r="H21" s="1">
        <v>0.64</v>
      </c>
      <c r="I21" s="34">
        <v>39479</v>
      </c>
      <c r="J21" s="1">
        <v>142.78</v>
      </c>
      <c r="K21" s="34">
        <v>39479</v>
      </c>
      <c r="L21" s="1">
        <v>359</v>
      </c>
      <c r="M21" s="34">
        <v>39479</v>
      </c>
      <c r="N21" s="1">
        <v>78.400000000000006</v>
      </c>
    </row>
    <row r="22" spans="1:14" x14ac:dyDescent="0.25">
      <c r="A22" s="34">
        <v>39508</v>
      </c>
      <c r="B22" s="1">
        <v>366.2</v>
      </c>
      <c r="C22" s="34">
        <v>39508</v>
      </c>
      <c r="D22" s="1">
        <v>220</v>
      </c>
      <c r="E22" s="34">
        <v>39508</v>
      </c>
      <c r="F22" s="1">
        <v>2.9</v>
      </c>
      <c r="G22" s="34">
        <v>39508</v>
      </c>
      <c r="H22" s="1">
        <v>0.74</v>
      </c>
      <c r="I22" s="34">
        <v>39508</v>
      </c>
      <c r="J22" s="1">
        <v>143.18</v>
      </c>
      <c r="K22" s="34">
        <v>39508</v>
      </c>
      <c r="L22" s="1">
        <v>361.6</v>
      </c>
      <c r="M22" s="34">
        <v>39508</v>
      </c>
      <c r="N22" s="1">
        <v>78.2</v>
      </c>
    </row>
    <row r="23" spans="1:14" x14ac:dyDescent="0.25">
      <c r="A23" s="34">
        <v>39539</v>
      </c>
      <c r="B23" s="1">
        <v>366.3</v>
      </c>
      <c r="C23" s="34">
        <v>39539</v>
      </c>
      <c r="D23" s="1">
        <v>402</v>
      </c>
      <c r="E23" s="34">
        <v>39539</v>
      </c>
      <c r="F23" s="1">
        <v>2.9</v>
      </c>
      <c r="G23" s="34">
        <v>39539</v>
      </c>
      <c r="H23" s="1">
        <v>0.47</v>
      </c>
      <c r="I23" s="34">
        <v>39539</v>
      </c>
      <c r="J23" s="1">
        <v>143.41999999999999</v>
      </c>
      <c r="K23" s="34">
        <v>39539</v>
      </c>
      <c r="L23" s="1">
        <v>365.9</v>
      </c>
      <c r="M23" s="34">
        <v>39539</v>
      </c>
      <c r="N23" s="1">
        <v>78.5</v>
      </c>
    </row>
    <row r="24" spans="1:14" x14ac:dyDescent="0.25">
      <c r="A24" s="34">
        <v>39569</v>
      </c>
      <c r="B24" s="1">
        <v>366.8</v>
      </c>
      <c r="C24" s="34">
        <v>39569</v>
      </c>
      <c r="D24" s="1">
        <v>289</v>
      </c>
      <c r="E24" s="34">
        <v>39569</v>
      </c>
      <c r="F24" s="1">
        <v>3</v>
      </c>
      <c r="G24" s="34">
        <v>39569</v>
      </c>
      <c r="H24" s="1">
        <v>0.67</v>
      </c>
      <c r="I24" s="34">
        <v>39569</v>
      </c>
      <c r="J24" s="1">
        <v>143.54</v>
      </c>
      <c r="K24" s="34">
        <v>39569</v>
      </c>
      <c r="L24" s="1">
        <v>371.8</v>
      </c>
      <c r="M24" s="34">
        <v>39569</v>
      </c>
      <c r="N24" s="1">
        <v>79.3</v>
      </c>
    </row>
    <row r="25" spans="1:14" x14ac:dyDescent="0.25">
      <c r="A25" s="34">
        <v>39600</v>
      </c>
      <c r="B25" s="1">
        <v>366.7</v>
      </c>
      <c r="C25" s="34">
        <v>39600</v>
      </c>
      <c r="D25" s="1">
        <v>185</v>
      </c>
      <c r="E25" s="34">
        <v>39600</v>
      </c>
      <c r="F25" s="1">
        <v>3.2</v>
      </c>
      <c r="G25" s="34">
        <v>39600</v>
      </c>
      <c r="H25" s="1">
        <v>0.99</v>
      </c>
      <c r="I25" s="34">
        <v>39600</v>
      </c>
      <c r="J25" s="1">
        <v>143.63999999999999</v>
      </c>
      <c r="K25" s="34">
        <v>39600</v>
      </c>
      <c r="L25" s="1">
        <v>371.2</v>
      </c>
      <c r="M25" s="34">
        <v>39600</v>
      </c>
      <c r="N25" s="1">
        <v>74.8</v>
      </c>
    </row>
    <row r="26" spans="1:14" x14ac:dyDescent="0.25">
      <c r="A26" s="34">
        <v>39630</v>
      </c>
      <c r="B26" s="1">
        <v>368.7</v>
      </c>
      <c r="C26" s="34">
        <v>39630</v>
      </c>
      <c r="D26" s="1">
        <v>289</v>
      </c>
      <c r="E26" s="34">
        <v>39630</v>
      </c>
      <c r="F26" s="1">
        <v>3.3</v>
      </c>
      <c r="G26" s="34">
        <v>39630</v>
      </c>
      <c r="H26" s="1">
        <v>1.98</v>
      </c>
      <c r="I26" s="34">
        <v>39630</v>
      </c>
      <c r="J26" s="1">
        <v>143.84</v>
      </c>
      <c r="K26" s="34">
        <v>39630</v>
      </c>
      <c r="L26" s="1">
        <v>363</v>
      </c>
      <c r="M26" s="34">
        <v>39630</v>
      </c>
      <c r="N26" s="1">
        <v>66.099999999999994</v>
      </c>
    </row>
    <row r="27" spans="1:14" x14ac:dyDescent="0.25">
      <c r="A27" s="34">
        <v>39661</v>
      </c>
      <c r="B27" s="1">
        <v>367.8</v>
      </c>
      <c r="C27" s="34">
        <v>39661</v>
      </c>
      <c r="D27" s="1">
        <v>486</v>
      </c>
      <c r="E27" s="34">
        <v>39661</v>
      </c>
      <c r="F27" s="1">
        <v>3.3</v>
      </c>
      <c r="G27" s="34">
        <v>39661</v>
      </c>
      <c r="H27" s="1">
        <v>1.56</v>
      </c>
      <c r="I27" s="34">
        <v>39661</v>
      </c>
      <c r="J27" s="1">
        <v>144.12</v>
      </c>
      <c r="K27" s="34">
        <v>39661</v>
      </c>
      <c r="L27" s="1">
        <v>364</v>
      </c>
      <c r="M27" s="34">
        <v>39661</v>
      </c>
      <c r="N27" s="1">
        <v>67</v>
      </c>
    </row>
    <row r="28" spans="1:14" x14ac:dyDescent="0.25">
      <c r="A28" s="34">
        <v>39692</v>
      </c>
      <c r="B28" s="1">
        <v>368.3</v>
      </c>
      <c r="C28" s="34">
        <v>39692</v>
      </c>
      <c r="D28" s="1">
        <v>361</v>
      </c>
      <c r="E28" s="34">
        <v>39692</v>
      </c>
      <c r="F28" s="1">
        <v>3.3</v>
      </c>
      <c r="G28" s="34">
        <v>39692</v>
      </c>
      <c r="H28" s="1">
        <v>0.59</v>
      </c>
      <c r="I28" s="34">
        <v>39692</v>
      </c>
      <c r="J28" s="1">
        <v>144.38999999999999</v>
      </c>
      <c r="K28" s="34">
        <v>39692</v>
      </c>
      <c r="L28" s="1">
        <v>373.7</v>
      </c>
      <c r="M28" s="34">
        <v>39692</v>
      </c>
      <c r="N28" s="1">
        <v>77.7</v>
      </c>
    </row>
    <row r="29" spans="1:14" x14ac:dyDescent="0.25">
      <c r="A29" s="34">
        <v>39722</v>
      </c>
      <c r="B29" s="1">
        <v>368.3</v>
      </c>
      <c r="C29" s="34">
        <v>39722</v>
      </c>
      <c r="D29" s="1">
        <v>302</v>
      </c>
      <c r="E29" s="34">
        <v>39722</v>
      </c>
      <c r="F29" s="1">
        <v>3.4</v>
      </c>
      <c r="G29" s="34">
        <v>39722</v>
      </c>
      <c r="H29" s="1">
        <v>-0.7</v>
      </c>
      <c r="I29" s="34">
        <v>39722</v>
      </c>
      <c r="J29" s="1">
        <v>144.51</v>
      </c>
      <c r="K29" s="34">
        <v>39722</v>
      </c>
      <c r="L29" s="1">
        <v>374.9</v>
      </c>
      <c r="M29" s="34">
        <v>39722</v>
      </c>
      <c r="N29" s="1">
        <v>79.3</v>
      </c>
    </row>
    <row r="30" spans="1:14" x14ac:dyDescent="0.25">
      <c r="A30" s="34">
        <v>39753</v>
      </c>
      <c r="B30" s="1">
        <v>368.9</v>
      </c>
      <c r="C30" s="34">
        <v>39753</v>
      </c>
      <c r="D30" s="1">
        <v>150</v>
      </c>
      <c r="E30" s="34">
        <v>39753</v>
      </c>
      <c r="F30" s="1">
        <v>3.5</v>
      </c>
      <c r="G30" s="34">
        <v>39753</v>
      </c>
      <c r="H30" s="1">
        <v>-1.25</v>
      </c>
      <c r="I30" s="34">
        <v>39753</v>
      </c>
      <c r="J30" s="1">
        <v>144.38999999999999</v>
      </c>
      <c r="K30" s="34">
        <v>39753</v>
      </c>
      <c r="L30" s="1">
        <v>373.6</v>
      </c>
      <c r="M30" s="34">
        <v>39753</v>
      </c>
      <c r="N30" s="1">
        <v>79.3</v>
      </c>
    </row>
    <row r="31" spans="1:14" x14ac:dyDescent="0.25">
      <c r="A31" s="34">
        <v>39783</v>
      </c>
      <c r="B31" s="1">
        <v>368.1</v>
      </c>
      <c r="C31" s="34">
        <v>39783</v>
      </c>
      <c r="D31" s="1">
        <v>49</v>
      </c>
      <c r="E31" s="34">
        <v>39783</v>
      </c>
      <c r="F31" s="1">
        <v>3.7</v>
      </c>
      <c r="G31" s="34">
        <v>39783</v>
      </c>
      <c r="H31" s="1">
        <v>-1.85</v>
      </c>
      <c r="I31" s="34">
        <v>39783</v>
      </c>
      <c r="J31" s="1">
        <v>144.01</v>
      </c>
      <c r="K31" s="34">
        <v>39783</v>
      </c>
      <c r="L31" s="1">
        <v>372.1</v>
      </c>
      <c r="M31" s="34">
        <v>39783</v>
      </c>
      <c r="N31" s="1">
        <v>79.599999999999994</v>
      </c>
    </row>
    <row r="32" spans="1:14" x14ac:dyDescent="0.25">
      <c r="A32" s="34">
        <v>39814</v>
      </c>
      <c r="B32" s="1">
        <v>366.2</v>
      </c>
      <c r="C32" s="34">
        <v>39814</v>
      </c>
      <c r="D32" s="1">
        <v>1</v>
      </c>
      <c r="E32" s="34">
        <v>39814</v>
      </c>
      <c r="F32" s="1">
        <v>3.9</v>
      </c>
      <c r="G32" s="34">
        <v>39814</v>
      </c>
      <c r="H32" s="1">
        <v>-1.22</v>
      </c>
      <c r="I32" s="34">
        <v>39814</v>
      </c>
      <c r="J32" s="1">
        <v>143.47</v>
      </c>
      <c r="K32" s="34">
        <v>39814</v>
      </c>
      <c r="L32" s="1">
        <v>358.7</v>
      </c>
      <c r="M32" s="34">
        <v>39814</v>
      </c>
      <c r="N32" s="1">
        <v>77.5</v>
      </c>
    </row>
    <row r="33" spans="1:14" x14ac:dyDescent="0.25">
      <c r="A33" s="34">
        <v>39845</v>
      </c>
      <c r="B33" s="1">
        <v>366.4</v>
      </c>
      <c r="C33" s="34">
        <v>39845</v>
      </c>
      <c r="D33" s="1">
        <v>67</v>
      </c>
      <c r="E33" s="34">
        <v>39845</v>
      </c>
      <c r="F33" s="1">
        <v>4.0999999999999996</v>
      </c>
      <c r="G33" s="34">
        <v>39845</v>
      </c>
      <c r="H33" s="1">
        <v>-0.06</v>
      </c>
      <c r="I33" s="34">
        <v>39845</v>
      </c>
      <c r="J33" s="1">
        <v>142.96</v>
      </c>
      <c r="K33" s="34">
        <v>39845</v>
      </c>
      <c r="L33" s="1">
        <v>359.8</v>
      </c>
      <c r="M33" s="34">
        <v>39845</v>
      </c>
      <c r="N33" s="1">
        <v>78.7</v>
      </c>
    </row>
    <row r="34" spans="1:14" x14ac:dyDescent="0.25">
      <c r="A34" s="34">
        <v>39873</v>
      </c>
      <c r="B34" s="1">
        <v>365.6</v>
      </c>
      <c r="C34" s="34">
        <v>39873</v>
      </c>
      <c r="D34" s="1">
        <v>8</v>
      </c>
      <c r="E34" s="34">
        <v>39873</v>
      </c>
      <c r="F34" s="1">
        <v>4.2</v>
      </c>
      <c r="G34" s="34">
        <v>39873</v>
      </c>
      <c r="H34" s="1">
        <v>0.72</v>
      </c>
      <c r="I34" s="34">
        <v>39873</v>
      </c>
      <c r="J34" s="1">
        <v>142.63</v>
      </c>
      <c r="K34" s="34">
        <v>39873</v>
      </c>
      <c r="L34" s="1">
        <v>360.5</v>
      </c>
      <c r="M34" s="34">
        <v>39873</v>
      </c>
      <c r="N34" s="1">
        <v>79.099999999999994</v>
      </c>
    </row>
    <row r="35" spans="1:14" x14ac:dyDescent="0.25">
      <c r="A35" s="34">
        <v>39904</v>
      </c>
      <c r="B35" s="1">
        <v>362.8</v>
      </c>
      <c r="C35" s="34">
        <v>39904</v>
      </c>
      <c r="D35" s="1">
        <v>143</v>
      </c>
      <c r="E35" s="34">
        <v>39904</v>
      </c>
      <c r="F35" s="1">
        <v>4.2</v>
      </c>
      <c r="G35" s="34">
        <v>39904</v>
      </c>
      <c r="H35" s="1">
        <v>1.36</v>
      </c>
      <c r="I35" s="34">
        <v>39904</v>
      </c>
      <c r="J35" s="1">
        <v>142.55000000000001</v>
      </c>
      <c r="K35" s="34">
        <v>39904</v>
      </c>
      <c r="L35" s="1">
        <v>362.9</v>
      </c>
      <c r="M35" s="34">
        <v>39904</v>
      </c>
      <c r="N35" s="1">
        <v>79.7</v>
      </c>
    </row>
    <row r="36" spans="1:14" x14ac:dyDescent="0.25">
      <c r="A36" s="34">
        <v>39934</v>
      </c>
      <c r="B36" s="1">
        <v>366.6</v>
      </c>
      <c r="C36" s="34">
        <v>39934</v>
      </c>
      <c r="D36" s="1">
        <v>372</v>
      </c>
      <c r="E36" s="34">
        <v>39934</v>
      </c>
      <c r="F36" s="1">
        <v>4.2</v>
      </c>
      <c r="G36" s="34">
        <v>39934</v>
      </c>
      <c r="H36" s="1">
        <v>0.78</v>
      </c>
      <c r="I36" s="34">
        <v>39934</v>
      </c>
      <c r="J36" s="1">
        <v>142.63999999999999</v>
      </c>
      <c r="K36" s="34">
        <v>39934</v>
      </c>
      <c r="L36" s="1">
        <v>370.7</v>
      </c>
      <c r="M36" s="34">
        <v>39934</v>
      </c>
      <c r="N36" s="1">
        <v>80.7</v>
      </c>
    </row>
    <row r="37" spans="1:14" x14ac:dyDescent="0.25">
      <c r="A37" s="34">
        <v>39965</v>
      </c>
      <c r="B37" s="1">
        <v>367</v>
      </c>
      <c r="C37" s="34">
        <v>39965</v>
      </c>
      <c r="D37" s="1">
        <v>381</v>
      </c>
      <c r="E37" s="34">
        <v>39965</v>
      </c>
      <c r="F37" s="1">
        <v>4.0999999999999996</v>
      </c>
      <c r="G37" s="34">
        <v>39965</v>
      </c>
      <c r="H37" s="1">
        <v>0.94</v>
      </c>
      <c r="I37" s="34">
        <v>39965</v>
      </c>
      <c r="J37" s="1">
        <v>142.85</v>
      </c>
      <c r="K37" s="34">
        <v>39965</v>
      </c>
      <c r="L37" s="1">
        <v>372</v>
      </c>
      <c r="M37" s="34">
        <v>39965</v>
      </c>
      <c r="N37" s="1">
        <v>78</v>
      </c>
    </row>
    <row r="38" spans="1:14" x14ac:dyDescent="0.25">
      <c r="A38" s="34">
        <v>39995</v>
      </c>
      <c r="B38" s="1">
        <v>366.2</v>
      </c>
      <c r="C38" s="34">
        <v>39995</v>
      </c>
      <c r="D38" s="1">
        <v>567</v>
      </c>
      <c r="E38" s="34">
        <v>39995</v>
      </c>
      <c r="F38" s="1">
        <v>4.0999999999999996</v>
      </c>
      <c r="G38" s="34">
        <v>39995</v>
      </c>
      <c r="H38" s="1">
        <v>0.87</v>
      </c>
      <c r="I38" s="34">
        <v>39995</v>
      </c>
      <c r="J38" s="1">
        <v>143.08000000000001</v>
      </c>
      <c r="K38" s="34">
        <v>39995</v>
      </c>
      <c r="L38" s="1">
        <v>361.8</v>
      </c>
      <c r="M38" s="34">
        <v>39995</v>
      </c>
      <c r="N38" s="1">
        <v>68.3</v>
      </c>
    </row>
    <row r="39" spans="1:14" x14ac:dyDescent="0.25">
      <c r="A39" s="34">
        <v>40026</v>
      </c>
      <c r="B39" s="1">
        <v>366.1</v>
      </c>
      <c r="C39" s="34">
        <v>40026</v>
      </c>
      <c r="D39" s="1">
        <v>414</v>
      </c>
      <c r="E39" s="34">
        <v>40026</v>
      </c>
      <c r="F39" s="1">
        <v>4</v>
      </c>
      <c r="G39" s="34">
        <v>40026</v>
      </c>
      <c r="H39" s="1">
        <v>1.34</v>
      </c>
      <c r="I39" s="34">
        <v>40026</v>
      </c>
      <c r="J39" s="1">
        <v>143.33000000000001</v>
      </c>
      <c r="K39" s="34">
        <v>40026</v>
      </c>
      <c r="L39" s="1">
        <v>362.4</v>
      </c>
      <c r="M39" s="34">
        <v>40026</v>
      </c>
      <c r="N39" s="1">
        <v>69.099999999999994</v>
      </c>
    </row>
    <row r="40" spans="1:14" x14ac:dyDescent="0.25">
      <c r="A40" s="34">
        <v>40057</v>
      </c>
      <c r="B40" s="1">
        <v>367.6</v>
      </c>
      <c r="C40" s="34">
        <v>40057</v>
      </c>
      <c r="D40" s="1">
        <v>396</v>
      </c>
      <c r="E40" s="34">
        <v>40057</v>
      </c>
      <c r="F40" s="1">
        <v>4</v>
      </c>
      <c r="G40" s="34">
        <v>40057</v>
      </c>
      <c r="H40" s="1">
        <v>0.99</v>
      </c>
      <c r="I40" s="34">
        <v>40057</v>
      </c>
      <c r="J40" s="1">
        <v>143.57</v>
      </c>
      <c r="K40" s="34">
        <v>40057</v>
      </c>
      <c r="L40" s="1">
        <v>372.6</v>
      </c>
      <c r="M40" s="34">
        <v>40057</v>
      </c>
      <c r="N40" s="1">
        <v>79.400000000000006</v>
      </c>
    </row>
    <row r="41" spans="1:14" x14ac:dyDescent="0.25">
      <c r="A41" s="34">
        <v>40087</v>
      </c>
      <c r="B41" s="1">
        <v>367.8</v>
      </c>
      <c r="C41" s="34">
        <v>40087</v>
      </c>
      <c r="D41" s="1">
        <v>374</v>
      </c>
      <c r="E41" s="34">
        <v>40087</v>
      </c>
      <c r="F41" s="1">
        <v>4</v>
      </c>
      <c r="G41" s="34">
        <v>40087</v>
      </c>
      <c r="H41" s="1">
        <v>1.03</v>
      </c>
      <c r="I41" s="34">
        <v>40087</v>
      </c>
      <c r="J41" s="1">
        <v>143.77000000000001</v>
      </c>
      <c r="K41" s="34">
        <v>40087</v>
      </c>
      <c r="L41" s="1">
        <v>374.2</v>
      </c>
      <c r="M41" s="34">
        <v>40087</v>
      </c>
      <c r="N41" s="1">
        <v>81.3</v>
      </c>
    </row>
    <row r="42" spans="1:14" x14ac:dyDescent="0.25">
      <c r="A42" s="34">
        <v>40118</v>
      </c>
      <c r="B42" s="1">
        <v>367.8</v>
      </c>
      <c r="C42" s="34">
        <v>40118</v>
      </c>
      <c r="D42" s="1">
        <v>225</v>
      </c>
      <c r="E42" s="34">
        <v>40118</v>
      </c>
      <c r="F42" s="1">
        <v>4</v>
      </c>
      <c r="G42" s="34">
        <v>40118</v>
      </c>
      <c r="H42" s="1">
        <v>1.67</v>
      </c>
      <c r="I42" s="34">
        <v>40118</v>
      </c>
      <c r="J42" s="1">
        <v>144.01</v>
      </c>
      <c r="K42" s="34">
        <v>40118</v>
      </c>
      <c r="L42" s="1">
        <v>372.6</v>
      </c>
      <c r="M42" s="34">
        <v>40118</v>
      </c>
      <c r="N42" s="1">
        <v>81.3</v>
      </c>
    </row>
    <row r="43" spans="1:14" x14ac:dyDescent="0.25">
      <c r="A43" s="34">
        <v>40148</v>
      </c>
      <c r="B43" s="1">
        <v>368.3</v>
      </c>
      <c r="C43" s="34">
        <v>40148</v>
      </c>
      <c r="D43" s="1">
        <v>100</v>
      </c>
      <c r="E43" s="34">
        <v>40148</v>
      </c>
      <c r="F43" s="1">
        <v>4</v>
      </c>
      <c r="G43" s="34">
        <v>40148</v>
      </c>
      <c r="H43" s="1">
        <v>2.27</v>
      </c>
      <c r="I43" s="34">
        <v>40148</v>
      </c>
      <c r="J43" s="1">
        <v>144.33000000000001</v>
      </c>
      <c r="K43" s="34">
        <v>40148</v>
      </c>
      <c r="L43" s="1">
        <v>372.1</v>
      </c>
      <c r="M43" s="34">
        <v>40148</v>
      </c>
      <c r="N43" s="1">
        <v>81.8</v>
      </c>
    </row>
    <row r="44" spans="1:14" x14ac:dyDescent="0.25">
      <c r="A44" s="34">
        <v>40179</v>
      </c>
      <c r="B44" s="1">
        <v>367.8</v>
      </c>
      <c r="C44" s="34">
        <v>40179</v>
      </c>
      <c r="D44" s="1">
        <v>101</v>
      </c>
      <c r="E44" s="34">
        <v>40179</v>
      </c>
      <c r="F44" s="1">
        <v>4</v>
      </c>
      <c r="G44" s="34">
        <v>40179</v>
      </c>
      <c r="H44" s="1">
        <v>2.81</v>
      </c>
      <c r="I44" s="34">
        <v>40179</v>
      </c>
      <c r="J44" s="1">
        <v>144.82</v>
      </c>
      <c r="K44" s="34">
        <v>40179</v>
      </c>
      <c r="L44" s="1">
        <v>360.1</v>
      </c>
      <c r="M44" s="34">
        <v>40179</v>
      </c>
      <c r="N44" s="1">
        <v>79.400000000000006</v>
      </c>
    </row>
    <row r="45" spans="1:14" x14ac:dyDescent="0.25">
      <c r="A45" s="34">
        <v>40210</v>
      </c>
      <c r="B45" s="1">
        <v>369.5</v>
      </c>
      <c r="C45" s="34">
        <v>40210</v>
      </c>
      <c r="D45" s="1">
        <v>15</v>
      </c>
      <c r="E45" s="34">
        <v>40210</v>
      </c>
      <c r="F45" s="1">
        <v>3.9</v>
      </c>
      <c r="G45" s="34">
        <v>40210</v>
      </c>
      <c r="H45" s="1">
        <v>3.45</v>
      </c>
      <c r="I45" s="34">
        <v>40210</v>
      </c>
      <c r="J45" s="1">
        <v>145.47999999999999</v>
      </c>
      <c r="K45" s="34">
        <v>40210</v>
      </c>
      <c r="L45" s="1">
        <v>362.6</v>
      </c>
      <c r="M45" s="34">
        <v>40210</v>
      </c>
      <c r="N45" s="1">
        <v>81</v>
      </c>
    </row>
    <row r="46" spans="1:14" x14ac:dyDescent="0.25">
      <c r="A46" s="34">
        <v>40238</v>
      </c>
      <c r="B46" s="1">
        <v>371.2</v>
      </c>
      <c r="C46" s="34">
        <v>40238</v>
      </c>
      <c r="D46" s="1">
        <v>177</v>
      </c>
      <c r="E46" s="34">
        <v>40238</v>
      </c>
      <c r="F46" s="1">
        <v>3.9</v>
      </c>
      <c r="G46" s="34">
        <v>40238</v>
      </c>
      <c r="H46" s="1">
        <v>3.27</v>
      </c>
      <c r="I46" s="34">
        <v>40238</v>
      </c>
      <c r="J46" s="1">
        <v>146.29</v>
      </c>
      <c r="K46" s="34">
        <v>40238</v>
      </c>
      <c r="L46" s="1">
        <v>365.9</v>
      </c>
      <c r="M46" s="34">
        <v>40238</v>
      </c>
      <c r="N46" s="1">
        <v>81.900000000000006</v>
      </c>
    </row>
    <row r="47" spans="1:14" x14ac:dyDescent="0.25">
      <c r="A47" s="34">
        <v>40269</v>
      </c>
      <c r="B47" s="1">
        <v>374.4</v>
      </c>
      <c r="C47" s="34">
        <v>40269</v>
      </c>
      <c r="D47" s="1">
        <v>421</v>
      </c>
      <c r="E47" s="34">
        <v>40269</v>
      </c>
      <c r="F47" s="1">
        <v>3.8</v>
      </c>
      <c r="G47" s="34">
        <v>40269</v>
      </c>
      <c r="H47" s="1">
        <v>3.14</v>
      </c>
      <c r="I47" s="34">
        <v>40269</v>
      </c>
      <c r="J47" s="1">
        <v>147.16</v>
      </c>
      <c r="K47" s="34">
        <v>40269</v>
      </c>
      <c r="L47" s="1">
        <v>374.2</v>
      </c>
      <c r="M47" s="34">
        <v>40269</v>
      </c>
      <c r="N47" s="1">
        <v>82.1</v>
      </c>
    </row>
    <row r="48" spans="1:14" x14ac:dyDescent="0.25">
      <c r="A48" s="34">
        <v>40299</v>
      </c>
      <c r="B48" s="1">
        <v>375</v>
      </c>
      <c r="C48" s="34">
        <v>40299</v>
      </c>
      <c r="D48" s="1">
        <v>314</v>
      </c>
      <c r="E48" s="34">
        <v>40299</v>
      </c>
      <c r="F48" s="1">
        <v>3.8</v>
      </c>
      <c r="G48" s="34">
        <v>40299</v>
      </c>
      <c r="H48" s="1">
        <v>2.21</v>
      </c>
      <c r="I48" s="34">
        <v>40299</v>
      </c>
      <c r="J48" s="1">
        <v>147.99</v>
      </c>
      <c r="K48" s="34">
        <v>40299</v>
      </c>
      <c r="L48" s="1">
        <v>379</v>
      </c>
      <c r="M48" s="34">
        <v>40299</v>
      </c>
      <c r="N48" s="1">
        <v>82.9</v>
      </c>
    </row>
    <row r="49" spans="1:14" x14ac:dyDescent="0.25">
      <c r="A49" s="34">
        <v>40330</v>
      </c>
      <c r="B49" s="1">
        <v>374.5</v>
      </c>
      <c r="C49" s="34">
        <v>40330</v>
      </c>
      <c r="D49" s="1">
        <v>300</v>
      </c>
      <c r="E49" s="34">
        <v>40330</v>
      </c>
      <c r="F49" s="1">
        <v>3.8</v>
      </c>
      <c r="G49" s="34">
        <v>40330</v>
      </c>
      <c r="H49" s="1">
        <v>2.58</v>
      </c>
      <c r="I49" s="34">
        <v>40330</v>
      </c>
      <c r="J49" s="1">
        <v>148.72999999999999</v>
      </c>
      <c r="K49" s="34">
        <v>40330</v>
      </c>
      <c r="L49" s="1">
        <v>379.8</v>
      </c>
      <c r="M49" s="34">
        <v>40330</v>
      </c>
      <c r="N49" s="1">
        <v>80</v>
      </c>
    </row>
    <row r="50" spans="1:14" x14ac:dyDescent="0.25">
      <c r="A50" s="34">
        <v>40360</v>
      </c>
      <c r="B50" s="1">
        <v>375.2</v>
      </c>
      <c r="C50" s="34">
        <v>40360</v>
      </c>
      <c r="D50" s="1">
        <v>431</v>
      </c>
      <c r="E50" s="34">
        <v>40360</v>
      </c>
      <c r="F50" s="1">
        <v>3.7</v>
      </c>
      <c r="G50" s="34">
        <v>40360</v>
      </c>
      <c r="H50" s="1">
        <v>3.05</v>
      </c>
      <c r="I50" s="34">
        <v>40360</v>
      </c>
      <c r="J50" s="1">
        <v>149.44</v>
      </c>
      <c r="K50" s="34">
        <v>40360</v>
      </c>
      <c r="L50" s="1">
        <v>371.2</v>
      </c>
      <c r="M50" s="34">
        <v>40360</v>
      </c>
      <c r="N50" s="1">
        <v>70.2</v>
      </c>
    </row>
    <row r="51" spans="1:14" x14ac:dyDescent="0.25">
      <c r="A51" s="34">
        <v>40391</v>
      </c>
      <c r="B51" s="1">
        <v>376.6</v>
      </c>
      <c r="C51" s="34">
        <v>40391</v>
      </c>
      <c r="D51" s="1">
        <v>451</v>
      </c>
      <c r="E51" s="34">
        <v>40391</v>
      </c>
      <c r="F51" s="1">
        <v>3.7</v>
      </c>
      <c r="G51" s="34">
        <v>40391</v>
      </c>
      <c r="H51" s="1">
        <v>2.96</v>
      </c>
      <c r="I51" s="34">
        <v>40391</v>
      </c>
      <c r="J51" s="1">
        <v>150.16999999999999</v>
      </c>
      <c r="K51" s="34">
        <v>40391</v>
      </c>
      <c r="L51" s="1">
        <v>373.1</v>
      </c>
      <c r="M51" s="34">
        <v>40391</v>
      </c>
      <c r="N51" s="1">
        <v>70.599999999999994</v>
      </c>
    </row>
    <row r="52" spans="1:14" x14ac:dyDescent="0.25">
      <c r="A52" s="34">
        <v>40422</v>
      </c>
      <c r="B52" s="1">
        <v>378</v>
      </c>
      <c r="C52" s="34">
        <v>40422</v>
      </c>
      <c r="D52" s="1">
        <v>379</v>
      </c>
      <c r="E52" s="34">
        <v>40422</v>
      </c>
      <c r="F52" s="1">
        <v>3.7</v>
      </c>
      <c r="G52" s="34">
        <v>40422</v>
      </c>
      <c r="H52" s="1">
        <v>3.71</v>
      </c>
      <c r="I52" s="34">
        <v>40422</v>
      </c>
      <c r="J52" s="1">
        <v>150.97</v>
      </c>
      <c r="K52" s="34">
        <v>40422</v>
      </c>
      <c r="L52" s="1">
        <v>383</v>
      </c>
      <c r="M52" s="34">
        <v>40422</v>
      </c>
      <c r="N52" s="1">
        <v>80.5</v>
      </c>
    </row>
    <row r="53" spans="1:14" x14ac:dyDescent="0.25">
      <c r="A53" s="34">
        <v>40452</v>
      </c>
      <c r="B53" s="1">
        <v>381.6</v>
      </c>
      <c r="C53" s="34">
        <v>40452</v>
      </c>
      <c r="D53" s="1">
        <v>399</v>
      </c>
      <c r="E53" s="34">
        <v>40452</v>
      </c>
      <c r="F53" s="1">
        <v>3.7</v>
      </c>
      <c r="G53" s="34">
        <v>40452</v>
      </c>
      <c r="H53" s="1">
        <v>4.0599999999999996</v>
      </c>
      <c r="I53" s="34">
        <v>40452</v>
      </c>
      <c r="J53" s="1">
        <v>151.9</v>
      </c>
      <c r="K53" s="34">
        <v>40452</v>
      </c>
      <c r="L53" s="1">
        <v>388.3</v>
      </c>
      <c r="M53" s="34">
        <v>40452</v>
      </c>
      <c r="N53" s="1">
        <v>82.2</v>
      </c>
    </row>
    <row r="54" spans="1:14" x14ac:dyDescent="0.25">
      <c r="A54" s="34">
        <v>40483</v>
      </c>
      <c r="B54" s="1">
        <v>382.6</v>
      </c>
      <c r="C54" s="34">
        <v>40483</v>
      </c>
      <c r="D54" s="1">
        <v>240</v>
      </c>
      <c r="E54" s="34">
        <v>40483</v>
      </c>
      <c r="F54" s="1">
        <v>3.7</v>
      </c>
      <c r="G54" s="34">
        <v>40483</v>
      </c>
      <c r="H54" s="1">
        <v>3.78</v>
      </c>
      <c r="I54" s="34">
        <v>40483</v>
      </c>
      <c r="J54" s="1">
        <v>152.94</v>
      </c>
      <c r="K54" s="34">
        <v>40483</v>
      </c>
      <c r="L54" s="1">
        <v>387.4</v>
      </c>
      <c r="M54" s="34">
        <v>40483</v>
      </c>
      <c r="N54" s="1">
        <v>82.2</v>
      </c>
    </row>
    <row r="55" spans="1:14" x14ac:dyDescent="0.25">
      <c r="A55" s="34">
        <v>40513</v>
      </c>
      <c r="B55" s="1">
        <v>384</v>
      </c>
      <c r="C55" s="34">
        <v>40513</v>
      </c>
      <c r="D55" s="1">
        <v>275</v>
      </c>
      <c r="E55" s="34">
        <v>40513</v>
      </c>
      <c r="F55" s="1">
        <v>3.6</v>
      </c>
      <c r="G55" s="34">
        <v>40513</v>
      </c>
      <c r="H55" s="1">
        <v>3.8</v>
      </c>
      <c r="I55" s="34">
        <v>40513</v>
      </c>
      <c r="J55" s="1">
        <v>154.05000000000001</v>
      </c>
      <c r="K55" s="34">
        <v>40513</v>
      </c>
      <c r="L55" s="1">
        <v>387.5</v>
      </c>
      <c r="M55" s="34">
        <v>40513</v>
      </c>
      <c r="N55" s="1">
        <v>82.4</v>
      </c>
    </row>
    <row r="56" spans="1:14" x14ac:dyDescent="0.25">
      <c r="A56" s="34">
        <v>40544</v>
      </c>
      <c r="B56" s="1">
        <v>385.5</v>
      </c>
      <c r="C56" s="34">
        <v>40544</v>
      </c>
      <c r="D56" s="1">
        <v>58</v>
      </c>
      <c r="E56" s="34">
        <v>40544</v>
      </c>
      <c r="F56" s="1">
        <v>3.5</v>
      </c>
      <c r="G56" s="34">
        <v>40544</v>
      </c>
      <c r="H56" s="1">
        <v>3.38</v>
      </c>
      <c r="I56" s="34">
        <v>40544</v>
      </c>
      <c r="J56" s="1">
        <v>155.16999999999999</v>
      </c>
      <c r="K56" s="34">
        <v>40544</v>
      </c>
      <c r="L56" s="1">
        <v>377.5</v>
      </c>
      <c r="M56" s="34">
        <v>40544</v>
      </c>
      <c r="N56" s="1">
        <v>80.2</v>
      </c>
    </row>
    <row r="57" spans="1:14" x14ac:dyDescent="0.25">
      <c r="A57" s="34">
        <v>40575</v>
      </c>
      <c r="B57" s="1">
        <v>386.3</v>
      </c>
      <c r="C57" s="34">
        <v>40575</v>
      </c>
      <c r="D57" s="1">
        <v>128</v>
      </c>
      <c r="E57" s="34">
        <v>40575</v>
      </c>
      <c r="F57" s="1">
        <v>3.4</v>
      </c>
      <c r="G57" s="34">
        <v>40575</v>
      </c>
      <c r="H57" s="1">
        <v>3.18</v>
      </c>
      <c r="I57" s="34">
        <v>40575</v>
      </c>
      <c r="J57" s="1">
        <v>156.22999999999999</v>
      </c>
      <c r="K57" s="34">
        <v>40575</v>
      </c>
      <c r="L57" s="1">
        <v>379.1</v>
      </c>
      <c r="M57" s="34">
        <v>40575</v>
      </c>
      <c r="N57" s="1">
        <v>81.400000000000006</v>
      </c>
    </row>
    <row r="58" spans="1:14" x14ac:dyDescent="0.25">
      <c r="A58" s="34">
        <v>40603</v>
      </c>
      <c r="B58" s="1">
        <v>388.3</v>
      </c>
      <c r="C58" s="34">
        <v>40603</v>
      </c>
      <c r="D58" s="1">
        <v>251</v>
      </c>
      <c r="E58" s="34">
        <v>40603</v>
      </c>
      <c r="F58" s="1">
        <v>3.4</v>
      </c>
      <c r="G58" s="34">
        <v>40603</v>
      </c>
      <c r="H58" s="1">
        <v>3.33</v>
      </c>
      <c r="I58" s="34">
        <v>40603</v>
      </c>
      <c r="J58" s="1">
        <v>157.24</v>
      </c>
      <c r="K58" s="34">
        <v>40603</v>
      </c>
      <c r="L58" s="1">
        <v>382.7</v>
      </c>
      <c r="M58" s="34">
        <v>40603</v>
      </c>
      <c r="N58" s="1">
        <v>81.5</v>
      </c>
    </row>
    <row r="59" spans="1:14" x14ac:dyDescent="0.25">
      <c r="A59" s="34">
        <v>40634</v>
      </c>
      <c r="B59" s="1">
        <v>389.3</v>
      </c>
      <c r="C59" s="34">
        <v>40634</v>
      </c>
      <c r="D59" s="1">
        <v>316</v>
      </c>
      <c r="E59" s="34">
        <v>40634</v>
      </c>
      <c r="F59" s="1">
        <v>3.4</v>
      </c>
      <c r="G59" s="34">
        <v>40634</v>
      </c>
      <c r="H59" s="1">
        <v>3.82</v>
      </c>
      <c r="I59" s="34">
        <v>40634</v>
      </c>
      <c r="J59" s="1">
        <v>158.26</v>
      </c>
      <c r="K59" s="34">
        <v>40634</v>
      </c>
      <c r="L59" s="1">
        <v>389.2</v>
      </c>
      <c r="M59" s="34">
        <v>40634</v>
      </c>
      <c r="N59" s="1">
        <v>81.5</v>
      </c>
    </row>
    <row r="60" spans="1:14" x14ac:dyDescent="0.25">
      <c r="A60" s="34">
        <v>40664</v>
      </c>
      <c r="B60" s="1">
        <v>392</v>
      </c>
      <c r="C60" s="34">
        <v>40664</v>
      </c>
      <c r="D60" s="1">
        <v>616</v>
      </c>
      <c r="E60" s="34">
        <v>40664</v>
      </c>
      <c r="F60" s="1">
        <v>3.4</v>
      </c>
      <c r="G60" s="34">
        <v>40664</v>
      </c>
      <c r="H60" s="1">
        <v>4.21</v>
      </c>
      <c r="I60" s="34">
        <v>40664</v>
      </c>
      <c r="J60" s="1">
        <v>159.33000000000001</v>
      </c>
      <c r="K60" s="34">
        <v>40664</v>
      </c>
      <c r="L60" s="1">
        <v>396</v>
      </c>
      <c r="M60" s="34">
        <v>40664</v>
      </c>
      <c r="N60" s="1">
        <v>81.8</v>
      </c>
    </row>
    <row r="61" spans="1:14" x14ac:dyDescent="0.25">
      <c r="A61" s="34">
        <v>40695</v>
      </c>
      <c r="B61" s="1">
        <v>392.7</v>
      </c>
      <c r="C61" s="34">
        <v>40695</v>
      </c>
      <c r="D61" s="1">
        <v>481</v>
      </c>
      <c r="E61" s="34">
        <v>40695</v>
      </c>
      <c r="F61" s="1">
        <v>3.5</v>
      </c>
      <c r="G61" s="34">
        <v>40695</v>
      </c>
      <c r="H61" s="1">
        <v>4.79</v>
      </c>
      <c r="I61" s="34">
        <v>40695</v>
      </c>
      <c r="J61" s="1">
        <v>160.52000000000001</v>
      </c>
      <c r="K61" s="34">
        <v>40695</v>
      </c>
      <c r="L61" s="1">
        <v>397.8</v>
      </c>
      <c r="M61" s="34">
        <v>40695</v>
      </c>
      <c r="N61" s="1">
        <v>79.400000000000006</v>
      </c>
    </row>
    <row r="62" spans="1:14" x14ac:dyDescent="0.25">
      <c r="A62" s="34">
        <v>40725</v>
      </c>
      <c r="B62" s="1">
        <v>396.6</v>
      </c>
      <c r="C62" s="34">
        <v>40725</v>
      </c>
      <c r="D62" s="1">
        <v>397</v>
      </c>
      <c r="E62" s="34">
        <v>40725</v>
      </c>
      <c r="F62" s="1">
        <v>3.6</v>
      </c>
      <c r="G62" s="34">
        <v>40725</v>
      </c>
      <c r="H62" s="1">
        <v>6.42</v>
      </c>
      <c r="I62" s="34">
        <v>40725</v>
      </c>
      <c r="J62" s="1">
        <v>161.94999999999999</v>
      </c>
      <c r="K62" s="34">
        <v>40725</v>
      </c>
      <c r="L62" s="1">
        <v>391.8</v>
      </c>
      <c r="M62" s="34">
        <v>40725</v>
      </c>
      <c r="N62" s="1">
        <v>69.3</v>
      </c>
    </row>
    <row r="63" spans="1:14" x14ac:dyDescent="0.25">
      <c r="A63" s="34">
        <v>40756</v>
      </c>
      <c r="B63" s="1">
        <v>398.5</v>
      </c>
      <c r="C63" s="34">
        <v>40756</v>
      </c>
      <c r="D63" s="1">
        <v>636</v>
      </c>
      <c r="E63" s="34">
        <v>40756</v>
      </c>
      <c r="F63" s="1">
        <v>3.6</v>
      </c>
      <c r="G63" s="34">
        <v>40756</v>
      </c>
      <c r="H63" s="1">
        <v>6.92</v>
      </c>
      <c r="I63" s="34">
        <v>40756</v>
      </c>
      <c r="J63" s="1">
        <v>163.69</v>
      </c>
      <c r="K63" s="34">
        <v>40756</v>
      </c>
      <c r="L63" s="1">
        <v>395.4</v>
      </c>
      <c r="M63" s="34">
        <v>40756</v>
      </c>
      <c r="N63" s="1">
        <v>69.7</v>
      </c>
    </row>
    <row r="64" spans="1:14" x14ac:dyDescent="0.25">
      <c r="A64" s="34">
        <v>40787</v>
      </c>
      <c r="B64" s="1">
        <v>403</v>
      </c>
      <c r="C64" s="34">
        <v>40787</v>
      </c>
      <c r="D64" s="1">
        <v>617</v>
      </c>
      <c r="E64" s="34">
        <v>40787</v>
      </c>
      <c r="F64" s="1">
        <v>3.5</v>
      </c>
      <c r="G64" s="34">
        <v>40787</v>
      </c>
      <c r="H64" s="1">
        <v>7.17</v>
      </c>
      <c r="I64" s="34">
        <v>40787</v>
      </c>
      <c r="J64" s="1">
        <v>165.69</v>
      </c>
      <c r="K64" s="34">
        <v>40787</v>
      </c>
      <c r="L64" s="1">
        <v>408.2</v>
      </c>
      <c r="M64" s="34">
        <v>40787</v>
      </c>
      <c r="N64" s="1">
        <v>80</v>
      </c>
    </row>
    <row r="65" spans="1:14" x14ac:dyDescent="0.25">
      <c r="A65" s="34">
        <v>40817</v>
      </c>
      <c r="B65" s="1">
        <v>405</v>
      </c>
      <c r="C65" s="34">
        <v>40817</v>
      </c>
      <c r="D65" s="1">
        <v>535</v>
      </c>
      <c r="E65" s="34">
        <v>40817</v>
      </c>
      <c r="F65" s="1">
        <v>3.4</v>
      </c>
      <c r="G65" s="34">
        <v>40817</v>
      </c>
      <c r="H65" s="1">
        <v>6.93</v>
      </c>
      <c r="I65" s="34">
        <v>40817</v>
      </c>
      <c r="J65" s="1">
        <v>167.87</v>
      </c>
      <c r="K65" s="34">
        <v>40817</v>
      </c>
      <c r="L65" s="1">
        <v>412.1</v>
      </c>
      <c r="M65" s="34">
        <v>40817</v>
      </c>
      <c r="N65" s="1">
        <v>81.5</v>
      </c>
    </row>
    <row r="66" spans="1:14" x14ac:dyDescent="0.25">
      <c r="A66" s="34">
        <v>40848</v>
      </c>
      <c r="B66" s="1">
        <v>408.8</v>
      </c>
      <c r="C66" s="34">
        <v>40848</v>
      </c>
      <c r="D66" s="1">
        <v>345</v>
      </c>
      <c r="E66" s="34">
        <v>40848</v>
      </c>
      <c r="F66" s="1">
        <v>3.3</v>
      </c>
      <c r="G66" s="34">
        <v>40848</v>
      </c>
      <c r="H66" s="1">
        <v>7.62</v>
      </c>
      <c r="I66" s="34">
        <v>40848</v>
      </c>
      <c r="J66" s="1">
        <v>170.22</v>
      </c>
      <c r="K66" s="34">
        <v>40848</v>
      </c>
      <c r="L66" s="1">
        <v>413.6</v>
      </c>
      <c r="M66" s="34">
        <v>40848</v>
      </c>
      <c r="N66" s="1">
        <v>81.3</v>
      </c>
    </row>
    <row r="67" spans="1:14" x14ac:dyDescent="0.25">
      <c r="A67" s="34">
        <v>40878</v>
      </c>
      <c r="B67" s="1">
        <v>412.3</v>
      </c>
      <c r="C67" s="34">
        <v>40878</v>
      </c>
      <c r="D67" s="1">
        <v>230</v>
      </c>
      <c r="E67" s="34">
        <v>40878</v>
      </c>
      <c r="F67" s="1">
        <v>3.1</v>
      </c>
      <c r="G67" s="34">
        <v>40878</v>
      </c>
      <c r="H67" s="1">
        <v>7.75</v>
      </c>
      <c r="I67" s="34">
        <v>40878</v>
      </c>
      <c r="J67" s="1">
        <v>172.7</v>
      </c>
      <c r="K67" s="34">
        <v>40878</v>
      </c>
      <c r="L67" s="1">
        <v>415.2</v>
      </c>
      <c r="M67" s="34">
        <v>40878</v>
      </c>
      <c r="N67" s="1">
        <v>81.900000000000006</v>
      </c>
    </row>
    <row r="68" spans="1:14" x14ac:dyDescent="0.25">
      <c r="A68" s="34">
        <v>40909</v>
      </c>
      <c r="B68" s="1">
        <v>416.7</v>
      </c>
      <c r="C68" s="34">
        <v>40909</v>
      </c>
      <c r="D68" s="1">
        <v>128</v>
      </c>
      <c r="E68" s="34">
        <v>40909</v>
      </c>
      <c r="F68" s="1">
        <v>3</v>
      </c>
      <c r="G68" s="34">
        <v>40909</v>
      </c>
      <c r="H68" s="1">
        <v>6.4</v>
      </c>
      <c r="I68" s="34">
        <v>40909</v>
      </c>
      <c r="J68" s="1">
        <v>175.15</v>
      </c>
      <c r="K68" s="34">
        <v>40909</v>
      </c>
      <c r="L68" s="1">
        <v>408.2</v>
      </c>
      <c r="M68" s="34">
        <v>40909</v>
      </c>
      <c r="N68" s="1">
        <v>79.7</v>
      </c>
    </row>
    <row r="69" spans="1:14" x14ac:dyDescent="0.25">
      <c r="A69" s="34">
        <v>40940</v>
      </c>
      <c r="B69" s="1">
        <v>419.6</v>
      </c>
      <c r="C69" s="34">
        <v>40940</v>
      </c>
      <c r="D69" s="1">
        <v>219</v>
      </c>
      <c r="E69" s="34">
        <v>40940</v>
      </c>
      <c r="F69" s="1">
        <v>2.9</v>
      </c>
      <c r="G69" s="34">
        <v>40940</v>
      </c>
      <c r="H69" s="1">
        <v>5.0999999999999996</v>
      </c>
      <c r="I69" s="34">
        <v>40940</v>
      </c>
      <c r="J69" s="1">
        <v>177.4</v>
      </c>
      <c r="K69" s="34">
        <v>40940</v>
      </c>
      <c r="L69" s="1">
        <v>411.4</v>
      </c>
      <c r="M69" s="34">
        <v>40940</v>
      </c>
      <c r="N69" s="1">
        <v>81</v>
      </c>
    </row>
    <row r="70" spans="1:14" x14ac:dyDescent="0.25">
      <c r="A70" s="34">
        <v>40969</v>
      </c>
      <c r="B70" s="1">
        <v>422.2</v>
      </c>
      <c r="C70" s="34">
        <v>40969</v>
      </c>
      <c r="D70" s="1">
        <v>741</v>
      </c>
      <c r="E70" s="34">
        <v>40969</v>
      </c>
      <c r="F70" s="1">
        <v>2.9</v>
      </c>
      <c r="G70" s="34">
        <v>40969</v>
      </c>
      <c r="H70" s="1">
        <v>4.84</v>
      </c>
      <c r="I70" s="34">
        <v>40969</v>
      </c>
      <c r="J70" s="1">
        <v>179.39</v>
      </c>
      <c r="K70" s="34">
        <v>40969</v>
      </c>
      <c r="L70" s="1">
        <v>416.3</v>
      </c>
      <c r="M70" s="34">
        <v>40969</v>
      </c>
      <c r="N70" s="1">
        <v>81.3</v>
      </c>
    </row>
    <row r="71" spans="1:14" x14ac:dyDescent="0.25">
      <c r="A71" s="34">
        <v>41000</v>
      </c>
      <c r="B71" s="1">
        <v>425.9</v>
      </c>
      <c r="C71" s="34">
        <v>41000</v>
      </c>
      <c r="D71" s="1">
        <v>634</v>
      </c>
      <c r="E71" s="34">
        <v>41000</v>
      </c>
      <c r="F71" s="1">
        <v>2.9</v>
      </c>
      <c r="G71" s="34">
        <v>41000</v>
      </c>
      <c r="H71" s="1">
        <v>4.5999999999999996</v>
      </c>
      <c r="I71" s="34">
        <v>41000</v>
      </c>
      <c r="J71" s="1">
        <v>181.14</v>
      </c>
      <c r="K71" s="34">
        <v>41000</v>
      </c>
      <c r="L71" s="1">
        <v>424.2</v>
      </c>
      <c r="M71" s="34">
        <v>41000</v>
      </c>
      <c r="N71" s="1">
        <v>81.5</v>
      </c>
    </row>
    <row r="72" spans="1:14" x14ac:dyDescent="0.25">
      <c r="A72" s="34">
        <v>41030</v>
      </c>
      <c r="B72" s="1">
        <v>428</v>
      </c>
      <c r="C72" s="34">
        <v>41030</v>
      </c>
      <c r="D72" s="1">
        <v>592</v>
      </c>
      <c r="E72" s="34">
        <v>41030</v>
      </c>
      <c r="F72" s="1">
        <v>2.9</v>
      </c>
      <c r="G72" s="34">
        <v>41030</v>
      </c>
      <c r="H72" s="1">
        <v>3.94</v>
      </c>
      <c r="I72" s="34">
        <v>41030</v>
      </c>
      <c r="J72" s="1">
        <v>182.67</v>
      </c>
      <c r="K72" s="34">
        <v>41030</v>
      </c>
      <c r="L72" s="1">
        <v>432.2</v>
      </c>
      <c r="M72" s="34">
        <v>41030</v>
      </c>
      <c r="N72" s="1">
        <v>81.7</v>
      </c>
    </row>
    <row r="73" spans="1:14" x14ac:dyDescent="0.25">
      <c r="A73" s="34">
        <v>41061</v>
      </c>
      <c r="B73" s="1">
        <v>430.5</v>
      </c>
      <c r="C73" s="34">
        <v>41061</v>
      </c>
      <c r="D73" s="1">
        <v>586</v>
      </c>
      <c r="E73" s="34">
        <v>41061</v>
      </c>
      <c r="F73" s="1">
        <v>2.9</v>
      </c>
      <c r="G73" s="34">
        <v>41061</v>
      </c>
      <c r="H73" s="1">
        <v>2.87</v>
      </c>
      <c r="I73" s="34">
        <v>41061</v>
      </c>
      <c r="J73" s="1">
        <v>183.95</v>
      </c>
      <c r="K73" s="34">
        <v>41061</v>
      </c>
      <c r="L73" s="1">
        <v>436</v>
      </c>
      <c r="M73" s="34">
        <v>41061</v>
      </c>
      <c r="N73" s="1">
        <v>79.400000000000006</v>
      </c>
    </row>
    <row r="74" spans="1:14" x14ac:dyDescent="0.25">
      <c r="A74" s="34">
        <v>41091</v>
      </c>
      <c r="B74" s="1">
        <v>433.2</v>
      </c>
      <c r="C74" s="34">
        <v>41091</v>
      </c>
      <c r="D74" s="1">
        <v>555</v>
      </c>
      <c r="E74" s="34">
        <v>41091</v>
      </c>
      <c r="F74" s="1">
        <v>3</v>
      </c>
      <c r="G74" s="34">
        <v>41091</v>
      </c>
      <c r="H74" s="1">
        <v>1.89</v>
      </c>
      <c r="I74" s="34">
        <v>41091</v>
      </c>
      <c r="J74" s="1">
        <v>184.94</v>
      </c>
      <c r="K74" s="34">
        <v>41091</v>
      </c>
      <c r="L74" s="1">
        <v>428.9</v>
      </c>
      <c r="M74" s="34">
        <v>41091</v>
      </c>
      <c r="N74" s="1">
        <v>70.3</v>
      </c>
    </row>
    <row r="75" spans="1:14" x14ac:dyDescent="0.25">
      <c r="A75" s="34">
        <v>41122</v>
      </c>
      <c r="B75" s="1">
        <v>433.9</v>
      </c>
      <c r="C75" s="34">
        <v>41122</v>
      </c>
      <c r="D75" s="1">
        <v>685</v>
      </c>
      <c r="E75" s="34">
        <v>41122</v>
      </c>
      <c r="F75" s="1">
        <v>3</v>
      </c>
      <c r="G75" s="34">
        <v>41122</v>
      </c>
      <c r="H75" s="1">
        <v>2.04</v>
      </c>
      <c r="I75" s="34">
        <v>41122</v>
      </c>
      <c r="J75" s="1">
        <v>185.72</v>
      </c>
      <c r="K75" s="34">
        <v>41122</v>
      </c>
      <c r="L75" s="1">
        <v>430.7</v>
      </c>
      <c r="M75" s="34">
        <v>41122</v>
      </c>
      <c r="N75" s="1">
        <v>70</v>
      </c>
    </row>
    <row r="76" spans="1:14" x14ac:dyDescent="0.25">
      <c r="A76" s="34">
        <v>41153</v>
      </c>
      <c r="B76" s="1">
        <v>433.8</v>
      </c>
      <c r="C76" s="34">
        <v>41153</v>
      </c>
      <c r="D76" s="1">
        <v>600</v>
      </c>
      <c r="E76" s="34">
        <v>41153</v>
      </c>
      <c r="F76" s="1">
        <v>3</v>
      </c>
      <c r="G76" s="34">
        <v>41153</v>
      </c>
      <c r="H76" s="1">
        <v>1.2</v>
      </c>
      <c r="I76" s="34">
        <v>41153</v>
      </c>
      <c r="J76" s="1">
        <v>186.31</v>
      </c>
      <c r="K76" s="34">
        <v>41153</v>
      </c>
      <c r="L76" s="1">
        <v>439.3</v>
      </c>
      <c r="M76" s="34">
        <v>41153</v>
      </c>
      <c r="N76" s="1">
        <v>80.7</v>
      </c>
    </row>
    <row r="77" spans="1:14" x14ac:dyDescent="0.25">
      <c r="A77" s="34">
        <v>41183</v>
      </c>
      <c r="B77" s="1">
        <v>434.7</v>
      </c>
      <c r="C77" s="34">
        <v>41183</v>
      </c>
      <c r="D77" s="1">
        <v>979</v>
      </c>
      <c r="E77" s="34">
        <v>41183</v>
      </c>
      <c r="F77" s="1">
        <v>3</v>
      </c>
      <c r="G77" s="34">
        <v>41183</v>
      </c>
      <c r="H77" s="1">
        <v>1.67</v>
      </c>
      <c r="I77" s="34">
        <v>41183</v>
      </c>
      <c r="J77" s="1">
        <v>186.8</v>
      </c>
      <c r="K77" s="34">
        <v>41183</v>
      </c>
      <c r="L77" s="1">
        <v>441.9</v>
      </c>
      <c r="M77" s="34">
        <v>41183</v>
      </c>
      <c r="N77" s="1">
        <v>82.4</v>
      </c>
    </row>
    <row r="78" spans="1:14" x14ac:dyDescent="0.25">
      <c r="A78" s="34">
        <v>41214</v>
      </c>
      <c r="B78" s="1">
        <v>434.7</v>
      </c>
      <c r="C78" s="34">
        <v>41214</v>
      </c>
      <c r="D78" s="1">
        <v>365</v>
      </c>
      <c r="E78" s="34">
        <v>41214</v>
      </c>
      <c r="F78" s="1">
        <v>3</v>
      </c>
      <c r="G78" s="34">
        <v>41214</v>
      </c>
      <c r="H78" s="1">
        <v>1.64</v>
      </c>
      <c r="I78" s="34">
        <v>41214</v>
      </c>
      <c r="J78" s="1">
        <v>187.26</v>
      </c>
      <c r="K78" s="34">
        <v>41214</v>
      </c>
      <c r="L78" s="1">
        <v>439.1</v>
      </c>
      <c r="M78" s="34">
        <v>41214</v>
      </c>
      <c r="N78" s="1">
        <v>82.4</v>
      </c>
    </row>
    <row r="79" spans="1:14" x14ac:dyDescent="0.25">
      <c r="A79" s="34">
        <v>41244</v>
      </c>
      <c r="B79" s="1">
        <v>435.5</v>
      </c>
      <c r="C79" s="34">
        <v>41244</v>
      </c>
      <c r="D79" s="1">
        <v>667</v>
      </c>
      <c r="E79" s="34">
        <v>41244</v>
      </c>
      <c r="F79" s="1">
        <v>3</v>
      </c>
      <c r="G79" s="34">
        <v>41244</v>
      </c>
      <c r="H79" s="1">
        <v>1.72</v>
      </c>
      <c r="I79" s="34">
        <v>41244</v>
      </c>
      <c r="J79" s="1">
        <v>187.75</v>
      </c>
      <c r="K79" s="34">
        <v>41244</v>
      </c>
      <c r="L79" s="1">
        <v>439.2</v>
      </c>
      <c r="M79" s="34">
        <v>41244</v>
      </c>
      <c r="N79" s="1">
        <v>82.5</v>
      </c>
    </row>
    <row r="80" spans="1:14" x14ac:dyDescent="0.25">
      <c r="A80" s="34">
        <v>41275</v>
      </c>
      <c r="B80" s="1">
        <v>436.9</v>
      </c>
      <c r="C80" s="34">
        <v>41275</v>
      </c>
      <c r="D80" s="1">
        <v>75</v>
      </c>
      <c r="E80" s="34">
        <v>41275</v>
      </c>
      <c r="F80" s="1">
        <v>3</v>
      </c>
      <c r="G80" s="34">
        <v>41275</v>
      </c>
      <c r="H80" s="1">
        <v>1.81</v>
      </c>
      <c r="I80" s="34">
        <v>41275</v>
      </c>
      <c r="J80" s="1">
        <v>188.28</v>
      </c>
      <c r="K80" s="34">
        <v>41275</v>
      </c>
      <c r="L80" s="1">
        <v>428</v>
      </c>
      <c r="M80" s="34">
        <v>41275</v>
      </c>
      <c r="N80" s="1">
        <v>80.5</v>
      </c>
    </row>
    <row r="81" spans="1:14" x14ac:dyDescent="0.25">
      <c r="A81" s="34">
        <v>41306</v>
      </c>
      <c r="B81" s="1">
        <v>439.4</v>
      </c>
      <c r="C81" s="34">
        <v>41306</v>
      </c>
      <c r="D81" s="1">
        <v>368</v>
      </c>
      <c r="E81" s="34">
        <v>41306</v>
      </c>
      <c r="F81" s="1">
        <v>3</v>
      </c>
      <c r="G81" s="34">
        <v>41306</v>
      </c>
      <c r="H81" s="1">
        <v>2.02</v>
      </c>
      <c r="I81" s="34">
        <v>41306</v>
      </c>
      <c r="J81" s="1">
        <v>188.88</v>
      </c>
      <c r="K81" s="34">
        <v>41306</v>
      </c>
      <c r="L81" s="1">
        <v>431.1</v>
      </c>
      <c r="M81" s="34">
        <v>41306</v>
      </c>
      <c r="N81" s="1">
        <v>81.7</v>
      </c>
    </row>
    <row r="82" spans="1:14" x14ac:dyDescent="0.25">
      <c r="A82" s="34">
        <v>41334</v>
      </c>
      <c r="B82" s="1">
        <v>439.7</v>
      </c>
      <c r="C82" s="34">
        <v>41334</v>
      </c>
      <c r="D82" s="1">
        <v>477</v>
      </c>
      <c r="E82" s="34">
        <v>41334</v>
      </c>
      <c r="F82" s="1">
        <v>3</v>
      </c>
      <c r="G82" s="34">
        <v>41334</v>
      </c>
      <c r="H82" s="1">
        <v>2.25</v>
      </c>
      <c r="I82" s="34">
        <v>41334</v>
      </c>
      <c r="J82" s="1">
        <v>189.55</v>
      </c>
      <c r="K82" s="34">
        <v>41334</v>
      </c>
      <c r="L82" s="1">
        <v>433.5</v>
      </c>
      <c r="M82" s="34">
        <v>41334</v>
      </c>
      <c r="N82" s="1">
        <v>81.7</v>
      </c>
    </row>
    <row r="83" spans="1:14" x14ac:dyDescent="0.25">
      <c r="A83" s="34">
        <v>41365</v>
      </c>
      <c r="B83" s="1">
        <v>438.1</v>
      </c>
      <c r="C83" s="34">
        <v>41365</v>
      </c>
      <c r="D83" s="1">
        <v>740</v>
      </c>
      <c r="E83" s="34">
        <v>41365</v>
      </c>
      <c r="F83" s="1">
        <v>3</v>
      </c>
      <c r="G83" s="34">
        <v>41365</v>
      </c>
      <c r="H83" s="1">
        <v>2.4500000000000002</v>
      </c>
      <c r="I83" s="34">
        <v>41365</v>
      </c>
      <c r="J83" s="1">
        <v>190.29</v>
      </c>
      <c r="K83" s="34">
        <v>41365</v>
      </c>
      <c r="L83" s="1">
        <v>436.3</v>
      </c>
      <c r="M83" s="34">
        <v>41365</v>
      </c>
      <c r="N83" s="1">
        <v>81.7</v>
      </c>
    </row>
    <row r="84" spans="1:14" x14ac:dyDescent="0.25">
      <c r="A84" s="34">
        <v>41395</v>
      </c>
      <c r="B84" s="1">
        <v>441.8</v>
      </c>
      <c r="C84" s="34">
        <v>41395</v>
      </c>
      <c r="D84" s="1">
        <v>1314</v>
      </c>
      <c r="E84" s="34">
        <v>41395</v>
      </c>
      <c r="F84" s="1">
        <v>3</v>
      </c>
      <c r="G84" s="34">
        <v>41395</v>
      </c>
      <c r="H84" s="1">
        <v>3</v>
      </c>
      <c r="I84" s="34">
        <v>41395</v>
      </c>
      <c r="J84" s="1">
        <v>191.15</v>
      </c>
      <c r="K84" s="34">
        <v>41395</v>
      </c>
      <c r="L84" s="1">
        <v>446.4</v>
      </c>
      <c r="M84" s="34">
        <v>41395</v>
      </c>
      <c r="N84" s="1">
        <v>82.3</v>
      </c>
    </row>
    <row r="85" spans="1:14" x14ac:dyDescent="0.25">
      <c r="A85" s="34">
        <v>41426</v>
      </c>
      <c r="B85" s="1">
        <v>443.1</v>
      </c>
      <c r="C85" s="34">
        <v>41426</v>
      </c>
      <c r="D85" s="1">
        <v>1123</v>
      </c>
      <c r="E85" s="34">
        <v>41426</v>
      </c>
      <c r="F85" s="1">
        <v>2.9</v>
      </c>
      <c r="G85" s="34">
        <v>41426</v>
      </c>
      <c r="H85" s="1">
        <v>2.91</v>
      </c>
      <c r="I85" s="34">
        <v>41426</v>
      </c>
      <c r="J85" s="1">
        <v>192.12</v>
      </c>
      <c r="K85" s="34">
        <v>41426</v>
      </c>
      <c r="L85" s="1">
        <v>449.8</v>
      </c>
      <c r="M85" s="34">
        <v>41426</v>
      </c>
      <c r="N85" s="1">
        <v>80.400000000000006</v>
      </c>
    </row>
    <row r="86" spans="1:14" x14ac:dyDescent="0.25">
      <c r="A86" s="34">
        <v>41456</v>
      </c>
      <c r="B86" s="1">
        <v>445.5</v>
      </c>
      <c r="C86" s="34">
        <v>41456</v>
      </c>
      <c r="D86" s="1">
        <v>1002</v>
      </c>
      <c r="E86" s="34">
        <v>41456</v>
      </c>
      <c r="F86" s="1">
        <v>2.9</v>
      </c>
      <c r="G86" s="34">
        <v>41456</v>
      </c>
      <c r="H86" s="1">
        <v>1.87</v>
      </c>
      <c r="I86" s="34">
        <v>41456</v>
      </c>
      <c r="J86" s="1">
        <v>193.06</v>
      </c>
      <c r="K86" s="34">
        <v>41456</v>
      </c>
      <c r="L86" s="1">
        <v>441.5</v>
      </c>
      <c r="M86" s="34">
        <v>41456</v>
      </c>
      <c r="N86" s="1">
        <v>70.900000000000006</v>
      </c>
    </row>
    <row r="87" spans="1:14" x14ac:dyDescent="0.25">
      <c r="A87" s="34">
        <v>41487</v>
      </c>
      <c r="B87" s="1">
        <v>447.1</v>
      </c>
      <c r="C87" s="34">
        <v>41487</v>
      </c>
      <c r="D87" s="1">
        <v>988</v>
      </c>
      <c r="E87" s="34">
        <v>41487</v>
      </c>
      <c r="F87" s="1">
        <v>2.9</v>
      </c>
      <c r="G87" s="34">
        <v>41487</v>
      </c>
      <c r="H87" s="1">
        <v>2.11</v>
      </c>
      <c r="I87" s="34">
        <v>41487</v>
      </c>
      <c r="J87" s="1">
        <v>193.92</v>
      </c>
      <c r="K87" s="34">
        <v>41487</v>
      </c>
      <c r="L87" s="1">
        <v>444.1</v>
      </c>
      <c r="M87" s="34">
        <v>41487</v>
      </c>
      <c r="N87" s="1">
        <v>70.8</v>
      </c>
    </row>
    <row r="88" spans="1:14" x14ac:dyDescent="0.25">
      <c r="A88" s="34">
        <v>41518</v>
      </c>
      <c r="B88" s="1">
        <v>447.6</v>
      </c>
      <c r="C88" s="34">
        <v>41518</v>
      </c>
      <c r="D88" s="1">
        <v>789</v>
      </c>
      <c r="E88" s="34">
        <v>41518</v>
      </c>
      <c r="F88" s="1">
        <v>2.8</v>
      </c>
      <c r="G88" s="34">
        <v>41518</v>
      </c>
      <c r="H88" s="1">
        <v>2.46</v>
      </c>
      <c r="I88" s="34">
        <v>41518</v>
      </c>
      <c r="J88" s="1">
        <v>194.75</v>
      </c>
      <c r="K88" s="34">
        <v>41518</v>
      </c>
      <c r="L88" s="1">
        <v>453.2</v>
      </c>
      <c r="M88" s="34">
        <v>41518</v>
      </c>
      <c r="N88" s="1">
        <v>80.900000000000006</v>
      </c>
    </row>
    <row r="89" spans="1:14" x14ac:dyDescent="0.25">
      <c r="A89" s="34">
        <v>41548</v>
      </c>
      <c r="B89" s="1">
        <v>449.2</v>
      </c>
      <c r="C89" s="34">
        <v>41548</v>
      </c>
      <c r="D89" s="1">
        <v>1459</v>
      </c>
      <c r="E89" s="34">
        <v>41548</v>
      </c>
      <c r="F89" s="1">
        <v>2.8</v>
      </c>
      <c r="G89" s="34">
        <v>41548</v>
      </c>
      <c r="H89" s="1">
        <v>2.62</v>
      </c>
      <c r="I89" s="34">
        <v>41548</v>
      </c>
      <c r="J89" s="1">
        <v>195.58</v>
      </c>
      <c r="K89" s="34">
        <v>41548</v>
      </c>
      <c r="L89" s="1">
        <v>456.8</v>
      </c>
      <c r="M89" s="34">
        <v>41548</v>
      </c>
      <c r="N89" s="1">
        <v>83</v>
      </c>
    </row>
    <row r="90" spans="1:14" x14ac:dyDescent="0.25">
      <c r="A90" s="34">
        <v>41579</v>
      </c>
      <c r="B90" s="1">
        <v>451.6</v>
      </c>
      <c r="C90" s="34">
        <v>41579</v>
      </c>
      <c r="D90" s="1">
        <v>637</v>
      </c>
      <c r="E90" s="34">
        <v>41579</v>
      </c>
      <c r="F90" s="1">
        <v>2.7</v>
      </c>
      <c r="G90" s="34">
        <v>41579</v>
      </c>
      <c r="H90" s="1">
        <v>3.22</v>
      </c>
      <c r="I90" s="34">
        <v>41579</v>
      </c>
      <c r="J90" s="1">
        <v>196.5</v>
      </c>
      <c r="K90" s="34">
        <v>41579</v>
      </c>
      <c r="L90" s="1">
        <v>456.4</v>
      </c>
      <c r="M90" s="34">
        <v>41579</v>
      </c>
      <c r="N90" s="1">
        <v>82.7</v>
      </c>
    </row>
    <row r="91" spans="1:14" x14ac:dyDescent="0.25">
      <c r="A91" s="34">
        <v>41609</v>
      </c>
      <c r="B91" s="1">
        <v>451.7</v>
      </c>
      <c r="C91" s="34">
        <v>41609</v>
      </c>
      <c r="D91" s="1">
        <v>251</v>
      </c>
      <c r="E91" s="34">
        <v>41609</v>
      </c>
      <c r="F91" s="1">
        <v>2.7</v>
      </c>
      <c r="G91" s="34">
        <v>41609</v>
      </c>
      <c r="H91" s="1">
        <v>3.45</v>
      </c>
      <c r="I91" s="34">
        <v>41609</v>
      </c>
      <c r="J91" s="1">
        <v>197.55</v>
      </c>
      <c r="K91" s="34">
        <v>41609</v>
      </c>
      <c r="L91" s="1">
        <v>454</v>
      </c>
      <c r="M91" s="34">
        <v>41609</v>
      </c>
      <c r="N91" s="1">
        <v>83.1</v>
      </c>
    </row>
    <row r="92" spans="1:14" x14ac:dyDescent="0.25">
      <c r="A92" s="34">
        <v>41640</v>
      </c>
      <c r="B92" s="1">
        <v>451.4</v>
      </c>
      <c r="C92" s="34">
        <v>41640</v>
      </c>
      <c r="D92" s="1">
        <v>105</v>
      </c>
      <c r="E92" s="34">
        <v>41640</v>
      </c>
      <c r="F92" s="1">
        <v>2.6</v>
      </c>
      <c r="G92" s="34">
        <v>41640</v>
      </c>
      <c r="H92" s="1">
        <v>4.18</v>
      </c>
      <c r="I92" s="34">
        <v>41640</v>
      </c>
      <c r="J92" s="1">
        <v>198.79</v>
      </c>
      <c r="K92" s="34">
        <v>41640</v>
      </c>
      <c r="L92" s="1">
        <v>442.7</v>
      </c>
      <c r="M92" s="34">
        <v>41640</v>
      </c>
      <c r="N92" s="1">
        <v>80.3</v>
      </c>
    </row>
    <row r="93" spans="1:14" x14ac:dyDescent="0.25">
      <c r="A93" s="34">
        <v>41671</v>
      </c>
      <c r="B93" s="1">
        <v>457.2</v>
      </c>
      <c r="C93" s="34">
        <v>41671</v>
      </c>
      <c r="D93" s="1">
        <v>471</v>
      </c>
      <c r="E93" s="34">
        <v>41671</v>
      </c>
      <c r="F93" s="1">
        <v>2.6</v>
      </c>
      <c r="G93" s="34">
        <v>41671</v>
      </c>
      <c r="H93" s="1">
        <v>3.18</v>
      </c>
      <c r="I93" s="34">
        <v>41671</v>
      </c>
      <c r="J93" s="1">
        <v>200.1</v>
      </c>
      <c r="K93" s="34">
        <v>41671</v>
      </c>
      <c r="L93" s="1">
        <v>447.2</v>
      </c>
      <c r="M93" s="34">
        <v>41671</v>
      </c>
      <c r="N93" s="1">
        <v>82</v>
      </c>
    </row>
    <row r="94" spans="1:14" x14ac:dyDescent="0.25">
      <c r="A94" s="34">
        <v>41699</v>
      </c>
      <c r="B94" s="1">
        <v>459.5</v>
      </c>
      <c r="C94" s="34">
        <v>41699</v>
      </c>
      <c r="D94" s="1">
        <v>737</v>
      </c>
      <c r="E94" s="34">
        <v>41699</v>
      </c>
      <c r="F94" s="1">
        <v>2.6</v>
      </c>
      <c r="G94" s="34">
        <v>41699</v>
      </c>
      <c r="H94" s="1">
        <v>3.44</v>
      </c>
      <c r="I94" s="34">
        <v>41699</v>
      </c>
      <c r="J94" s="1">
        <v>201.43</v>
      </c>
      <c r="K94" s="34">
        <v>41699</v>
      </c>
      <c r="L94" s="1">
        <v>452.5</v>
      </c>
      <c r="M94" s="34">
        <v>41699</v>
      </c>
      <c r="N94" s="1">
        <v>82.2</v>
      </c>
    </row>
    <row r="95" spans="1:14" x14ac:dyDescent="0.25">
      <c r="A95" s="34">
        <v>41730</v>
      </c>
      <c r="B95" s="1">
        <v>461</v>
      </c>
      <c r="C95" s="34">
        <v>41730</v>
      </c>
      <c r="D95" s="1">
        <v>1107</v>
      </c>
      <c r="E95" s="34">
        <v>41730</v>
      </c>
      <c r="F95" s="1">
        <v>2.5</v>
      </c>
      <c r="G95" s="34">
        <v>41730</v>
      </c>
      <c r="H95" s="1">
        <v>3.13</v>
      </c>
      <c r="I95" s="34">
        <v>41730</v>
      </c>
      <c r="J95" s="1">
        <v>202.7</v>
      </c>
      <c r="K95" s="34">
        <v>41730</v>
      </c>
      <c r="L95" s="1">
        <v>458.6</v>
      </c>
      <c r="M95" s="34">
        <v>41730</v>
      </c>
      <c r="N95" s="1">
        <v>82.2</v>
      </c>
    </row>
    <row r="96" spans="1:14" x14ac:dyDescent="0.25">
      <c r="A96" s="34">
        <v>41760</v>
      </c>
      <c r="B96" s="1">
        <v>461.8</v>
      </c>
      <c r="C96" s="34">
        <v>41760</v>
      </c>
      <c r="D96" s="1">
        <v>1057</v>
      </c>
      <c r="E96" s="34">
        <v>41760</v>
      </c>
      <c r="F96" s="1">
        <v>2.6</v>
      </c>
      <c r="G96" s="34">
        <v>41760</v>
      </c>
      <c r="H96" s="1">
        <v>2.63</v>
      </c>
      <c r="I96" s="34">
        <v>41760</v>
      </c>
      <c r="J96" s="1">
        <v>203.86</v>
      </c>
      <c r="K96" s="34">
        <v>41760</v>
      </c>
      <c r="L96" s="1">
        <v>466.3</v>
      </c>
      <c r="M96" s="34">
        <v>41760</v>
      </c>
      <c r="N96" s="1">
        <v>82.8</v>
      </c>
    </row>
    <row r="97" spans="1:14" x14ac:dyDescent="0.25">
      <c r="A97" s="34">
        <v>41791</v>
      </c>
      <c r="B97" s="1">
        <v>465.2</v>
      </c>
      <c r="C97" s="34">
        <v>41791</v>
      </c>
      <c r="D97" s="1">
        <v>1824</v>
      </c>
      <c r="E97" s="34">
        <v>41791</v>
      </c>
      <c r="F97" s="1">
        <v>2.7</v>
      </c>
      <c r="G97" s="34">
        <v>41791</v>
      </c>
      <c r="H97" s="1">
        <v>3.09</v>
      </c>
      <c r="I97" s="34">
        <v>41791</v>
      </c>
      <c r="J97" s="1">
        <v>204.95</v>
      </c>
      <c r="K97" s="34">
        <v>41791</v>
      </c>
      <c r="L97" s="1">
        <v>472.3</v>
      </c>
      <c r="M97" s="34">
        <v>41791</v>
      </c>
      <c r="N97" s="1">
        <v>81</v>
      </c>
    </row>
    <row r="98" spans="1:14" x14ac:dyDescent="0.25">
      <c r="A98" s="34">
        <v>41821</v>
      </c>
      <c r="B98" s="1">
        <v>466</v>
      </c>
      <c r="C98" s="34">
        <v>41821</v>
      </c>
      <c r="D98" s="1">
        <v>1649</v>
      </c>
      <c r="E98" s="34">
        <v>41821</v>
      </c>
      <c r="F98" s="1">
        <v>2.8</v>
      </c>
      <c r="G98" s="34">
        <v>41821</v>
      </c>
      <c r="H98" s="1">
        <v>2.5099999999999998</v>
      </c>
      <c r="I98" s="34">
        <v>41821</v>
      </c>
      <c r="J98" s="1">
        <v>205.97</v>
      </c>
      <c r="K98" s="34">
        <v>41821</v>
      </c>
      <c r="L98" s="1">
        <v>463.9</v>
      </c>
      <c r="M98" s="34">
        <v>41821</v>
      </c>
      <c r="N98" s="1">
        <v>71.599999999999994</v>
      </c>
    </row>
    <row r="99" spans="1:14" x14ac:dyDescent="0.25">
      <c r="A99" s="34">
        <v>41852</v>
      </c>
      <c r="B99" s="1">
        <v>467.1</v>
      </c>
      <c r="C99" s="34">
        <v>41852</v>
      </c>
      <c r="D99" s="1">
        <v>937</v>
      </c>
      <c r="E99" s="34">
        <v>41852</v>
      </c>
      <c r="F99" s="1">
        <v>2.8</v>
      </c>
      <c r="G99" s="34">
        <v>41852</v>
      </c>
      <c r="H99" s="1">
        <v>3.06</v>
      </c>
      <c r="I99" s="34">
        <v>41852</v>
      </c>
      <c r="J99" s="1">
        <v>207</v>
      </c>
      <c r="K99" s="34">
        <v>41852</v>
      </c>
      <c r="L99" s="1">
        <v>465</v>
      </c>
      <c r="M99" s="34">
        <v>41852</v>
      </c>
      <c r="N99" s="1">
        <v>71.3</v>
      </c>
    </row>
    <row r="100" spans="1:14" x14ac:dyDescent="0.25">
      <c r="A100" s="34">
        <v>41883</v>
      </c>
      <c r="B100" s="1">
        <v>470.6</v>
      </c>
      <c r="C100" s="34">
        <v>41883</v>
      </c>
      <c r="D100" s="1">
        <v>1213</v>
      </c>
      <c r="E100" s="34">
        <v>41883</v>
      </c>
      <c r="F100" s="1">
        <v>2.8</v>
      </c>
      <c r="G100" s="34">
        <v>41883</v>
      </c>
      <c r="H100" s="1">
        <v>2.66</v>
      </c>
      <c r="I100" s="34">
        <v>41883</v>
      </c>
      <c r="J100" s="1">
        <v>208.01</v>
      </c>
      <c r="K100" s="34">
        <v>41883</v>
      </c>
      <c r="L100" s="1">
        <v>476</v>
      </c>
      <c r="M100" s="34">
        <v>41883</v>
      </c>
      <c r="N100" s="1">
        <v>81.599999999999994</v>
      </c>
    </row>
    <row r="101" spans="1:14" x14ac:dyDescent="0.25">
      <c r="A101" s="34">
        <v>41913</v>
      </c>
      <c r="B101" s="1">
        <v>471.2</v>
      </c>
      <c r="C101" s="34">
        <v>41913</v>
      </c>
      <c r="D101" s="1">
        <v>1555</v>
      </c>
      <c r="E101" s="34">
        <v>41913</v>
      </c>
      <c r="F101" s="1">
        <v>2.8</v>
      </c>
      <c r="G101" s="34">
        <v>41913</v>
      </c>
      <c r="H101" s="1">
        <v>2.67</v>
      </c>
      <c r="I101" s="34">
        <v>41913</v>
      </c>
      <c r="J101" s="1">
        <v>209.02</v>
      </c>
      <c r="K101" s="34">
        <v>41913</v>
      </c>
      <c r="L101" s="1">
        <v>478.8</v>
      </c>
      <c r="M101" s="34">
        <v>41913</v>
      </c>
      <c r="N101" s="1">
        <v>83.4</v>
      </c>
    </row>
    <row r="102" spans="1:14" x14ac:dyDescent="0.25">
      <c r="A102" s="34">
        <v>41944</v>
      </c>
      <c r="B102" s="1">
        <v>473.8</v>
      </c>
      <c r="C102" s="34">
        <v>41944</v>
      </c>
      <c r="D102" s="1">
        <v>534</v>
      </c>
      <c r="E102" s="34">
        <v>41944</v>
      </c>
      <c r="F102" s="1">
        <v>2.7</v>
      </c>
      <c r="G102" s="34">
        <v>41944</v>
      </c>
      <c r="H102" s="1">
        <v>2.96</v>
      </c>
      <c r="I102" s="34">
        <v>41944</v>
      </c>
      <c r="J102" s="1">
        <v>210.07</v>
      </c>
      <c r="K102" s="34">
        <v>41944</v>
      </c>
      <c r="L102" s="1">
        <v>479.3</v>
      </c>
      <c r="M102" s="34">
        <v>41944</v>
      </c>
      <c r="N102" s="1">
        <v>83</v>
      </c>
    </row>
    <row r="103" spans="1:14" x14ac:dyDescent="0.25">
      <c r="A103" s="34">
        <v>41974</v>
      </c>
      <c r="B103" s="1">
        <v>476.2</v>
      </c>
      <c r="E103" s="34">
        <v>41974</v>
      </c>
      <c r="F103" s="1">
        <v>2.8</v>
      </c>
      <c r="K103" s="34">
        <v>41974</v>
      </c>
      <c r="L103" s="1">
        <v>478.5</v>
      </c>
      <c r="M103" s="34">
        <v>41974</v>
      </c>
      <c r="N103" s="1">
        <v>83.3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P103"/>
  <sheetViews>
    <sheetView topLeftCell="A77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223</v>
      </c>
      <c r="C1" s="34" t="s">
        <v>224</v>
      </c>
      <c r="E1" s="34" t="s">
        <v>225</v>
      </c>
      <c r="G1" s="34" t="s">
        <v>226</v>
      </c>
      <c r="I1" s="34" t="s">
        <v>227</v>
      </c>
      <c r="K1" s="34" t="str">
        <f>CONCATENATE(LEFT(A1,2), "NAN")</f>
        <v>NENAN</v>
      </c>
      <c r="M1" s="34" t="str">
        <f>CONCATENATE(LEFT(A1,2), "GOVTN")</f>
        <v>NEGOVTN</v>
      </c>
      <c r="O1" s="34" t="str">
        <f>CONCATENATE(LEFT($A$1,2), "RGSP")</f>
        <v>NERGSP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902</v>
      </c>
      <c r="C5" s="35" t="s">
        <v>399</v>
      </c>
      <c r="E5" s="35" t="s">
        <v>400</v>
      </c>
      <c r="G5" s="35" t="s">
        <v>401</v>
      </c>
      <c r="I5" s="35" t="s">
        <v>402</v>
      </c>
      <c r="K5" s="35" t="s">
        <v>902</v>
      </c>
      <c r="M5" s="35" t="s">
        <v>903</v>
      </c>
      <c r="O5" s="35" t="s">
        <v>791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953.9</v>
      </c>
      <c r="C8" s="34">
        <v>39083</v>
      </c>
      <c r="D8" s="1">
        <v>325</v>
      </c>
      <c r="E8" s="34">
        <v>39083</v>
      </c>
      <c r="F8" s="1">
        <v>2.8</v>
      </c>
      <c r="G8" s="34">
        <v>39083</v>
      </c>
      <c r="H8" s="1">
        <v>2.68</v>
      </c>
      <c r="I8" s="34">
        <v>39083</v>
      </c>
      <c r="J8" s="1">
        <v>156.77000000000001</v>
      </c>
      <c r="K8" s="34">
        <v>39083</v>
      </c>
      <c r="L8" s="1">
        <v>936.4</v>
      </c>
      <c r="M8" s="34">
        <v>39083</v>
      </c>
      <c r="N8" s="1">
        <v>161.69999999999999</v>
      </c>
      <c r="O8" s="34">
        <v>39083</v>
      </c>
      <c r="P8" s="1">
        <v>85487</v>
      </c>
    </row>
    <row r="9" spans="1:16" x14ac:dyDescent="0.25">
      <c r="A9" s="34">
        <v>39114</v>
      </c>
      <c r="B9" s="1">
        <v>954.9</v>
      </c>
      <c r="C9" s="34">
        <v>39114</v>
      </c>
      <c r="D9" s="1">
        <v>347</v>
      </c>
      <c r="E9" s="34">
        <v>39114</v>
      </c>
      <c r="F9" s="1">
        <v>2.8</v>
      </c>
      <c r="G9" s="34">
        <v>39114</v>
      </c>
      <c r="H9" s="1">
        <v>2.09</v>
      </c>
      <c r="I9" s="34">
        <v>39114</v>
      </c>
      <c r="J9" s="1">
        <v>157.24</v>
      </c>
      <c r="K9" s="34">
        <v>39114</v>
      </c>
      <c r="L9" s="1">
        <v>939.5</v>
      </c>
      <c r="M9" s="34">
        <v>39114</v>
      </c>
      <c r="N9" s="1">
        <v>163.30000000000001</v>
      </c>
      <c r="O9" s="34">
        <v>39448</v>
      </c>
      <c r="P9" s="1">
        <v>86371</v>
      </c>
    </row>
    <row r="10" spans="1:16" x14ac:dyDescent="0.25">
      <c r="A10" s="34">
        <v>39142</v>
      </c>
      <c r="B10" s="1">
        <v>955.5</v>
      </c>
      <c r="C10" s="34">
        <v>39142</v>
      </c>
      <c r="D10" s="1">
        <v>591</v>
      </c>
      <c r="E10" s="34">
        <v>39142</v>
      </c>
      <c r="F10" s="1">
        <v>2.8</v>
      </c>
      <c r="G10" s="34">
        <v>39142</v>
      </c>
      <c r="H10" s="1">
        <v>1.45</v>
      </c>
      <c r="I10" s="34">
        <v>39142</v>
      </c>
      <c r="J10" s="1">
        <v>157.74</v>
      </c>
      <c r="K10" s="34">
        <v>39142</v>
      </c>
      <c r="L10" s="1">
        <v>946.3</v>
      </c>
      <c r="M10" s="34">
        <v>39142</v>
      </c>
      <c r="N10" s="1">
        <v>163.69999999999999</v>
      </c>
      <c r="O10" s="34">
        <v>39814</v>
      </c>
      <c r="P10" s="1">
        <v>86869</v>
      </c>
    </row>
    <row r="11" spans="1:16" x14ac:dyDescent="0.25">
      <c r="A11" s="34">
        <v>39173</v>
      </c>
      <c r="B11" s="1">
        <v>957.7</v>
      </c>
      <c r="C11" s="34">
        <v>39173</v>
      </c>
      <c r="D11" s="1">
        <v>749</v>
      </c>
      <c r="E11" s="34">
        <v>39173</v>
      </c>
      <c r="F11" s="1">
        <v>2.8</v>
      </c>
      <c r="G11" s="34">
        <v>39173</v>
      </c>
      <c r="H11" s="1">
        <v>1.74</v>
      </c>
      <c r="I11" s="34">
        <v>39173</v>
      </c>
      <c r="J11" s="1">
        <v>158.28</v>
      </c>
      <c r="K11" s="34">
        <v>39173</v>
      </c>
      <c r="L11" s="1">
        <v>956.5</v>
      </c>
      <c r="M11" s="34">
        <v>39173</v>
      </c>
      <c r="N11" s="1">
        <v>164.2</v>
      </c>
      <c r="O11" s="34">
        <v>40179</v>
      </c>
      <c r="P11" s="1">
        <v>89873</v>
      </c>
    </row>
    <row r="12" spans="1:16" x14ac:dyDescent="0.25">
      <c r="A12" s="34">
        <v>39203</v>
      </c>
      <c r="B12" s="1">
        <v>960</v>
      </c>
      <c r="C12" s="34">
        <v>39203</v>
      </c>
      <c r="D12" s="1">
        <v>766</v>
      </c>
      <c r="E12" s="34">
        <v>39203</v>
      </c>
      <c r="F12" s="1">
        <v>2.9</v>
      </c>
      <c r="G12" s="34">
        <v>39203</v>
      </c>
      <c r="H12" s="1">
        <v>1.29</v>
      </c>
      <c r="I12" s="34">
        <v>39203</v>
      </c>
      <c r="J12" s="1">
        <v>158.47</v>
      </c>
      <c r="K12" s="34">
        <v>39203</v>
      </c>
      <c r="L12" s="1">
        <v>968.6</v>
      </c>
      <c r="M12" s="34">
        <v>39203</v>
      </c>
      <c r="N12" s="1">
        <v>167</v>
      </c>
      <c r="O12" s="34">
        <v>40544</v>
      </c>
      <c r="P12" s="1">
        <v>93267</v>
      </c>
    </row>
    <row r="13" spans="1:16" x14ac:dyDescent="0.25">
      <c r="A13" s="34">
        <v>39234</v>
      </c>
      <c r="B13" s="1">
        <v>961.9</v>
      </c>
      <c r="C13" s="34">
        <v>39234</v>
      </c>
      <c r="D13" s="1">
        <v>823</v>
      </c>
      <c r="E13" s="34">
        <v>39234</v>
      </c>
      <c r="F13" s="1">
        <v>3</v>
      </c>
      <c r="G13" s="34">
        <v>39234</v>
      </c>
      <c r="H13" s="1">
        <v>0.95</v>
      </c>
      <c r="I13" s="34">
        <v>39234</v>
      </c>
      <c r="J13" s="1">
        <v>158.75</v>
      </c>
      <c r="K13" s="34">
        <v>39234</v>
      </c>
      <c r="L13" s="1">
        <v>974.1</v>
      </c>
      <c r="M13" s="34">
        <v>39234</v>
      </c>
      <c r="N13" s="1">
        <v>165.7</v>
      </c>
      <c r="O13" s="34">
        <v>40909</v>
      </c>
      <c r="P13" s="1">
        <v>95349</v>
      </c>
    </row>
    <row r="14" spans="1:16" x14ac:dyDescent="0.25">
      <c r="A14" s="34">
        <v>39264</v>
      </c>
      <c r="B14" s="1">
        <v>963.1</v>
      </c>
      <c r="C14" s="34">
        <v>39264</v>
      </c>
      <c r="D14" s="1">
        <v>715</v>
      </c>
      <c r="E14" s="34">
        <v>39264</v>
      </c>
      <c r="F14" s="1">
        <v>3.1</v>
      </c>
      <c r="G14" s="34">
        <v>39264</v>
      </c>
      <c r="H14" s="1">
        <v>1.05</v>
      </c>
      <c r="I14" s="34">
        <v>39264</v>
      </c>
      <c r="J14" s="1">
        <v>158.78</v>
      </c>
      <c r="K14" s="34">
        <v>39264</v>
      </c>
      <c r="L14" s="1">
        <v>961.5</v>
      </c>
      <c r="M14" s="34">
        <v>39264</v>
      </c>
      <c r="N14" s="1">
        <v>152.9</v>
      </c>
      <c r="O14" s="34">
        <v>41275</v>
      </c>
      <c r="P14" s="1">
        <v>98250</v>
      </c>
    </row>
    <row r="15" spans="1:16" x14ac:dyDescent="0.25">
      <c r="A15" s="34">
        <v>39295</v>
      </c>
      <c r="B15" s="1">
        <v>964.7</v>
      </c>
      <c r="C15" s="34">
        <v>39295</v>
      </c>
      <c r="D15" s="1">
        <v>637</v>
      </c>
      <c r="E15" s="34">
        <v>39295</v>
      </c>
      <c r="F15" s="1">
        <v>3.1</v>
      </c>
      <c r="G15" s="34">
        <v>39295</v>
      </c>
      <c r="H15" s="1">
        <v>1.1399999999999999</v>
      </c>
      <c r="I15" s="34">
        <v>39295</v>
      </c>
      <c r="J15" s="1">
        <v>159.15</v>
      </c>
      <c r="K15" s="34">
        <v>39295</v>
      </c>
      <c r="L15" s="1">
        <v>965.5</v>
      </c>
      <c r="M15" s="34">
        <v>39295</v>
      </c>
      <c r="N15" s="1">
        <v>154.1</v>
      </c>
    </row>
    <row r="16" spans="1:16" x14ac:dyDescent="0.25">
      <c r="A16" s="34">
        <v>39326</v>
      </c>
      <c r="B16" s="1">
        <v>965</v>
      </c>
      <c r="C16" s="34">
        <v>39326</v>
      </c>
      <c r="D16" s="1">
        <v>741</v>
      </c>
      <c r="E16" s="34">
        <v>39326</v>
      </c>
      <c r="F16" s="1">
        <v>3.1</v>
      </c>
      <c r="G16" s="34">
        <v>39326</v>
      </c>
      <c r="H16" s="1">
        <v>1.45</v>
      </c>
      <c r="I16" s="34">
        <v>39326</v>
      </c>
      <c r="J16" s="1">
        <v>159.36000000000001</v>
      </c>
      <c r="K16" s="34">
        <v>39326</v>
      </c>
      <c r="L16" s="1">
        <v>970</v>
      </c>
      <c r="M16" s="34">
        <v>39326</v>
      </c>
      <c r="N16" s="1">
        <v>162.19999999999999</v>
      </c>
    </row>
    <row r="17" spans="1:14" x14ac:dyDescent="0.25">
      <c r="A17" s="34">
        <v>39356</v>
      </c>
      <c r="B17" s="1">
        <v>966.9</v>
      </c>
      <c r="C17" s="34">
        <v>39356</v>
      </c>
      <c r="D17" s="1">
        <v>1227</v>
      </c>
      <c r="E17" s="34">
        <v>39356</v>
      </c>
      <c r="F17" s="1">
        <v>3.1</v>
      </c>
      <c r="G17" s="34">
        <v>39356</v>
      </c>
      <c r="H17" s="1">
        <v>0.68</v>
      </c>
      <c r="I17" s="34">
        <v>39356</v>
      </c>
      <c r="J17" s="1">
        <v>159.35</v>
      </c>
      <c r="K17" s="34">
        <v>39356</v>
      </c>
      <c r="L17" s="1">
        <v>972.6</v>
      </c>
      <c r="M17" s="34">
        <v>39356</v>
      </c>
      <c r="N17" s="1">
        <v>164.8</v>
      </c>
    </row>
    <row r="18" spans="1:14" x14ac:dyDescent="0.25">
      <c r="A18" s="34">
        <v>39387</v>
      </c>
      <c r="B18" s="1">
        <v>967.4</v>
      </c>
      <c r="C18" s="34">
        <v>39387</v>
      </c>
      <c r="D18" s="1">
        <v>476</v>
      </c>
      <c r="E18" s="34">
        <v>39387</v>
      </c>
      <c r="F18" s="1">
        <v>3</v>
      </c>
      <c r="G18" s="34">
        <v>39387</v>
      </c>
      <c r="H18" s="1">
        <v>1.01</v>
      </c>
      <c r="I18" s="34">
        <v>39387</v>
      </c>
      <c r="J18" s="1">
        <v>159.78</v>
      </c>
      <c r="K18" s="34">
        <v>39387</v>
      </c>
      <c r="L18" s="1">
        <v>975.5</v>
      </c>
      <c r="M18" s="34">
        <v>39387</v>
      </c>
      <c r="N18" s="1">
        <v>165.3</v>
      </c>
    </row>
    <row r="19" spans="1:14" x14ac:dyDescent="0.25">
      <c r="A19" s="34">
        <v>39417</v>
      </c>
      <c r="B19" s="1">
        <v>968.2</v>
      </c>
      <c r="C19" s="34">
        <v>39417</v>
      </c>
      <c r="D19" s="1">
        <v>372</v>
      </c>
      <c r="E19" s="34">
        <v>39417</v>
      </c>
      <c r="F19" s="1">
        <v>3</v>
      </c>
      <c r="G19" s="34">
        <v>39417</v>
      </c>
      <c r="H19" s="1">
        <v>0.93</v>
      </c>
      <c r="I19" s="34">
        <v>39417</v>
      </c>
      <c r="J19" s="1">
        <v>159.6</v>
      </c>
      <c r="K19" s="34">
        <v>39417</v>
      </c>
      <c r="L19" s="1">
        <v>973.6</v>
      </c>
      <c r="M19" s="34">
        <v>39417</v>
      </c>
      <c r="N19" s="1">
        <v>164.1</v>
      </c>
    </row>
    <row r="20" spans="1:14" x14ac:dyDescent="0.25">
      <c r="A20" s="34">
        <v>39448</v>
      </c>
      <c r="B20" s="1">
        <v>971.6</v>
      </c>
      <c r="C20" s="34">
        <v>39448</v>
      </c>
      <c r="D20" s="1">
        <v>678</v>
      </c>
      <c r="E20" s="34">
        <v>39448</v>
      </c>
      <c r="F20" s="1">
        <v>2.9</v>
      </c>
      <c r="G20" s="34">
        <v>39448</v>
      </c>
      <c r="H20" s="1">
        <v>0.99</v>
      </c>
      <c r="I20" s="34">
        <v>39448</v>
      </c>
      <c r="J20" s="1">
        <v>160.09</v>
      </c>
      <c r="K20" s="34">
        <v>39448</v>
      </c>
      <c r="L20" s="1">
        <v>953.5</v>
      </c>
      <c r="M20" s="34">
        <v>39448</v>
      </c>
      <c r="N20" s="1">
        <v>162.9</v>
      </c>
    </row>
    <row r="21" spans="1:14" x14ac:dyDescent="0.25">
      <c r="A21" s="34">
        <v>39479</v>
      </c>
      <c r="B21" s="1">
        <v>970.7</v>
      </c>
      <c r="C21" s="34">
        <v>39479</v>
      </c>
      <c r="D21" s="1">
        <v>240</v>
      </c>
      <c r="E21" s="34">
        <v>39479</v>
      </c>
      <c r="F21" s="1">
        <v>2.9</v>
      </c>
      <c r="G21" s="34">
        <v>39479</v>
      </c>
      <c r="H21" s="1">
        <v>0.49</v>
      </c>
      <c r="I21" s="34">
        <v>39479</v>
      </c>
      <c r="J21" s="1">
        <v>159.96</v>
      </c>
      <c r="K21" s="34">
        <v>39479</v>
      </c>
      <c r="L21" s="1">
        <v>955</v>
      </c>
      <c r="M21" s="34">
        <v>39479</v>
      </c>
      <c r="N21" s="1">
        <v>163.30000000000001</v>
      </c>
    </row>
    <row r="22" spans="1:14" x14ac:dyDescent="0.25">
      <c r="A22" s="34">
        <v>39508</v>
      </c>
      <c r="B22" s="1">
        <v>971.2</v>
      </c>
      <c r="C22" s="34">
        <v>39508</v>
      </c>
      <c r="D22" s="1">
        <v>385</v>
      </c>
      <c r="E22" s="34">
        <v>39508</v>
      </c>
      <c r="F22" s="1">
        <v>2.9</v>
      </c>
      <c r="G22" s="34">
        <v>39508</v>
      </c>
      <c r="H22" s="1">
        <v>0.23</v>
      </c>
      <c r="I22" s="34">
        <v>39508</v>
      </c>
      <c r="J22" s="1">
        <v>160.06</v>
      </c>
      <c r="K22" s="34">
        <v>39508</v>
      </c>
      <c r="L22" s="1">
        <v>961.3</v>
      </c>
      <c r="M22" s="34">
        <v>39508</v>
      </c>
      <c r="N22" s="1">
        <v>163.6</v>
      </c>
    </row>
    <row r="23" spans="1:14" x14ac:dyDescent="0.25">
      <c r="A23" s="34">
        <v>39539</v>
      </c>
      <c r="B23" s="1">
        <v>970.4</v>
      </c>
      <c r="C23" s="34">
        <v>39539</v>
      </c>
      <c r="D23" s="1">
        <v>689</v>
      </c>
      <c r="E23" s="34">
        <v>39539</v>
      </c>
      <c r="F23" s="1">
        <v>3</v>
      </c>
      <c r="G23" s="34">
        <v>39539</v>
      </c>
      <c r="H23" s="1">
        <v>0.03</v>
      </c>
      <c r="I23" s="34">
        <v>39539</v>
      </c>
      <c r="J23" s="1">
        <v>159.87</v>
      </c>
      <c r="K23" s="34">
        <v>39539</v>
      </c>
      <c r="L23" s="1">
        <v>969.7</v>
      </c>
      <c r="M23" s="34">
        <v>39539</v>
      </c>
      <c r="N23" s="1">
        <v>165.5</v>
      </c>
    </row>
    <row r="24" spans="1:14" x14ac:dyDescent="0.25">
      <c r="A24" s="34">
        <v>39569</v>
      </c>
      <c r="B24" s="1">
        <v>970.7</v>
      </c>
      <c r="C24" s="34">
        <v>39569</v>
      </c>
      <c r="D24" s="1">
        <v>583</v>
      </c>
      <c r="E24" s="34">
        <v>39569</v>
      </c>
      <c r="F24" s="1">
        <v>3.2</v>
      </c>
      <c r="G24" s="34">
        <v>39569</v>
      </c>
      <c r="H24" s="1">
        <v>-0.65</v>
      </c>
      <c r="I24" s="34">
        <v>39569</v>
      </c>
      <c r="J24" s="1">
        <v>159.32</v>
      </c>
      <c r="K24" s="34">
        <v>39569</v>
      </c>
      <c r="L24" s="1">
        <v>979.9</v>
      </c>
      <c r="M24" s="34">
        <v>39569</v>
      </c>
      <c r="N24" s="1">
        <v>168</v>
      </c>
    </row>
    <row r="25" spans="1:14" x14ac:dyDescent="0.25">
      <c r="A25" s="34">
        <v>39600</v>
      </c>
      <c r="B25" s="1">
        <v>969.2</v>
      </c>
      <c r="C25" s="34">
        <v>39600</v>
      </c>
      <c r="D25" s="1">
        <v>703</v>
      </c>
      <c r="E25" s="34">
        <v>39600</v>
      </c>
      <c r="F25" s="1">
        <v>3.3</v>
      </c>
      <c r="G25" s="34">
        <v>39600</v>
      </c>
      <c r="H25" s="1">
        <v>-0.49</v>
      </c>
      <c r="I25" s="34">
        <v>39600</v>
      </c>
      <c r="J25" s="1">
        <v>159.13999999999999</v>
      </c>
      <c r="K25" s="34">
        <v>39600</v>
      </c>
      <c r="L25" s="1">
        <v>979.5</v>
      </c>
      <c r="M25" s="34">
        <v>39600</v>
      </c>
      <c r="N25" s="1">
        <v>165.7</v>
      </c>
    </row>
    <row r="26" spans="1:14" x14ac:dyDescent="0.25">
      <c r="A26" s="34">
        <v>39630</v>
      </c>
      <c r="B26" s="1">
        <v>967.9</v>
      </c>
      <c r="C26" s="34">
        <v>39630</v>
      </c>
      <c r="D26" s="1">
        <v>648</v>
      </c>
      <c r="E26" s="34">
        <v>39630</v>
      </c>
      <c r="F26" s="1">
        <v>3.4</v>
      </c>
      <c r="G26" s="34">
        <v>39630</v>
      </c>
      <c r="H26" s="1">
        <v>-0.39</v>
      </c>
      <c r="I26" s="34">
        <v>39630</v>
      </c>
      <c r="J26" s="1">
        <v>158.71</v>
      </c>
      <c r="K26" s="34">
        <v>39630</v>
      </c>
      <c r="L26" s="1">
        <v>966.7</v>
      </c>
      <c r="M26" s="34">
        <v>39630</v>
      </c>
      <c r="N26" s="1">
        <v>155.4</v>
      </c>
    </row>
    <row r="27" spans="1:14" x14ac:dyDescent="0.25">
      <c r="A27" s="34">
        <v>39661</v>
      </c>
      <c r="B27" s="1">
        <v>969</v>
      </c>
      <c r="C27" s="34">
        <v>39661</v>
      </c>
      <c r="D27" s="1">
        <v>492</v>
      </c>
      <c r="E27" s="34">
        <v>39661</v>
      </c>
      <c r="F27" s="1">
        <v>3.4</v>
      </c>
      <c r="G27" s="34">
        <v>39661</v>
      </c>
      <c r="H27" s="1">
        <v>0.12</v>
      </c>
      <c r="I27" s="34">
        <v>39661</v>
      </c>
      <c r="J27" s="1">
        <v>158.80000000000001</v>
      </c>
      <c r="K27" s="34">
        <v>39661</v>
      </c>
      <c r="L27" s="1">
        <v>969.5</v>
      </c>
      <c r="M27" s="34">
        <v>39661</v>
      </c>
      <c r="N27" s="1">
        <v>155.80000000000001</v>
      </c>
    </row>
    <row r="28" spans="1:14" x14ac:dyDescent="0.25">
      <c r="A28" s="34">
        <v>39692</v>
      </c>
      <c r="B28" s="1">
        <v>968.1</v>
      </c>
      <c r="C28" s="34">
        <v>39692</v>
      </c>
      <c r="D28" s="1">
        <v>915</v>
      </c>
      <c r="E28" s="34">
        <v>39692</v>
      </c>
      <c r="F28" s="1">
        <v>3.5</v>
      </c>
      <c r="G28" s="34">
        <v>39692</v>
      </c>
      <c r="H28" s="1">
        <v>-0.09</v>
      </c>
      <c r="I28" s="34">
        <v>39692</v>
      </c>
      <c r="J28" s="1">
        <v>158.36000000000001</v>
      </c>
      <c r="K28" s="34">
        <v>39692</v>
      </c>
      <c r="L28" s="1">
        <v>972.6</v>
      </c>
      <c r="M28" s="34">
        <v>39692</v>
      </c>
      <c r="N28" s="1">
        <v>164.1</v>
      </c>
    </row>
    <row r="29" spans="1:14" x14ac:dyDescent="0.25">
      <c r="A29" s="34">
        <v>39722</v>
      </c>
      <c r="B29" s="1">
        <v>969.3</v>
      </c>
      <c r="C29" s="34">
        <v>39722</v>
      </c>
      <c r="D29" s="1">
        <v>538</v>
      </c>
      <c r="E29" s="34">
        <v>39722</v>
      </c>
      <c r="F29" s="1">
        <v>3.6</v>
      </c>
      <c r="G29" s="34">
        <v>39722</v>
      </c>
      <c r="H29" s="1">
        <v>-0.98</v>
      </c>
      <c r="I29" s="34">
        <v>39722</v>
      </c>
      <c r="J29" s="1">
        <v>158.01</v>
      </c>
      <c r="K29" s="34">
        <v>39722</v>
      </c>
      <c r="L29" s="1">
        <v>978.3</v>
      </c>
      <c r="M29" s="34">
        <v>39722</v>
      </c>
      <c r="N29" s="1">
        <v>167.6</v>
      </c>
    </row>
    <row r="30" spans="1:14" x14ac:dyDescent="0.25">
      <c r="A30" s="34">
        <v>39753</v>
      </c>
      <c r="B30" s="1">
        <v>968</v>
      </c>
      <c r="C30" s="34">
        <v>39753</v>
      </c>
      <c r="D30" s="1">
        <v>268</v>
      </c>
      <c r="E30" s="34">
        <v>39753</v>
      </c>
      <c r="F30" s="1">
        <v>3.7</v>
      </c>
      <c r="G30" s="34">
        <v>39753</v>
      </c>
      <c r="H30" s="1">
        <v>-1.47</v>
      </c>
      <c r="I30" s="34">
        <v>39753</v>
      </c>
      <c r="J30" s="1">
        <v>157.49</v>
      </c>
      <c r="K30" s="34">
        <v>39753</v>
      </c>
      <c r="L30" s="1">
        <v>976</v>
      </c>
      <c r="M30" s="34">
        <v>39753</v>
      </c>
      <c r="N30" s="1">
        <v>167.9</v>
      </c>
    </row>
    <row r="31" spans="1:14" x14ac:dyDescent="0.25">
      <c r="A31" s="34">
        <v>39783</v>
      </c>
      <c r="B31" s="1">
        <v>967</v>
      </c>
      <c r="C31" s="34">
        <v>39783</v>
      </c>
      <c r="D31" s="1">
        <v>292</v>
      </c>
      <c r="E31" s="34">
        <v>39783</v>
      </c>
      <c r="F31" s="1">
        <v>3.8</v>
      </c>
      <c r="G31" s="34">
        <v>39783</v>
      </c>
      <c r="H31" s="1">
        <v>-1.54</v>
      </c>
      <c r="I31" s="34">
        <v>39783</v>
      </c>
      <c r="J31" s="1">
        <v>156.9</v>
      </c>
      <c r="K31" s="34">
        <v>39783</v>
      </c>
      <c r="L31" s="1">
        <v>972</v>
      </c>
      <c r="M31" s="34">
        <v>39783</v>
      </c>
      <c r="N31" s="1">
        <v>167.3</v>
      </c>
    </row>
    <row r="32" spans="1:14" x14ac:dyDescent="0.25">
      <c r="A32" s="34">
        <v>39814</v>
      </c>
      <c r="B32" s="1">
        <v>962.6</v>
      </c>
      <c r="C32" s="34">
        <v>39814</v>
      </c>
      <c r="D32" s="1">
        <v>199</v>
      </c>
      <c r="E32" s="34">
        <v>39814</v>
      </c>
      <c r="F32" s="1">
        <v>4</v>
      </c>
      <c r="G32" s="34">
        <v>39814</v>
      </c>
      <c r="H32" s="1">
        <v>-1.94</v>
      </c>
      <c r="I32" s="34">
        <v>39814</v>
      </c>
      <c r="J32" s="1">
        <v>156</v>
      </c>
      <c r="K32" s="34">
        <v>39814</v>
      </c>
      <c r="L32" s="1">
        <v>944.8</v>
      </c>
      <c r="M32" s="34">
        <v>39814</v>
      </c>
      <c r="N32" s="1">
        <v>165.7</v>
      </c>
    </row>
    <row r="33" spans="1:14" x14ac:dyDescent="0.25">
      <c r="A33" s="34">
        <v>39845</v>
      </c>
      <c r="B33" s="1">
        <v>959.5</v>
      </c>
      <c r="C33" s="34">
        <v>39845</v>
      </c>
      <c r="D33" s="1">
        <v>193</v>
      </c>
      <c r="E33" s="34">
        <v>39845</v>
      </c>
      <c r="F33" s="1">
        <v>4.3</v>
      </c>
      <c r="G33" s="34">
        <v>39845</v>
      </c>
      <c r="H33" s="1">
        <v>-2.83</v>
      </c>
      <c r="I33" s="34">
        <v>39845</v>
      </c>
      <c r="J33" s="1">
        <v>154.53</v>
      </c>
      <c r="K33" s="34">
        <v>39845</v>
      </c>
      <c r="L33" s="1">
        <v>943.9</v>
      </c>
      <c r="M33" s="34">
        <v>39845</v>
      </c>
      <c r="N33" s="1">
        <v>168</v>
      </c>
    </row>
    <row r="34" spans="1:14" x14ac:dyDescent="0.25">
      <c r="A34" s="34">
        <v>39873</v>
      </c>
      <c r="B34" s="1">
        <v>956.3</v>
      </c>
      <c r="C34" s="34">
        <v>39873</v>
      </c>
      <c r="D34" s="1">
        <v>307</v>
      </c>
      <c r="E34" s="34">
        <v>39873</v>
      </c>
      <c r="F34" s="1">
        <v>4.4000000000000004</v>
      </c>
      <c r="G34" s="34">
        <v>39873</v>
      </c>
      <c r="H34" s="1">
        <v>-2.65</v>
      </c>
      <c r="I34" s="34">
        <v>39873</v>
      </c>
      <c r="J34" s="1">
        <v>153.91999999999999</v>
      </c>
      <c r="K34" s="34">
        <v>39873</v>
      </c>
      <c r="L34" s="1">
        <v>946.3</v>
      </c>
      <c r="M34" s="34">
        <v>39873</v>
      </c>
      <c r="N34" s="1">
        <v>168.7</v>
      </c>
    </row>
    <row r="35" spans="1:14" x14ac:dyDescent="0.25">
      <c r="A35" s="34">
        <v>39904</v>
      </c>
      <c r="B35" s="1">
        <v>949.8</v>
      </c>
      <c r="C35" s="34">
        <v>39904</v>
      </c>
      <c r="D35" s="1">
        <v>544</v>
      </c>
      <c r="E35" s="34">
        <v>39904</v>
      </c>
      <c r="F35" s="1">
        <v>4.5999999999999996</v>
      </c>
      <c r="G35" s="34">
        <v>39904</v>
      </c>
      <c r="H35" s="1">
        <v>-2.12</v>
      </c>
      <c r="I35" s="34">
        <v>39904</v>
      </c>
      <c r="J35" s="1">
        <v>152.61000000000001</v>
      </c>
      <c r="K35" s="34">
        <v>39904</v>
      </c>
      <c r="L35" s="1">
        <v>951.1</v>
      </c>
      <c r="M35" s="34">
        <v>39904</v>
      </c>
      <c r="N35" s="1">
        <v>170.7</v>
      </c>
    </row>
    <row r="36" spans="1:14" x14ac:dyDescent="0.25">
      <c r="A36" s="34">
        <v>39934</v>
      </c>
      <c r="B36" s="1">
        <v>950</v>
      </c>
      <c r="C36" s="34">
        <v>39934</v>
      </c>
      <c r="D36" s="1">
        <v>605</v>
      </c>
      <c r="E36" s="34">
        <v>39934</v>
      </c>
      <c r="F36" s="1">
        <v>4.7</v>
      </c>
      <c r="G36" s="34">
        <v>39934</v>
      </c>
      <c r="H36" s="1">
        <v>-1.59</v>
      </c>
      <c r="I36" s="34">
        <v>39934</v>
      </c>
      <c r="J36" s="1">
        <v>151.91</v>
      </c>
      <c r="K36" s="34">
        <v>39934</v>
      </c>
      <c r="L36" s="1">
        <v>959.1</v>
      </c>
      <c r="M36" s="34">
        <v>39934</v>
      </c>
      <c r="N36" s="1">
        <v>172.5</v>
      </c>
    </row>
    <row r="37" spans="1:14" x14ac:dyDescent="0.25">
      <c r="A37" s="34">
        <v>39965</v>
      </c>
      <c r="B37" s="1">
        <v>947.7</v>
      </c>
      <c r="C37" s="34">
        <v>39965</v>
      </c>
      <c r="D37" s="1">
        <v>639</v>
      </c>
      <c r="E37" s="34">
        <v>39965</v>
      </c>
      <c r="F37" s="1">
        <v>4.8</v>
      </c>
      <c r="G37" s="34">
        <v>39965</v>
      </c>
      <c r="H37" s="1">
        <v>-1.23</v>
      </c>
      <c r="I37" s="34">
        <v>39965</v>
      </c>
      <c r="J37" s="1">
        <v>151.12</v>
      </c>
      <c r="K37" s="34">
        <v>39965</v>
      </c>
      <c r="L37" s="1">
        <v>957.2</v>
      </c>
      <c r="M37" s="34">
        <v>39965</v>
      </c>
      <c r="N37" s="1">
        <v>169.8</v>
      </c>
    </row>
    <row r="38" spans="1:14" x14ac:dyDescent="0.25">
      <c r="A38" s="34">
        <v>39995</v>
      </c>
      <c r="B38" s="1">
        <v>949.3</v>
      </c>
      <c r="C38" s="34">
        <v>39995</v>
      </c>
      <c r="D38" s="1">
        <v>581</v>
      </c>
      <c r="E38" s="34">
        <v>39995</v>
      </c>
      <c r="F38" s="1">
        <v>4.9000000000000004</v>
      </c>
      <c r="G38" s="34">
        <v>39995</v>
      </c>
      <c r="H38" s="1">
        <v>-0.93</v>
      </c>
      <c r="I38" s="34">
        <v>39995</v>
      </c>
      <c r="J38" s="1">
        <v>150.38999999999999</v>
      </c>
      <c r="K38" s="34">
        <v>39995</v>
      </c>
      <c r="L38" s="1">
        <v>947.9</v>
      </c>
      <c r="M38" s="34">
        <v>39995</v>
      </c>
      <c r="N38" s="1">
        <v>163.5</v>
      </c>
    </row>
    <row r="39" spans="1:14" x14ac:dyDescent="0.25">
      <c r="A39" s="34">
        <v>40026</v>
      </c>
      <c r="B39" s="1">
        <v>946.2</v>
      </c>
      <c r="C39" s="34">
        <v>40026</v>
      </c>
      <c r="D39" s="1">
        <v>491</v>
      </c>
      <c r="E39" s="34">
        <v>40026</v>
      </c>
      <c r="F39" s="1">
        <v>4.9000000000000004</v>
      </c>
      <c r="G39" s="34">
        <v>40026</v>
      </c>
      <c r="H39" s="1">
        <v>-0.16</v>
      </c>
      <c r="I39" s="34">
        <v>40026</v>
      </c>
      <c r="J39" s="1">
        <v>150.08000000000001</v>
      </c>
      <c r="K39" s="34">
        <v>40026</v>
      </c>
      <c r="L39" s="1">
        <v>946.2</v>
      </c>
      <c r="M39" s="34">
        <v>40026</v>
      </c>
      <c r="N39" s="1">
        <v>162.19999999999999</v>
      </c>
    </row>
    <row r="40" spans="1:14" x14ac:dyDescent="0.25">
      <c r="A40" s="34">
        <v>40057</v>
      </c>
      <c r="B40" s="1">
        <v>944</v>
      </c>
      <c r="C40" s="34">
        <v>40057</v>
      </c>
      <c r="D40" s="1">
        <v>398</v>
      </c>
      <c r="E40" s="34">
        <v>40057</v>
      </c>
      <c r="F40" s="1">
        <v>4.9000000000000004</v>
      </c>
      <c r="G40" s="34">
        <v>40057</v>
      </c>
      <c r="H40" s="1">
        <v>0.49</v>
      </c>
      <c r="I40" s="34">
        <v>40057</v>
      </c>
      <c r="J40" s="1">
        <v>149.6</v>
      </c>
      <c r="K40" s="34">
        <v>40057</v>
      </c>
      <c r="L40" s="1">
        <v>948.1</v>
      </c>
      <c r="M40" s="34">
        <v>40057</v>
      </c>
      <c r="N40" s="1">
        <v>168</v>
      </c>
    </row>
    <row r="41" spans="1:14" x14ac:dyDescent="0.25">
      <c r="A41" s="34">
        <v>40087</v>
      </c>
      <c r="B41" s="1">
        <v>941.9</v>
      </c>
      <c r="C41" s="34">
        <v>40087</v>
      </c>
      <c r="D41" s="1">
        <v>391</v>
      </c>
      <c r="E41" s="34">
        <v>40087</v>
      </c>
      <c r="F41" s="1">
        <v>4.8</v>
      </c>
      <c r="G41" s="34">
        <v>40087</v>
      </c>
      <c r="H41" s="1">
        <v>0.84</v>
      </c>
      <c r="I41" s="34">
        <v>40087</v>
      </c>
      <c r="J41" s="1">
        <v>149.63999999999999</v>
      </c>
      <c r="K41" s="34">
        <v>40087</v>
      </c>
      <c r="L41" s="1">
        <v>951.2</v>
      </c>
      <c r="M41" s="34">
        <v>40087</v>
      </c>
      <c r="N41" s="1">
        <v>170.9</v>
      </c>
    </row>
    <row r="42" spans="1:14" x14ac:dyDescent="0.25">
      <c r="A42" s="34">
        <v>40118</v>
      </c>
      <c r="B42" s="1">
        <v>942.7</v>
      </c>
      <c r="C42" s="34">
        <v>40118</v>
      </c>
      <c r="D42" s="1">
        <v>311</v>
      </c>
      <c r="E42" s="34">
        <v>40118</v>
      </c>
      <c r="F42" s="1">
        <v>4.8</v>
      </c>
      <c r="G42" s="34">
        <v>40118</v>
      </c>
      <c r="H42" s="1">
        <v>0.6</v>
      </c>
      <c r="I42" s="34">
        <v>40118</v>
      </c>
      <c r="J42" s="1">
        <v>149.41</v>
      </c>
      <c r="K42" s="34">
        <v>40118</v>
      </c>
      <c r="L42" s="1">
        <v>951.3</v>
      </c>
      <c r="M42" s="34">
        <v>40118</v>
      </c>
      <c r="N42" s="1">
        <v>171.7</v>
      </c>
    </row>
    <row r="43" spans="1:14" x14ac:dyDescent="0.25">
      <c r="A43" s="34">
        <v>40148</v>
      </c>
      <c r="B43" s="1">
        <v>939.4</v>
      </c>
      <c r="C43" s="34">
        <v>40148</v>
      </c>
      <c r="D43" s="1">
        <v>316</v>
      </c>
      <c r="E43" s="34">
        <v>40148</v>
      </c>
      <c r="F43" s="1">
        <v>4.9000000000000004</v>
      </c>
      <c r="G43" s="34">
        <v>40148</v>
      </c>
      <c r="H43" s="1">
        <v>-0.42</v>
      </c>
      <c r="I43" s="34">
        <v>40148</v>
      </c>
      <c r="J43" s="1">
        <v>148.87</v>
      </c>
      <c r="K43" s="34">
        <v>40148</v>
      </c>
      <c r="L43" s="1">
        <v>944.8</v>
      </c>
      <c r="M43" s="34">
        <v>40148</v>
      </c>
      <c r="N43" s="1">
        <v>169.9</v>
      </c>
    </row>
    <row r="44" spans="1:14" x14ac:dyDescent="0.25">
      <c r="A44" s="34">
        <v>40179</v>
      </c>
      <c r="B44" s="1">
        <v>939.6</v>
      </c>
      <c r="C44" s="34">
        <v>40179</v>
      </c>
      <c r="D44" s="1">
        <v>215</v>
      </c>
      <c r="E44" s="34">
        <v>40179</v>
      </c>
      <c r="F44" s="1">
        <v>4.9000000000000004</v>
      </c>
      <c r="G44" s="34">
        <v>40179</v>
      </c>
      <c r="H44" s="1">
        <v>0.03</v>
      </c>
      <c r="I44" s="34">
        <v>40179</v>
      </c>
      <c r="J44" s="1">
        <v>148.94</v>
      </c>
      <c r="K44" s="34">
        <v>40179</v>
      </c>
      <c r="L44" s="1">
        <v>921.7</v>
      </c>
      <c r="M44" s="34">
        <v>40179</v>
      </c>
      <c r="N44" s="1">
        <v>167</v>
      </c>
    </row>
    <row r="45" spans="1:14" x14ac:dyDescent="0.25">
      <c r="A45" s="34">
        <v>40210</v>
      </c>
      <c r="B45" s="1">
        <v>940.5</v>
      </c>
      <c r="C45" s="34">
        <v>40210</v>
      </c>
      <c r="D45" s="1">
        <v>359</v>
      </c>
      <c r="E45" s="34">
        <v>40210</v>
      </c>
      <c r="F45" s="1">
        <v>4.9000000000000004</v>
      </c>
      <c r="G45" s="34">
        <v>40210</v>
      </c>
      <c r="H45" s="1">
        <v>0.85</v>
      </c>
      <c r="I45" s="34">
        <v>40210</v>
      </c>
      <c r="J45" s="1">
        <v>148.86000000000001</v>
      </c>
      <c r="K45" s="34">
        <v>40210</v>
      </c>
      <c r="L45" s="1">
        <v>925.1</v>
      </c>
      <c r="M45" s="34">
        <v>40210</v>
      </c>
      <c r="N45" s="1">
        <v>169.5</v>
      </c>
    </row>
    <row r="46" spans="1:14" x14ac:dyDescent="0.25">
      <c r="A46" s="34">
        <v>40238</v>
      </c>
      <c r="B46" s="1">
        <v>940.7</v>
      </c>
      <c r="C46" s="34">
        <v>40238</v>
      </c>
      <c r="D46" s="1">
        <v>394</v>
      </c>
      <c r="E46" s="34">
        <v>40238</v>
      </c>
      <c r="F46" s="1">
        <v>4.8</v>
      </c>
      <c r="G46" s="34">
        <v>40238</v>
      </c>
      <c r="H46" s="1">
        <v>1.43</v>
      </c>
      <c r="I46" s="34">
        <v>40238</v>
      </c>
      <c r="J46" s="1">
        <v>149.34</v>
      </c>
      <c r="K46" s="34">
        <v>40238</v>
      </c>
      <c r="L46" s="1">
        <v>931.3</v>
      </c>
      <c r="M46" s="34">
        <v>40238</v>
      </c>
      <c r="N46" s="1">
        <v>171.4</v>
      </c>
    </row>
    <row r="47" spans="1:14" x14ac:dyDescent="0.25">
      <c r="A47" s="34">
        <v>40269</v>
      </c>
      <c r="B47" s="1">
        <v>942.8</v>
      </c>
      <c r="C47" s="34">
        <v>40269</v>
      </c>
      <c r="D47" s="1">
        <v>604</v>
      </c>
      <c r="E47" s="34">
        <v>40269</v>
      </c>
      <c r="F47" s="1">
        <v>4.8</v>
      </c>
      <c r="G47" s="34">
        <v>40269</v>
      </c>
      <c r="H47" s="1">
        <v>1.1399999999999999</v>
      </c>
      <c r="I47" s="34">
        <v>40269</v>
      </c>
      <c r="J47" s="1">
        <v>149.38</v>
      </c>
      <c r="K47" s="34">
        <v>40269</v>
      </c>
      <c r="L47" s="1">
        <v>944.6</v>
      </c>
      <c r="M47" s="34">
        <v>40269</v>
      </c>
      <c r="N47" s="1">
        <v>172</v>
      </c>
    </row>
    <row r="48" spans="1:14" x14ac:dyDescent="0.25">
      <c r="A48" s="34">
        <v>40299</v>
      </c>
      <c r="B48" s="1">
        <v>945.2</v>
      </c>
      <c r="C48" s="34">
        <v>40299</v>
      </c>
      <c r="D48" s="1">
        <v>412</v>
      </c>
      <c r="E48" s="34">
        <v>40299</v>
      </c>
      <c r="F48" s="1">
        <v>4.7</v>
      </c>
      <c r="G48" s="34">
        <v>40299</v>
      </c>
      <c r="H48" s="1">
        <v>1.58</v>
      </c>
      <c r="I48" s="34">
        <v>40299</v>
      </c>
      <c r="J48" s="1">
        <v>149.91999999999999</v>
      </c>
      <c r="K48" s="34">
        <v>40299</v>
      </c>
      <c r="L48" s="1">
        <v>954.4</v>
      </c>
      <c r="M48" s="34">
        <v>40299</v>
      </c>
      <c r="N48" s="1">
        <v>175.3</v>
      </c>
    </row>
    <row r="49" spans="1:14" x14ac:dyDescent="0.25">
      <c r="A49" s="34">
        <v>40330</v>
      </c>
      <c r="B49" s="1">
        <v>947.3</v>
      </c>
      <c r="C49" s="34">
        <v>40330</v>
      </c>
      <c r="D49" s="1">
        <v>493</v>
      </c>
      <c r="E49" s="34">
        <v>40330</v>
      </c>
      <c r="F49" s="1">
        <v>4.7</v>
      </c>
      <c r="G49" s="34">
        <v>40330</v>
      </c>
      <c r="H49" s="1">
        <v>1.34</v>
      </c>
      <c r="I49" s="34">
        <v>40330</v>
      </c>
      <c r="J49" s="1">
        <v>150.05000000000001</v>
      </c>
      <c r="K49" s="34">
        <v>40330</v>
      </c>
      <c r="L49" s="1">
        <v>956.7</v>
      </c>
      <c r="M49" s="34">
        <v>40330</v>
      </c>
      <c r="N49" s="1">
        <v>172.1</v>
      </c>
    </row>
    <row r="50" spans="1:14" x14ac:dyDescent="0.25">
      <c r="A50" s="34">
        <v>40360</v>
      </c>
      <c r="B50" s="1">
        <v>948.5</v>
      </c>
      <c r="C50" s="34">
        <v>40360</v>
      </c>
      <c r="D50" s="1">
        <v>343</v>
      </c>
      <c r="E50" s="34">
        <v>40360</v>
      </c>
      <c r="F50" s="1">
        <v>4.7</v>
      </c>
      <c r="G50" s="34">
        <v>40360</v>
      </c>
      <c r="H50" s="1">
        <v>1.03</v>
      </c>
      <c r="I50" s="34">
        <v>40360</v>
      </c>
      <c r="J50" s="1">
        <v>150.1</v>
      </c>
      <c r="K50" s="34">
        <v>40360</v>
      </c>
      <c r="L50" s="1">
        <v>947</v>
      </c>
      <c r="M50" s="34">
        <v>40360</v>
      </c>
      <c r="N50" s="1">
        <v>162.4</v>
      </c>
    </row>
    <row r="51" spans="1:14" x14ac:dyDescent="0.25">
      <c r="A51" s="34">
        <v>40391</v>
      </c>
      <c r="B51" s="1">
        <v>948.1</v>
      </c>
      <c r="C51" s="34">
        <v>40391</v>
      </c>
      <c r="D51" s="1">
        <v>477</v>
      </c>
      <c r="E51" s="34">
        <v>40391</v>
      </c>
      <c r="F51" s="1">
        <v>4.5999999999999996</v>
      </c>
      <c r="G51" s="34">
        <v>40391</v>
      </c>
      <c r="H51" s="1">
        <v>0.85</v>
      </c>
      <c r="I51" s="34">
        <v>40391</v>
      </c>
      <c r="J51" s="1">
        <v>150.44</v>
      </c>
      <c r="K51" s="34">
        <v>40391</v>
      </c>
      <c r="L51" s="1">
        <v>947.9</v>
      </c>
      <c r="M51" s="34">
        <v>40391</v>
      </c>
      <c r="N51" s="1">
        <v>162.5</v>
      </c>
    </row>
    <row r="52" spans="1:14" x14ac:dyDescent="0.25">
      <c r="A52" s="34">
        <v>40422</v>
      </c>
      <c r="B52" s="1">
        <v>945.7</v>
      </c>
      <c r="C52" s="34">
        <v>40422</v>
      </c>
      <c r="D52" s="1">
        <v>416</v>
      </c>
      <c r="E52" s="34">
        <v>40422</v>
      </c>
      <c r="F52" s="1">
        <v>4.5999999999999996</v>
      </c>
      <c r="G52" s="34">
        <v>40422</v>
      </c>
      <c r="H52" s="1">
        <v>0.79</v>
      </c>
      <c r="I52" s="34">
        <v>40422</v>
      </c>
      <c r="J52" s="1">
        <v>150.38</v>
      </c>
      <c r="K52" s="34">
        <v>40422</v>
      </c>
      <c r="L52" s="1">
        <v>948.1</v>
      </c>
      <c r="M52" s="34">
        <v>40422</v>
      </c>
      <c r="N52" s="1">
        <v>167.8</v>
      </c>
    </row>
    <row r="53" spans="1:14" x14ac:dyDescent="0.25">
      <c r="A53" s="34">
        <v>40452</v>
      </c>
      <c r="B53" s="1">
        <v>947.8</v>
      </c>
      <c r="C53" s="34">
        <v>40452</v>
      </c>
      <c r="D53" s="1">
        <v>608</v>
      </c>
      <c r="E53" s="34">
        <v>40452</v>
      </c>
      <c r="F53" s="1">
        <v>4.5999999999999996</v>
      </c>
      <c r="G53" s="34">
        <v>40452</v>
      </c>
      <c r="H53" s="1">
        <v>0.38</v>
      </c>
      <c r="I53" s="34">
        <v>40452</v>
      </c>
      <c r="J53" s="1">
        <v>150.43</v>
      </c>
      <c r="K53" s="34">
        <v>40452</v>
      </c>
      <c r="L53" s="1">
        <v>955.8</v>
      </c>
      <c r="M53" s="34">
        <v>40452</v>
      </c>
      <c r="N53" s="1">
        <v>171.9</v>
      </c>
    </row>
    <row r="54" spans="1:14" x14ac:dyDescent="0.25">
      <c r="A54" s="34">
        <v>40483</v>
      </c>
      <c r="B54" s="1">
        <v>946.1</v>
      </c>
      <c r="C54" s="34">
        <v>40483</v>
      </c>
      <c r="D54" s="1">
        <v>381</v>
      </c>
      <c r="E54" s="34">
        <v>40483</v>
      </c>
      <c r="F54" s="1">
        <v>4.5999999999999996</v>
      </c>
      <c r="G54" s="34">
        <v>40483</v>
      </c>
      <c r="H54" s="1">
        <v>0.85</v>
      </c>
      <c r="I54" s="34">
        <v>40483</v>
      </c>
      <c r="J54" s="1">
        <v>150.46</v>
      </c>
      <c r="K54" s="34">
        <v>40483</v>
      </c>
      <c r="L54" s="1">
        <v>954.9</v>
      </c>
      <c r="M54" s="34">
        <v>40483</v>
      </c>
      <c r="N54" s="1">
        <v>172</v>
      </c>
    </row>
    <row r="55" spans="1:14" x14ac:dyDescent="0.25">
      <c r="A55" s="34">
        <v>40513</v>
      </c>
      <c r="B55" s="1">
        <v>948</v>
      </c>
      <c r="C55" s="34">
        <v>40513</v>
      </c>
      <c r="D55" s="1">
        <v>311</v>
      </c>
      <c r="E55" s="34">
        <v>40513</v>
      </c>
      <c r="F55" s="1">
        <v>4.5999999999999996</v>
      </c>
      <c r="G55" s="34">
        <v>40513</v>
      </c>
      <c r="H55" s="1">
        <v>0.81</v>
      </c>
      <c r="I55" s="34">
        <v>40513</v>
      </c>
      <c r="J55" s="1">
        <v>150.41999999999999</v>
      </c>
      <c r="K55" s="34">
        <v>40513</v>
      </c>
      <c r="L55" s="1">
        <v>953.9</v>
      </c>
      <c r="M55" s="34">
        <v>40513</v>
      </c>
      <c r="N55" s="1">
        <v>171.2</v>
      </c>
    </row>
    <row r="56" spans="1:14" x14ac:dyDescent="0.25">
      <c r="A56" s="34">
        <v>40544</v>
      </c>
      <c r="B56" s="1">
        <v>947.4</v>
      </c>
      <c r="C56" s="34">
        <v>40544</v>
      </c>
      <c r="D56" s="1">
        <v>141</v>
      </c>
      <c r="E56" s="34">
        <v>40544</v>
      </c>
      <c r="F56" s="1">
        <v>4.5</v>
      </c>
      <c r="G56" s="34">
        <v>40544</v>
      </c>
      <c r="H56" s="1">
        <v>0.98</v>
      </c>
      <c r="I56" s="34">
        <v>40544</v>
      </c>
      <c r="J56" s="1">
        <v>150.77000000000001</v>
      </c>
      <c r="K56" s="34">
        <v>40544</v>
      </c>
      <c r="L56" s="1">
        <v>928.5</v>
      </c>
      <c r="M56" s="34">
        <v>40544</v>
      </c>
      <c r="N56" s="1">
        <v>167.3</v>
      </c>
    </row>
    <row r="57" spans="1:14" x14ac:dyDescent="0.25">
      <c r="A57" s="34">
        <v>40575</v>
      </c>
      <c r="B57" s="1">
        <v>947.3</v>
      </c>
      <c r="C57" s="34">
        <v>40575</v>
      </c>
      <c r="D57" s="1">
        <v>180</v>
      </c>
      <c r="E57" s="34">
        <v>40575</v>
      </c>
      <c r="F57" s="1">
        <v>4.5</v>
      </c>
      <c r="G57" s="34">
        <v>40575</v>
      </c>
      <c r="H57" s="1">
        <v>0.97</v>
      </c>
      <c r="I57" s="34">
        <v>40575</v>
      </c>
      <c r="J57" s="1">
        <v>150.75</v>
      </c>
      <c r="K57" s="34">
        <v>40575</v>
      </c>
      <c r="L57" s="1">
        <v>931.7</v>
      </c>
      <c r="M57" s="34">
        <v>40575</v>
      </c>
      <c r="N57" s="1">
        <v>169.5</v>
      </c>
    </row>
    <row r="58" spans="1:14" x14ac:dyDescent="0.25">
      <c r="A58" s="34">
        <v>40603</v>
      </c>
      <c r="B58" s="1">
        <v>948.3</v>
      </c>
      <c r="C58" s="34">
        <v>40603</v>
      </c>
      <c r="D58" s="1">
        <v>322</v>
      </c>
      <c r="E58" s="34">
        <v>40603</v>
      </c>
      <c r="F58" s="1">
        <v>4.5</v>
      </c>
      <c r="G58" s="34">
        <v>40603</v>
      </c>
      <c r="H58" s="1">
        <v>0.68</v>
      </c>
      <c r="I58" s="34">
        <v>40603</v>
      </c>
      <c r="J58" s="1">
        <v>150.88999999999999</v>
      </c>
      <c r="K58" s="34">
        <v>40603</v>
      </c>
      <c r="L58" s="1">
        <v>939</v>
      </c>
      <c r="M58" s="34">
        <v>40603</v>
      </c>
      <c r="N58" s="1">
        <v>169.8</v>
      </c>
    </row>
    <row r="59" spans="1:14" x14ac:dyDescent="0.25">
      <c r="A59" s="34">
        <v>40634</v>
      </c>
      <c r="B59" s="1">
        <v>951.4</v>
      </c>
      <c r="C59" s="34">
        <v>40634</v>
      </c>
      <c r="D59" s="1">
        <v>453</v>
      </c>
      <c r="E59" s="34">
        <v>40634</v>
      </c>
      <c r="F59" s="1">
        <v>4.5</v>
      </c>
      <c r="G59" s="34">
        <v>40634</v>
      </c>
      <c r="H59" s="1">
        <v>0.63</v>
      </c>
      <c r="I59" s="34">
        <v>40634</v>
      </c>
      <c r="J59" s="1">
        <v>150.99</v>
      </c>
      <c r="K59" s="34">
        <v>40634</v>
      </c>
      <c r="L59" s="1">
        <v>953.5</v>
      </c>
      <c r="M59" s="34">
        <v>40634</v>
      </c>
      <c r="N59" s="1">
        <v>171.4</v>
      </c>
    </row>
    <row r="60" spans="1:14" x14ac:dyDescent="0.25">
      <c r="A60" s="34">
        <v>40664</v>
      </c>
      <c r="B60" s="1">
        <v>951.4</v>
      </c>
      <c r="C60" s="34">
        <v>40664</v>
      </c>
      <c r="D60" s="1">
        <v>538</v>
      </c>
      <c r="E60" s="34">
        <v>40664</v>
      </c>
      <c r="F60" s="1">
        <v>4.5</v>
      </c>
      <c r="G60" s="34">
        <v>40664</v>
      </c>
      <c r="H60" s="1">
        <v>0.52</v>
      </c>
      <c r="I60" s="34">
        <v>40664</v>
      </c>
      <c r="J60" s="1">
        <v>151.02000000000001</v>
      </c>
      <c r="K60" s="34">
        <v>40664</v>
      </c>
      <c r="L60" s="1">
        <v>960.9</v>
      </c>
      <c r="M60" s="34">
        <v>40664</v>
      </c>
      <c r="N60" s="1">
        <v>172.2</v>
      </c>
    </row>
    <row r="61" spans="1:14" x14ac:dyDescent="0.25">
      <c r="A61" s="34">
        <v>40695</v>
      </c>
      <c r="B61" s="1">
        <v>950.4</v>
      </c>
      <c r="C61" s="34">
        <v>40695</v>
      </c>
      <c r="D61" s="1">
        <v>529</v>
      </c>
      <c r="E61" s="34">
        <v>40695</v>
      </c>
      <c r="F61" s="1">
        <v>4.5</v>
      </c>
      <c r="G61" s="34">
        <v>40695</v>
      </c>
      <c r="H61" s="1">
        <v>0.66</v>
      </c>
      <c r="I61" s="34">
        <v>40695</v>
      </c>
      <c r="J61" s="1">
        <v>151.19999999999999</v>
      </c>
      <c r="K61" s="34">
        <v>40695</v>
      </c>
      <c r="L61" s="1">
        <v>959.7</v>
      </c>
      <c r="M61" s="34">
        <v>40695</v>
      </c>
      <c r="N61" s="1">
        <v>168</v>
      </c>
    </row>
    <row r="62" spans="1:14" x14ac:dyDescent="0.25">
      <c r="A62" s="34">
        <v>40725</v>
      </c>
      <c r="B62" s="1">
        <v>952.6</v>
      </c>
      <c r="C62" s="34">
        <v>40725</v>
      </c>
      <c r="D62" s="1">
        <v>448</v>
      </c>
      <c r="E62" s="34">
        <v>40725</v>
      </c>
      <c r="F62" s="1">
        <v>4.5999999999999996</v>
      </c>
      <c r="G62" s="34">
        <v>40725</v>
      </c>
      <c r="H62" s="1">
        <v>-0.11</v>
      </c>
      <c r="I62" s="34">
        <v>40725</v>
      </c>
      <c r="J62" s="1">
        <v>150.85</v>
      </c>
      <c r="K62" s="34">
        <v>40725</v>
      </c>
      <c r="L62" s="1">
        <v>950.4</v>
      </c>
      <c r="M62" s="34">
        <v>40725</v>
      </c>
      <c r="N62" s="1">
        <v>159.1</v>
      </c>
    </row>
    <row r="63" spans="1:14" x14ac:dyDescent="0.25">
      <c r="A63" s="34">
        <v>40756</v>
      </c>
      <c r="B63" s="1">
        <v>953.7</v>
      </c>
      <c r="C63" s="34">
        <v>40756</v>
      </c>
      <c r="D63" s="1">
        <v>490</v>
      </c>
      <c r="E63" s="34">
        <v>40756</v>
      </c>
      <c r="F63" s="1">
        <v>4.5</v>
      </c>
      <c r="G63" s="34">
        <v>40756</v>
      </c>
      <c r="H63" s="1">
        <v>0.85</v>
      </c>
      <c r="I63" s="34">
        <v>40756</v>
      </c>
      <c r="J63" s="1">
        <v>151.44</v>
      </c>
      <c r="K63" s="34">
        <v>40756</v>
      </c>
      <c r="L63" s="1">
        <v>953.1</v>
      </c>
      <c r="M63" s="34">
        <v>40756</v>
      </c>
      <c r="N63" s="1">
        <v>160.80000000000001</v>
      </c>
    </row>
    <row r="64" spans="1:14" x14ac:dyDescent="0.25">
      <c r="A64" s="34">
        <v>40787</v>
      </c>
      <c r="B64" s="1">
        <v>955.6</v>
      </c>
      <c r="C64" s="34">
        <v>40787</v>
      </c>
      <c r="D64" s="1">
        <v>733</v>
      </c>
      <c r="E64" s="34">
        <v>40787</v>
      </c>
      <c r="F64" s="1">
        <v>4.5</v>
      </c>
      <c r="G64" s="34">
        <v>40787</v>
      </c>
      <c r="H64" s="1">
        <v>1.27</v>
      </c>
      <c r="I64" s="34">
        <v>40787</v>
      </c>
      <c r="J64" s="1">
        <v>151.4</v>
      </c>
      <c r="K64" s="34">
        <v>40787</v>
      </c>
      <c r="L64" s="1">
        <v>957.5</v>
      </c>
      <c r="M64" s="34">
        <v>40787</v>
      </c>
      <c r="N64" s="1">
        <v>166.6</v>
      </c>
    </row>
    <row r="65" spans="1:14" x14ac:dyDescent="0.25">
      <c r="A65" s="34">
        <v>40817</v>
      </c>
      <c r="B65" s="1">
        <v>956.5</v>
      </c>
      <c r="C65" s="34">
        <v>40817</v>
      </c>
      <c r="D65" s="1">
        <v>433</v>
      </c>
      <c r="E65" s="34">
        <v>40817</v>
      </c>
      <c r="F65" s="1">
        <v>4.4000000000000004</v>
      </c>
      <c r="G65" s="34">
        <v>40817</v>
      </c>
      <c r="H65" s="1">
        <v>1.64</v>
      </c>
      <c r="I65" s="34">
        <v>40817</v>
      </c>
      <c r="J65" s="1">
        <v>151.94999999999999</v>
      </c>
      <c r="K65" s="34">
        <v>40817</v>
      </c>
      <c r="L65" s="1">
        <v>964.5</v>
      </c>
      <c r="M65" s="34">
        <v>40817</v>
      </c>
      <c r="N65" s="1">
        <v>171.3</v>
      </c>
    </row>
    <row r="66" spans="1:14" x14ac:dyDescent="0.25">
      <c r="A66" s="34">
        <v>40848</v>
      </c>
      <c r="B66" s="1">
        <v>958.2</v>
      </c>
      <c r="C66" s="34">
        <v>40848</v>
      </c>
      <c r="D66" s="1">
        <v>584</v>
      </c>
      <c r="E66" s="34">
        <v>40848</v>
      </c>
      <c r="F66" s="1">
        <v>4.3</v>
      </c>
      <c r="G66" s="34">
        <v>40848</v>
      </c>
      <c r="H66" s="1">
        <v>1.96</v>
      </c>
      <c r="I66" s="34">
        <v>40848</v>
      </c>
      <c r="J66" s="1">
        <v>152.38999999999999</v>
      </c>
      <c r="K66" s="34">
        <v>40848</v>
      </c>
      <c r="L66" s="1">
        <v>966.6</v>
      </c>
      <c r="M66" s="34">
        <v>40848</v>
      </c>
      <c r="N66" s="1">
        <v>171.4</v>
      </c>
    </row>
    <row r="67" spans="1:14" x14ac:dyDescent="0.25">
      <c r="A67" s="34">
        <v>40878</v>
      </c>
      <c r="B67" s="1">
        <v>959.5</v>
      </c>
      <c r="C67" s="34">
        <v>40878</v>
      </c>
      <c r="D67" s="1">
        <v>306</v>
      </c>
      <c r="E67" s="34">
        <v>40878</v>
      </c>
      <c r="F67" s="1">
        <v>4.2</v>
      </c>
      <c r="G67" s="34">
        <v>40878</v>
      </c>
      <c r="H67" s="1">
        <v>2.02</v>
      </c>
      <c r="I67" s="34">
        <v>40878</v>
      </c>
      <c r="J67" s="1">
        <v>152.97</v>
      </c>
      <c r="K67" s="34">
        <v>40878</v>
      </c>
      <c r="L67" s="1">
        <v>965.8</v>
      </c>
      <c r="M67" s="34">
        <v>40878</v>
      </c>
      <c r="N67" s="1">
        <v>170.6</v>
      </c>
    </row>
    <row r="68" spans="1:14" x14ac:dyDescent="0.25">
      <c r="A68" s="34">
        <v>40909</v>
      </c>
      <c r="B68" s="1">
        <v>963.5</v>
      </c>
      <c r="C68" s="34">
        <v>40909</v>
      </c>
      <c r="D68" s="1">
        <v>227</v>
      </c>
      <c r="E68" s="34">
        <v>40909</v>
      </c>
      <c r="F68" s="1">
        <v>4.0999999999999996</v>
      </c>
      <c r="G68" s="34">
        <v>40909</v>
      </c>
      <c r="H68" s="1">
        <v>2.0299999999999998</v>
      </c>
      <c r="I68" s="34">
        <v>40909</v>
      </c>
      <c r="J68" s="1">
        <v>153.6</v>
      </c>
      <c r="K68" s="34">
        <v>40909</v>
      </c>
      <c r="L68" s="1">
        <v>944.8</v>
      </c>
      <c r="M68" s="34">
        <v>40909</v>
      </c>
      <c r="N68" s="1">
        <v>167.1</v>
      </c>
    </row>
    <row r="69" spans="1:14" x14ac:dyDescent="0.25">
      <c r="A69" s="34">
        <v>40940</v>
      </c>
      <c r="B69" s="1">
        <v>963.1</v>
      </c>
      <c r="C69" s="34">
        <v>40940</v>
      </c>
      <c r="D69" s="1">
        <v>338</v>
      </c>
      <c r="E69" s="34">
        <v>40940</v>
      </c>
      <c r="F69" s="1">
        <v>4</v>
      </c>
      <c r="G69" s="34">
        <v>40940</v>
      </c>
      <c r="H69" s="1">
        <v>2.0099999999999998</v>
      </c>
      <c r="I69" s="34">
        <v>40940</v>
      </c>
      <c r="J69" s="1">
        <v>154.31</v>
      </c>
      <c r="K69" s="34">
        <v>40940</v>
      </c>
      <c r="L69" s="1">
        <v>947.7</v>
      </c>
      <c r="M69" s="34">
        <v>40940</v>
      </c>
      <c r="N69" s="1">
        <v>169.7</v>
      </c>
    </row>
    <row r="70" spans="1:14" x14ac:dyDescent="0.25">
      <c r="A70" s="34">
        <v>40969</v>
      </c>
      <c r="B70" s="1">
        <v>967.2</v>
      </c>
      <c r="C70" s="34">
        <v>40969</v>
      </c>
      <c r="D70" s="1">
        <v>687</v>
      </c>
      <c r="E70" s="34">
        <v>40969</v>
      </c>
      <c r="F70" s="1">
        <v>4</v>
      </c>
      <c r="G70" s="34">
        <v>40969</v>
      </c>
      <c r="H70" s="1">
        <v>1.56</v>
      </c>
      <c r="I70" s="34">
        <v>40969</v>
      </c>
      <c r="J70" s="1">
        <v>154.69</v>
      </c>
      <c r="K70" s="34">
        <v>40969</v>
      </c>
      <c r="L70" s="1">
        <v>957.6</v>
      </c>
      <c r="M70" s="34">
        <v>40969</v>
      </c>
      <c r="N70" s="1">
        <v>169.8</v>
      </c>
    </row>
    <row r="71" spans="1:14" x14ac:dyDescent="0.25">
      <c r="A71" s="34">
        <v>41000</v>
      </c>
      <c r="B71" s="1">
        <v>967.9</v>
      </c>
      <c r="C71" s="34">
        <v>41000</v>
      </c>
      <c r="D71" s="1">
        <v>446</v>
      </c>
      <c r="E71" s="34">
        <v>41000</v>
      </c>
      <c r="F71" s="1">
        <v>4</v>
      </c>
      <c r="G71" s="34">
        <v>41000</v>
      </c>
      <c r="H71" s="1">
        <v>1.1599999999999999</v>
      </c>
      <c r="I71" s="34">
        <v>41000</v>
      </c>
      <c r="J71" s="1">
        <v>155.1</v>
      </c>
      <c r="K71" s="34">
        <v>41000</v>
      </c>
      <c r="L71" s="1">
        <v>967.7</v>
      </c>
      <c r="M71" s="34">
        <v>41000</v>
      </c>
      <c r="N71" s="1">
        <v>170.9</v>
      </c>
    </row>
    <row r="72" spans="1:14" x14ac:dyDescent="0.25">
      <c r="A72" s="34">
        <v>41030</v>
      </c>
      <c r="B72" s="1">
        <v>968</v>
      </c>
      <c r="C72" s="34">
        <v>41030</v>
      </c>
      <c r="D72" s="1">
        <v>677</v>
      </c>
      <c r="E72" s="34">
        <v>41030</v>
      </c>
      <c r="F72" s="1">
        <v>4</v>
      </c>
      <c r="G72" s="34">
        <v>41030</v>
      </c>
      <c r="H72" s="1">
        <v>1.34</v>
      </c>
      <c r="I72" s="34">
        <v>41030</v>
      </c>
      <c r="J72" s="1">
        <v>155.41999999999999</v>
      </c>
      <c r="K72" s="34">
        <v>41030</v>
      </c>
      <c r="L72" s="1">
        <v>977.9</v>
      </c>
      <c r="M72" s="34">
        <v>41030</v>
      </c>
      <c r="N72" s="1">
        <v>173.5</v>
      </c>
    </row>
    <row r="73" spans="1:14" x14ac:dyDescent="0.25">
      <c r="A73" s="34">
        <v>41061</v>
      </c>
      <c r="B73" s="1">
        <v>967.7</v>
      </c>
      <c r="C73" s="34">
        <v>41061</v>
      </c>
      <c r="D73" s="1">
        <v>703</v>
      </c>
      <c r="E73" s="34">
        <v>41061</v>
      </c>
      <c r="F73" s="1">
        <v>4</v>
      </c>
      <c r="G73" s="34">
        <v>41061</v>
      </c>
      <c r="H73" s="1">
        <v>1.48</v>
      </c>
      <c r="I73" s="34">
        <v>41061</v>
      </c>
      <c r="J73" s="1">
        <v>155.76</v>
      </c>
      <c r="K73" s="34">
        <v>41061</v>
      </c>
      <c r="L73" s="1">
        <v>977.1</v>
      </c>
      <c r="M73" s="34">
        <v>41061</v>
      </c>
      <c r="N73" s="1">
        <v>167.1</v>
      </c>
    </row>
    <row r="74" spans="1:14" x14ac:dyDescent="0.25">
      <c r="A74" s="34">
        <v>41091</v>
      </c>
      <c r="B74" s="1">
        <v>968.9</v>
      </c>
      <c r="C74" s="34">
        <v>41091</v>
      </c>
      <c r="D74" s="1">
        <v>480</v>
      </c>
      <c r="E74" s="34">
        <v>41091</v>
      </c>
      <c r="F74" s="1">
        <v>4</v>
      </c>
      <c r="G74" s="34">
        <v>41091</v>
      </c>
      <c r="H74" s="1">
        <v>1.45</v>
      </c>
      <c r="I74" s="34">
        <v>41091</v>
      </c>
      <c r="J74" s="1">
        <v>156.13</v>
      </c>
      <c r="K74" s="34">
        <v>41091</v>
      </c>
      <c r="L74" s="1">
        <v>967.2</v>
      </c>
      <c r="M74" s="34">
        <v>41091</v>
      </c>
      <c r="N74" s="1">
        <v>159.80000000000001</v>
      </c>
    </row>
    <row r="75" spans="1:14" x14ac:dyDescent="0.25">
      <c r="A75" s="34">
        <v>41122</v>
      </c>
      <c r="B75" s="1">
        <v>968.7</v>
      </c>
      <c r="C75" s="34">
        <v>41122</v>
      </c>
      <c r="D75" s="1">
        <v>528</v>
      </c>
      <c r="E75" s="34">
        <v>41122</v>
      </c>
      <c r="F75" s="1">
        <v>4</v>
      </c>
      <c r="G75" s="34">
        <v>41122</v>
      </c>
      <c r="H75" s="1">
        <v>1.52</v>
      </c>
      <c r="I75" s="34">
        <v>41122</v>
      </c>
      <c r="J75" s="1">
        <v>156.5</v>
      </c>
      <c r="K75" s="34">
        <v>41122</v>
      </c>
      <c r="L75" s="1">
        <v>969.4</v>
      </c>
      <c r="M75" s="34">
        <v>41122</v>
      </c>
      <c r="N75" s="1">
        <v>161.4</v>
      </c>
    </row>
    <row r="76" spans="1:14" x14ac:dyDescent="0.25">
      <c r="A76" s="34">
        <v>41153</v>
      </c>
      <c r="B76" s="1">
        <v>970.6</v>
      </c>
      <c r="C76" s="34">
        <v>41153</v>
      </c>
      <c r="D76" s="1">
        <v>692</v>
      </c>
      <c r="E76" s="34">
        <v>41153</v>
      </c>
      <c r="F76" s="1">
        <v>4</v>
      </c>
      <c r="G76" s="34">
        <v>41153</v>
      </c>
      <c r="H76" s="1">
        <v>1.54</v>
      </c>
      <c r="I76" s="34">
        <v>41153</v>
      </c>
      <c r="J76" s="1">
        <v>156.94</v>
      </c>
      <c r="K76" s="34">
        <v>41153</v>
      </c>
      <c r="L76" s="1">
        <v>973.7</v>
      </c>
      <c r="M76" s="34">
        <v>41153</v>
      </c>
      <c r="N76" s="1">
        <v>168.2</v>
      </c>
    </row>
    <row r="77" spans="1:14" x14ac:dyDescent="0.25">
      <c r="A77" s="34">
        <v>41183</v>
      </c>
      <c r="B77" s="1">
        <v>971.7</v>
      </c>
      <c r="C77" s="34">
        <v>41183</v>
      </c>
      <c r="D77" s="1">
        <v>602</v>
      </c>
      <c r="E77" s="34">
        <v>41183</v>
      </c>
      <c r="F77" s="1">
        <v>4</v>
      </c>
      <c r="G77" s="34">
        <v>41183</v>
      </c>
      <c r="H77" s="1">
        <v>1.4</v>
      </c>
      <c r="I77" s="34">
        <v>41183</v>
      </c>
      <c r="J77" s="1">
        <v>157.35</v>
      </c>
      <c r="K77" s="34">
        <v>41183</v>
      </c>
      <c r="L77" s="1">
        <v>979.4</v>
      </c>
      <c r="M77" s="34">
        <v>41183</v>
      </c>
      <c r="N77" s="1">
        <v>171</v>
      </c>
    </row>
    <row r="78" spans="1:14" x14ac:dyDescent="0.25">
      <c r="A78" s="34">
        <v>41214</v>
      </c>
      <c r="B78" s="1">
        <v>973</v>
      </c>
      <c r="C78" s="34">
        <v>41214</v>
      </c>
      <c r="D78" s="1">
        <v>794</v>
      </c>
      <c r="E78" s="34">
        <v>41214</v>
      </c>
      <c r="F78" s="1">
        <v>4</v>
      </c>
      <c r="G78" s="34">
        <v>41214</v>
      </c>
      <c r="H78" s="1">
        <v>1.6</v>
      </c>
      <c r="I78" s="34">
        <v>41214</v>
      </c>
      <c r="J78" s="1">
        <v>157.84</v>
      </c>
      <c r="K78" s="34">
        <v>41214</v>
      </c>
      <c r="L78" s="1">
        <v>981.6</v>
      </c>
      <c r="M78" s="34">
        <v>41214</v>
      </c>
      <c r="N78" s="1">
        <v>171.6</v>
      </c>
    </row>
    <row r="79" spans="1:14" x14ac:dyDescent="0.25">
      <c r="A79" s="34">
        <v>41244</v>
      </c>
      <c r="B79" s="1">
        <v>975.7</v>
      </c>
      <c r="C79" s="34">
        <v>41244</v>
      </c>
      <c r="D79" s="1">
        <v>463</v>
      </c>
      <c r="E79" s="34">
        <v>41244</v>
      </c>
      <c r="F79" s="1">
        <v>4</v>
      </c>
      <c r="G79" s="34">
        <v>41244</v>
      </c>
      <c r="H79" s="1">
        <v>1.52</v>
      </c>
      <c r="I79" s="34">
        <v>41244</v>
      </c>
      <c r="J79" s="1">
        <v>158.15</v>
      </c>
      <c r="K79" s="34">
        <v>41244</v>
      </c>
      <c r="L79" s="1">
        <v>981.7</v>
      </c>
      <c r="M79" s="34">
        <v>41244</v>
      </c>
      <c r="N79" s="1">
        <v>170.7</v>
      </c>
    </row>
    <row r="80" spans="1:14" x14ac:dyDescent="0.25">
      <c r="A80" s="34">
        <v>41275</v>
      </c>
      <c r="B80" s="1">
        <v>974.7</v>
      </c>
      <c r="C80" s="34">
        <v>41275</v>
      </c>
      <c r="D80" s="1">
        <v>393</v>
      </c>
      <c r="E80" s="34">
        <v>41275</v>
      </c>
      <c r="F80" s="1">
        <v>3.9</v>
      </c>
      <c r="G80" s="34">
        <v>41275</v>
      </c>
      <c r="H80" s="1">
        <v>1.69</v>
      </c>
      <c r="I80" s="34">
        <v>41275</v>
      </c>
      <c r="J80" s="1">
        <v>158.75</v>
      </c>
      <c r="K80" s="34">
        <v>41275</v>
      </c>
      <c r="L80" s="1">
        <v>955.9</v>
      </c>
      <c r="M80" s="34">
        <v>41275</v>
      </c>
      <c r="N80" s="1">
        <v>167.1</v>
      </c>
    </row>
    <row r="81" spans="1:14" x14ac:dyDescent="0.25">
      <c r="A81" s="34">
        <v>41306</v>
      </c>
      <c r="B81" s="1">
        <v>975.4</v>
      </c>
      <c r="C81" s="34">
        <v>41306</v>
      </c>
      <c r="D81" s="1">
        <v>456</v>
      </c>
      <c r="E81" s="34">
        <v>41306</v>
      </c>
      <c r="F81" s="1">
        <v>3.9</v>
      </c>
      <c r="G81" s="34">
        <v>41306</v>
      </c>
      <c r="H81" s="1">
        <v>1.22</v>
      </c>
      <c r="I81" s="34">
        <v>41306</v>
      </c>
      <c r="J81" s="1">
        <v>158.85</v>
      </c>
      <c r="K81" s="34">
        <v>41306</v>
      </c>
      <c r="L81" s="1">
        <v>959.8</v>
      </c>
      <c r="M81" s="34">
        <v>41306</v>
      </c>
      <c r="N81" s="1">
        <v>169.5</v>
      </c>
    </row>
    <row r="82" spans="1:14" x14ac:dyDescent="0.25">
      <c r="A82" s="34">
        <v>41334</v>
      </c>
      <c r="B82" s="1">
        <v>975.6</v>
      </c>
      <c r="C82" s="34">
        <v>41334</v>
      </c>
      <c r="D82" s="1">
        <v>667</v>
      </c>
      <c r="E82" s="34">
        <v>41334</v>
      </c>
      <c r="F82" s="1">
        <v>3.9</v>
      </c>
      <c r="G82" s="34">
        <v>41334</v>
      </c>
      <c r="H82" s="1">
        <v>0.81</v>
      </c>
      <c r="I82" s="34">
        <v>41334</v>
      </c>
      <c r="J82" s="1">
        <v>159.18</v>
      </c>
      <c r="K82" s="34">
        <v>41334</v>
      </c>
      <c r="L82" s="1">
        <v>965.9</v>
      </c>
      <c r="M82" s="34">
        <v>41334</v>
      </c>
      <c r="N82" s="1">
        <v>169.6</v>
      </c>
    </row>
    <row r="83" spans="1:14" x14ac:dyDescent="0.25">
      <c r="A83" s="34">
        <v>41365</v>
      </c>
      <c r="B83" s="1">
        <v>974.8</v>
      </c>
      <c r="C83" s="34">
        <v>41365</v>
      </c>
      <c r="D83" s="1">
        <v>1100</v>
      </c>
      <c r="E83" s="34">
        <v>41365</v>
      </c>
      <c r="F83" s="1">
        <v>4</v>
      </c>
      <c r="G83" s="34">
        <v>41365</v>
      </c>
      <c r="H83" s="1">
        <v>0.55000000000000004</v>
      </c>
      <c r="I83" s="34">
        <v>41365</v>
      </c>
      <c r="J83" s="1">
        <v>158.97999999999999</v>
      </c>
      <c r="K83" s="34">
        <v>41365</v>
      </c>
      <c r="L83" s="1">
        <v>974.5</v>
      </c>
      <c r="M83" s="34">
        <v>41365</v>
      </c>
      <c r="N83" s="1">
        <v>170.6</v>
      </c>
    </row>
    <row r="84" spans="1:14" x14ac:dyDescent="0.25">
      <c r="A84" s="34">
        <v>41395</v>
      </c>
      <c r="B84" s="1">
        <v>977.7</v>
      </c>
      <c r="C84" s="34">
        <v>41395</v>
      </c>
      <c r="D84" s="1">
        <v>768</v>
      </c>
      <c r="E84" s="34">
        <v>41395</v>
      </c>
      <c r="F84" s="1">
        <v>4</v>
      </c>
      <c r="G84" s="34">
        <v>41395</v>
      </c>
      <c r="H84" s="1">
        <v>0.71</v>
      </c>
      <c r="I84" s="34">
        <v>41395</v>
      </c>
      <c r="J84" s="1">
        <v>159.38999999999999</v>
      </c>
      <c r="K84" s="34">
        <v>41395</v>
      </c>
      <c r="L84" s="1">
        <v>988.2</v>
      </c>
      <c r="M84" s="34">
        <v>41395</v>
      </c>
      <c r="N84" s="1">
        <v>174</v>
      </c>
    </row>
    <row r="85" spans="1:14" x14ac:dyDescent="0.25">
      <c r="A85" s="34">
        <v>41426</v>
      </c>
      <c r="B85" s="1">
        <v>977</v>
      </c>
      <c r="C85" s="34">
        <v>41426</v>
      </c>
      <c r="D85" s="1">
        <v>785</v>
      </c>
      <c r="E85" s="34">
        <v>41426</v>
      </c>
      <c r="F85" s="1">
        <v>4</v>
      </c>
      <c r="G85" s="34">
        <v>41426</v>
      </c>
      <c r="H85" s="1">
        <v>1.36</v>
      </c>
      <c r="I85" s="34">
        <v>41426</v>
      </c>
      <c r="J85" s="1">
        <v>159.59</v>
      </c>
      <c r="K85" s="34">
        <v>41426</v>
      </c>
      <c r="L85" s="1">
        <v>986.3</v>
      </c>
      <c r="M85" s="34">
        <v>41426</v>
      </c>
      <c r="N85" s="1">
        <v>168.7</v>
      </c>
    </row>
    <row r="86" spans="1:14" x14ac:dyDescent="0.25">
      <c r="A86" s="34">
        <v>41456</v>
      </c>
      <c r="B86" s="1">
        <v>979.1</v>
      </c>
      <c r="C86" s="34">
        <v>41456</v>
      </c>
      <c r="D86" s="1">
        <v>735</v>
      </c>
      <c r="E86" s="34">
        <v>41456</v>
      </c>
      <c r="F86" s="1">
        <v>4</v>
      </c>
      <c r="G86" s="34">
        <v>41456</v>
      </c>
      <c r="H86" s="1">
        <v>1.24</v>
      </c>
      <c r="I86" s="34">
        <v>41456</v>
      </c>
      <c r="J86" s="1">
        <v>159.88</v>
      </c>
      <c r="K86" s="34">
        <v>41456</v>
      </c>
      <c r="L86" s="1">
        <v>977.3</v>
      </c>
      <c r="M86" s="34">
        <v>41456</v>
      </c>
      <c r="N86" s="1">
        <v>160.4</v>
      </c>
    </row>
    <row r="87" spans="1:14" x14ac:dyDescent="0.25">
      <c r="A87" s="34">
        <v>41487</v>
      </c>
      <c r="B87" s="1">
        <v>980.9</v>
      </c>
      <c r="C87" s="34">
        <v>41487</v>
      </c>
      <c r="D87" s="1">
        <v>772</v>
      </c>
      <c r="E87" s="34">
        <v>41487</v>
      </c>
      <c r="F87" s="1">
        <v>4</v>
      </c>
      <c r="G87" s="34">
        <v>41487</v>
      </c>
      <c r="H87" s="1">
        <v>1.06</v>
      </c>
      <c r="I87" s="34">
        <v>41487</v>
      </c>
      <c r="J87" s="1">
        <v>160.07</v>
      </c>
      <c r="K87" s="34">
        <v>41487</v>
      </c>
      <c r="L87" s="1">
        <v>981.7</v>
      </c>
      <c r="M87" s="34">
        <v>41487</v>
      </c>
      <c r="N87" s="1">
        <v>161.6</v>
      </c>
    </row>
    <row r="88" spans="1:14" x14ac:dyDescent="0.25">
      <c r="A88" s="34">
        <v>41518</v>
      </c>
      <c r="B88" s="1">
        <v>981.9</v>
      </c>
      <c r="C88" s="34">
        <v>41518</v>
      </c>
      <c r="D88" s="1">
        <v>607</v>
      </c>
      <c r="E88" s="34">
        <v>41518</v>
      </c>
      <c r="F88" s="1">
        <v>3.9</v>
      </c>
      <c r="G88" s="34">
        <v>41518</v>
      </c>
      <c r="H88" s="1">
        <v>1.42</v>
      </c>
      <c r="I88" s="34">
        <v>41518</v>
      </c>
      <c r="J88" s="1">
        <v>160.55000000000001</v>
      </c>
      <c r="K88" s="34">
        <v>41518</v>
      </c>
      <c r="L88" s="1">
        <v>985.2</v>
      </c>
      <c r="M88" s="34">
        <v>41518</v>
      </c>
      <c r="N88" s="1">
        <v>168.3</v>
      </c>
    </row>
    <row r="89" spans="1:14" x14ac:dyDescent="0.25">
      <c r="A89" s="34">
        <v>41548</v>
      </c>
      <c r="B89" s="1">
        <v>983.5</v>
      </c>
      <c r="C89" s="34">
        <v>41548</v>
      </c>
      <c r="D89" s="1">
        <v>745</v>
      </c>
      <c r="E89" s="34">
        <v>41548</v>
      </c>
      <c r="F89" s="1">
        <v>3.8</v>
      </c>
      <c r="G89" s="34">
        <v>41548</v>
      </c>
      <c r="H89" s="1">
        <v>1.75</v>
      </c>
      <c r="I89" s="34">
        <v>41548</v>
      </c>
      <c r="J89" s="1">
        <v>160.88999999999999</v>
      </c>
      <c r="K89" s="34">
        <v>41548</v>
      </c>
      <c r="L89" s="1">
        <v>990.5</v>
      </c>
      <c r="M89" s="34">
        <v>41548</v>
      </c>
      <c r="N89" s="1">
        <v>171.9</v>
      </c>
    </row>
    <row r="90" spans="1:14" x14ac:dyDescent="0.25">
      <c r="A90" s="34">
        <v>41579</v>
      </c>
      <c r="B90" s="1">
        <v>983.3</v>
      </c>
      <c r="C90" s="34">
        <v>41579</v>
      </c>
      <c r="D90" s="1">
        <v>438</v>
      </c>
      <c r="E90" s="34">
        <v>41579</v>
      </c>
      <c r="F90" s="1">
        <v>3.7</v>
      </c>
      <c r="G90" s="34">
        <v>41579</v>
      </c>
      <c r="H90" s="1">
        <v>1.52</v>
      </c>
      <c r="I90" s="34">
        <v>41579</v>
      </c>
      <c r="J90" s="1">
        <v>161.30000000000001</v>
      </c>
      <c r="K90" s="34">
        <v>41579</v>
      </c>
      <c r="L90" s="1">
        <v>989.1</v>
      </c>
      <c r="M90" s="34">
        <v>41579</v>
      </c>
      <c r="N90" s="1">
        <v>172.3</v>
      </c>
    </row>
    <row r="91" spans="1:14" x14ac:dyDescent="0.25">
      <c r="A91" s="34">
        <v>41609</v>
      </c>
      <c r="B91" s="1">
        <v>982.5</v>
      </c>
      <c r="C91" s="34">
        <v>41609</v>
      </c>
      <c r="D91" s="1">
        <v>469</v>
      </c>
      <c r="E91" s="34">
        <v>41609</v>
      </c>
      <c r="F91" s="1">
        <v>3.6</v>
      </c>
      <c r="G91" s="34">
        <v>41609</v>
      </c>
      <c r="H91" s="1">
        <v>1.19</v>
      </c>
      <c r="I91" s="34">
        <v>41609</v>
      </c>
      <c r="J91" s="1">
        <v>161.69</v>
      </c>
      <c r="K91" s="34">
        <v>41609</v>
      </c>
      <c r="L91" s="1">
        <v>985.7</v>
      </c>
      <c r="M91" s="34">
        <v>41609</v>
      </c>
      <c r="N91" s="1">
        <v>170.7</v>
      </c>
    </row>
    <row r="92" spans="1:14" x14ac:dyDescent="0.25">
      <c r="A92" s="34">
        <v>41640</v>
      </c>
      <c r="B92" s="1">
        <v>985.6</v>
      </c>
      <c r="C92" s="34">
        <v>41640</v>
      </c>
      <c r="D92" s="1">
        <v>308</v>
      </c>
      <c r="E92" s="34">
        <v>41640</v>
      </c>
      <c r="F92" s="1">
        <v>3.5</v>
      </c>
      <c r="G92" s="34">
        <v>41640</v>
      </c>
      <c r="H92" s="1">
        <v>1.67</v>
      </c>
      <c r="I92" s="34">
        <v>41640</v>
      </c>
      <c r="J92" s="1">
        <v>162.33000000000001</v>
      </c>
      <c r="K92" s="34">
        <v>41640</v>
      </c>
      <c r="L92" s="1">
        <v>967.1</v>
      </c>
      <c r="M92" s="34">
        <v>41640</v>
      </c>
      <c r="N92" s="1">
        <v>167</v>
      </c>
    </row>
    <row r="93" spans="1:14" x14ac:dyDescent="0.25">
      <c r="A93" s="34">
        <v>41671</v>
      </c>
      <c r="B93" s="1">
        <v>988.6</v>
      </c>
      <c r="C93" s="34">
        <v>41671</v>
      </c>
      <c r="D93" s="1">
        <v>420</v>
      </c>
      <c r="E93" s="34">
        <v>41671</v>
      </c>
      <c r="F93" s="1">
        <v>3.6</v>
      </c>
      <c r="G93" s="34">
        <v>41671</v>
      </c>
      <c r="H93" s="1">
        <v>1.58</v>
      </c>
      <c r="I93" s="34">
        <v>41671</v>
      </c>
      <c r="J93" s="1">
        <v>162.44</v>
      </c>
      <c r="K93" s="34">
        <v>41671</v>
      </c>
      <c r="L93" s="1">
        <v>971.3</v>
      </c>
      <c r="M93" s="34">
        <v>41671</v>
      </c>
      <c r="N93" s="1">
        <v>169.8</v>
      </c>
    </row>
    <row r="94" spans="1:14" x14ac:dyDescent="0.25">
      <c r="A94" s="34">
        <v>41699</v>
      </c>
      <c r="B94" s="1">
        <v>986.6</v>
      </c>
      <c r="C94" s="34">
        <v>41699</v>
      </c>
      <c r="D94" s="1">
        <v>629</v>
      </c>
      <c r="E94" s="34">
        <v>41699</v>
      </c>
      <c r="F94" s="1">
        <v>3.8</v>
      </c>
      <c r="G94" s="34">
        <v>41699</v>
      </c>
      <c r="H94" s="1">
        <v>-0.24</v>
      </c>
      <c r="I94" s="34">
        <v>41699</v>
      </c>
      <c r="J94" s="1">
        <v>162.06</v>
      </c>
      <c r="K94" s="34">
        <v>41699</v>
      </c>
      <c r="L94" s="1">
        <v>974.8</v>
      </c>
      <c r="M94" s="34">
        <v>41699</v>
      </c>
      <c r="N94" s="1">
        <v>169.6</v>
      </c>
    </row>
    <row r="95" spans="1:14" x14ac:dyDescent="0.25">
      <c r="A95" s="34">
        <v>41730</v>
      </c>
      <c r="B95" s="1">
        <v>987.2</v>
      </c>
      <c r="C95" s="34">
        <v>41730</v>
      </c>
      <c r="D95" s="1">
        <v>837</v>
      </c>
      <c r="E95" s="34">
        <v>41730</v>
      </c>
      <c r="F95" s="1">
        <v>3.7</v>
      </c>
      <c r="G95" s="34">
        <v>41730</v>
      </c>
      <c r="H95" s="1">
        <v>1.1000000000000001</v>
      </c>
      <c r="I95" s="34">
        <v>41730</v>
      </c>
      <c r="J95" s="1">
        <v>162.82</v>
      </c>
      <c r="K95" s="34">
        <v>41730</v>
      </c>
      <c r="L95" s="1">
        <v>985.8</v>
      </c>
      <c r="M95" s="34">
        <v>41730</v>
      </c>
      <c r="N95" s="1">
        <v>171.1</v>
      </c>
    </row>
    <row r="96" spans="1:14" x14ac:dyDescent="0.25">
      <c r="A96" s="34">
        <v>41760</v>
      </c>
      <c r="B96" s="1">
        <v>986.3</v>
      </c>
      <c r="C96" s="34">
        <v>41760</v>
      </c>
      <c r="D96" s="1">
        <v>665</v>
      </c>
      <c r="E96" s="34">
        <v>41760</v>
      </c>
      <c r="F96" s="1">
        <v>3.6</v>
      </c>
      <c r="G96" s="34">
        <v>41760</v>
      </c>
      <c r="H96" s="1">
        <v>1.84</v>
      </c>
      <c r="I96" s="34">
        <v>41760</v>
      </c>
      <c r="J96" s="1">
        <v>163.09</v>
      </c>
      <c r="K96" s="34">
        <v>41760</v>
      </c>
      <c r="L96" s="1">
        <v>996</v>
      </c>
      <c r="M96" s="34">
        <v>41760</v>
      </c>
      <c r="N96" s="1">
        <v>173.5</v>
      </c>
    </row>
    <row r="97" spans="1:14" x14ac:dyDescent="0.25">
      <c r="A97" s="34">
        <v>41791</v>
      </c>
      <c r="B97" s="1">
        <v>982.4</v>
      </c>
      <c r="C97" s="34">
        <v>41791</v>
      </c>
      <c r="D97" s="1">
        <v>713</v>
      </c>
      <c r="E97" s="34">
        <v>41791</v>
      </c>
      <c r="F97" s="1">
        <v>3.5</v>
      </c>
      <c r="G97" s="34">
        <v>41791</v>
      </c>
      <c r="H97" s="1">
        <v>1.93</v>
      </c>
      <c r="I97" s="34">
        <v>41791</v>
      </c>
      <c r="J97" s="1">
        <v>163.76</v>
      </c>
      <c r="K97" s="34">
        <v>41791</v>
      </c>
      <c r="L97" s="1">
        <v>995</v>
      </c>
      <c r="M97" s="34">
        <v>41791</v>
      </c>
      <c r="N97" s="1">
        <v>167.7</v>
      </c>
    </row>
    <row r="98" spans="1:14" x14ac:dyDescent="0.25">
      <c r="A98" s="34">
        <v>41821</v>
      </c>
      <c r="B98" s="1">
        <v>982.1</v>
      </c>
      <c r="C98" s="34">
        <v>41821</v>
      </c>
      <c r="D98" s="1">
        <v>636</v>
      </c>
      <c r="E98" s="34">
        <v>41821</v>
      </c>
      <c r="F98" s="1">
        <v>3.6</v>
      </c>
      <c r="G98" s="34">
        <v>41821</v>
      </c>
      <c r="H98" s="1">
        <v>0.71</v>
      </c>
      <c r="I98" s="34">
        <v>41821</v>
      </c>
      <c r="J98" s="1">
        <v>163.53</v>
      </c>
      <c r="K98" s="34">
        <v>41821</v>
      </c>
      <c r="L98" s="1">
        <v>984.1</v>
      </c>
      <c r="M98" s="34">
        <v>41821</v>
      </c>
      <c r="N98" s="1">
        <v>159.69999999999999</v>
      </c>
    </row>
    <row r="99" spans="1:14" x14ac:dyDescent="0.25">
      <c r="A99" s="34">
        <v>41852</v>
      </c>
      <c r="B99" s="1">
        <v>987.6</v>
      </c>
      <c r="C99" s="34">
        <v>41852</v>
      </c>
      <c r="D99" s="1">
        <v>795</v>
      </c>
      <c r="E99" s="34">
        <v>41852</v>
      </c>
      <c r="F99" s="1">
        <v>3.6</v>
      </c>
      <c r="G99" s="34">
        <v>41852</v>
      </c>
      <c r="H99" s="1">
        <v>0.96</v>
      </c>
      <c r="I99" s="34">
        <v>41852</v>
      </c>
      <c r="J99" s="1">
        <v>164</v>
      </c>
      <c r="K99" s="34">
        <v>41852</v>
      </c>
      <c r="L99" s="1">
        <v>988.5</v>
      </c>
      <c r="M99" s="34">
        <v>41852</v>
      </c>
      <c r="N99" s="1">
        <v>161.30000000000001</v>
      </c>
    </row>
    <row r="100" spans="1:14" x14ac:dyDescent="0.25">
      <c r="A100" s="34">
        <v>41883</v>
      </c>
      <c r="B100" s="1">
        <v>989.2</v>
      </c>
      <c r="C100" s="34">
        <v>41883</v>
      </c>
      <c r="D100" s="1">
        <v>602</v>
      </c>
      <c r="E100" s="34">
        <v>41883</v>
      </c>
      <c r="F100" s="1">
        <v>3.6</v>
      </c>
      <c r="G100" s="34">
        <v>41883</v>
      </c>
      <c r="H100" s="1">
        <v>1.22</v>
      </c>
      <c r="I100" s="34">
        <v>41883</v>
      </c>
      <c r="J100" s="1">
        <v>164.1</v>
      </c>
      <c r="K100" s="34">
        <v>41883</v>
      </c>
      <c r="L100" s="1">
        <v>993.3</v>
      </c>
      <c r="M100" s="34">
        <v>41883</v>
      </c>
      <c r="N100" s="1">
        <v>169.3</v>
      </c>
    </row>
    <row r="101" spans="1:14" x14ac:dyDescent="0.25">
      <c r="A101" s="34">
        <v>41913</v>
      </c>
      <c r="B101" s="1">
        <v>991.9</v>
      </c>
      <c r="C101" s="34">
        <v>41913</v>
      </c>
      <c r="D101" s="1">
        <v>832</v>
      </c>
      <c r="E101" s="34">
        <v>41913</v>
      </c>
      <c r="F101" s="1">
        <v>3.4</v>
      </c>
      <c r="G101" s="34">
        <v>41913</v>
      </c>
      <c r="H101" s="1">
        <v>2.14</v>
      </c>
      <c r="I101" s="34">
        <v>41913</v>
      </c>
      <c r="J101" s="1">
        <v>164.82</v>
      </c>
      <c r="K101" s="34">
        <v>41913</v>
      </c>
      <c r="L101" s="1">
        <v>999.4</v>
      </c>
      <c r="M101" s="34">
        <v>41913</v>
      </c>
      <c r="N101" s="1">
        <v>172.9</v>
      </c>
    </row>
    <row r="102" spans="1:14" x14ac:dyDescent="0.25">
      <c r="A102" s="34">
        <v>41944</v>
      </c>
      <c r="B102" s="1">
        <v>990</v>
      </c>
      <c r="C102" s="34">
        <v>41944</v>
      </c>
      <c r="D102" s="1">
        <v>801</v>
      </c>
      <c r="E102" s="34">
        <v>41944</v>
      </c>
      <c r="F102" s="1">
        <v>3.1</v>
      </c>
      <c r="G102" s="34">
        <v>41944</v>
      </c>
      <c r="H102" s="1">
        <v>2.3199999999999998</v>
      </c>
      <c r="I102" s="34">
        <v>41944</v>
      </c>
      <c r="J102" s="1">
        <v>165.71</v>
      </c>
      <c r="K102" s="34">
        <v>41944</v>
      </c>
      <c r="L102" s="1">
        <v>996.5</v>
      </c>
      <c r="M102" s="34">
        <v>41944</v>
      </c>
      <c r="N102" s="1">
        <v>173</v>
      </c>
    </row>
    <row r="103" spans="1:14" x14ac:dyDescent="0.25">
      <c r="A103" s="34">
        <v>41974</v>
      </c>
      <c r="B103" s="1">
        <v>990.6</v>
      </c>
      <c r="E103" s="34">
        <v>41974</v>
      </c>
      <c r="F103" s="1">
        <v>2.9</v>
      </c>
      <c r="K103" s="34">
        <v>41974</v>
      </c>
      <c r="L103" s="1">
        <v>993.2</v>
      </c>
      <c r="M103" s="34">
        <v>41974</v>
      </c>
      <c r="N103" s="1">
        <v>171.8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P103"/>
  <sheetViews>
    <sheetView topLeftCell="A77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228</v>
      </c>
      <c r="C1" s="34" t="s">
        <v>229</v>
      </c>
      <c r="E1" s="34" t="s">
        <v>230</v>
      </c>
      <c r="G1" s="34" t="s">
        <v>231</v>
      </c>
      <c r="I1" s="34" t="s">
        <v>232</v>
      </c>
      <c r="K1" s="34" t="str">
        <f>CONCATENATE(LEFT(A1,2), "NAN")</f>
        <v>NHNAN</v>
      </c>
      <c r="M1" s="34" t="str">
        <f>CONCATENATE(LEFT(A1,2), "GOVTN")</f>
        <v>NHGOVTN</v>
      </c>
      <c r="O1" s="34" t="str">
        <f>CONCATENATE(LEFT($A$1,2), "RGSP")</f>
        <v>NHRGSP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904</v>
      </c>
      <c r="C5" s="35" t="s">
        <v>395</v>
      </c>
      <c r="E5" s="35" t="s">
        <v>396</v>
      </c>
      <c r="G5" s="35" t="s">
        <v>397</v>
      </c>
      <c r="I5" s="35" t="s">
        <v>398</v>
      </c>
      <c r="K5" s="35" t="s">
        <v>904</v>
      </c>
      <c r="M5" s="35" t="s">
        <v>905</v>
      </c>
      <c r="O5" s="35" t="s">
        <v>790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646</v>
      </c>
      <c r="C8" s="34">
        <v>39083</v>
      </c>
      <c r="D8" s="1">
        <v>405</v>
      </c>
      <c r="E8" s="34">
        <v>39083</v>
      </c>
      <c r="F8" s="1">
        <v>3.7</v>
      </c>
      <c r="G8" s="34">
        <v>39083</v>
      </c>
      <c r="H8" s="1">
        <v>1.21</v>
      </c>
      <c r="I8" s="34">
        <v>39083</v>
      </c>
      <c r="J8" s="1">
        <v>180.51</v>
      </c>
      <c r="K8" s="34">
        <v>39083</v>
      </c>
      <c r="L8" s="1">
        <v>633.1</v>
      </c>
      <c r="M8" s="34">
        <v>39083</v>
      </c>
      <c r="N8" s="1">
        <v>92.1</v>
      </c>
      <c r="O8" s="34">
        <v>39083</v>
      </c>
      <c r="P8" s="1">
        <v>62243</v>
      </c>
    </row>
    <row r="9" spans="1:16" x14ac:dyDescent="0.25">
      <c r="A9" s="34">
        <v>39114</v>
      </c>
      <c r="B9" s="1">
        <v>647.9</v>
      </c>
      <c r="C9" s="34">
        <v>39114</v>
      </c>
      <c r="D9" s="1">
        <v>219</v>
      </c>
      <c r="E9" s="34">
        <v>39114</v>
      </c>
      <c r="F9" s="1">
        <v>3.7</v>
      </c>
      <c r="G9" s="34">
        <v>39114</v>
      </c>
      <c r="H9" s="1">
        <v>0.74</v>
      </c>
      <c r="I9" s="34">
        <v>39114</v>
      </c>
      <c r="J9" s="1">
        <v>180.83</v>
      </c>
      <c r="K9" s="34">
        <v>39114</v>
      </c>
      <c r="L9" s="1">
        <v>635.6</v>
      </c>
      <c r="M9" s="34">
        <v>39114</v>
      </c>
      <c r="N9" s="1">
        <v>96.4</v>
      </c>
      <c r="O9" s="34">
        <v>39448</v>
      </c>
      <c r="P9" s="1">
        <v>61216</v>
      </c>
    </row>
    <row r="10" spans="1:16" x14ac:dyDescent="0.25">
      <c r="A10" s="34">
        <v>39142</v>
      </c>
      <c r="B10" s="1">
        <v>647.5</v>
      </c>
      <c r="C10" s="34">
        <v>39142</v>
      </c>
      <c r="D10" s="1">
        <v>350</v>
      </c>
      <c r="E10" s="34">
        <v>39142</v>
      </c>
      <c r="F10" s="1">
        <v>3.7</v>
      </c>
      <c r="G10" s="34">
        <v>39142</v>
      </c>
      <c r="H10" s="1">
        <v>0.6</v>
      </c>
      <c r="I10" s="34">
        <v>39142</v>
      </c>
      <c r="J10" s="1">
        <v>181.14</v>
      </c>
      <c r="K10" s="34">
        <v>39142</v>
      </c>
      <c r="L10" s="1">
        <v>637.6</v>
      </c>
      <c r="M10" s="34">
        <v>39142</v>
      </c>
      <c r="N10" s="1">
        <v>96.7</v>
      </c>
      <c r="O10" s="34">
        <v>39814</v>
      </c>
      <c r="P10" s="1">
        <v>60382</v>
      </c>
    </row>
    <row r="11" spans="1:16" x14ac:dyDescent="0.25">
      <c r="A11" s="34">
        <v>39173</v>
      </c>
      <c r="B11" s="1">
        <v>645.79999999999995</v>
      </c>
      <c r="C11" s="34">
        <v>39173</v>
      </c>
      <c r="D11" s="1">
        <v>369</v>
      </c>
      <c r="E11" s="34">
        <v>39173</v>
      </c>
      <c r="F11" s="1">
        <v>3.6</v>
      </c>
      <c r="G11" s="34">
        <v>39173</v>
      </c>
      <c r="H11" s="1">
        <v>0.59</v>
      </c>
      <c r="I11" s="34">
        <v>39173</v>
      </c>
      <c r="J11" s="1">
        <v>181.45</v>
      </c>
      <c r="K11" s="34">
        <v>39173</v>
      </c>
      <c r="L11" s="1">
        <v>640.4</v>
      </c>
      <c r="M11" s="34">
        <v>39173</v>
      </c>
      <c r="N11" s="1">
        <v>96.5</v>
      </c>
      <c r="O11" s="34">
        <v>40179</v>
      </c>
      <c r="P11" s="1">
        <v>62187</v>
      </c>
    </row>
    <row r="12" spans="1:16" x14ac:dyDescent="0.25">
      <c r="A12" s="34">
        <v>39203</v>
      </c>
      <c r="B12" s="1">
        <v>648.20000000000005</v>
      </c>
      <c r="C12" s="34">
        <v>39203</v>
      </c>
      <c r="D12" s="1">
        <v>477</v>
      </c>
      <c r="E12" s="34">
        <v>39203</v>
      </c>
      <c r="F12" s="1">
        <v>3.6</v>
      </c>
      <c r="G12" s="34">
        <v>39203</v>
      </c>
      <c r="H12" s="1">
        <v>0.27</v>
      </c>
      <c r="I12" s="34">
        <v>39203</v>
      </c>
      <c r="J12" s="1">
        <v>181.72</v>
      </c>
      <c r="K12" s="34">
        <v>39203</v>
      </c>
      <c r="L12" s="1">
        <v>650.70000000000005</v>
      </c>
      <c r="M12" s="34">
        <v>39203</v>
      </c>
      <c r="N12" s="1">
        <v>96.1</v>
      </c>
      <c r="O12" s="34">
        <v>40544</v>
      </c>
      <c r="P12" s="1">
        <v>62872</v>
      </c>
    </row>
    <row r="13" spans="1:16" x14ac:dyDescent="0.25">
      <c r="A13" s="34">
        <v>39234</v>
      </c>
      <c r="B13" s="1">
        <v>649</v>
      </c>
      <c r="C13" s="34">
        <v>39234</v>
      </c>
      <c r="D13" s="1">
        <v>425</v>
      </c>
      <c r="E13" s="34">
        <v>39234</v>
      </c>
      <c r="F13" s="1">
        <v>3.6</v>
      </c>
      <c r="G13" s="34">
        <v>39234</v>
      </c>
      <c r="H13" s="1">
        <v>0.68</v>
      </c>
      <c r="I13" s="34">
        <v>39234</v>
      </c>
      <c r="J13" s="1">
        <v>181.98</v>
      </c>
      <c r="K13" s="34">
        <v>39234</v>
      </c>
      <c r="L13" s="1">
        <v>658.1</v>
      </c>
      <c r="M13" s="34">
        <v>39234</v>
      </c>
      <c r="N13" s="1">
        <v>90.9</v>
      </c>
      <c r="O13" s="34">
        <v>40909</v>
      </c>
      <c r="P13" s="1">
        <v>63538</v>
      </c>
    </row>
    <row r="14" spans="1:16" x14ac:dyDescent="0.25">
      <c r="A14" s="34">
        <v>39264</v>
      </c>
      <c r="B14" s="1">
        <v>649.20000000000005</v>
      </c>
      <c r="C14" s="34">
        <v>39264</v>
      </c>
      <c r="D14" s="1">
        <v>490</v>
      </c>
      <c r="E14" s="34">
        <v>39264</v>
      </c>
      <c r="F14" s="1">
        <v>3.5</v>
      </c>
      <c r="G14" s="34">
        <v>39264</v>
      </c>
      <c r="H14" s="1">
        <v>0.57999999999999996</v>
      </c>
      <c r="I14" s="34">
        <v>39264</v>
      </c>
      <c r="J14" s="1">
        <v>182.25</v>
      </c>
      <c r="K14" s="34">
        <v>39264</v>
      </c>
      <c r="L14" s="1">
        <v>652</v>
      </c>
      <c r="M14" s="34">
        <v>39264</v>
      </c>
      <c r="N14" s="1">
        <v>82</v>
      </c>
      <c r="O14" s="34">
        <v>41275</v>
      </c>
      <c r="P14" s="1">
        <v>64118</v>
      </c>
    </row>
    <row r="15" spans="1:16" x14ac:dyDescent="0.25">
      <c r="A15" s="34">
        <v>39295</v>
      </c>
      <c r="B15" s="1">
        <v>648.20000000000005</v>
      </c>
      <c r="C15" s="34">
        <v>39295</v>
      </c>
      <c r="D15" s="1">
        <v>369</v>
      </c>
      <c r="E15" s="34">
        <v>39295</v>
      </c>
      <c r="F15" s="1">
        <v>3.5</v>
      </c>
      <c r="G15" s="34">
        <v>39295</v>
      </c>
      <c r="H15" s="1">
        <v>0.45</v>
      </c>
      <c r="I15" s="34">
        <v>39295</v>
      </c>
      <c r="J15" s="1">
        <v>182.51</v>
      </c>
      <c r="K15" s="34">
        <v>39295</v>
      </c>
      <c r="L15" s="1">
        <v>651.20000000000005</v>
      </c>
      <c r="M15" s="34">
        <v>39295</v>
      </c>
      <c r="N15" s="1">
        <v>81.099999999999994</v>
      </c>
    </row>
    <row r="16" spans="1:16" x14ac:dyDescent="0.25">
      <c r="A16" s="34">
        <v>39326</v>
      </c>
      <c r="B16" s="1">
        <v>648.5</v>
      </c>
      <c r="C16" s="34">
        <v>39326</v>
      </c>
      <c r="D16" s="1">
        <v>388</v>
      </c>
      <c r="E16" s="34">
        <v>39326</v>
      </c>
      <c r="F16" s="1">
        <v>3.4</v>
      </c>
      <c r="G16" s="34">
        <v>39326</v>
      </c>
      <c r="H16" s="1">
        <v>0.79</v>
      </c>
      <c r="I16" s="34">
        <v>39326</v>
      </c>
      <c r="J16" s="1">
        <v>182.77</v>
      </c>
      <c r="K16" s="34">
        <v>39326</v>
      </c>
      <c r="L16" s="1">
        <v>654.20000000000005</v>
      </c>
      <c r="M16" s="34">
        <v>39326</v>
      </c>
      <c r="N16" s="1">
        <v>94.3</v>
      </c>
    </row>
    <row r="17" spans="1:14" x14ac:dyDescent="0.25">
      <c r="A17" s="34">
        <v>39356</v>
      </c>
      <c r="B17" s="1">
        <v>648</v>
      </c>
      <c r="C17" s="34">
        <v>39356</v>
      </c>
      <c r="D17" s="1">
        <v>415</v>
      </c>
      <c r="E17" s="34">
        <v>39356</v>
      </c>
      <c r="F17" s="1">
        <v>3.4</v>
      </c>
      <c r="G17" s="34">
        <v>39356</v>
      </c>
      <c r="H17" s="1">
        <v>0.4</v>
      </c>
      <c r="I17" s="34">
        <v>39356</v>
      </c>
      <c r="J17" s="1">
        <v>183.02</v>
      </c>
      <c r="K17" s="34">
        <v>39356</v>
      </c>
      <c r="L17" s="1">
        <v>652.9</v>
      </c>
      <c r="M17" s="34">
        <v>39356</v>
      </c>
      <c r="N17" s="1">
        <v>97.7</v>
      </c>
    </row>
    <row r="18" spans="1:14" x14ac:dyDescent="0.25">
      <c r="A18" s="34">
        <v>39387</v>
      </c>
      <c r="B18" s="1">
        <v>649.29999999999995</v>
      </c>
      <c r="C18" s="34">
        <v>39387</v>
      </c>
      <c r="D18" s="1">
        <v>240</v>
      </c>
      <c r="E18" s="34">
        <v>39387</v>
      </c>
      <c r="F18" s="1">
        <v>3.4</v>
      </c>
      <c r="G18" s="34">
        <v>39387</v>
      </c>
      <c r="H18" s="1">
        <v>0.44</v>
      </c>
      <c r="I18" s="34">
        <v>39387</v>
      </c>
      <c r="J18" s="1">
        <v>183.26</v>
      </c>
      <c r="K18" s="34">
        <v>39387</v>
      </c>
      <c r="L18" s="1">
        <v>653.70000000000005</v>
      </c>
      <c r="M18" s="34">
        <v>39387</v>
      </c>
      <c r="N18" s="1">
        <v>97.8</v>
      </c>
    </row>
    <row r="19" spans="1:14" x14ac:dyDescent="0.25">
      <c r="A19" s="34">
        <v>39417</v>
      </c>
      <c r="B19" s="1">
        <v>650.5</v>
      </c>
      <c r="C19" s="34">
        <v>39417</v>
      </c>
      <c r="D19" s="1">
        <v>215</v>
      </c>
      <c r="E19" s="34">
        <v>39417</v>
      </c>
      <c r="F19" s="1">
        <v>3.4</v>
      </c>
      <c r="G19" s="34">
        <v>39417</v>
      </c>
      <c r="H19" s="1">
        <v>0.03</v>
      </c>
      <c r="I19" s="34">
        <v>39417</v>
      </c>
      <c r="J19" s="1">
        <v>183.46</v>
      </c>
      <c r="K19" s="34">
        <v>39417</v>
      </c>
      <c r="L19" s="1">
        <v>657.9</v>
      </c>
      <c r="M19" s="34">
        <v>39417</v>
      </c>
      <c r="N19" s="1">
        <v>98</v>
      </c>
    </row>
    <row r="20" spans="1:14" x14ac:dyDescent="0.25">
      <c r="A20" s="34">
        <v>39448</v>
      </c>
      <c r="B20" s="1">
        <v>652.70000000000005</v>
      </c>
      <c r="C20" s="34">
        <v>39448</v>
      </c>
      <c r="D20" s="1">
        <v>346</v>
      </c>
      <c r="E20" s="34">
        <v>39448</v>
      </c>
      <c r="F20" s="1">
        <v>3.5</v>
      </c>
      <c r="G20" s="34">
        <v>39448</v>
      </c>
      <c r="H20" s="1">
        <v>0.05</v>
      </c>
      <c r="I20" s="34">
        <v>39448</v>
      </c>
      <c r="J20" s="1">
        <v>183.6</v>
      </c>
      <c r="K20" s="34">
        <v>39448</v>
      </c>
      <c r="L20" s="1">
        <v>640</v>
      </c>
      <c r="M20" s="34">
        <v>39448</v>
      </c>
      <c r="N20" s="1">
        <v>93.7</v>
      </c>
    </row>
    <row r="21" spans="1:14" x14ac:dyDescent="0.25">
      <c r="A21" s="34">
        <v>39479</v>
      </c>
      <c r="B21" s="1">
        <v>651.5</v>
      </c>
      <c r="C21" s="34">
        <v>39479</v>
      </c>
      <c r="D21" s="1">
        <v>180</v>
      </c>
      <c r="E21" s="34">
        <v>39479</v>
      </c>
      <c r="F21" s="1">
        <v>3.5</v>
      </c>
      <c r="G21" s="34">
        <v>39479</v>
      </c>
      <c r="H21" s="1">
        <v>0.03</v>
      </c>
      <c r="I21" s="34">
        <v>39479</v>
      </c>
      <c r="J21" s="1">
        <v>183.7</v>
      </c>
      <c r="K21" s="34">
        <v>39479</v>
      </c>
      <c r="L21" s="1">
        <v>639.9</v>
      </c>
      <c r="M21" s="34">
        <v>39479</v>
      </c>
      <c r="N21" s="1">
        <v>97.1</v>
      </c>
    </row>
    <row r="22" spans="1:14" x14ac:dyDescent="0.25">
      <c r="A22" s="34">
        <v>39508</v>
      </c>
      <c r="B22" s="1">
        <v>651</v>
      </c>
      <c r="C22" s="34">
        <v>39508</v>
      </c>
      <c r="D22" s="1">
        <v>225</v>
      </c>
      <c r="E22" s="34">
        <v>39508</v>
      </c>
      <c r="F22" s="1">
        <v>3.6</v>
      </c>
      <c r="G22" s="34">
        <v>39508</v>
      </c>
      <c r="H22" s="1">
        <v>-0.25</v>
      </c>
      <c r="I22" s="34">
        <v>39508</v>
      </c>
      <c r="J22" s="1">
        <v>183.74</v>
      </c>
      <c r="K22" s="34">
        <v>39508</v>
      </c>
      <c r="L22" s="1">
        <v>641.1</v>
      </c>
      <c r="M22" s="34">
        <v>39508</v>
      </c>
      <c r="N22" s="1">
        <v>98.3</v>
      </c>
    </row>
    <row r="23" spans="1:14" x14ac:dyDescent="0.25">
      <c r="A23" s="34">
        <v>39539</v>
      </c>
      <c r="B23" s="1">
        <v>650.70000000000005</v>
      </c>
      <c r="C23" s="34">
        <v>39539</v>
      </c>
      <c r="D23" s="1">
        <v>348</v>
      </c>
      <c r="E23" s="34">
        <v>39539</v>
      </c>
      <c r="F23" s="1">
        <v>3.6</v>
      </c>
      <c r="G23" s="34">
        <v>39539</v>
      </c>
      <c r="H23" s="1">
        <v>-0.13</v>
      </c>
      <c r="I23" s="34">
        <v>39539</v>
      </c>
      <c r="J23" s="1">
        <v>183.74</v>
      </c>
      <c r="K23" s="34">
        <v>39539</v>
      </c>
      <c r="L23" s="1">
        <v>644.6</v>
      </c>
      <c r="M23" s="34">
        <v>39539</v>
      </c>
      <c r="N23" s="1">
        <v>97.8</v>
      </c>
    </row>
    <row r="24" spans="1:14" x14ac:dyDescent="0.25">
      <c r="A24" s="34">
        <v>39569</v>
      </c>
      <c r="B24" s="1">
        <v>651.1</v>
      </c>
      <c r="C24" s="34">
        <v>39569</v>
      </c>
      <c r="D24" s="1">
        <v>269</v>
      </c>
      <c r="E24" s="34">
        <v>39569</v>
      </c>
      <c r="F24" s="1">
        <v>3.7</v>
      </c>
      <c r="G24" s="34">
        <v>39569</v>
      </c>
      <c r="H24" s="1">
        <v>-0.67</v>
      </c>
      <c r="I24" s="34">
        <v>39569</v>
      </c>
      <c r="J24" s="1">
        <v>183.67</v>
      </c>
      <c r="K24" s="34">
        <v>39569</v>
      </c>
      <c r="L24" s="1">
        <v>653.70000000000005</v>
      </c>
      <c r="M24" s="34">
        <v>39569</v>
      </c>
      <c r="N24" s="1">
        <v>97.7</v>
      </c>
    </row>
    <row r="25" spans="1:14" x14ac:dyDescent="0.25">
      <c r="A25" s="34">
        <v>39600</v>
      </c>
      <c r="B25" s="1">
        <v>651.1</v>
      </c>
      <c r="C25" s="34">
        <v>39600</v>
      </c>
      <c r="D25" s="1">
        <v>391</v>
      </c>
      <c r="E25" s="34">
        <v>39600</v>
      </c>
      <c r="F25" s="1">
        <v>3.8</v>
      </c>
      <c r="G25" s="34">
        <v>39600</v>
      </c>
      <c r="H25" s="1">
        <v>-0.62</v>
      </c>
      <c r="I25" s="34">
        <v>39600</v>
      </c>
      <c r="J25" s="1">
        <v>183.52</v>
      </c>
      <c r="K25" s="34">
        <v>39600</v>
      </c>
      <c r="L25" s="1">
        <v>659.3</v>
      </c>
      <c r="M25" s="34">
        <v>39600</v>
      </c>
      <c r="N25" s="1">
        <v>93.2</v>
      </c>
    </row>
    <row r="26" spans="1:14" x14ac:dyDescent="0.25">
      <c r="A26" s="34">
        <v>39630</v>
      </c>
      <c r="B26" s="1">
        <v>650</v>
      </c>
      <c r="C26" s="34">
        <v>39630</v>
      </c>
      <c r="D26" s="1">
        <v>325</v>
      </c>
      <c r="E26" s="34">
        <v>39630</v>
      </c>
      <c r="F26" s="1">
        <v>3.9</v>
      </c>
      <c r="G26" s="34">
        <v>39630</v>
      </c>
      <c r="H26" s="1">
        <v>-1.06</v>
      </c>
      <c r="I26" s="34">
        <v>39630</v>
      </c>
      <c r="J26" s="1">
        <v>183.31</v>
      </c>
      <c r="K26" s="34">
        <v>39630</v>
      </c>
      <c r="L26" s="1">
        <v>653</v>
      </c>
      <c r="M26" s="34">
        <v>39630</v>
      </c>
      <c r="N26" s="1">
        <v>83.2</v>
      </c>
    </row>
    <row r="27" spans="1:14" x14ac:dyDescent="0.25">
      <c r="A27" s="34">
        <v>39661</v>
      </c>
      <c r="B27" s="1">
        <v>650.29999999999995</v>
      </c>
      <c r="C27" s="34">
        <v>39661</v>
      </c>
      <c r="D27" s="1">
        <v>210</v>
      </c>
      <c r="E27" s="34">
        <v>39661</v>
      </c>
      <c r="F27" s="1">
        <v>4</v>
      </c>
      <c r="G27" s="34">
        <v>39661</v>
      </c>
      <c r="H27" s="1">
        <v>-1.46</v>
      </c>
      <c r="I27" s="34">
        <v>39661</v>
      </c>
      <c r="J27" s="1">
        <v>183.01</v>
      </c>
      <c r="K27" s="34">
        <v>39661</v>
      </c>
      <c r="L27" s="1">
        <v>653.70000000000005</v>
      </c>
      <c r="M27" s="34">
        <v>39661</v>
      </c>
      <c r="N27" s="1">
        <v>84</v>
      </c>
    </row>
    <row r="28" spans="1:14" x14ac:dyDescent="0.25">
      <c r="A28" s="34">
        <v>39692</v>
      </c>
      <c r="B28" s="1">
        <v>650.1</v>
      </c>
      <c r="C28" s="34">
        <v>39692</v>
      </c>
      <c r="D28" s="1">
        <v>350</v>
      </c>
      <c r="E28" s="34">
        <v>39692</v>
      </c>
      <c r="F28" s="1">
        <v>4.0999999999999996</v>
      </c>
      <c r="G28" s="34">
        <v>39692</v>
      </c>
      <c r="H28" s="1">
        <v>-2.36</v>
      </c>
      <c r="I28" s="34">
        <v>39692</v>
      </c>
      <c r="J28" s="1">
        <v>182.57</v>
      </c>
      <c r="K28" s="34">
        <v>39692</v>
      </c>
      <c r="L28" s="1">
        <v>655.6</v>
      </c>
      <c r="M28" s="34">
        <v>39692</v>
      </c>
      <c r="N28" s="1">
        <v>97.6</v>
      </c>
    </row>
    <row r="29" spans="1:14" x14ac:dyDescent="0.25">
      <c r="A29" s="34">
        <v>39722</v>
      </c>
      <c r="B29" s="1">
        <v>647.4</v>
      </c>
      <c r="C29" s="34">
        <v>39722</v>
      </c>
      <c r="D29" s="1">
        <v>244</v>
      </c>
      <c r="E29" s="34">
        <v>39722</v>
      </c>
      <c r="F29" s="1">
        <v>4.3</v>
      </c>
      <c r="G29" s="34">
        <v>39722</v>
      </c>
      <c r="H29" s="1">
        <v>-2.98</v>
      </c>
      <c r="I29" s="34">
        <v>39722</v>
      </c>
      <c r="J29" s="1">
        <v>181.93</v>
      </c>
      <c r="K29" s="34">
        <v>39722</v>
      </c>
      <c r="L29" s="1">
        <v>654.29999999999995</v>
      </c>
      <c r="M29" s="34">
        <v>39722</v>
      </c>
      <c r="N29" s="1">
        <v>99.7</v>
      </c>
    </row>
    <row r="30" spans="1:14" x14ac:dyDescent="0.25">
      <c r="A30" s="34">
        <v>39753</v>
      </c>
      <c r="B30" s="1">
        <v>645.20000000000005</v>
      </c>
      <c r="C30" s="34">
        <v>39753</v>
      </c>
      <c r="D30" s="1">
        <v>123</v>
      </c>
      <c r="E30" s="34">
        <v>39753</v>
      </c>
      <c r="F30" s="1">
        <v>4.5</v>
      </c>
      <c r="G30" s="34">
        <v>39753</v>
      </c>
      <c r="H30" s="1">
        <v>-3.25</v>
      </c>
      <c r="I30" s="34">
        <v>39753</v>
      </c>
      <c r="J30" s="1">
        <v>181.09</v>
      </c>
      <c r="K30" s="34">
        <v>39753</v>
      </c>
      <c r="L30" s="1">
        <v>650.4</v>
      </c>
      <c r="M30" s="34">
        <v>39753</v>
      </c>
      <c r="N30" s="1">
        <v>101.1</v>
      </c>
    </row>
    <row r="31" spans="1:14" x14ac:dyDescent="0.25">
      <c r="A31" s="34">
        <v>39783</v>
      </c>
      <c r="B31" s="1">
        <v>641.79999999999995</v>
      </c>
      <c r="C31" s="34">
        <v>39783</v>
      </c>
      <c r="D31" s="1">
        <v>206</v>
      </c>
      <c r="E31" s="34">
        <v>39783</v>
      </c>
      <c r="F31" s="1">
        <v>4.8</v>
      </c>
      <c r="G31" s="34">
        <v>39783</v>
      </c>
      <c r="H31" s="1">
        <v>-3.61</v>
      </c>
      <c r="I31" s="34">
        <v>39783</v>
      </c>
      <c r="J31" s="1">
        <v>180.06</v>
      </c>
      <c r="K31" s="34">
        <v>39783</v>
      </c>
      <c r="L31" s="1">
        <v>649.5</v>
      </c>
      <c r="M31" s="34">
        <v>39783</v>
      </c>
      <c r="N31" s="1">
        <v>101</v>
      </c>
    </row>
    <row r="32" spans="1:14" x14ac:dyDescent="0.25">
      <c r="A32" s="34">
        <v>39814</v>
      </c>
      <c r="B32" s="1">
        <v>640.1</v>
      </c>
      <c r="C32" s="34">
        <v>39814</v>
      </c>
      <c r="D32" s="1">
        <v>73</v>
      </c>
      <c r="E32" s="34">
        <v>39814</v>
      </c>
      <c r="F32" s="1">
        <v>5.2</v>
      </c>
      <c r="G32" s="34">
        <v>39814</v>
      </c>
      <c r="H32" s="1">
        <v>-3.34</v>
      </c>
      <c r="I32" s="34">
        <v>39814</v>
      </c>
      <c r="J32" s="1">
        <v>178.93</v>
      </c>
      <c r="K32" s="34">
        <v>39814</v>
      </c>
      <c r="L32" s="1">
        <v>628.1</v>
      </c>
      <c r="M32" s="34">
        <v>39814</v>
      </c>
      <c r="N32" s="1">
        <v>96.3</v>
      </c>
    </row>
    <row r="33" spans="1:14" x14ac:dyDescent="0.25">
      <c r="A33" s="34">
        <v>39845</v>
      </c>
      <c r="B33" s="1">
        <v>636.20000000000005</v>
      </c>
      <c r="C33" s="34">
        <v>39845</v>
      </c>
      <c r="D33" s="1">
        <v>78</v>
      </c>
      <c r="E33" s="34">
        <v>39845</v>
      </c>
      <c r="F33" s="1">
        <v>5.5</v>
      </c>
      <c r="G33" s="34">
        <v>39845</v>
      </c>
      <c r="H33" s="1">
        <v>-2.6</v>
      </c>
      <c r="I33" s="34">
        <v>39845</v>
      </c>
      <c r="J33" s="1">
        <v>177.79</v>
      </c>
      <c r="K33" s="34">
        <v>39845</v>
      </c>
      <c r="L33" s="1">
        <v>625.4</v>
      </c>
      <c r="M33" s="34">
        <v>39845</v>
      </c>
      <c r="N33" s="1">
        <v>99.1</v>
      </c>
    </row>
    <row r="34" spans="1:14" x14ac:dyDescent="0.25">
      <c r="A34" s="34">
        <v>39873</v>
      </c>
      <c r="B34" s="1">
        <v>631.6</v>
      </c>
      <c r="C34" s="34">
        <v>39873</v>
      </c>
      <c r="D34" s="1">
        <v>110</v>
      </c>
      <c r="E34" s="34">
        <v>39873</v>
      </c>
      <c r="F34" s="1">
        <v>5.8</v>
      </c>
      <c r="G34" s="34">
        <v>39873</v>
      </c>
      <c r="H34" s="1">
        <v>-2.12</v>
      </c>
      <c r="I34" s="34">
        <v>39873</v>
      </c>
      <c r="J34" s="1">
        <v>176.75</v>
      </c>
      <c r="K34" s="34">
        <v>39873</v>
      </c>
      <c r="L34" s="1">
        <v>622.29999999999995</v>
      </c>
      <c r="M34" s="34">
        <v>39873</v>
      </c>
      <c r="N34" s="1">
        <v>99.5</v>
      </c>
    </row>
    <row r="35" spans="1:14" x14ac:dyDescent="0.25">
      <c r="A35" s="34">
        <v>39904</v>
      </c>
      <c r="B35" s="1">
        <v>629.4</v>
      </c>
      <c r="C35" s="34">
        <v>39904</v>
      </c>
      <c r="D35" s="1">
        <v>168</v>
      </c>
      <c r="E35" s="34">
        <v>39904</v>
      </c>
      <c r="F35" s="1">
        <v>6</v>
      </c>
      <c r="G35" s="34">
        <v>39904</v>
      </c>
      <c r="H35" s="1">
        <v>-1.45</v>
      </c>
      <c r="I35" s="34">
        <v>39904</v>
      </c>
      <c r="J35" s="1">
        <v>175.86</v>
      </c>
      <c r="K35" s="34">
        <v>39904</v>
      </c>
      <c r="L35" s="1">
        <v>624.1</v>
      </c>
      <c r="M35" s="34">
        <v>39904</v>
      </c>
      <c r="N35" s="1">
        <v>99.5</v>
      </c>
    </row>
    <row r="36" spans="1:14" x14ac:dyDescent="0.25">
      <c r="A36" s="34">
        <v>39934</v>
      </c>
      <c r="B36" s="1">
        <v>630.6</v>
      </c>
      <c r="C36" s="34">
        <v>39934</v>
      </c>
      <c r="D36" s="1">
        <v>280</v>
      </c>
      <c r="E36" s="34">
        <v>39934</v>
      </c>
      <c r="F36" s="1">
        <v>6.2</v>
      </c>
      <c r="G36" s="34">
        <v>39934</v>
      </c>
      <c r="H36" s="1">
        <v>-1.1399999999999999</v>
      </c>
      <c r="I36" s="34">
        <v>39934</v>
      </c>
      <c r="J36" s="1">
        <v>175.12</v>
      </c>
      <c r="K36" s="34">
        <v>39934</v>
      </c>
      <c r="L36" s="1">
        <v>633.29999999999995</v>
      </c>
      <c r="M36" s="34">
        <v>39934</v>
      </c>
      <c r="N36" s="1">
        <v>100</v>
      </c>
    </row>
    <row r="37" spans="1:14" x14ac:dyDescent="0.25">
      <c r="A37" s="34">
        <v>39965</v>
      </c>
      <c r="B37" s="1">
        <v>628.4</v>
      </c>
      <c r="C37" s="34">
        <v>39965</v>
      </c>
      <c r="D37" s="1">
        <v>192</v>
      </c>
      <c r="E37" s="34">
        <v>39965</v>
      </c>
      <c r="F37" s="1">
        <v>6.3</v>
      </c>
      <c r="G37" s="34">
        <v>39965</v>
      </c>
      <c r="H37" s="1">
        <v>-0.88</v>
      </c>
      <c r="I37" s="34">
        <v>39965</v>
      </c>
      <c r="J37" s="1">
        <v>174.53</v>
      </c>
      <c r="K37" s="34">
        <v>39965</v>
      </c>
      <c r="L37" s="1">
        <v>635.9</v>
      </c>
      <c r="M37" s="34">
        <v>39965</v>
      </c>
      <c r="N37" s="1">
        <v>95.8</v>
      </c>
    </row>
    <row r="38" spans="1:14" x14ac:dyDescent="0.25">
      <c r="A38" s="34">
        <v>39995</v>
      </c>
      <c r="B38" s="1">
        <v>624.5</v>
      </c>
      <c r="C38" s="34">
        <v>39995</v>
      </c>
      <c r="D38" s="1">
        <v>188</v>
      </c>
      <c r="E38" s="34">
        <v>39995</v>
      </c>
      <c r="F38" s="1">
        <v>6.5</v>
      </c>
      <c r="G38" s="34">
        <v>39995</v>
      </c>
      <c r="H38" s="1">
        <v>-0.46</v>
      </c>
      <c r="I38" s="34">
        <v>39995</v>
      </c>
      <c r="J38" s="1">
        <v>174.05</v>
      </c>
      <c r="K38" s="34">
        <v>39995</v>
      </c>
      <c r="L38" s="1">
        <v>624.79999999999995</v>
      </c>
      <c r="M38" s="34">
        <v>39995</v>
      </c>
      <c r="N38" s="1">
        <v>83.7</v>
      </c>
    </row>
    <row r="39" spans="1:14" x14ac:dyDescent="0.25">
      <c r="A39" s="34">
        <v>40026</v>
      </c>
      <c r="B39" s="1">
        <v>624.70000000000005</v>
      </c>
      <c r="C39" s="34">
        <v>40026</v>
      </c>
      <c r="D39" s="1">
        <v>229</v>
      </c>
      <c r="E39" s="34">
        <v>40026</v>
      </c>
      <c r="F39" s="1">
        <v>6.6</v>
      </c>
      <c r="G39" s="34">
        <v>40026</v>
      </c>
      <c r="H39" s="1">
        <v>0.46</v>
      </c>
      <c r="I39" s="34">
        <v>40026</v>
      </c>
      <c r="J39" s="1">
        <v>173.73</v>
      </c>
      <c r="K39" s="34">
        <v>40026</v>
      </c>
      <c r="L39" s="1">
        <v>625.20000000000005</v>
      </c>
      <c r="M39" s="34">
        <v>40026</v>
      </c>
      <c r="N39" s="1">
        <v>83.9</v>
      </c>
    </row>
    <row r="40" spans="1:14" x14ac:dyDescent="0.25">
      <c r="A40" s="34">
        <v>40057</v>
      </c>
      <c r="B40" s="1">
        <v>624.9</v>
      </c>
      <c r="C40" s="34">
        <v>40057</v>
      </c>
      <c r="D40" s="1">
        <v>205</v>
      </c>
      <c r="E40" s="34">
        <v>40057</v>
      </c>
      <c r="F40" s="1">
        <v>6.6</v>
      </c>
      <c r="G40" s="34">
        <v>40057</v>
      </c>
      <c r="H40" s="1">
        <v>0.38</v>
      </c>
      <c r="I40" s="34">
        <v>40057</v>
      </c>
      <c r="J40" s="1">
        <v>173.56</v>
      </c>
      <c r="K40" s="34">
        <v>40057</v>
      </c>
      <c r="L40" s="1">
        <v>630.6</v>
      </c>
      <c r="M40" s="34">
        <v>40057</v>
      </c>
      <c r="N40" s="1">
        <v>96.9</v>
      </c>
    </row>
    <row r="41" spans="1:14" x14ac:dyDescent="0.25">
      <c r="A41" s="34">
        <v>40087</v>
      </c>
      <c r="B41" s="1">
        <v>624.5</v>
      </c>
      <c r="C41" s="34">
        <v>40087</v>
      </c>
      <c r="D41" s="1">
        <v>243</v>
      </c>
      <c r="E41" s="34">
        <v>40087</v>
      </c>
      <c r="F41" s="1">
        <v>6.7</v>
      </c>
      <c r="G41" s="34">
        <v>40087</v>
      </c>
      <c r="H41" s="1">
        <v>0.18</v>
      </c>
      <c r="I41" s="34">
        <v>40087</v>
      </c>
      <c r="J41" s="1">
        <v>173.47</v>
      </c>
      <c r="K41" s="34">
        <v>40087</v>
      </c>
      <c r="L41" s="1">
        <v>631.5</v>
      </c>
      <c r="M41" s="34">
        <v>40087</v>
      </c>
      <c r="N41" s="1">
        <v>100.6</v>
      </c>
    </row>
    <row r="42" spans="1:14" x14ac:dyDescent="0.25">
      <c r="A42" s="34">
        <v>40118</v>
      </c>
      <c r="B42" s="1">
        <v>623.5</v>
      </c>
      <c r="C42" s="34">
        <v>40118</v>
      </c>
      <c r="D42" s="1">
        <v>124</v>
      </c>
      <c r="E42" s="34">
        <v>40118</v>
      </c>
      <c r="F42" s="1">
        <v>6.7</v>
      </c>
      <c r="G42" s="34">
        <v>40118</v>
      </c>
      <c r="H42" s="1">
        <v>0.81</v>
      </c>
      <c r="I42" s="34">
        <v>40118</v>
      </c>
      <c r="J42" s="1">
        <v>173.46</v>
      </c>
      <c r="K42" s="34">
        <v>40118</v>
      </c>
      <c r="L42" s="1">
        <v>628.5</v>
      </c>
      <c r="M42" s="34">
        <v>40118</v>
      </c>
      <c r="N42" s="1">
        <v>101.4</v>
      </c>
    </row>
    <row r="43" spans="1:14" x14ac:dyDescent="0.25">
      <c r="A43" s="34">
        <v>40148</v>
      </c>
      <c r="B43" s="1">
        <v>624.79999999999995</v>
      </c>
      <c r="C43" s="34">
        <v>40148</v>
      </c>
      <c r="D43" s="1">
        <v>184</v>
      </c>
      <c r="E43" s="34">
        <v>40148</v>
      </c>
      <c r="F43" s="1">
        <v>6.7</v>
      </c>
      <c r="G43" s="34">
        <v>40148</v>
      </c>
      <c r="H43" s="1">
        <v>1.06</v>
      </c>
      <c r="I43" s="34">
        <v>40148</v>
      </c>
      <c r="J43" s="1">
        <v>173.54</v>
      </c>
      <c r="K43" s="34">
        <v>40148</v>
      </c>
      <c r="L43" s="1">
        <v>631.6</v>
      </c>
      <c r="M43" s="34">
        <v>40148</v>
      </c>
      <c r="N43" s="1">
        <v>101.4</v>
      </c>
    </row>
    <row r="44" spans="1:14" x14ac:dyDescent="0.25">
      <c r="A44" s="34">
        <v>40179</v>
      </c>
      <c r="B44" s="1">
        <v>621.29999999999995</v>
      </c>
      <c r="C44" s="34">
        <v>40179</v>
      </c>
      <c r="D44" s="1">
        <v>202</v>
      </c>
      <c r="E44" s="34">
        <v>40179</v>
      </c>
      <c r="F44" s="1">
        <v>6.7</v>
      </c>
      <c r="G44" s="34">
        <v>40179</v>
      </c>
      <c r="H44" s="1">
        <v>1.38</v>
      </c>
      <c r="I44" s="34">
        <v>40179</v>
      </c>
      <c r="J44" s="1">
        <v>173.72</v>
      </c>
      <c r="K44" s="34">
        <v>40179</v>
      </c>
      <c r="L44" s="1">
        <v>609.6</v>
      </c>
      <c r="M44" s="34">
        <v>40179</v>
      </c>
      <c r="N44" s="1">
        <v>95.2</v>
      </c>
    </row>
    <row r="45" spans="1:14" x14ac:dyDescent="0.25">
      <c r="A45" s="34">
        <v>40210</v>
      </c>
      <c r="B45" s="1">
        <v>623.1</v>
      </c>
      <c r="C45" s="34">
        <v>40210</v>
      </c>
      <c r="D45" s="1">
        <v>369</v>
      </c>
      <c r="E45" s="34">
        <v>40210</v>
      </c>
      <c r="F45" s="1">
        <v>6.6</v>
      </c>
      <c r="G45" s="34">
        <v>40210</v>
      </c>
      <c r="H45" s="1">
        <v>1.91</v>
      </c>
      <c r="I45" s="34">
        <v>40210</v>
      </c>
      <c r="J45" s="1">
        <v>174.02</v>
      </c>
      <c r="K45" s="34">
        <v>40210</v>
      </c>
      <c r="L45" s="1">
        <v>612.70000000000005</v>
      </c>
      <c r="M45" s="34">
        <v>40210</v>
      </c>
      <c r="N45" s="1">
        <v>100.3</v>
      </c>
    </row>
    <row r="46" spans="1:14" x14ac:dyDescent="0.25">
      <c r="A46" s="34">
        <v>40238</v>
      </c>
      <c r="B46" s="1">
        <v>624.5</v>
      </c>
      <c r="C46" s="34">
        <v>40238</v>
      </c>
      <c r="D46" s="1">
        <v>170</v>
      </c>
      <c r="E46" s="34">
        <v>40238</v>
      </c>
      <c r="F46" s="1">
        <v>6.5</v>
      </c>
      <c r="G46" s="34">
        <v>40238</v>
      </c>
      <c r="H46" s="1">
        <v>1.6</v>
      </c>
      <c r="I46" s="34">
        <v>40238</v>
      </c>
      <c r="J46" s="1">
        <v>174.41</v>
      </c>
      <c r="K46" s="34">
        <v>40238</v>
      </c>
      <c r="L46" s="1">
        <v>615.4</v>
      </c>
      <c r="M46" s="34">
        <v>40238</v>
      </c>
      <c r="N46" s="1">
        <v>101.5</v>
      </c>
    </row>
    <row r="47" spans="1:14" x14ac:dyDescent="0.25">
      <c r="A47" s="34">
        <v>40269</v>
      </c>
      <c r="B47" s="1">
        <v>625.1</v>
      </c>
      <c r="C47" s="34">
        <v>40269</v>
      </c>
      <c r="D47" s="1">
        <v>226</v>
      </c>
      <c r="E47" s="34">
        <v>40269</v>
      </c>
      <c r="F47" s="1">
        <v>6.4</v>
      </c>
      <c r="G47" s="34">
        <v>40269</v>
      </c>
      <c r="H47" s="1">
        <v>1.67</v>
      </c>
      <c r="I47" s="34">
        <v>40269</v>
      </c>
      <c r="J47" s="1">
        <v>174.85</v>
      </c>
      <c r="K47" s="34">
        <v>40269</v>
      </c>
      <c r="L47" s="1">
        <v>619.6</v>
      </c>
      <c r="M47" s="34">
        <v>40269</v>
      </c>
      <c r="N47" s="1">
        <v>100.2</v>
      </c>
    </row>
    <row r="48" spans="1:14" x14ac:dyDescent="0.25">
      <c r="A48" s="34">
        <v>40299</v>
      </c>
      <c r="B48" s="1">
        <v>627.1</v>
      </c>
      <c r="C48" s="34">
        <v>40299</v>
      </c>
      <c r="D48" s="1">
        <v>226</v>
      </c>
      <c r="E48" s="34">
        <v>40299</v>
      </c>
      <c r="F48" s="1">
        <v>6.2</v>
      </c>
      <c r="G48" s="34">
        <v>40299</v>
      </c>
      <c r="H48" s="1">
        <v>1.58</v>
      </c>
      <c r="I48" s="34">
        <v>40299</v>
      </c>
      <c r="J48" s="1">
        <v>175.32</v>
      </c>
      <c r="K48" s="34">
        <v>40299</v>
      </c>
      <c r="L48" s="1">
        <v>629.79999999999995</v>
      </c>
      <c r="M48" s="34">
        <v>40299</v>
      </c>
      <c r="N48" s="1">
        <v>101.6</v>
      </c>
    </row>
    <row r="49" spans="1:14" x14ac:dyDescent="0.25">
      <c r="A49" s="34">
        <v>40330</v>
      </c>
      <c r="B49" s="1">
        <v>625.4</v>
      </c>
      <c r="C49" s="34">
        <v>40330</v>
      </c>
      <c r="D49" s="1">
        <v>350</v>
      </c>
      <c r="E49" s="34">
        <v>40330</v>
      </c>
      <c r="F49" s="1">
        <v>6.1</v>
      </c>
      <c r="G49" s="34">
        <v>40330</v>
      </c>
      <c r="H49" s="1">
        <v>0.94</v>
      </c>
      <c r="I49" s="34">
        <v>40330</v>
      </c>
      <c r="J49" s="1">
        <v>175.73</v>
      </c>
      <c r="K49" s="34">
        <v>40330</v>
      </c>
      <c r="L49" s="1">
        <v>633</v>
      </c>
      <c r="M49" s="34">
        <v>40330</v>
      </c>
      <c r="N49" s="1">
        <v>94.7</v>
      </c>
    </row>
    <row r="50" spans="1:14" x14ac:dyDescent="0.25">
      <c r="A50" s="34">
        <v>40360</v>
      </c>
      <c r="B50" s="1">
        <v>625.20000000000005</v>
      </c>
      <c r="C50" s="34">
        <v>40360</v>
      </c>
      <c r="D50" s="1">
        <v>179</v>
      </c>
      <c r="E50" s="34">
        <v>40360</v>
      </c>
      <c r="F50" s="1">
        <v>6</v>
      </c>
      <c r="G50" s="34">
        <v>40360</v>
      </c>
      <c r="H50" s="1">
        <v>1.06</v>
      </c>
      <c r="I50" s="34">
        <v>40360</v>
      </c>
      <c r="J50" s="1">
        <v>176.09</v>
      </c>
      <c r="K50" s="34">
        <v>40360</v>
      </c>
      <c r="L50" s="1">
        <v>625.29999999999995</v>
      </c>
      <c r="M50" s="34">
        <v>40360</v>
      </c>
      <c r="N50" s="1">
        <v>82.9</v>
      </c>
    </row>
    <row r="51" spans="1:14" x14ac:dyDescent="0.25">
      <c r="A51" s="34">
        <v>40391</v>
      </c>
      <c r="B51" s="1">
        <v>625.1</v>
      </c>
      <c r="C51" s="34">
        <v>40391</v>
      </c>
      <c r="D51" s="1">
        <v>222</v>
      </c>
      <c r="E51" s="34">
        <v>40391</v>
      </c>
      <c r="F51" s="1">
        <v>5.9</v>
      </c>
      <c r="G51" s="34">
        <v>40391</v>
      </c>
      <c r="H51" s="1">
        <v>0.82</v>
      </c>
      <c r="I51" s="34">
        <v>40391</v>
      </c>
      <c r="J51" s="1">
        <v>176.4</v>
      </c>
      <c r="K51" s="34">
        <v>40391</v>
      </c>
      <c r="L51" s="1">
        <v>625.29999999999995</v>
      </c>
      <c r="M51" s="34">
        <v>40391</v>
      </c>
      <c r="N51" s="1">
        <v>82.4</v>
      </c>
    </row>
    <row r="52" spans="1:14" x14ac:dyDescent="0.25">
      <c r="A52" s="34">
        <v>40422</v>
      </c>
      <c r="B52" s="1">
        <v>624.6</v>
      </c>
      <c r="C52" s="34">
        <v>40422</v>
      </c>
      <c r="D52" s="1">
        <v>195</v>
      </c>
      <c r="E52" s="34">
        <v>40422</v>
      </c>
      <c r="F52" s="1">
        <v>5.9</v>
      </c>
      <c r="G52" s="34">
        <v>40422</v>
      </c>
      <c r="H52" s="1">
        <v>0.68</v>
      </c>
      <c r="I52" s="34">
        <v>40422</v>
      </c>
      <c r="J52" s="1">
        <v>176.66</v>
      </c>
      <c r="K52" s="34">
        <v>40422</v>
      </c>
      <c r="L52" s="1">
        <v>630.5</v>
      </c>
      <c r="M52" s="34">
        <v>40422</v>
      </c>
      <c r="N52" s="1">
        <v>95.9</v>
      </c>
    </row>
    <row r="53" spans="1:14" x14ac:dyDescent="0.25">
      <c r="A53" s="34">
        <v>40452</v>
      </c>
      <c r="B53" s="1">
        <v>626.4</v>
      </c>
      <c r="C53" s="34">
        <v>40452</v>
      </c>
      <c r="D53" s="1">
        <v>218</v>
      </c>
      <c r="E53" s="34">
        <v>40452</v>
      </c>
      <c r="F53" s="1">
        <v>5.9</v>
      </c>
      <c r="G53" s="34">
        <v>40452</v>
      </c>
      <c r="H53" s="1">
        <v>1.35</v>
      </c>
      <c r="I53" s="34">
        <v>40452</v>
      </c>
      <c r="J53" s="1">
        <v>176.94</v>
      </c>
      <c r="K53" s="34">
        <v>40452</v>
      </c>
      <c r="L53" s="1">
        <v>631.79999999999995</v>
      </c>
      <c r="M53" s="34">
        <v>40452</v>
      </c>
      <c r="N53" s="1">
        <v>98.2</v>
      </c>
    </row>
    <row r="54" spans="1:14" x14ac:dyDescent="0.25">
      <c r="A54" s="34">
        <v>40483</v>
      </c>
      <c r="B54" s="1">
        <v>625.20000000000005</v>
      </c>
      <c r="C54" s="34">
        <v>40483</v>
      </c>
      <c r="D54" s="1">
        <v>209</v>
      </c>
      <c r="E54" s="34">
        <v>40483</v>
      </c>
      <c r="F54" s="1">
        <v>5.8</v>
      </c>
      <c r="G54" s="34">
        <v>40483</v>
      </c>
      <c r="H54" s="1">
        <v>1.63</v>
      </c>
      <c r="I54" s="34">
        <v>40483</v>
      </c>
      <c r="J54" s="1">
        <v>177.27</v>
      </c>
      <c r="K54" s="34">
        <v>40483</v>
      </c>
      <c r="L54" s="1">
        <v>630.5</v>
      </c>
      <c r="M54" s="34">
        <v>40483</v>
      </c>
      <c r="N54" s="1">
        <v>99.1</v>
      </c>
    </row>
    <row r="55" spans="1:14" x14ac:dyDescent="0.25">
      <c r="A55" s="34">
        <v>40513</v>
      </c>
      <c r="B55" s="1">
        <v>626.6</v>
      </c>
      <c r="C55" s="34">
        <v>40513</v>
      </c>
      <c r="D55" s="1">
        <v>208</v>
      </c>
      <c r="E55" s="34">
        <v>40513</v>
      </c>
      <c r="F55" s="1">
        <v>5.7</v>
      </c>
      <c r="G55" s="34">
        <v>40513</v>
      </c>
      <c r="H55" s="1">
        <v>1.2</v>
      </c>
      <c r="I55" s="34">
        <v>40513</v>
      </c>
      <c r="J55" s="1">
        <v>177.66</v>
      </c>
      <c r="K55" s="34">
        <v>40513</v>
      </c>
      <c r="L55" s="1">
        <v>634.4</v>
      </c>
      <c r="M55" s="34">
        <v>40513</v>
      </c>
      <c r="N55" s="1">
        <v>98.9</v>
      </c>
    </row>
    <row r="56" spans="1:14" x14ac:dyDescent="0.25">
      <c r="A56" s="34">
        <v>40544</v>
      </c>
      <c r="B56" s="1">
        <v>626.20000000000005</v>
      </c>
      <c r="C56" s="34">
        <v>40544</v>
      </c>
      <c r="D56" s="1">
        <v>103</v>
      </c>
      <c r="E56" s="34">
        <v>40544</v>
      </c>
      <c r="F56" s="1">
        <v>5.6</v>
      </c>
      <c r="G56" s="34">
        <v>40544</v>
      </c>
      <c r="H56" s="1">
        <v>1.18</v>
      </c>
      <c r="I56" s="34">
        <v>40544</v>
      </c>
      <c r="J56" s="1">
        <v>178.06</v>
      </c>
      <c r="K56" s="34">
        <v>40544</v>
      </c>
      <c r="L56" s="1">
        <v>613.9</v>
      </c>
      <c r="M56" s="34">
        <v>40544</v>
      </c>
      <c r="N56" s="1">
        <v>92</v>
      </c>
    </row>
    <row r="57" spans="1:14" x14ac:dyDescent="0.25">
      <c r="A57" s="34">
        <v>40575</v>
      </c>
      <c r="B57" s="1">
        <v>627.29999999999995</v>
      </c>
      <c r="C57" s="34">
        <v>40575</v>
      </c>
      <c r="D57" s="1">
        <v>305</v>
      </c>
      <c r="E57" s="34">
        <v>40575</v>
      </c>
      <c r="F57" s="1">
        <v>5.5</v>
      </c>
      <c r="G57" s="34">
        <v>40575</v>
      </c>
      <c r="H57" s="1">
        <v>0.9</v>
      </c>
      <c r="I57" s="34">
        <v>40575</v>
      </c>
      <c r="J57" s="1">
        <v>178.44</v>
      </c>
      <c r="K57" s="34">
        <v>40575</v>
      </c>
      <c r="L57" s="1">
        <v>617.1</v>
      </c>
      <c r="M57" s="34">
        <v>40575</v>
      </c>
      <c r="N57" s="1">
        <v>96.8</v>
      </c>
    </row>
    <row r="58" spans="1:14" x14ac:dyDescent="0.25">
      <c r="A58" s="34">
        <v>40603</v>
      </c>
      <c r="B58" s="1">
        <v>628.20000000000005</v>
      </c>
      <c r="C58" s="34">
        <v>40603</v>
      </c>
      <c r="D58" s="1">
        <v>184</v>
      </c>
      <c r="E58" s="34">
        <v>40603</v>
      </c>
      <c r="F58" s="1">
        <v>5.4</v>
      </c>
      <c r="G58" s="34">
        <v>40603</v>
      </c>
      <c r="H58" s="1">
        <v>0.51</v>
      </c>
      <c r="I58" s="34">
        <v>40603</v>
      </c>
      <c r="J58" s="1">
        <v>178.76</v>
      </c>
      <c r="K58" s="34">
        <v>40603</v>
      </c>
      <c r="L58" s="1">
        <v>619.1</v>
      </c>
      <c r="M58" s="34">
        <v>40603</v>
      </c>
      <c r="N58" s="1">
        <v>97.1</v>
      </c>
    </row>
    <row r="59" spans="1:14" x14ac:dyDescent="0.25">
      <c r="A59" s="34">
        <v>40634</v>
      </c>
      <c r="B59" s="1">
        <v>629.79999999999995</v>
      </c>
      <c r="C59" s="34">
        <v>40634</v>
      </c>
      <c r="D59" s="1">
        <v>139</v>
      </c>
      <c r="E59" s="34">
        <v>40634</v>
      </c>
      <c r="F59" s="1">
        <v>5.4</v>
      </c>
      <c r="G59" s="34">
        <v>40634</v>
      </c>
      <c r="H59" s="1">
        <v>-0.16</v>
      </c>
      <c r="I59" s="34">
        <v>40634</v>
      </c>
      <c r="J59" s="1">
        <v>178.95</v>
      </c>
      <c r="K59" s="34">
        <v>40634</v>
      </c>
      <c r="L59" s="1">
        <v>624.79999999999995</v>
      </c>
      <c r="M59" s="34">
        <v>40634</v>
      </c>
      <c r="N59" s="1">
        <v>95.9</v>
      </c>
    </row>
    <row r="60" spans="1:14" x14ac:dyDescent="0.25">
      <c r="A60" s="34">
        <v>40664</v>
      </c>
      <c r="B60" s="1">
        <v>628.29999999999995</v>
      </c>
      <c r="C60" s="34">
        <v>40664</v>
      </c>
      <c r="D60" s="1">
        <v>247</v>
      </c>
      <c r="E60" s="34">
        <v>40664</v>
      </c>
      <c r="F60" s="1">
        <v>5.5</v>
      </c>
      <c r="G60" s="34">
        <v>40664</v>
      </c>
      <c r="H60" s="1">
        <v>-0.03</v>
      </c>
      <c r="I60" s="34">
        <v>40664</v>
      </c>
      <c r="J60" s="1">
        <v>179.04</v>
      </c>
      <c r="K60" s="34">
        <v>40664</v>
      </c>
      <c r="L60" s="1">
        <v>631</v>
      </c>
      <c r="M60" s="34">
        <v>40664</v>
      </c>
      <c r="N60" s="1">
        <v>96.5</v>
      </c>
    </row>
    <row r="61" spans="1:14" x14ac:dyDescent="0.25">
      <c r="A61" s="34">
        <v>40695</v>
      </c>
      <c r="B61" s="1">
        <v>626.79999999999995</v>
      </c>
      <c r="C61" s="34">
        <v>40695</v>
      </c>
      <c r="D61" s="1">
        <v>165</v>
      </c>
      <c r="E61" s="34">
        <v>40695</v>
      </c>
      <c r="F61" s="1">
        <v>5.6</v>
      </c>
      <c r="G61" s="34">
        <v>40695</v>
      </c>
      <c r="H61" s="1">
        <v>0.87</v>
      </c>
      <c r="I61" s="34">
        <v>40695</v>
      </c>
      <c r="J61" s="1">
        <v>179.13</v>
      </c>
      <c r="K61" s="34">
        <v>40695</v>
      </c>
      <c r="L61" s="1">
        <v>634.6</v>
      </c>
      <c r="M61" s="34">
        <v>40695</v>
      </c>
      <c r="N61" s="1">
        <v>90</v>
      </c>
    </row>
    <row r="62" spans="1:14" x14ac:dyDescent="0.25">
      <c r="A62" s="34">
        <v>40725</v>
      </c>
      <c r="B62" s="1">
        <v>626.4</v>
      </c>
      <c r="C62" s="34">
        <v>40725</v>
      </c>
      <c r="D62" s="1">
        <v>187</v>
      </c>
      <c r="E62" s="34">
        <v>40725</v>
      </c>
      <c r="F62" s="1">
        <v>5.6</v>
      </c>
      <c r="G62" s="34">
        <v>40725</v>
      </c>
      <c r="H62" s="1">
        <v>1.47</v>
      </c>
      <c r="I62" s="34">
        <v>40725</v>
      </c>
      <c r="J62" s="1">
        <v>179.29</v>
      </c>
      <c r="K62" s="34">
        <v>40725</v>
      </c>
      <c r="L62" s="1">
        <v>628.5</v>
      </c>
      <c r="M62" s="34">
        <v>40725</v>
      </c>
      <c r="N62" s="1">
        <v>78.400000000000006</v>
      </c>
    </row>
    <row r="63" spans="1:14" x14ac:dyDescent="0.25">
      <c r="A63" s="34">
        <v>40756</v>
      </c>
      <c r="B63" s="1">
        <v>627.29999999999995</v>
      </c>
      <c r="C63" s="34">
        <v>40756</v>
      </c>
      <c r="D63" s="1">
        <v>183</v>
      </c>
      <c r="E63" s="34">
        <v>40756</v>
      </c>
      <c r="F63" s="1">
        <v>5.6</v>
      </c>
      <c r="G63" s="34">
        <v>40756</v>
      </c>
      <c r="H63" s="1">
        <v>1.43</v>
      </c>
      <c r="I63" s="34">
        <v>40756</v>
      </c>
      <c r="J63" s="1">
        <v>179.54</v>
      </c>
      <c r="K63" s="34">
        <v>40756</v>
      </c>
      <c r="L63" s="1">
        <v>627.6</v>
      </c>
      <c r="M63" s="34">
        <v>40756</v>
      </c>
      <c r="N63" s="1">
        <v>77</v>
      </c>
    </row>
    <row r="64" spans="1:14" x14ac:dyDescent="0.25">
      <c r="A64" s="34">
        <v>40787</v>
      </c>
      <c r="B64" s="1">
        <v>629</v>
      </c>
      <c r="C64" s="34">
        <v>40787</v>
      </c>
      <c r="D64" s="1">
        <v>309</v>
      </c>
      <c r="E64" s="34">
        <v>40787</v>
      </c>
      <c r="F64" s="1">
        <v>5.6</v>
      </c>
      <c r="G64" s="34">
        <v>40787</v>
      </c>
      <c r="H64" s="1">
        <v>1.61</v>
      </c>
      <c r="I64" s="34">
        <v>40787</v>
      </c>
      <c r="J64" s="1">
        <v>179.88</v>
      </c>
      <c r="K64" s="34">
        <v>40787</v>
      </c>
      <c r="L64" s="1">
        <v>634.79999999999995</v>
      </c>
      <c r="M64" s="34">
        <v>40787</v>
      </c>
      <c r="N64" s="1">
        <v>92.2</v>
      </c>
    </row>
    <row r="65" spans="1:14" x14ac:dyDescent="0.25">
      <c r="A65" s="34">
        <v>40817</v>
      </c>
      <c r="B65" s="1">
        <v>629.70000000000005</v>
      </c>
      <c r="C65" s="34">
        <v>40817</v>
      </c>
      <c r="D65" s="1">
        <v>149</v>
      </c>
      <c r="E65" s="34">
        <v>40817</v>
      </c>
      <c r="F65" s="1">
        <v>5.5</v>
      </c>
      <c r="G65" s="34">
        <v>40817</v>
      </c>
      <c r="H65" s="1">
        <v>1.75</v>
      </c>
      <c r="I65" s="34">
        <v>40817</v>
      </c>
      <c r="J65" s="1">
        <v>180.3</v>
      </c>
      <c r="K65" s="34">
        <v>40817</v>
      </c>
      <c r="L65" s="1">
        <v>635.1</v>
      </c>
      <c r="M65" s="34">
        <v>40817</v>
      </c>
      <c r="N65" s="1">
        <v>95.2</v>
      </c>
    </row>
    <row r="66" spans="1:14" x14ac:dyDescent="0.25">
      <c r="A66" s="34">
        <v>40848</v>
      </c>
      <c r="B66" s="1">
        <v>630.79999999999995</v>
      </c>
      <c r="C66" s="34">
        <v>40848</v>
      </c>
      <c r="D66" s="1">
        <v>151</v>
      </c>
      <c r="E66" s="34">
        <v>40848</v>
      </c>
      <c r="F66" s="1">
        <v>5.5</v>
      </c>
      <c r="G66" s="34">
        <v>40848</v>
      </c>
      <c r="H66" s="1">
        <v>1.74</v>
      </c>
      <c r="I66" s="34">
        <v>40848</v>
      </c>
      <c r="J66" s="1">
        <v>180.75</v>
      </c>
      <c r="K66" s="34">
        <v>40848</v>
      </c>
      <c r="L66" s="1">
        <v>635.70000000000005</v>
      </c>
      <c r="M66" s="34">
        <v>40848</v>
      </c>
      <c r="N66" s="1">
        <v>96.2</v>
      </c>
    </row>
    <row r="67" spans="1:14" x14ac:dyDescent="0.25">
      <c r="A67" s="34">
        <v>40878</v>
      </c>
      <c r="B67" s="1">
        <v>631</v>
      </c>
      <c r="C67" s="34">
        <v>40878</v>
      </c>
      <c r="D67" s="1">
        <v>136</v>
      </c>
      <c r="E67" s="34">
        <v>40878</v>
      </c>
      <c r="F67" s="1">
        <v>5.4</v>
      </c>
      <c r="G67" s="34">
        <v>40878</v>
      </c>
      <c r="H67" s="1">
        <v>1.88</v>
      </c>
      <c r="I67" s="34">
        <v>40878</v>
      </c>
      <c r="J67" s="1">
        <v>181.24</v>
      </c>
      <c r="K67" s="34">
        <v>40878</v>
      </c>
      <c r="L67" s="1">
        <v>638.4</v>
      </c>
      <c r="M67" s="34">
        <v>40878</v>
      </c>
      <c r="N67" s="1">
        <v>96.4</v>
      </c>
    </row>
    <row r="68" spans="1:14" x14ac:dyDescent="0.25">
      <c r="A68" s="34">
        <v>40909</v>
      </c>
      <c r="B68" s="1">
        <v>632.9</v>
      </c>
      <c r="C68" s="34">
        <v>40909</v>
      </c>
      <c r="D68" s="1">
        <v>124</v>
      </c>
      <c r="E68" s="34">
        <v>40909</v>
      </c>
      <c r="F68" s="1">
        <v>5.3</v>
      </c>
      <c r="G68" s="34">
        <v>40909</v>
      </c>
      <c r="H68" s="1">
        <v>1.35</v>
      </c>
      <c r="I68" s="34">
        <v>40909</v>
      </c>
      <c r="J68" s="1">
        <v>181.71</v>
      </c>
      <c r="K68" s="34">
        <v>40909</v>
      </c>
      <c r="L68" s="1">
        <v>620.5</v>
      </c>
      <c r="M68" s="34">
        <v>40909</v>
      </c>
      <c r="N68" s="1">
        <v>91.3</v>
      </c>
    </row>
    <row r="69" spans="1:14" x14ac:dyDescent="0.25">
      <c r="A69" s="34">
        <v>40940</v>
      </c>
      <c r="B69" s="1">
        <v>631.4</v>
      </c>
      <c r="C69" s="34">
        <v>40940</v>
      </c>
      <c r="D69" s="1">
        <v>90</v>
      </c>
      <c r="E69" s="34">
        <v>40940</v>
      </c>
      <c r="F69" s="1">
        <v>5.3</v>
      </c>
      <c r="G69" s="34">
        <v>40940</v>
      </c>
      <c r="H69" s="1">
        <v>0.82</v>
      </c>
      <c r="I69" s="34">
        <v>40940</v>
      </c>
      <c r="J69" s="1">
        <v>182.11</v>
      </c>
      <c r="K69" s="34">
        <v>40940</v>
      </c>
      <c r="L69" s="1">
        <v>620.9</v>
      </c>
      <c r="M69" s="34">
        <v>40940</v>
      </c>
      <c r="N69" s="1">
        <v>94.5</v>
      </c>
    </row>
    <row r="70" spans="1:14" x14ac:dyDescent="0.25">
      <c r="A70" s="34">
        <v>40969</v>
      </c>
      <c r="B70" s="1">
        <v>633.6</v>
      </c>
      <c r="C70" s="34">
        <v>40969</v>
      </c>
      <c r="D70" s="1">
        <v>154</v>
      </c>
      <c r="E70" s="34">
        <v>40969</v>
      </c>
      <c r="F70" s="1">
        <v>5.3</v>
      </c>
      <c r="G70" s="34">
        <v>40969</v>
      </c>
      <c r="H70" s="1">
        <v>1.05</v>
      </c>
      <c r="I70" s="34">
        <v>40969</v>
      </c>
      <c r="J70" s="1">
        <v>182.44</v>
      </c>
      <c r="K70" s="34">
        <v>40969</v>
      </c>
      <c r="L70" s="1">
        <v>624.6</v>
      </c>
      <c r="M70" s="34">
        <v>40969</v>
      </c>
      <c r="N70" s="1">
        <v>95.4</v>
      </c>
    </row>
    <row r="71" spans="1:14" x14ac:dyDescent="0.25">
      <c r="A71" s="34">
        <v>41000</v>
      </c>
      <c r="B71" s="1">
        <v>633.20000000000005</v>
      </c>
      <c r="C71" s="34">
        <v>41000</v>
      </c>
      <c r="D71" s="1">
        <v>203</v>
      </c>
      <c r="E71" s="34">
        <v>41000</v>
      </c>
      <c r="F71" s="1">
        <v>5.4</v>
      </c>
      <c r="G71" s="34">
        <v>41000</v>
      </c>
      <c r="H71" s="1">
        <v>1</v>
      </c>
      <c r="I71" s="34">
        <v>41000</v>
      </c>
      <c r="J71" s="1">
        <v>182.72</v>
      </c>
      <c r="K71" s="34">
        <v>41000</v>
      </c>
      <c r="L71" s="1">
        <v>627.70000000000005</v>
      </c>
      <c r="M71" s="34">
        <v>41000</v>
      </c>
      <c r="N71" s="1">
        <v>94.8</v>
      </c>
    </row>
    <row r="72" spans="1:14" x14ac:dyDescent="0.25">
      <c r="A72" s="34">
        <v>41030</v>
      </c>
      <c r="B72" s="1">
        <v>632.9</v>
      </c>
      <c r="C72" s="34">
        <v>41030</v>
      </c>
      <c r="D72" s="1">
        <v>289</v>
      </c>
      <c r="E72" s="34">
        <v>41030</v>
      </c>
      <c r="F72" s="1">
        <v>5.5</v>
      </c>
      <c r="G72" s="34">
        <v>41030</v>
      </c>
      <c r="H72" s="1">
        <v>1.7</v>
      </c>
      <c r="I72" s="34">
        <v>41030</v>
      </c>
      <c r="J72" s="1">
        <v>182.99</v>
      </c>
      <c r="K72" s="34">
        <v>41030</v>
      </c>
      <c r="L72" s="1">
        <v>635.70000000000005</v>
      </c>
      <c r="M72" s="34">
        <v>41030</v>
      </c>
      <c r="N72" s="1">
        <v>94.6</v>
      </c>
    </row>
    <row r="73" spans="1:14" x14ac:dyDescent="0.25">
      <c r="A73" s="34">
        <v>41061</v>
      </c>
      <c r="B73" s="1">
        <v>634.5</v>
      </c>
      <c r="C73" s="34">
        <v>41061</v>
      </c>
      <c r="D73" s="1">
        <v>231</v>
      </c>
      <c r="E73" s="34">
        <v>41061</v>
      </c>
      <c r="F73" s="1">
        <v>5.5</v>
      </c>
      <c r="G73" s="34">
        <v>41061</v>
      </c>
      <c r="H73" s="1">
        <v>1.77</v>
      </c>
      <c r="I73" s="34">
        <v>41061</v>
      </c>
      <c r="J73" s="1">
        <v>183.31</v>
      </c>
      <c r="K73" s="34">
        <v>41061</v>
      </c>
      <c r="L73" s="1">
        <v>642.70000000000005</v>
      </c>
      <c r="M73" s="34">
        <v>41061</v>
      </c>
      <c r="N73" s="1">
        <v>87.9</v>
      </c>
    </row>
    <row r="74" spans="1:14" x14ac:dyDescent="0.25">
      <c r="A74" s="34">
        <v>41091</v>
      </c>
      <c r="B74" s="1">
        <v>634.29999999999995</v>
      </c>
      <c r="C74" s="34">
        <v>41091</v>
      </c>
      <c r="D74" s="1">
        <v>235</v>
      </c>
      <c r="E74" s="34">
        <v>41091</v>
      </c>
      <c r="F74" s="1">
        <v>5.6</v>
      </c>
      <c r="G74" s="34">
        <v>41091</v>
      </c>
      <c r="H74" s="1">
        <v>1.29</v>
      </c>
      <c r="I74" s="34">
        <v>41091</v>
      </c>
      <c r="J74" s="1">
        <v>183.65</v>
      </c>
      <c r="K74" s="34">
        <v>41091</v>
      </c>
      <c r="L74" s="1">
        <v>636.70000000000005</v>
      </c>
      <c r="M74" s="34">
        <v>41091</v>
      </c>
      <c r="N74" s="1">
        <v>80</v>
      </c>
    </row>
    <row r="75" spans="1:14" x14ac:dyDescent="0.25">
      <c r="A75" s="34">
        <v>41122</v>
      </c>
      <c r="B75" s="1">
        <v>634.9</v>
      </c>
      <c r="C75" s="34">
        <v>41122</v>
      </c>
      <c r="D75" s="1">
        <v>383</v>
      </c>
      <c r="E75" s="34">
        <v>41122</v>
      </c>
      <c r="F75" s="1">
        <v>5.6</v>
      </c>
      <c r="G75" s="34">
        <v>41122</v>
      </c>
      <c r="H75" s="1">
        <v>1.7</v>
      </c>
      <c r="I75" s="34">
        <v>41122</v>
      </c>
      <c r="J75" s="1">
        <v>184.04</v>
      </c>
      <c r="K75" s="34">
        <v>41122</v>
      </c>
      <c r="L75" s="1">
        <v>638.4</v>
      </c>
      <c r="M75" s="34">
        <v>41122</v>
      </c>
      <c r="N75" s="1">
        <v>79.599999999999994</v>
      </c>
    </row>
    <row r="76" spans="1:14" x14ac:dyDescent="0.25">
      <c r="A76" s="34">
        <v>41153</v>
      </c>
      <c r="B76" s="1">
        <v>637.1</v>
      </c>
      <c r="C76" s="34">
        <v>41153</v>
      </c>
      <c r="D76" s="1">
        <v>190</v>
      </c>
      <c r="E76" s="34">
        <v>41153</v>
      </c>
      <c r="F76" s="1">
        <v>5.6</v>
      </c>
      <c r="G76" s="34">
        <v>41153</v>
      </c>
      <c r="H76" s="1">
        <v>1.37</v>
      </c>
      <c r="I76" s="34">
        <v>41153</v>
      </c>
      <c r="J76" s="1">
        <v>184.44</v>
      </c>
      <c r="K76" s="34">
        <v>41153</v>
      </c>
      <c r="L76" s="1">
        <v>642.4</v>
      </c>
      <c r="M76" s="34">
        <v>41153</v>
      </c>
      <c r="N76" s="1">
        <v>93.4</v>
      </c>
    </row>
    <row r="77" spans="1:14" x14ac:dyDescent="0.25">
      <c r="A77" s="34">
        <v>41183</v>
      </c>
      <c r="B77" s="1">
        <v>637</v>
      </c>
      <c r="C77" s="34">
        <v>41183</v>
      </c>
      <c r="D77" s="1">
        <v>226</v>
      </c>
      <c r="E77" s="34">
        <v>41183</v>
      </c>
      <c r="F77" s="1">
        <v>5.6</v>
      </c>
      <c r="G77" s="34">
        <v>41183</v>
      </c>
      <c r="H77" s="1">
        <v>1.47</v>
      </c>
      <c r="I77" s="34">
        <v>41183</v>
      </c>
      <c r="J77" s="1">
        <v>184.86</v>
      </c>
      <c r="K77" s="34">
        <v>41183</v>
      </c>
      <c r="L77" s="1">
        <v>642.4</v>
      </c>
      <c r="M77" s="34">
        <v>41183</v>
      </c>
      <c r="N77" s="1">
        <v>95.1</v>
      </c>
    </row>
    <row r="78" spans="1:14" x14ac:dyDescent="0.25">
      <c r="A78" s="34">
        <v>41214</v>
      </c>
      <c r="B78" s="1">
        <v>637.20000000000005</v>
      </c>
      <c r="C78" s="34">
        <v>41214</v>
      </c>
      <c r="D78" s="1">
        <v>200</v>
      </c>
      <c r="E78" s="34">
        <v>41214</v>
      </c>
      <c r="F78" s="1">
        <v>5.5</v>
      </c>
      <c r="G78" s="34">
        <v>41214</v>
      </c>
      <c r="H78" s="1">
        <v>1.36</v>
      </c>
      <c r="I78" s="34">
        <v>41214</v>
      </c>
      <c r="J78" s="1">
        <v>185.29</v>
      </c>
      <c r="K78" s="34">
        <v>41214</v>
      </c>
      <c r="L78" s="1">
        <v>641.70000000000005</v>
      </c>
      <c r="M78" s="34">
        <v>41214</v>
      </c>
      <c r="N78" s="1">
        <v>95.8</v>
      </c>
    </row>
    <row r="79" spans="1:14" x14ac:dyDescent="0.25">
      <c r="A79" s="34">
        <v>41244</v>
      </c>
      <c r="B79" s="1">
        <v>637.4</v>
      </c>
      <c r="C79" s="34">
        <v>41244</v>
      </c>
      <c r="D79" s="1">
        <v>198</v>
      </c>
      <c r="E79" s="34">
        <v>41244</v>
      </c>
      <c r="F79" s="1">
        <v>5.5</v>
      </c>
      <c r="G79" s="34">
        <v>41244</v>
      </c>
      <c r="H79" s="1">
        <v>0.98</v>
      </c>
      <c r="I79" s="34">
        <v>41244</v>
      </c>
      <c r="J79" s="1">
        <v>185.7</v>
      </c>
      <c r="K79" s="34">
        <v>41244</v>
      </c>
      <c r="L79" s="1">
        <v>643.79999999999995</v>
      </c>
      <c r="M79" s="34">
        <v>41244</v>
      </c>
      <c r="N79" s="1">
        <v>96.6</v>
      </c>
    </row>
    <row r="80" spans="1:14" x14ac:dyDescent="0.25">
      <c r="A80" s="34">
        <v>41275</v>
      </c>
      <c r="B80" s="1">
        <v>638.20000000000005</v>
      </c>
      <c r="C80" s="34">
        <v>41275</v>
      </c>
      <c r="D80" s="1">
        <v>153</v>
      </c>
      <c r="E80" s="34">
        <v>41275</v>
      </c>
      <c r="F80" s="1">
        <v>5.5</v>
      </c>
      <c r="G80" s="34">
        <v>41275</v>
      </c>
      <c r="H80" s="1">
        <v>1.69</v>
      </c>
      <c r="I80" s="34">
        <v>41275</v>
      </c>
      <c r="J80" s="1">
        <v>186.09</v>
      </c>
      <c r="K80" s="34">
        <v>41275</v>
      </c>
      <c r="L80" s="1">
        <v>625.29999999999995</v>
      </c>
      <c r="M80" s="34">
        <v>41275</v>
      </c>
      <c r="N80" s="1">
        <v>90.2</v>
      </c>
    </row>
    <row r="81" spans="1:14" x14ac:dyDescent="0.25">
      <c r="A81" s="34">
        <v>41306</v>
      </c>
      <c r="B81" s="1">
        <v>638.9</v>
      </c>
      <c r="C81" s="34">
        <v>41306</v>
      </c>
      <c r="D81" s="1">
        <v>135</v>
      </c>
      <c r="E81" s="34">
        <v>41306</v>
      </c>
      <c r="F81" s="1">
        <v>5.4</v>
      </c>
      <c r="G81" s="34">
        <v>41306</v>
      </c>
      <c r="H81" s="1">
        <v>1.89</v>
      </c>
      <c r="I81" s="34">
        <v>41306</v>
      </c>
      <c r="J81" s="1">
        <v>186.52</v>
      </c>
      <c r="K81" s="34">
        <v>41306</v>
      </c>
      <c r="L81" s="1">
        <v>628.29999999999995</v>
      </c>
      <c r="M81" s="34">
        <v>41306</v>
      </c>
      <c r="N81" s="1">
        <v>94.5</v>
      </c>
    </row>
    <row r="82" spans="1:14" x14ac:dyDescent="0.25">
      <c r="A82" s="34">
        <v>41334</v>
      </c>
      <c r="B82" s="1">
        <v>638.1</v>
      </c>
      <c r="C82" s="34">
        <v>41334</v>
      </c>
      <c r="D82" s="1">
        <v>188</v>
      </c>
      <c r="E82" s="34">
        <v>41334</v>
      </c>
      <c r="F82" s="1">
        <v>5.3</v>
      </c>
      <c r="G82" s="34">
        <v>41334</v>
      </c>
      <c r="H82" s="1">
        <v>1.26</v>
      </c>
      <c r="I82" s="34">
        <v>41334</v>
      </c>
      <c r="J82" s="1">
        <v>186.95</v>
      </c>
      <c r="K82" s="34">
        <v>41334</v>
      </c>
      <c r="L82" s="1">
        <v>628.79999999999995</v>
      </c>
      <c r="M82" s="34">
        <v>41334</v>
      </c>
      <c r="N82" s="1">
        <v>93.9</v>
      </c>
    </row>
    <row r="83" spans="1:14" x14ac:dyDescent="0.25">
      <c r="A83" s="34">
        <v>41365</v>
      </c>
      <c r="B83" s="1">
        <v>639.4</v>
      </c>
      <c r="C83" s="34">
        <v>41365</v>
      </c>
      <c r="D83" s="1">
        <v>205</v>
      </c>
      <c r="E83" s="34">
        <v>41365</v>
      </c>
      <c r="F83" s="1">
        <v>5.3</v>
      </c>
      <c r="G83" s="34">
        <v>41365</v>
      </c>
      <c r="H83" s="1">
        <v>1.18</v>
      </c>
      <c r="I83" s="34">
        <v>41365</v>
      </c>
      <c r="J83" s="1">
        <v>187.36</v>
      </c>
      <c r="K83" s="34">
        <v>41365</v>
      </c>
      <c r="L83" s="1">
        <v>634</v>
      </c>
      <c r="M83" s="34">
        <v>41365</v>
      </c>
      <c r="N83" s="1">
        <v>94.2</v>
      </c>
    </row>
    <row r="84" spans="1:14" x14ac:dyDescent="0.25">
      <c r="A84" s="34">
        <v>41395</v>
      </c>
      <c r="B84" s="1">
        <v>640.6</v>
      </c>
      <c r="C84" s="34">
        <v>41395</v>
      </c>
      <c r="D84" s="1">
        <v>281</v>
      </c>
      <c r="E84" s="34">
        <v>41395</v>
      </c>
      <c r="F84" s="1">
        <v>5.2</v>
      </c>
      <c r="G84" s="34">
        <v>41395</v>
      </c>
      <c r="H84" s="1">
        <v>1.17</v>
      </c>
      <c r="I84" s="34">
        <v>41395</v>
      </c>
      <c r="J84" s="1">
        <v>187.73</v>
      </c>
      <c r="K84" s="34">
        <v>41395</v>
      </c>
      <c r="L84" s="1">
        <v>644.29999999999995</v>
      </c>
      <c r="M84" s="34">
        <v>41395</v>
      </c>
      <c r="N84" s="1">
        <v>94.3</v>
      </c>
    </row>
    <row r="85" spans="1:14" x14ac:dyDescent="0.25">
      <c r="A85" s="34">
        <v>41426</v>
      </c>
      <c r="B85" s="1">
        <v>640.9</v>
      </c>
      <c r="C85" s="34">
        <v>41426</v>
      </c>
      <c r="D85" s="1">
        <v>392</v>
      </c>
      <c r="E85" s="34">
        <v>41426</v>
      </c>
      <c r="F85" s="1">
        <v>5.2</v>
      </c>
      <c r="G85" s="34">
        <v>41426</v>
      </c>
      <c r="H85" s="1">
        <v>0.42</v>
      </c>
      <c r="I85" s="34">
        <v>41426</v>
      </c>
      <c r="J85" s="1">
        <v>188.03</v>
      </c>
      <c r="K85" s="34">
        <v>41426</v>
      </c>
      <c r="L85" s="1">
        <v>649.29999999999995</v>
      </c>
      <c r="M85" s="34">
        <v>41426</v>
      </c>
      <c r="N85" s="1">
        <v>88.4</v>
      </c>
    </row>
    <row r="86" spans="1:14" x14ac:dyDescent="0.25">
      <c r="A86" s="34">
        <v>41456</v>
      </c>
      <c r="B86" s="1">
        <v>639.20000000000005</v>
      </c>
      <c r="C86" s="34">
        <v>41456</v>
      </c>
      <c r="D86" s="1">
        <v>316</v>
      </c>
      <c r="E86" s="34">
        <v>41456</v>
      </c>
      <c r="F86" s="1">
        <v>5.3</v>
      </c>
      <c r="G86" s="34">
        <v>41456</v>
      </c>
      <c r="H86" s="1">
        <v>0.81</v>
      </c>
      <c r="I86" s="34">
        <v>41456</v>
      </c>
      <c r="J86" s="1">
        <v>188.28</v>
      </c>
      <c r="K86" s="34">
        <v>41456</v>
      </c>
      <c r="L86" s="1">
        <v>641.79999999999995</v>
      </c>
      <c r="M86" s="34">
        <v>41456</v>
      </c>
      <c r="N86" s="1">
        <v>77.599999999999994</v>
      </c>
    </row>
    <row r="87" spans="1:14" x14ac:dyDescent="0.25">
      <c r="A87" s="34">
        <v>41487</v>
      </c>
      <c r="B87" s="1">
        <v>640.20000000000005</v>
      </c>
      <c r="C87" s="34">
        <v>41487</v>
      </c>
      <c r="D87" s="1">
        <v>208</v>
      </c>
      <c r="E87" s="34">
        <v>41487</v>
      </c>
      <c r="F87" s="1">
        <v>5.3</v>
      </c>
      <c r="G87" s="34">
        <v>41487</v>
      </c>
      <c r="H87" s="1">
        <v>1.77</v>
      </c>
      <c r="I87" s="34">
        <v>41487</v>
      </c>
      <c r="J87" s="1">
        <v>188.58</v>
      </c>
      <c r="K87" s="34">
        <v>41487</v>
      </c>
      <c r="L87" s="1">
        <v>643.9</v>
      </c>
      <c r="M87" s="34">
        <v>41487</v>
      </c>
      <c r="N87" s="1">
        <v>78.7</v>
      </c>
    </row>
    <row r="88" spans="1:14" x14ac:dyDescent="0.25">
      <c r="A88" s="34">
        <v>41518</v>
      </c>
      <c r="B88" s="1">
        <v>639.4</v>
      </c>
      <c r="C88" s="34">
        <v>41518</v>
      </c>
      <c r="D88" s="1">
        <v>243</v>
      </c>
      <c r="E88" s="34">
        <v>41518</v>
      </c>
      <c r="F88" s="1">
        <v>5.2</v>
      </c>
      <c r="G88" s="34">
        <v>41518</v>
      </c>
      <c r="H88" s="1">
        <v>1.53</v>
      </c>
      <c r="I88" s="34">
        <v>41518</v>
      </c>
      <c r="J88" s="1">
        <v>188.93</v>
      </c>
      <c r="K88" s="34">
        <v>41518</v>
      </c>
      <c r="L88" s="1">
        <v>644.5</v>
      </c>
      <c r="M88" s="34">
        <v>41518</v>
      </c>
      <c r="N88" s="1">
        <v>90.3</v>
      </c>
    </row>
    <row r="89" spans="1:14" x14ac:dyDescent="0.25">
      <c r="A89" s="34">
        <v>41548</v>
      </c>
      <c r="B89" s="1">
        <v>642.4</v>
      </c>
      <c r="C89" s="34">
        <v>41548</v>
      </c>
      <c r="D89" s="1">
        <v>267</v>
      </c>
      <c r="E89" s="34">
        <v>41548</v>
      </c>
      <c r="F89" s="1">
        <v>5.2</v>
      </c>
      <c r="G89" s="34">
        <v>41548</v>
      </c>
      <c r="H89" s="1">
        <v>1.59</v>
      </c>
      <c r="I89" s="34">
        <v>41548</v>
      </c>
      <c r="J89" s="1">
        <v>189.34</v>
      </c>
      <c r="K89" s="34">
        <v>41548</v>
      </c>
      <c r="L89" s="1">
        <v>647.20000000000005</v>
      </c>
      <c r="M89" s="34">
        <v>41548</v>
      </c>
      <c r="N89" s="1">
        <v>92.8</v>
      </c>
    </row>
    <row r="90" spans="1:14" x14ac:dyDescent="0.25">
      <c r="A90" s="34">
        <v>41579</v>
      </c>
      <c r="B90" s="1">
        <v>643.5</v>
      </c>
      <c r="C90" s="34">
        <v>41579</v>
      </c>
      <c r="D90" s="1">
        <v>180</v>
      </c>
      <c r="E90" s="34">
        <v>41579</v>
      </c>
      <c r="F90" s="1">
        <v>5.2</v>
      </c>
      <c r="G90" s="34">
        <v>41579</v>
      </c>
      <c r="H90" s="1">
        <v>2.2799999999999998</v>
      </c>
      <c r="I90" s="34">
        <v>41579</v>
      </c>
      <c r="J90" s="1">
        <v>189.83</v>
      </c>
      <c r="K90" s="34">
        <v>41579</v>
      </c>
      <c r="L90" s="1">
        <v>646</v>
      </c>
      <c r="M90" s="34">
        <v>41579</v>
      </c>
      <c r="N90" s="1">
        <v>93</v>
      </c>
    </row>
    <row r="91" spans="1:14" x14ac:dyDescent="0.25">
      <c r="A91" s="34">
        <v>41609</v>
      </c>
      <c r="B91" s="1">
        <v>644.29999999999995</v>
      </c>
      <c r="C91" s="34">
        <v>41609</v>
      </c>
      <c r="D91" s="1">
        <v>144</v>
      </c>
      <c r="E91" s="34">
        <v>41609</v>
      </c>
      <c r="F91" s="1">
        <v>5.2</v>
      </c>
      <c r="G91" s="34">
        <v>41609</v>
      </c>
      <c r="H91" s="1">
        <v>3.36</v>
      </c>
      <c r="I91" s="34">
        <v>41609</v>
      </c>
      <c r="J91" s="1">
        <v>190.48</v>
      </c>
      <c r="K91" s="34">
        <v>41609</v>
      </c>
      <c r="L91" s="1">
        <v>648.29999999999995</v>
      </c>
      <c r="M91" s="34">
        <v>41609</v>
      </c>
      <c r="N91" s="1">
        <v>93.9</v>
      </c>
    </row>
    <row r="92" spans="1:14" x14ac:dyDescent="0.25">
      <c r="A92" s="34">
        <v>41640</v>
      </c>
      <c r="B92" s="1">
        <v>642.20000000000005</v>
      </c>
      <c r="C92" s="34">
        <v>41640</v>
      </c>
      <c r="D92" s="1">
        <v>109</v>
      </c>
      <c r="E92" s="34">
        <v>41640</v>
      </c>
      <c r="F92" s="1">
        <v>4.9000000000000004</v>
      </c>
      <c r="G92" s="34">
        <v>41640</v>
      </c>
      <c r="H92" s="1">
        <v>3.46</v>
      </c>
      <c r="I92" s="34">
        <v>41640</v>
      </c>
      <c r="J92" s="1">
        <v>191.31</v>
      </c>
      <c r="K92" s="34">
        <v>41640</v>
      </c>
      <c r="L92" s="1">
        <v>631.79999999999995</v>
      </c>
      <c r="M92" s="34">
        <v>41640</v>
      </c>
      <c r="N92" s="1">
        <v>88.6</v>
      </c>
    </row>
    <row r="93" spans="1:14" x14ac:dyDescent="0.25">
      <c r="A93" s="34">
        <v>41671</v>
      </c>
      <c r="B93" s="1">
        <v>645.6</v>
      </c>
      <c r="C93" s="34">
        <v>41671</v>
      </c>
      <c r="D93" s="1">
        <v>128</v>
      </c>
      <c r="E93" s="34">
        <v>41671</v>
      </c>
      <c r="F93" s="1">
        <v>4.7</v>
      </c>
      <c r="G93" s="34">
        <v>41671</v>
      </c>
      <c r="H93" s="1">
        <v>2</v>
      </c>
      <c r="I93" s="34">
        <v>41671</v>
      </c>
      <c r="J93" s="1">
        <v>192.19</v>
      </c>
      <c r="K93" s="34">
        <v>41671</v>
      </c>
      <c r="L93" s="1">
        <v>635.29999999999995</v>
      </c>
      <c r="M93" s="34">
        <v>41671</v>
      </c>
      <c r="N93" s="1">
        <v>92.9</v>
      </c>
    </row>
    <row r="94" spans="1:14" x14ac:dyDescent="0.25">
      <c r="A94" s="34">
        <v>41699</v>
      </c>
      <c r="B94" s="1">
        <v>648.6</v>
      </c>
      <c r="C94" s="34">
        <v>41699</v>
      </c>
      <c r="D94" s="1">
        <v>157</v>
      </c>
      <c r="E94" s="34">
        <v>41699</v>
      </c>
      <c r="F94" s="1">
        <v>4.5</v>
      </c>
      <c r="G94" s="34">
        <v>41699</v>
      </c>
      <c r="H94" s="1">
        <v>1.48</v>
      </c>
      <c r="I94" s="34">
        <v>41699</v>
      </c>
      <c r="J94" s="1">
        <v>192.99</v>
      </c>
      <c r="K94" s="34">
        <v>41699</v>
      </c>
      <c r="L94" s="1">
        <v>638.29999999999995</v>
      </c>
      <c r="M94" s="34">
        <v>41699</v>
      </c>
      <c r="N94" s="1">
        <v>93.6</v>
      </c>
    </row>
    <row r="95" spans="1:14" x14ac:dyDescent="0.25">
      <c r="A95" s="34">
        <v>41730</v>
      </c>
      <c r="B95" s="1">
        <v>650.29999999999995</v>
      </c>
      <c r="C95" s="34">
        <v>41730</v>
      </c>
      <c r="D95" s="1">
        <v>274</v>
      </c>
      <c r="E95" s="34">
        <v>41730</v>
      </c>
      <c r="F95" s="1">
        <v>4.4000000000000004</v>
      </c>
      <c r="G95" s="34">
        <v>41730</v>
      </c>
      <c r="H95" s="1">
        <v>0.86</v>
      </c>
      <c r="I95" s="34">
        <v>41730</v>
      </c>
      <c r="J95" s="1">
        <v>193.63</v>
      </c>
      <c r="K95" s="34">
        <v>41730</v>
      </c>
      <c r="L95" s="1">
        <v>643.5</v>
      </c>
      <c r="M95" s="34">
        <v>41730</v>
      </c>
      <c r="N95" s="1">
        <v>92.8</v>
      </c>
    </row>
    <row r="96" spans="1:14" x14ac:dyDescent="0.25">
      <c r="A96" s="34">
        <v>41760</v>
      </c>
      <c r="B96" s="1">
        <v>649.29999999999995</v>
      </c>
      <c r="C96" s="34">
        <v>41760</v>
      </c>
      <c r="D96" s="1">
        <v>241</v>
      </c>
      <c r="E96" s="34">
        <v>41760</v>
      </c>
      <c r="F96" s="1">
        <v>4.4000000000000004</v>
      </c>
      <c r="G96" s="34">
        <v>41760</v>
      </c>
      <c r="H96" s="1">
        <v>0.63</v>
      </c>
      <c r="I96" s="34">
        <v>41760</v>
      </c>
      <c r="J96" s="1">
        <v>194.08</v>
      </c>
      <c r="K96" s="34">
        <v>41760</v>
      </c>
      <c r="L96" s="1">
        <v>652</v>
      </c>
      <c r="M96" s="34">
        <v>41760</v>
      </c>
      <c r="N96" s="1">
        <v>92.7</v>
      </c>
    </row>
    <row r="97" spans="1:14" x14ac:dyDescent="0.25">
      <c r="A97" s="34">
        <v>41791</v>
      </c>
      <c r="B97" s="1">
        <v>646.29999999999995</v>
      </c>
      <c r="C97" s="34">
        <v>41791</v>
      </c>
      <c r="D97" s="1">
        <v>411</v>
      </c>
      <c r="E97" s="34">
        <v>41791</v>
      </c>
      <c r="F97" s="1">
        <v>4.4000000000000004</v>
      </c>
      <c r="G97" s="34">
        <v>41791</v>
      </c>
      <c r="H97" s="1">
        <v>1.07</v>
      </c>
      <c r="I97" s="34">
        <v>41791</v>
      </c>
      <c r="J97" s="1">
        <v>194.4</v>
      </c>
      <c r="K97" s="34">
        <v>41791</v>
      </c>
      <c r="L97" s="1">
        <v>658.5</v>
      </c>
      <c r="M97" s="34">
        <v>41791</v>
      </c>
      <c r="N97" s="1">
        <v>87.2</v>
      </c>
    </row>
    <row r="98" spans="1:14" x14ac:dyDescent="0.25">
      <c r="A98" s="34">
        <v>41821</v>
      </c>
      <c r="B98" s="1">
        <v>647.70000000000005</v>
      </c>
      <c r="C98" s="34">
        <v>41821</v>
      </c>
      <c r="D98" s="1">
        <v>620</v>
      </c>
      <c r="E98" s="34">
        <v>41821</v>
      </c>
      <c r="F98" s="1">
        <v>4.4000000000000004</v>
      </c>
      <c r="G98" s="34">
        <v>41821</v>
      </c>
      <c r="H98" s="1">
        <v>1.03</v>
      </c>
      <c r="I98" s="34">
        <v>41821</v>
      </c>
      <c r="J98" s="1">
        <v>194.66</v>
      </c>
      <c r="K98" s="34">
        <v>41821</v>
      </c>
      <c r="L98" s="1">
        <v>652.29999999999995</v>
      </c>
      <c r="M98" s="34">
        <v>41821</v>
      </c>
      <c r="N98" s="1">
        <v>77.3</v>
      </c>
    </row>
    <row r="99" spans="1:14" x14ac:dyDescent="0.25">
      <c r="A99" s="34">
        <v>41852</v>
      </c>
      <c r="B99" s="1">
        <v>643.1</v>
      </c>
      <c r="C99" s="34">
        <v>41852</v>
      </c>
      <c r="D99" s="1">
        <v>417</v>
      </c>
      <c r="E99" s="34">
        <v>41852</v>
      </c>
      <c r="F99" s="1">
        <v>4.4000000000000004</v>
      </c>
      <c r="G99" s="34">
        <v>41852</v>
      </c>
      <c r="H99" s="1">
        <v>1.31</v>
      </c>
      <c r="I99" s="34">
        <v>41852</v>
      </c>
      <c r="J99" s="1">
        <v>194.91</v>
      </c>
      <c r="K99" s="34">
        <v>41852</v>
      </c>
      <c r="L99" s="1">
        <v>647.9</v>
      </c>
      <c r="M99" s="34">
        <v>41852</v>
      </c>
      <c r="N99" s="1">
        <v>78</v>
      </c>
    </row>
    <row r="100" spans="1:14" x14ac:dyDescent="0.25">
      <c r="A100" s="34">
        <v>41883</v>
      </c>
      <c r="B100" s="1">
        <v>648.1</v>
      </c>
      <c r="C100" s="34">
        <v>41883</v>
      </c>
      <c r="D100" s="1">
        <v>275</v>
      </c>
      <c r="E100" s="34">
        <v>41883</v>
      </c>
      <c r="F100" s="1">
        <v>4.3</v>
      </c>
      <c r="G100" s="34">
        <v>41883</v>
      </c>
      <c r="H100" s="1">
        <v>1.94</v>
      </c>
      <c r="I100" s="34">
        <v>41883</v>
      </c>
      <c r="J100" s="1">
        <v>195.24</v>
      </c>
      <c r="K100" s="34">
        <v>41883</v>
      </c>
      <c r="L100" s="1">
        <v>652.20000000000005</v>
      </c>
      <c r="M100" s="34">
        <v>41883</v>
      </c>
      <c r="N100" s="1">
        <v>90.3</v>
      </c>
    </row>
    <row r="101" spans="1:14" x14ac:dyDescent="0.25">
      <c r="A101" s="34">
        <v>41913</v>
      </c>
      <c r="B101" s="1">
        <v>646.70000000000005</v>
      </c>
      <c r="C101" s="34">
        <v>41913</v>
      </c>
      <c r="D101" s="1">
        <v>363</v>
      </c>
      <c r="E101" s="34">
        <v>41913</v>
      </c>
      <c r="F101" s="1">
        <v>4.2</v>
      </c>
      <c r="G101" s="34">
        <v>41913</v>
      </c>
      <c r="H101" s="1">
        <v>1.77</v>
      </c>
      <c r="I101" s="34">
        <v>41913</v>
      </c>
      <c r="J101" s="1">
        <v>195.64</v>
      </c>
      <c r="K101" s="34">
        <v>41913</v>
      </c>
      <c r="L101" s="1">
        <v>652.79999999999995</v>
      </c>
      <c r="M101" s="34">
        <v>41913</v>
      </c>
      <c r="N101" s="1">
        <v>92.4</v>
      </c>
    </row>
    <row r="102" spans="1:14" x14ac:dyDescent="0.25">
      <c r="A102" s="34">
        <v>41944</v>
      </c>
      <c r="B102" s="1">
        <v>649.20000000000005</v>
      </c>
      <c r="C102" s="34">
        <v>41944</v>
      </c>
      <c r="D102" s="1">
        <v>197</v>
      </c>
      <c r="E102" s="34">
        <v>41944</v>
      </c>
      <c r="F102" s="1">
        <v>4.0999999999999996</v>
      </c>
      <c r="G102" s="34">
        <v>41944</v>
      </c>
      <c r="H102" s="1">
        <v>1.57</v>
      </c>
      <c r="I102" s="34">
        <v>41944</v>
      </c>
      <c r="J102" s="1">
        <v>196.1</v>
      </c>
      <c r="K102" s="34">
        <v>41944</v>
      </c>
      <c r="L102" s="1">
        <v>652.5</v>
      </c>
      <c r="M102" s="34">
        <v>41944</v>
      </c>
      <c r="N102" s="1">
        <v>93.1</v>
      </c>
    </row>
    <row r="103" spans="1:14" x14ac:dyDescent="0.25">
      <c r="A103" s="34">
        <v>41974</v>
      </c>
      <c r="B103" s="1">
        <v>652.9</v>
      </c>
      <c r="E103" s="34">
        <v>41974</v>
      </c>
      <c r="F103" s="1">
        <v>4</v>
      </c>
      <c r="K103" s="34">
        <v>41974</v>
      </c>
      <c r="L103" s="1">
        <v>656.7</v>
      </c>
      <c r="M103" s="34">
        <v>41974</v>
      </c>
      <c r="N103" s="1">
        <v>93.7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P103"/>
  <sheetViews>
    <sheetView topLeftCell="A95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233</v>
      </c>
      <c r="C1" s="34" t="s">
        <v>234</v>
      </c>
      <c r="E1" s="34" t="s">
        <v>235</v>
      </c>
      <c r="G1" s="34" t="s">
        <v>236</v>
      </c>
      <c r="I1" s="34" t="s">
        <v>237</v>
      </c>
      <c r="K1" s="34" t="str">
        <f>CONCATENATE(LEFT(A1,2), "NAN")</f>
        <v>NJNAN</v>
      </c>
      <c r="M1" s="34" t="str">
        <f>CONCATENATE(LEFT(A1,2), "GOVTN")</f>
        <v>NJGOVTN</v>
      </c>
      <c r="O1" s="34" t="str">
        <f>CONCATENATE(LEFT($A$1,2), "RGSP")</f>
        <v>NJRGSP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906</v>
      </c>
      <c r="C5" s="35" t="s">
        <v>391</v>
      </c>
      <c r="E5" s="35" t="s">
        <v>392</v>
      </c>
      <c r="G5" s="35" t="s">
        <v>393</v>
      </c>
      <c r="I5" s="35" t="s">
        <v>394</v>
      </c>
      <c r="K5" s="35" t="s">
        <v>906</v>
      </c>
      <c r="M5" s="35" t="s">
        <v>907</v>
      </c>
      <c r="O5" s="35" t="s">
        <v>789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4074.5</v>
      </c>
      <c r="C8" s="34">
        <v>39083</v>
      </c>
      <c r="D8" s="1">
        <v>1947</v>
      </c>
      <c r="E8" s="34">
        <v>39083</v>
      </c>
      <c r="F8" s="1">
        <v>4.2</v>
      </c>
      <c r="G8" s="34">
        <v>39083</v>
      </c>
      <c r="H8" s="1">
        <v>0.38</v>
      </c>
      <c r="I8" s="34">
        <v>39083</v>
      </c>
      <c r="J8" s="1">
        <v>149.93</v>
      </c>
      <c r="K8" s="34">
        <v>39083</v>
      </c>
      <c r="L8" s="1">
        <v>3995.9</v>
      </c>
      <c r="M8" s="34">
        <v>39083</v>
      </c>
      <c r="N8" s="1">
        <v>645.20000000000005</v>
      </c>
      <c r="O8" s="34">
        <v>39083</v>
      </c>
      <c r="P8" s="1">
        <v>510753</v>
      </c>
    </row>
    <row r="9" spans="1:16" x14ac:dyDescent="0.25">
      <c r="A9" s="34">
        <v>39114</v>
      </c>
      <c r="B9" s="1">
        <v>4065.7</v>
      </c>
      <c r="C9" s="34">
        <v>39114</v>
      </c>
      <c r="D9" s="1">
        <v>1601</v>
      </c>
      <c r="E9" s="34">
        <v>39114</v>
      </c>
      <c r="F9" s="1">
        <v>4.2</v>
      </c>
      <c r="G9" s="34">
        <v>39114</v>
      </c>
      <c r="H9" s="1">
        <v>0.04</v>
      </c>
      <c r="I9" s="34">
        <v>39114</v>
      </c>
      <c r="J9" s="1">
        <v>150.11000000000001</v>
      </c>
      <c r="K9" s="34">
        <v>39114</v>
      </c>
      <c r="L9" s="1">
        <v>3991.6</v>
      </c>
      <c r="M9" s="34">
        <v>39114</v>
      </c>
      <c r="N9" s="1">
        <v>656.6</v>
      </c>
      <c r="O9" s="34">
        <v>39448</v>
      </c>
      <c r="P9" s="1">
        <v>510432</v>
      </c>
    </row>
    <row r="10" spans="1:16" x14ac:dyDescent="0.25">
      <c r="A10" s="34">
        <v>39142</v>
      </c>
      <c r="B10" s="1">
        <v>4071.3</v>
      </c>
      <c r="C10" s="34">
        <v>39142</v>
      </c>
      <c r="D10" s="1">
        <v>1734</v>
      </c>
      <c r="E10" s="34">
        <v>39142</v>
      </c>
      <c r="F10" s="1">
        <v>4.2</v>
      </c>
      <c r="G10" s="34">
        <v>39142</v>
      </c>
      <c r="H10" s="1">
        <v>0.48</v>
      </c>
      <c r="I10" s="34">
        <v>39142</v>
      </c>
      <c r="J10" s="1">
        <v>150.27000000000001</v>
      </c>
      <c r="K10" s="34">
        <v>39142</v>
      </c>
      <c r="L10" s="1">
        <v>4024.5</v>
      </c>
      <c r="M10" s="34">
        <v>39142</v>
      </c>
      <c r="N10" s="1">
        <v>659.8</v>
      </c>
      <c r="O10" s="34">
        <v>39814</v>
      </c>
      <c r="P10" s="1">
        <v>488987</v>
      </c>
    </row>
    <row r="11" spans="1:16" x14ac:dyDescent="0.25">
      <c r="A11" s="34">
        <v>39173</v>
      </c>
      <c r="B11" s="1">
        <v>4071.4</v>
      </c>
      <c r="C11" s="34">
        <v>39173</v>
      </c>
      <c r="D11" s="1">
        <v>1982</v>
      </c>
      <c r="E11" s="34">
        <v>39173</v>
      </c>
      <c r="F11" s="1">
        <v>4.2</v>
      </c>
      <c r="G11" s="34">
        <v>39173</v>
      </c>
      <c r="H11" s="1">
        <v>0.47</v>
      </c>
      <c r="I11" s="34">
        <v>39173</v>
      </c>
      <c r="J11" s="1">
        <v>150.41999999999999</v>
      </c>
      <c r="K11" s="34">
        <v>39173</v>
      </c>
      <c r="L11" s="1">
        <v>4052.9</v>
      </c>
      <c r="M11" s="34">
        <v>39173</v>
      </c>
      <c r="N11" s="1">
        <v>659.3</v>
      </c>
      <c r="O11" s="34">
        <v>40179</v>
      </c>
      <c r="P11" s="1">
        <v>493213</v>
      </c>
    </row>
    <row r="12" spans="1:16" x14ac:dyDescent="0.25">
      <c r="A12" s="34">
        <v>39203</v>
      </c>
      <c r="B12" s="1">
        <v>4080.7</v>
      </c>
      <c r="C12" s="34">
        <v>39203</v>
      </c>
      <c r="D12" s="1">
        <v>2083</v>
      </c>
      <c r="E12" s="34">
        <v>39203</v>
      </c>
      <c r="F12" s="1">
        <v>4.2</v>
      </c>
      <c r="G12" s="34">
        <v>39203</v>
      </c>
      <c r="H12" s="1">
        <v>0.27</v>
      </c>
      <c r="I12" s="34">
        <v>39203</v>
      </c>
      <c r="J12" s="1">
        <v>150.57</v>
      </c>
      <c r="K12" s="34">
        <v>39203</v>
      </c>
      <c r="L12" s="1">
        <v>4104.2</v>
      </c>
      <c r="M12" s="34">
        <v>39203</v>
      </c>
      <c r="N12" s="1">
        <v>657.9</v>
      </c>
      <c r="O12" s="34">
        <v>40544</v>
      </c>
      <c r="P12" s="1">
        <v>490653</v>
      </c>
    </row>
    <row r="13" spans="1:16" x14ac:dyDescent="0.25">
      <c r="A13" s="34">
        <v>39234</v>
      </c>
      <c r="B13" s="1">
        <v>4081.5</v>
      </c>
      <c r="C13" s="34">
        <v>39234</v>
      </c>
      <c r="D13" s="1">
        <v>2548</v>
      </c>
      <c r="E13" s="34">
        <v>39234</v>
      </c>
      <c r="F13" s="1">
        <v>4.2</v>
      </c>
      <c r="G13" s="34">
        <v>39234</v>
      </c>
      <c r="H13" s="1">
        <v>0.02</v>
      </c>
      <c r="I13" s="34">
        <v>39234</v>
      </c>
      <c r="J13" s="1">
        <v>150.68</v>
      </c>
      <c r="K13" s="34">
        <v>39234</v>
      </c>
      <c r="L13" s="1">
        <v>4156.6000000000004</v>
      </c>
      <c r="M13" s="34">
        <v>39234</v>
      </c>
      <c r="N13" s="1">
        <v>660.5</v>
      </c>
      <c r="O13" s="34">
        <v>40909</v>
      </c>
      <c r="P13" s="1">
        <v>503497</v>
      </c>
    </row>
    <row r="14" spans="1:16" x14ac:dyDescent="0.25">
      <c r="A14" s="34">
        <v>39264</v>
      </c>
      <c r="B14" s="1">
        <v>4078.6</v>
      </c>
      <c r="C14" s="34">
        <v>39264</v>
      </c>
      <c r="D14" s="1">
        <v>1706</v>
      </c>
      <c r="E14" s="34">
        <v>39264</v>
      </c>
      <c r="F14" s="1">
        <v>4.3</v>
      </c>
      <c r="G14" s="34">
        <v>39264</v>
      </c>
      <c r="H14" s="1">
        <v>0.09</v>
      </c>
      <c r="I14" s="34">
        <v>39264</v>
      </c>
      <c r="J14" s="1">
        <v>150.75</v>
      </c>
      <c r="K14" s="34">
        <v>39264</v>
      </c>
      <c r="L14" s="1">
        <v>4098.5</v>
      </c>
      <c r="M14" s="34">
        <v>39264</v>
      </c>
      <c r="N14" s="1">
        <v>616.5</v>
      </c>
      <c r="O14" s="34">
        <v>41275</v>
      </c>
      <c r="P14" s="1">
        <v>509067</v>
      </c>
    </row>
    <row r="15" spans="1:16" x14ac:dyDescent="0.25">
      <c r="A15" s="34">
        <v>39295</v>
      </c>
      <c r="B15" s="1">
        <v>4079.5</v>
      </c>
      <c r="C15" s="34">
        <v>39295</v>
      </c>
      <c r="D15" s="1">
        <v>2753</v>
      </c>
      <c r="E15" s="34">
        <v>39295</v>
      </c>
      <c r="F15" s="1">
        <v>4.3</v>
      </c>
      <c r="G15" s="34">
        <v>39295</v>
      </c>
      <c r="H15" s="1">
        <v>0.36</v>
      </c>
      <c r="I15" s="34">
        <v>39295</v>
      </c>
      <c r="J15" s="1">
        <v>150.81</v>
      </c>
      <c r="K15" s="34">
        <v>39295</v>
      </c>
      <c r="L15" s="1">
        <v>4083</v>
      </c>
      <c r="M15" s="34">
        <v>39295</v>
      </c>
      <c r="N15" s="1">
        <v>609.70000000000005</v>
      </c>
    </row>
    <row r="16" spans="1:16" x14ac:dyDescent="0.25">
      <c r="A16" s="34">
        <v>39326</v>
      </c>
      <c r="B16" s="1">
        <v>4068.3</v>
      </c>
      <c r="C16" s="34">
        <v>39326</v>
      </c>
      <c r="D16" s="1">
        <v>1753</v>
      </c>
      <c r="E16" s="34">
        <v>39326</v>
      </c>
      <c r="F16" s="1">
        <v>4.4000000000000004</v>
      </c>
      <c r="G16" s="34">
        <v>39326</v>
      </c>
      <c r="H16" s="1">
        <v>0.21</v>
      </c>
      <c r="I16" s="34">
        <v>39326</v>
      </c>
      <c r="J16" s="1">
        <v>150.88999999999999</v>
      </c>
      <c r="K16" s="34">
        <v>39326</v>
      </c>
      <c r="L16" s="1">
        <v>4074.2</v>
      </c>
      <c r="M16" s="34">
        <v>39326</v>
      </c>
      <c r="N16" s="1">
        <v>629.79999999999995</v>
      </c>
    </row>
    <row r="17" spans="1:14" x14ac:dyDescent="0.25">
      <c r="A17" s="34">
        <v>39356</v>
      </c>
      <c r="B17" s="1">
        <v>4083.3</v>
      </c>
      <c r="C17" s="34">
        <v>39356</v>
      </c>
      <c r="D17" s="1">
        <v>2091</v>
      </c>
      <c r="E17" s="34">
        <v>39356</v>
      </c>
      <c r="F17" s="1">
        <v>4.4000000000000004</v>
      </c>
      <c r="G17" s="34">
        <v>39356</v>
      </c>
      <c r="H17" s="1">
        <v>0.53</v>
      </c>
      <c r="I17" s="34">
        <v>39356</v>
      </c>
      <c r="J17" s="1">
        <v>150.99</v>
      </c>
      <c r="K17" s="34">
        <v>39356</v>
      </c>
      <c r="L17" s="1">
        <v>4100.8999999999996</v>
      </c>
      <c r="M17" s="34">
        <v>39356</v>
      </c>
      <c r="N17" s="1">
        <v>655.6</v>
      </c>
    </row>
    <row r="18" spans="1:14" x14ac:dyDescent="0.25">
      <c r="A18" s="34">
        <v>39387</v>
      </c>
      <c r="B18" s="1">
        <v>4082</v>
      </c>
      <c r="C18" s="34">
        <v>39387</v>
      </c>
      <c r="D18" s="1">
        <v>2052</v>
      </c>
      <c r="E18" s="34">
        <v>39387</v>
      </c>
      <c r="F18" s="1">
        <v>4.5</v>
      </c>
      <c r="G18" s="34">
        <v>39387</v>
      </c>
      <c r="H18" s="1">
        <v>0.47</v>
      </c>
      <c r="I18" s="34">
        <v>39387</v>
      </c>
      <c r="J18" s="1">
        <v>151.13</v>
      </c>
      <c r="K18" s="34">
        <v>39387</v>
      </c>
      <c r="L18" s="1">
        <v>4115.3999999999996</v>
      </c>
      <c r="M18" s="34">
        <v>39387</v>
      </c>
      <c r="N18" s="1">
        <v>660.9</v>
      </c>
    </row>
    <row r="19" spans="1:14" x14ac:dyDescent="0.25">
      <c r="A19" s="34">
        <v>39417</v>
      </c>
      <c r="B19" s="1">
        <v>4081.9</v>
      </c>
      <c r="C19" s="34">
        <v>39417</v>
      </c>
      <c r="D19" s="1">
        <v>1904</v>
      </c>
      <c r="E19" s="34">
        <v>39417</v>
      </c>
      <c r="F19" s="1">
        <v>4.5999999999999996</v>
      </c>
      <c r="G19" s="34">
        <v>39417</v>
      </c>
      <c r="H19" s="1">
        <v>0.38</v>
      </c>
      <c r="I19" s="34">
        <v>39417</v>
      </c>
      <c r="J19" s="1">
        <v>151.28</v>
      </c>
      <c r="K19" s="34">
        <v>39417</v>
      </c>
      <c r="L19" s="1">
        <v>4125.2</v>
      </c>
      <c r="M19" s="34">
        <v>39417</v>
      </c>
      <c r="N19" s="1">
        <v>660.8</v>
      </c>
    </row>
    <row r="20" spans="1:14" x14ac:dyDescent="0.25">
      <c r="A20" s="34">
        <v>39448</v>
      </c>
      <c r="B20" s="1">
        <v>4092.2</v>
      </c>
      <c r="C20" s="34">
        <v>39448</v>
      </c>
      <c r="D20" s="1">
        <v>1488</v>
      </c>
      <c r="E20" s="34">
        <v>39448</v>
      </c>
      <c r="F20" s="1">
        <v>4.5999999999999996</v>
      </c>
      <c r="G20" s="34">
        <v>39448</v>
      </c>
      <c r="H20" s="1">
        <v>0.2</v>
      </c>
      <c r="I20" s="34">
        <v>39448</v>
      </c>
      <c r="J20" s="1">
        <v>151.41999999999999</v>
      </c>
      <c r="K20" s="34">
        <v>39448</v>
      </c>
      <c r="L20" s="1">
        <v>4013.2</v>
      </c>
      <c r="M20" s="34">
        <v>39448</v>
      </c>
      <c r="N20" s="1">
        <v>648.70000000000005</v>
      </c>
    </row>
    <row r="21" spans="1:14" x14ac:dyDescent="0.25">
      <c r="A21" s="34">
        <v>39479</v>
      </c>
      <c r="B21" s="1">
        <v>4091.4</v>
      </c>
      <c r="C21" s="34">
        <v>39479</v>
      </c>
      <c r="D21" s="1">
        <v>1230</v>
      </c>
      <c r="E21" s="34">
        <v>39479</v>
      </c>
      <c r="F21" s="1">
        <v>4.7</v>
      </c>
      <c r="G21" s="34">
        <v>39479</v>
      </c>
      <c r="H21" s="1">
        <v>-0.8</v>
      </c>
      <c r="I21" s="34">
        <v>39479</v>
      </c>
      <c r="J21" s="1">
        <v>151.46</v>
      </c>
      <c r="K21" s="34">
        <v>39479</v>
      </c>
      <c r="L21" s="1">
        <v>4015.7</v>
      </c>
      <c r="M21" s="34">
        <v>39479</v>
      </c>
      <c r="N21" s="1">
        <v>659.5</v>
      </c>
    </row>
    <row r="22" spans="1:14" x14ac:dyDescent="0.25">
      <c r="A22" s="34">
        <v>39508</v>
      </c>
      <c r="B22" s="1">
        <v>4088.8</v>
      </c>
      <c r="C22" s="34">
        <v>39508</v>
      </c>
      <c r="D22" s="1">
        <v>2002</v>
      </c>
      <c r="E22" s="34">
        <v>39508</v>
      </c>
      <c r="F22" s="1">
        <v>4.8</v>
      </c>
      <c r="G22" s="34">
        <v>39508</v>
      </c>
      <c r="H22" s="1">
        <v>-0.87</v>
      </c>
      <c r="I22" s="34">
        <v>39508</v>
      </c>
      <c r="J22" s="1">
        <v>151.38</v>
      </c>
      <c r="K22" s="34">
        <v>39508</v>
      </c>
      <c r="L22" s="1">
        <v>4041.4</v>
      </c>
      <c r="M22" s="34">
        <v>39508</v>
      </c>
      <c r="N22" s="1">
        <v>662</v>
      </c>
    </row>
    <row r="23" spans="1:14" x14ac:dyDescent="0.25">
      <c r="A23" s="34">
        <v>39539</v>
      </c>
      <c r="B23" s="1">
        <v>4079.9</v>
      </c>
      <c r="C23" s="34">
        <v>39539</v>
      </c>
      <c r="D23" s="1">
        <v>1559</v>
      </c>
      <c r="E23" s="34">
        <v>39539</v>
      </c>
      <c r="F23" s="1">
        <v>4.9000000000000004</v>
      </c>
      <c r="G23" s="34">
        <v>39539</v>
      </c>
      <c r="H23" s="1">
        <v>-0.88</v>
      </c>
      <c r="I23" s="34">
        <v>39539</v>
      </c>
      <c r="J23" s="1">
        <v>151.21</v>
      </c>
      <c r="K23" s="34">
        <v>39539</v>
      </c>
      <c r="L23" s="1">
        <v>4060.7</v>
      </c>
      <c r="M23" s="34">
        <v>39539</v>
      </c>
      <c r="N23" s="1">
        <v>661.1</v>
      </c>
    </row>
    <row r="24" spans="1:14" x14ac:dyDescent="0.25">
      <c r="A24" s="34">
        <v>39569</v>
      </c>
      <c r="B24" s="1">
        <v>4070.9</v>
      </c>
      <c r="C24" s="34">
        <v>39569</v>
      </c>
      <c r="D24" s="1">
        <v>1902</v>
      </c>
      <c r="E24" s="34">
        <v>39569</v>
      </c>
      <c r="F24" s="1">
        <v>5.0999999999999996</v>
      </c>
      <c r="G24" s="34">
        <v>39569</v>
      </c>
      <c r="H24" s="1">
        <v>-1.03</v>
      </c>
      <c r="I24" s="34">
        <v>39569</v>
      </c>
      <c r="J24" s="1">
        <v>150.96</v>
      </c>
      <c r="K24" s="34">
        <v>39569</v>
      </c>
      <c r="L24" s="1">
        <v>4091.7</v>
      </c>
      <c r="M24" s="34">
        <v>39569</v>
      </c>
      <c r="N24" s="1">
        <v>661.2</v>
      </c>
    </row>
    <row r="25" spans="1:14" x14ac:dyDescent="0.25">
      <c r="A25" s="34">
        <v>39600</v>
      </c>
      <c r="B25" s="1">
        <v>4063</v>
      </c>
      <c r="C25" s="34">
        <v>39600</v>
      </c>
      <c r="D25" s="1">
        <v>3180</v>
      </c>
      <c r="E25" s="34">
        <v>39600</v>
      </c>
      <c r="F25" s="1">
        <v>5.2</v>
      </c>
      <c r="G25" s="34">
        <v>39600</v>
      </c>
      <c r="H25" s="1">
        <v>-1.02</v>
      </c>
      <c r="I25" s="34">
        <v>39600</v>
      </c>
      <c r="J25" s="1">
        <v>150.66</v>
      </c>
      <c r="K25" s="34">
        <v>39600</v>
      </c>
      <c r="L25" s="1">
        <v>4135.8</v>
      </c>
      <c r="M25" s="34">
        <v>39600</v>
      </c>
      <c r="N25" s="1">
        <v>662.2</v>
      </c>
    </row>
    <row r="26" spans="1:14" x14ac:dyDescent="0.25">
      <c r="A26" s="34">
        <v>39630</v>
      </c>
      <c r="B26" s="1">
        <v>4050.3</v>
      </c>
      <c r="C26" s="34">
        <v>39630</v>
      </c>
      <c r="D26" s="1">
        <v>1280</v>
      </c>
      <c r="E26" s="34">
        <v>39630</v>
      </c>
      <c r="F26" s="1">
        <v>5.4</v>
      </c>
      <c r="G26" s="34">
        <v>39630</v>
      </c>
      <c r="H26" s="1">
        <v>-1.76</v>
      </c>
      <c r="I26" s="34">
        <v>39630</v>
      </c>
      <c r="J26" s="1">
        <v>150.27000000000001</v>
      </c>
      <c r="K26" s="34">
        <v>39630</v>
      </c>
      <c r="L26" s="1">
        <v>4069.9</v>
      </c>
      <c r="M26" s="34">
        <v>39630</v>
      </c>
      <c r="N26" s="1">
        <v>624</v>
      </c>
    </row>
    <row r="27" spans="1:14" x14ac:dyDescent="0.25">
      <c r="A27" s="34">
        <v>39661</v>
      </c>
      <c r="B27" s="1">
        <v>4039.4</v>
      </c>
      <c r="C27" s="34">
        <v>39661</v>
      </c>
      <c r="D27" s="1">
        <v>1115</v>
      </c>
      <c r="E27" s="34">
        <v>39661</v>
      </c>
      <c r="F27" s="1">
        <v>5.6</v>
      </c>
      <c r="G27" s="34">
        <v>39661</v>
      </c>
      <c r="H27" s="1">
        <v>-1.89</v>
      </c>
      <c r="I27" s="34">
        <v>39661</v>
      </c>
      <c r="J27" s="1">
        <v>149.80000000000001</v>
      </c>
      <c r="K27" s="34">
        <v>39661</v>
      </c>
      <c r="L27" s="1">
        <v>4041</v>
      </c>
      <c r="M27" s="34">
        <v>39661</v>
      </c>
      <c r="N27" s="1">
        <v>608.20000000000005</v>
      </c>
    </row>
    <row r="28" spans="1:14" x14ac:dyDescent="0.25">
      <c r="A28" s="34">
        <v>39692</v>
      </c>
      <c r="B28" s="1">
        <v>4031</v>
      </c>
      <c r="C28" s="34">
        <v>39692</v>
      </c>
      <c r="D28" s="1">
        <v>1175</v>
      </c>
      <c r="E28" s="34">
        <v>39692</v>
      </c>
      <c r="F28" s="1">
        <v>5.8</v>
      </c>
      <c r="G28" s="34">
        <v>39692</v>
      </c>
      <c r="H28" s="1">
        <v>-2.48</v>
      </c>
      <c r="I28" s="34">
        <v>39692</v>
      </c>
      <c r="J28" s="1">
        <v>149.21</v>
      </c>
      <c r="K28" s="34">
        <v>39692</v>
      </c>
      <c r="L28" s="1">
        <v>4036.3</v>
      </c>
      <c r="M28" s="34">
        <v>39692</v>
      </c>
      <c r="N28" s="1">
        <v>632.5</v>
      </c>
    </row>
    <row r="29" spans="1:14" x14ac:dyDescent="0.25">
      <c r="A29" s="34">
        <v>39722</v>
      </c>
      <c r="B29" s="1">
        <v>4014.7</v>
      </c>
      <c r="C29" s="34">
        <v>39722</v>
      </c>
      <c r="D29" s="1">
        <v>1172</v>
      </c>
      <c r="E29" s="34">
        <v>39722</v>
      </c>
      <c r="F29" s="1">
        <v>6.1</v>
      </c>
      <c r="G29" s="34">
        <v>39722</v>
      </c>
      <c r="H29" s="1">
        <v>-3.4</v>
      </c>
      <c r="I29" s="34">
        <v>39722</v>
      </c>
      <c r="J29" s="1">
        <v>148.44999999999999</v>
      </c>
      <c r="K29" s="34">
        <v>39722</v>
      </c>
      <c r="L29" s="1">
        <v>4033.7</v>
      </c>
      <c r="M29" s="34">
        <v>39722</v>
      </c>
      <c r="N29" s="1">
        <v>653.79999999999995</v>
      </c>
    </row>
    <row r="30" spans="1:14" x14ac:dyDescent="0.25">
      <c r="A30" s="34">
        <v>39753</v>
      </c>
      <c r="B30" s="1">
        <v>3992.4</v>
      </c>
      <c r="C30" s="34">
        <v>39753</v>
      </c>
      <c r="D30" s="1">
        <v>826</v>
      </c>
      <c r="E30" s="34">
        <v>39753</v>
      </c>
      <c r="F30" s="1">
        <v>6.5</v>
      </c>
      <c r="G30" s="34">
        <v>39753</v>
      </c>
      <c r="H30" s="1">
        <v>-3.48</v>
      </c>
      <c r="I30" s="34">
        <v>39753</v>
      </c>
      <c r="J30" s="1">
        <v>147.55000000000001</v>
      </c>
      <c r="K30" s="34">
        <v>39753</v>
      </c>
      <c r="L30" s="1">
        <v>4024</v>
      </c>
      <c r="M30" s="34">
        <v>39753</v>
      </c>
      <c r="N30" s="1">
        <v>658.7</v>
      </c>
    </row>
    <row r="31" spans="1:14" x14ac:dyDescent="0.25">
      <c r="A31" s="34">
        <v>39783</v>
      </c>
      <c r="B31" s="1">
        <v>3972.9</v>
      </c>
      <c r="C31" s="34">
        <v>39783</v>
      </c>
      <c r="D31" s="1">
        <v>936</v>
      </c>
      <c r="E31" s="34">
        <v>39783</v>
      </c>
      <c r="F31" s="1">
        <v>7</v>
      </c>
      <c r="G31" s="34">
        <v>39783</v>
      </c>
      <c r="H31" s="1">
        <v>-2.97</v>
      </c>
      <c r="I31" s="34">
        <v>39783</v>
      </c>
      <c r="J31" s="1">
        <v>146.58000000000001</v>
      </c>
      <c r="K31" s="34">
        <v>39783</v>
      </c>
      <c r="L31" s="1">
        <v>4015.3</v>
      </c>
      <c r="M31" s="34">
        <v>39783</v>
      </c>
      <c r="N31" s="1">
        <v>658.3</v>
      </c>
    </row>
    <row r="32" spans="1:14" x14ac:dyDescent="0.25">
      <c r="A32" s="34">
        <v>39814</v>
      </c>
      <c r="B32" s="1">
        <v>3955.3</v>
      </c>
      <c r="C32" s="34">
        <v>39814</v>
      </c>
      <c r="D32" s="1">
        <v>684</v>
      </c>
      <c r="E32" s="34">
        <v>39814</v>
      </c>
      <c r="F32" s="1">
        <v>7.4</v>
      </c>
      <c r="G32" s="34">
        <v>39814</v>
      </c>
      <c r="H32" s="1">
        <v>-2.87</v>
      </c>
      <c r="I32" s="34">
        <v>39814</v>
      </c>
      <c r="J32" s="1">
        <v>145.63</v>
      </c>
      <c r="K32" s="34">
        <v>39814</v>
      </c>
      <c r="L32" s="1">
        <v>3880.1</v>
      </c>
      <c r="M32" s="34">
        <v>39814</v>
      </c>
      <c r="N32" s="1">
        <v>649.6</v>
      </c>
    </row>
    <row r="33" spans="1:14" x14ac:dyDescent="0.25">
      <c r="A33" s="34">
        <v>39845</v>
      </c>
      <c r="B33" s="1">
        <v>3940.9</v>
      </c>
      <c r="C33" s="34">
        <v>39845</v>
      </c>
      <c r="D33" s="1">
        <v>823</v>
      </c>
      <c r="E33" s="34">
        <v>39845</v>
      </c>
      <c r="F33" s="1">
        <v>7.9</v>
      </c>
      <c r="G33" s="34">
        <v>39845</v>
      </c>
      <c r="H33" s="1">
        <v>-3.14</v>
      </c>
      <c r="I33" s="34">
        <v>39845</v>
      </c>
      <c r="J33" s="1">
        <v>144.69</v>
      </c>
      <c r="K33" s="34">
        <v>39845</v>
      </c>
      <c r="L33" s="1">
        <v>3868.6</v>
      </c>
      <c r="M33" s="34">
        <v>39845</v>
      </c>
      <c r="N33" s="1">
        <v>659.6</v>
      </c>
    </row>
    <row r="34" spans="1:14" x14ac:dyDescent="0.25">
      <c r="A34" s="34">
        <v>39873</v>
      </c>
      <c r="B34" s="1">
        <v>3918.6</v>
      </c>
      <c r="C34" s="34">
        <v>39873</v>
      </c>
      <c r="D34" s="1">
        <v>766</v>
      </c>
      <c r="E34" s="34">
        <v>39873</v>
      </c>
      <c r="F34" s="1">
        <v>8.4</v>
      </c>
      <c r="G34" s="34">
        <v>39873</v>
      </c>
      <c r="H34" s="1">
        <v>-2.38</v>
      </c>
      <c r="I34" s="34">
        <v>39873</v>
      </c>
      <c r="J34" s="1">
        <v>143.82</v>
      </c>
      <c r="K34" s="34">
        <v>39873</v>
      </c>
      <c r="L34" s="1">
        <v>3874</v>
      </c>
      <c r="M34" s="34">
        <v>39873</v>
      </c>
      <c r="N34" s="1">
        <v>663</v>
      </c>
    </row>
    <row r="35" spans="1:14" x14ac:dyDescent="0.25">
      <c r="A35" s="34">
        <v>39904</v>
      </c>
      <c r="B35" s="1">
        <v>3896.7</v>
      </c>
      <c r="C35" s="34">
        <v>39904</v>
      </c>
      <c r="D35" s="1">
        <v>824</v>
      </c>
      <c r="E35" s="34">
        <v>39904</v>
      </c>
      <c r="F35" s="1">
        <v>8.6999999999999993</v>
      </c>
      <c r="G35" s="34">
        <v>39904</v>
      </c>
      <c r="H35" s="1">
        <v>-1.57</v>
      </c>
      <c r="I35" s="34">
        <v>39904</v>
      </c>
      <c r="J35" s="1">
        <v>143.1</v>
      </c>
      <c r="K35" s="34">
        <v>39904</v>
      </c>
      <c r="L35" s="1">
        <v>3889.7</v>
      </c>
      <c r="M35" s="34">
        <v>39904</v>
      </c>
      <c r="N35" s="1">
        <v>664.6</v>
      </c>
    </row>
    <row r="36" spans="1:14" x14ac:dyDescent="0.25">
      <c r="A36" s="34">
        <v>39934</v>
      </c>
      <c r="B36" s="1">
        <v>3902.2</v>
      </c>
      <c r="C36" s="34">
        <v>39934</v>
      </c>
      <c r="D36" s="1">
        <v>938</v>
      </c>
      <c r="E36" s="34">
        <v>39934</v>
      </c>
      <c r="F36" s="1">
        <v>9</v>
      </c>
      <c r="G36" s="34">
        <v>39934</v>
      </c>
      <c r="H36" s="1">
        <v>-1.17</v>
      </c>
      <c r="I36" s="34">
        <v>39934</v>
      </c>
      <c r="J36" s="1">
        <v>142.52000000000001</v>
      </c>
      <c r="K36" s="34">
        <v>39934</v>
      </c>
      <c r="L36" s="1">
        <v>3928.6</v>
      </c>
      <c r="M36" s="34">
        <v>39934</v>
      </c>
      <c r="N36" s="1">
        <v>664.5</v>
      </c>
    </row>
    <row r="37" spans="1:14" x14ac:dyDescent="0.25">
      <c r="A37" s="34">
        <v>39965</v>
      </c>
      <c r="B37" s="1">
        <v>3891</v>
      </c>
      <c r="C37" s="34">
        <v>39965</v>
      </c>
      <c r="D37" s="1">
        <v>900</v>
      </c>
      <c r="E37" s="34">
        <v>39965</v>
      </c>
      <c r="F37" s="1">
        <v>9.1999999999999993</v>
      </c>
      <c r="G37" s="34">
        <v>39965</v>
      </c>
      <c r="H37" s="1">
        <v>-0.74</v>
      </c>
      <c r="I37" s="34">
        <v>39965</v>
      </c>
      <c r="J37" s="1">
        <v>142.09</v>
      </c>
      <c r="K37" s="34">
        <v>39965</v>
      </c>
      <c r="L37" s="1">
        <v>3963.3</v>
      </c>
      <c r="M37" s="34">
        <v>39965</v>
      </c>
      <c r="N37" s="1">
        <v>664.6</v>
      </c>
    </row>
    <row r="38" spans="1:14" x14ac:dyDescent="0.25">
      <c r="A38" s="34">
        <v>39995</v>
      </c>
      <c r="B38" s="1">
        <v>3881.3</v>
      </c>
      <c r="C38" s="34">
        <v>39995</v>
      </c>
      <c r="D38" s="1">
        <v>763</v>
      </c>
      <c r="E38" s="34">
        <v>39995</v>
      </c>
      <c r="F38" s="1">
        <v>9.3000000000000007</v>
      </c>
      <c r="G38" s="34">
        <v>39995</v>
      </c>
      <c r="H38" s="1">
        <v>-0.28999999999999998</v>
      </c>
      <c r="I38" s="34">
        <v>39995</v>
      </c>
      <c r="J38" s="1">
        <v>141.80000000000001</v>
      </c>
      <c r="K38" s="34">
        <v>39995</v>
      </c>
      <c r="L38" s="1">
        <v>3893</v>
      </c>
      <c r="M38" s="34">
        <v>39995</v>
      </c>
      <c r="N38" s="1">
        <v>625.9</v>
      </c>
    </row>
    <row r="39" spans="1:14" x14ac:dyDescent="0.25">
      <c r="A39" s="34">
        <v>40026</v>
      </c>
      <c r="B39" s="1">
        <v>3875.3</v>
      </c>
      <c r="C39" s="34">
        <v>40026</v>
      </c>
      <c r="D39" s="1">
        <v>877</v>
      </c>
      <c r="E39" s="34">
        <v>40026</v>
      </c>
      <c r="F39" s="1">
        <v>9.5</v>
      </c>
      <c r="G39" s="34">
        <v>40026</v>
      </c>
      <c r="H39" s="1">
        <v>-0.33</v>
      </c>
      <c r="I39" s="34">
        <v>40026</v>
      </c>
      <c r="J39" s="1">
        <v>141.58000000000001</v>
      </c>
      <c r="K39" s="34">
        <v>40026</v>
      </c>
      <c r="L39" s="1">
        <v>3871.5</v>
      </c>
      <c r="M39" s="34">
        <v>40026</v>
      </c>
      <c r="N39" s="1">
        <v>614.70000000000005</v>
      </c>
    </row>
    <row r="40" spans="1:14" x14ac:dyDescent="0.25">
      <c r="A40" s="34">
        <v>40057</v>
      </c>
      <c r="B40" s="1">
        <v>3870.9</v>
      </c>
      <c r="C40" s="34">
        <v>40057</v>
      </c>
      <c r="D40" s="1">
        <v>1109</v>
      </c>
      <c r="E40" s="34">
        <v>40057</v>
      </c>
      <c r="F40" s="1">
        <v>9.5</v>
      </c>
      <c r="G40" s="34">
        <v>40057</v>
      </c>
      <c r="H40" s="1">
        <v>0.3</v>
      </c>
      <c r="I40" s="34">
        <v>40057</v>
      </c>
      <c r="J40" s="1">
        <v>141.46</v>
      </c>
      <c r="K40" s="34">
        <v>40057</v>
      </c>
      <c r="L40" s="1">
        <v>3877.6</v>
      </c>
      <c r="M40" s="34">
        <v>40057</v>
      </c>
      <c r="N40" s="1">
        <v>637.20000000000005</v>
      </c>
    </row>
    <row r="41" spans="1:14" x14ac:dyDescent="0.25">
      <c r="A41" s="34">
        <v>40087</v>
      </c>
      <c r="B41" s="1">
        <v>3863.2</v>
      </c>
      <c r="C41" s="34">
        <v>40087</v>
      </c>
      <c r="D41" s="1">
        <v>996</v>
      </c>
      <c r="E41" s="34">
        <v>40087</v>
      </c>
      <c r="F41" s="1">
        <v>9.6</v>
      </c>
      <c r="G41" s="34">
        <v>40087</v>
      </c>
      <c r="H41" s="1">
        <v>0.05</v>
      </c>
      <c r="I41" s="34">
        <v>40087</v>
      </c>
      <c r="J41" s="1">
        <v>141.38999999999999</v>
      </c>
      <c r="K41" s="34">
        <v>40087</v>
      </c>
      <c r="L41" s="1">
        <v>3882.4</v>
      </c>
      <c r="M41" s="34">
        <v>40087</v>
      </c>
      <c r="N41" s="1">
        <v>657.7</v>
      </c>
    </row>
    <row r="42" spans="1:14" x14ac:dyDescent="0.25">
      <c r="A42" s="34">
        <v>40118</v>
      </c>
      <c r="B42" s="1">
        <v>3862.6</v>
      </c>
      <c r="C42" s="34">
        <v>40118</v>
      </c>
      <c r="D42" s="1">
        <v>1010</v>
      </c>
      <c r="E42" s="34">
        <v>40118</v>
      </c>
      <c r="F42" s="1">
        <v>9.6</v>
      </c>
      <c r="G42" s="34">
        <v>40118</v>
      </c>
      <c r="H42" s="1">
        <v>0.13</v>
      </c>
      <c r="I42" s="34">
        <v>40118</v>
      </c>
      <c r="J42" s="1">
        <v>141.35</v>
      </c>
      <c r="K42" s="34">
        <v>40118</v>
      </c>
      <c r="L42" s="1">
        <v>3894.6</v>
      </c>
      <c r="M42" s="34">
        <v>40118</v>
      </c>
      <c r="N42" s="1">
        <v>664</v>
      </c>
    </row>
    <row r="43" spans="1:14" x14ac:dyDescent="0.25">
      <c r="A43" s="34">
        <v>40148</v>
      </c>
      <c r="B43" s="1">
        <v>3862.8</v>
      </c>
      <c r="C43" s="34">
        <v>40148</v>
      </c>
      <c r="D43" s="1">
        <v>1312</v>
      </c>
      <c r="E43" s="34">
        <v>40148</v>
      </c>
      <c r="F43" s="1">
        <v>9.6999999999999993</v>
      </c>
      <c r="G43" s="34">
        <v>40148</v>
      </c>
      <c r="H43" s="1">
        <v>7.0000000000000007E-2</v>
      </c>
      <c r="I43" s="34">
        <v>40148</v>
      </c>
      <c r="J43" s="1">
        <v>141.31</v>
      </c>
      <c r="K43" s="34">
        <v>40148</v>
      </c>
      <c r="L43" s="1">
        <v>3903.1</v>
      </c>
      <c r="M43" s="34">
        <v>40148</v>
      </c>
      <c r="N43" s="1">
        <v>662.8</v>
      </c>
    </row>
    <row r="44" spans="1:14" x14ac:dyDescent="0.25">
      <c r="A44" s="34">
        <v>40179</v>
      </c>
      <c r="B44" s="1">
        <v>3849.8</v>
      </c>
      <c r="C44" s="34">
        <v>40179</v>
      </c>
      <c r="D44" s="1">
        <v>745</v>
      </c>
      <c r="E44" s="34">
        <v>40179</v>
      </c>
      <c r="F44" s="1">
        <v>9.6999999999999993</v>
      </c>
      <c r="G44" s="34">
        <v>40179</v>
      </c>
      <c r="H44" s="1">
        <v>0.3</v>
      </c>
      <c r="I44" s="34">
        <v>40179</v>
      </c>
      <c r="J44" s="1">
        <v>141.30000000000001</v>
      </c>
      <c r="K44" s="34">
        <v>40179</v>
      </c>
      <c r="L44" s="1">
        <v>3774.6</v>
      </c>
      <c r="M44" s="34">
        <v>40179</v>
      </c>
      <c r="N44" s="1">
        <v>647.29999999999995</v>
      </c>
    </row>
    <row r="45" spans="1:14" x14ac:dyDescent="0.25">
      <c r="A45" s="34">
        <v>40210</v>
      </c>
      <c r="B45" s="1">
        <v>3837.6</v>
      </c>
      <c r="C45" s="34">
        <v>40210</v>
      </c>
      <c r="D45" s="1">
        <v>711</v>
      </c>
      <c r="E45" s="34">
        <v>40210</v>
      </c>
      <c r="F45" s="1">
        <v>9.6999999999999993</v>
      </c>
      <c r="G45" s="34">
        <v>40210</v>
      </c>
      <c r="H45" s="1">
        <v>0.56999999999999995</v>
      </c>
      <c r="I45" s="34">
        <v>40210</v>
      </c>
      <c r="J45" s="1">
        <v>141.32</v>
      </c>
      <c r="K45" s="34">
        <v>40210</v>
      </c>
      <c r="L45" s="1">
        <v>3766.7</v>
      </c>
      <c r="M45" s="34">
        <v>40210</v>
      </c>
      <c r="N45" s="1">
        <v>654.20000000000005</v>
      </c>
    </row>
    <row r="46" spans="1:14" x14ac:dyDescent="0.25">
      <c r="A46" s="34">
        <v>40238</v>
      </c>
      <c r="B46" s="1">
        <v>3840.7</v>
      </c>
      <c r="C46" s="34">
        <v>40238</v>
      </c>
      <c r="D46" s="1">
        <v>1087</v>
      </c>
      <c r="E46" s="34">
        <v>40238</v>
      </c>
      <c r="F46" s="1">
        <v>9.6999999999999993</v>
      </c>
      <c r="G46" s="34">
        <v>40238</v>
      </c>
      <c r="H46" s="1">
        <v>0.73</v>
      </c>
      <c r="I46" s="34">
        <v>40238</v>
      </c>
      <c r="J46" s="1">
        <v>141.4</v>
      </c>
      <c r="K46" s="34">
        <v>40238</v>
      </c>
      <c r="L46" s="1">
        <v>3797.4</v>
      </c>
      <c r="M46" s="34">
        <v>40238</v>
      </c>
      <c r="N46" s="1">
        <v>657.3</v>
      </c>
    </row>
    <row r="47" spans="1:14" x14ac:dyDescent="0.25">
      <c r="A47" s="34">
        <v>40269</v>
      </c>
      <c r="B47" s="1">
        <v>3854.6</v>
      </c>
      <c r="C47" s="34">
        <v>40269</v>
      </c>
      <c r="D47" s="1">
        <v>1104</v>
      </c>
      <c r="E47" s="34">
        <v>40269</v>
      </c>
      <c r="F47" s="1">
        <v>9.6999999999999993</v>
      </c>
      <c r="G47" s="34">
        <v>40269</v>
      </c>
      <c r="H47" s="1">
        <v>0.91</v>
      </c>
      <c r="I47" s="34">
        <v>40269</v>
      </c>
      <c r="J47" s="1">
        <v>141.52000000000001</v>
      </c>
      <c r="K47" s="34">
        <v>40269</v>
      </c>
      <c r="L47" s="1">
        <v>3848.3</v>
      </c>
      <c r="M47" s="34">
        <v>40269</v>
      </c>
      <c r="N47" s="1">
        <v>658.9</v>
      </c>
    </row>
    <row r="48" spans="1:14" x14ac:dyDescent="0.25">
      <c r="A48" s="34">
        <v>40299</v>
      </c>
      <c r="B48" s="1">
        <v>3867</v>
      </c>
      <c r="C48" s="34">
        <v>40299</v>
      </c>
      <c r="D48" s="1">
        <v>898</v>
      </c>
      <c r="E48" s="34">
        <v>40299</v>
      </c>
      <c r="F48" s="1">
        <v>9.6</v>
      </c>
      <c r="G48" s="34">
        <v>40299</v>
      </c>
      <c r="H48" s="1">
        <v>0.52</v>
      </c>
      <c r="I48" s="34">
        <v>40299</v>
      </c>
      <c r="J48" s="1">
        <v>141.65</v>
      </c>
      <c r="K48" s="34">
        <v>40299</v>
      </c>
      <c r="L48" s="1">
        <v>3893.6</v>
      </c>
      <c r="M48" s="34">
        <v>40299</v>
      </c>
      <c r="N48" s="1">
        <v>669.1</v>
      </c>
    </row>
    <row r="49" spans="1:14" x14ac:dyDescent="0.25">
      <c r="A49" s="34">
        <v>40330</v>
      </c>
      <c r="B49" s="1">
        <v>3863.4</v>
      </c>
      <c r="C49" s="34">
        <v>40330</v>
      </c>
      <c r="D49" s="1">
        <v>1289</v>
      </c>
      <c r="E49" s="34">
        <v>40330</v>
      </c>
      <c r="F49" s="1">
        <v>9.6</v>
      </c>
      <c r="G49" s="34">
        <v>40330</v>
      </c>
      <c r="H49" s="1">
        <v>-0.15</v>
      </c>
      <c r="I49" s="34">
        <v>40330</v>
      </c>
      <c r="J49" s="1">
        <v>141.71</v>
      </c>
      <c r="K49" s="34">
        <v>40330</v>
      </c>
      <c r="L49" s="1">
        <v>3936.7</v>
      </c>
      <c r="M49" s="34">
        <v>40330</v>
      </c>
      <c r="N49" s="1">
        <v>663.7</v>
      </c>
    </row>
    <row r="50" spans="1:14" x14ac:dyDescent="0.25">
      <c r="A50" s="34">
        <v>40360</v>
      </c>
      <c r="B50" s="1">
        <v>3855.5</v>
      </c>
      <c r="C50" s="34">
        <v>40360</v>
      </c>
      <c r="D50" s="1">
        <v>1098</v>
      </c>
      <c r="E50" s="34">
        <v>40360</v>
      </c>
      <c r="F50" s="1">
        <v>9.6</v>
      </c>
      <c r="G50" s="34">
        <v>40360</v>
      </c>
      <c r="H50" s="1">
        <v>0.49</v>
      </c>
      <c r="I50" s="34">
        <v>40360</v>
      </c>
      <c r="J50" s="1">
        <v>141.75</v>
      </c>
      <c r="K50" s="34">
        <v>40360</v>
      </c>
      <c r="L50" s="1">
        <v>3865.3</v>
      </c>
      <c r="M50" s="34">
        <v>40360</v>
      </c>
      <c r="N50" s="1">
        <v>618</v>
      </c>
    </row>
    <row r="51" spans="1:14" x14ac:dyDescent="0.25">
      <c r="A51" s="34">
        <v>40391</v>
      </c>
      <c r="B51" s="1">
        <v>3846.5</v>
      </c>
      <c r="C51" s="34">
        <v>40391</v>
      </c>
      <c r="D51" s="1">
        <v>1283</v>
      </c>
      <c r="E51" s="34">
        <v>40391</v>
      </c>
      <c r="F51" s="1">
        <v>9.5</v>
      </c>
      <c r="G51" s="34">
        <v>40391</v>
      </c>
      <c r="H51" s="1">
        <v>0.47</v>
      </c>
      <c r="I51" s="34">
        <v>40391</v>
      </c>
      <c r="J51" s="1">
        <v>141.80000000000001</v>
      </c>
      <c r="K51" s="34">
        <v>40391</v>
      </c>
      <c r="L51" s="1">
        <v>3840.4</v>
      </c>
      <c r="M51" s="34">
        <v>40391</v>
      </c>
      <c r="N51" s="1">
        <v>596.29999999999995</v>
      </c>
    </row>
    <row r="52" spans="1:14" x14ac:dyDescent="0.25">
      <c r="A52" s="34">
        <v>40422</v>
      </c>
      <c r="B52" s="1">
        <v>3835.6</v>
      </c>
      <c r="C52" s="34">
        <v>40422</v>
      </c>
      <c r="D52" s="1">
        <v>1254</v>
      </c>
      <c r="E52" s="34">
        <v>40422</v>
      </c>
      <c r="F52" s="1">
        <v>9.5</v>
      </c>
      <c r="G52" s="34">
        <v>40422</v>
      </c>
      <c r="H52" s="1">
        <v>-0.03</v>
      </c>
      <c r="I52" s="34">
        <v>40422</v>
      </c>
      <c r="J52" s="1">
        <v>141.82</v>
      </c>
      <c r="K52" s="34">
        <v>40422</v>
      </c>
      <c r="L52" s="1">
        <v>3841.6</v>
      </c>
      <c r="M52" s="34">
        <v>40422</v>
      </c>
      <c r="N52" s="1">
        <v>612.1</v>
      </c>
    </row>
    <row r="53" spans="1:14" x14ac:dyDescent="0.25">
      <c r="A53" s="34">
        <v>40452</v>
      </c>
      <c r="B53" s="1">
        <v>3841.4</v>
      </c>
      <c r="C53" s="34">
        <v>40452</v>
      </c>
      <c r="D53" s="1">
        <v>1123</v>
      </c>
      <c r="E53" s="34">
        <v>40452</v>
      </c>
      <c r="F53" s="1">
        <v>9.5</v>
      </c>
      <c r="G53" s="34">
        <v>40452</v>
      </c>
      <c r="H53" s="1">
        <v>0.27</v>
      </c>
      <c r="I53" s="34">
        <v>40452</v>
      </c>
      <c r="J53" s="1">
        <v>141.83000000000001</v>
      </c>
      <c r="K53" s="34">
        <v>40452</v>
      </c>
      <c r="L53" s="1">
        <v>3861.6</v>
      </c>
      <c r="M53" s="34">
        <v>40452</v>
      </c>
      <c r="N53" s="1">
        <v>631.20000000000005</v>
      </c>
    </row>
    <row r="54" spans="1:14" x14ac:dyDescent="0.25">
      <c r="A54" s="34">
        <v>40483</v>
      </c>
      <c r="B54" s="1">
        <v>3842.1</v>
      </c>
      <c r="C54" s="34">
        <v>40483</v>
      </c>
      <c r="D54" s="1">
        <v>911</v>
      </c>
      <c r="E54" s="34">
        <v>40483</v>
      </c>
      <c r="F54" s="1">
        <v>9.5</v>
      </c>
      <c r="G54" s="34">
        <v>40483</v>
      </c>
      <c r="H54" s="1">
        <v>0.32</v>
      </c>
      <c r="I54" s="34">
        <v>40483</v>
      </c>
      <c r="J54" s="1">
        <v>141.86000000000001</v>
      </c>
      <c r="K54" s="34">
        <v>40483</v>
      </c>
      <c r="L54" s="1">
        <v>3874.2</v>
      </c>
      <c r="M54" s="34">
        <v>40483</v>
      </c>
      <c r="N54" s="1">
        <v>637.70000000000005</v>
      </c>
    </row>
    <row r="55" spans="1:14" x14ac:dyDescent="0.25">
      <c r="A55" s="34">
        <v>40513</v>
      </c>
      <c r="B55" s="1">
        <v>3840.9</v>
      </c>
      <c r="C55" s="34">
        <v>40513</v>
      </c>
      <c r="D55" s="1">
        <v>1349</v>
      </c>
      <c r="E55" s="34">
        <v>40513</v>
      </c>
      <c r="F55" s="1">
        <v>9.5</v>
      </c>
      <c r="G55" s="34">
        <v>40513</v>
      </c>
      <c r="H55" s="1">
        <v>0.47</v>
      </c>
      <c r="I55" s="34">
        <v>40513</v>
      </c>
      <c r="J55" s="1">
        <v>141.93</v>
      </c>
      <c r="K55" s="34">
        <v>40513</v>
      </c>
      <c r="L55" s="1">
        <v>3879.9</v>
      </c>
      <c r="M55" s="34">
        <v>40513</v>
      </c>
      <c r="N55" s="1">
        <v>633.6</v>
      </c>
    </row>
    <row r="56" spans="1:14" x14ac:dyDescent="0.25">
      <c r="A56" s="34">
        <v>40544</v>
      </c>
      <c r="B56" s="1">
        <v>3834.3</v>
      </c>
      <c r="C56" s="34">
        <v>40544</v>
      </c>
      <c r="D56" s="1">
        <v>922</v>
      </c>
      <c r="E56" s="34">
        <v>40544</v>
      </c>
      <c r="F56" s="1">
        <v>9.4</v>
      </c>
      <c r="G56" s="34">
        <v>40544</v>
      </c>
      <c r="H56" s="1">
        <v>1.02</v>
      </c>
      <c r="I56" s="34">
        <v>40544</v>
      </c>
      <c r="J56" s="1">
        <v>142.07</v>
      </c>
      <c r="K56" s="34">
        <v>40544</v>
      </c>
      <c r="L56" s="1">
        <v>3754</v>
      </c>
      <c r="M56" s="34">
        <v>40544</v>
      </c>
      <c r="N56" s="1">
        <v>617.20000000000005</v>
      </c>
    </row>
    <row r="57" spans="1:14" x14ac:dyDescent="0.25">
      <c r="A57" s="34">
        <v>40575</v>
      </c>
      <c r="B57" s="1">
        <v>3834.6</v>
      </c>
      <c r="C57" s="34">
        <v>40575</v>
      </c>
      <c r="D57" s="1">
        <v>666</v>
      </c>
      <c r="E57" s="34">
        <v>40575</v>
      </c>
      <c r="F57" s="1">
        <v>9.3000000000000007</v>
      </c>
      <c r="G57" s="34">
        <v>40575</v>
      </c>
      <c r="H57" s="1">
        <v>0.9</v>
      </c>
      <c r="I57" s="34">
        <v>40575</v>
      </c>
      <c r="J57" s="1">
        <v>142.26</v>
      </c>
      <c r="K57" s="34">
        <v>40575</v>
      </c>
      <c r="L57" s="1">
        <v>3763.7</v>
      </c>
      <c r="M57" s="34">
        <v>40575</v>
      </c>
      <c r="N57" s="1">
        <v>628.79999999999995</v>
      </c>
    </row>
    <row r="58" spans="1:14" x14ac:dyDescent="0.25">
      <c r="A58" s="34">
        <v>40603</v>
      </c>
      <c r="B58" s="1">
        <v>3835.8</v>
      </c>
      <c r="C58" s="34">
        <v>40603</v>
      </c>
      <c r="D58" s="1">
        <v>1231</v>
      </c>
      <c r="E58" s="34">
        <v>40603</v>
      </c>
      <c r="F58" s="1">
        <v>9.3000000000000007</v>
      </c>
      <c r="G58" s="34">
        <v>40603</v>
      </c>
      <c r="H58" s="1">
        <v>0.61</v>
      </c>
      <c r="I58" s="34">
        <v>40603</v>
      </c>
      <c r="J58" s="1">
        <v>142.46</v>
      </c>
      <c r="K58" s="34">
        <v>40603</v>
      </c>
      <c r="L58" s="1">
        <v>3793.3</v>
      </c>
      <c r="M58" s="34">
        <v>40603</v>
      </c>
      <c r="N58" s="1">
        <v>631</v>
      </c>
    </row>
    <row r="59" spans="1:14" x14ac:dyDescent="0.25">
      <c r="A59" s="34">
        <v>40634</v>
      </c>
      <c r="B59" s="1">
        <v>3841.9</v>
      </c>
      <c r="C59" s="34">
        <v>40634</v>
      </c>
      <c r="D59" s="1">
        <v>959</v>
      </c>
      <c r="E59" s="34">
        <v>40634</v>
      </c>
      <c r="F59" s="1">
        <v>9.3000000000000007</v>
      </c>
      <c r="G59" s="34">
        <v>40634</v>
      </c>
      <c r="H59" s="1">
        <v>0.53</v>
      </c>
      <c r="I59" s="34">
        <v>40634</v>
      </c>
      <c r="J59" s="1">
        <v>142.63</v>
      </c>
      <c r="K59" s="34">
        <v>40634</v>
      </c>
      <c r="L59" s="1">
        <v>3836.6</v>
      </c>
      <c r="M59" s="34">
        <v>40634</v>
      </c>
      <c r="N59" s="1">
        <v>633.5</v>
      </c>
    </row>
    <row r="60" spans="1:14" x14ac:dyDescent="0.25">
      <c r="A60" s="34">
        <v>40664</v>
      </c>
      <c r="B60" s="1">
        <v>3839.7</v>
      </c>
      <c r="C60" s="34">
        <v>40664</v>
      </c>
      <c r="D60" s="1">
        <v>1168</v>
      </c>
      <c r="E60" s="34">
        <v>40664</v>
      </c>
      <c r="F60" s="1">
        <v>9.3000000000000007</v>
      </c>
      <c r="G60" s="34">
        <v>40664</v>
      </c>
      <c r="H60" s="1">
        <v>0.28999999999999998</v>
      </c>
      <c r="I60" s="34">
        <v>40664</v>
      </c>
      <c r="J60" s="1">
        <v>142.75</v>
      </c>
      <c r="K60" s="34">
        <v>40664</v>
      </c>
      <c r="L60" s="1">
        <v>3866.2</v>
      </c>
      <c r="M60" s="34">
        <v>40664</v>
      </c>
      <c r="N60" s="1">
        <v>629.29999999999995</v>
      </c>
    </row>
    <row r="61" spans="1:14" x14ac:dyDescent="0.25">
      <c r="A61" s="34">
        <v>40695</v>
      </c>
      <c r="B61" s="1">
        <v>3837.9</v>
      </c>
      <c r="C61" s="34">
        <v>40695</v>
      </c>
      <c r="D61" s="1">
        <v>1557</v>
      </c>
      <c r="E61" s="34">
        <v>40695</v>
      </c>
      <c r="F61" s="1">
        <v>9.4</v>
      </c>
      <c r="G61" s="34">
        <v>40695</v>
      </c>
      <c r="H61" s="1">
        <v>0.83</v>
      </c>
      <c r="I61" s="34">
        <v>40695</v>
      </c>
      <c r="J61" s="1">
        <v>142.88</v>
      </c>
      <c r="K61" s="34">
        <v>40695</v>
      </c>
      <c r="L61" s="1">
        <v>3916.6</v>
      </c>
      <c r="M61" s="34">
        <v>40695</v>
      </c>
      <c r="N61" s="1">
        <v>628.29999999999995</v>
      </c>
    </row>
    <row r="62" spans="1:14" x14ac:dyDescent="0.25">
      <c r="A62" s="34">
        <v>40725</v>
      </c>
      <c r="B62" s="1">
        <v>3850.3</v>
      </c>
      <c r="C62" s="34">
        <v>40725</v>
      </c>
      <c r="D62" s="1">
        <v>950</v>
      </c>
      <c r="E62" s="34">
        <v>40725</v>
      </c>
      <c r="F62" s="1">
        <v>9.4</v>
      </c>
      <c r="G62" s="34">
        <v>40725</v>
      </c>
      <c r="H62" s="1">
        <v>0.83</v>
      </c>
      <c r="I62" s="34">
        <v>40725</v>
      </c>
      <c r="J62" s="1">
        <v>143.03</v>
      </c>
      <c r="K62" s="34">
        <v>40725</v>
      </c>
      <c r="L62" s="1">
        <v>3862</v>
      </c>
      <c r="M62" s="34">
        <v>40725</v>
      </c>
      <c r="N62" s="1">
        <v>589.70000000000005</v>
      </c>
    </row>
    <row r="63" spans="1:14" x14ac:dyDescent="0.25">
      <c r="A63" s="34">
        <v>40756</v>
      </c>
      <c r="B63" s="1">
        <v>3846.5</v>
      </c>
      <c r="C63" s="34">
        <v>40756</v>
      </c>
      <c r="D63" s="1">
        <v>1124</v>
      </c>
      <c r="E63" s="34">
        <v>40756</v>
      </c>
      <c r="F63" s="1">
        <v>9.5</v>
      </c>
      <c r="G63" s="34">
        <v>40756</v>
      </c>
      <c r="H63" s="1">
        <v>1.41</v>
      </c>
      <c r="I63" s="34">
        <v>40756</v>
      </c>
      <c r="J63" s="1">
        <v>143.24</v>
      </c>
      <c r="K63" s="34">
        <v>40756</v>
      </c>
      <c r="L63" s="1">
        <v>3838.5</v>
      </c>
      <c r="M63" s="34">
        <v>40756</v>
      </c>
      <c r="N63" s="1">
        <v>574.9</v>
      </c>
    </row>
    <row r="64" spans="1:14" x14ac:dyDescent="0.25">
      <c r="A64" s="34">
        <v>40787</v>
      </c>
      <c r="B64" s="1">
        <v>3856.1</v>
      </c>
      <c r="C64" s="34">
        <v>40787</v>
      </c>
      <c r="D64" s="1">
        <v>996</v>
      </c>
      <c r="E64" s="34">
        <v>40787</v>
      </c>
      <c r="F64" s="1">
        <v>9.4</v>
      </c>
      <c r="G64" s="34">
        <v>40787</v>
      </c>
      <c r="H64" s="1">
        <v>2.2599999999999998</v>
      </c>
      <c r="I64" s="34">
        <v>40787</v>
      </c>
      <c r="J64" s="1">
        <v>143.58000000000001</v>
      </c>
      <c r="K64" s="34">
        <v>40787</v>
      </c>
      <c r="L64" s="1">
        <v>3862.6</v>
      </c>
      <c r="M64" s="34">
        <v>40787</v>
      </c>
      <c r="N64" s="1">
        <v>603.4</v>
      </c>
    </row>
    <row r="65" spans="1:14" x14ac:dyDescent="0.25">
      <c r="A65" s="34">
        <v>40817</v>
      </c>
      <c r="B65" s="1">
        <v>3855.8</v>
      </c>
      <c r="C65" s="34">
        <v>40817</v>
      </c>
      <c r="D65" s="1">
        <v>1058</v>
      </c>
      <c r="E65" s="34">
        <v>40817</v>
      </c>
      <c r="F65" s="1">
        <v>9.3000000000000007</v>
      </c>
      <c r="G65" s="34">
        <v>40817</v>
      </c>
      <c r="H65" s="1">
        <v>1.84</v>
      </c>
      <c r="I65" s="34">
        <v>40817</v>
      </c>
      <c r="J65" s="1">
        <v>144.01</v>
      </c>
      <c r="K65" s="34">
        <v>40817</v>
      </c>
      <c r="L65" s="1">
        <v>3875.9</v>
      </c>
      <c r="M65" s="34">
        <v>40817</v>
      </c>
      <c r="N65" s="1">
        <v>627.5</v>
      </c>
    </row>
    <row r="66" spans="1:14" x14ac:dyDescent="0.25">
      <c r="A66" s="34">
        <v>40848</v>
      </c>
      <c r="B66" s="1">
        <v>3863.5</v>
      </c>
      <c r="C66" s="34">
        <v>40848</v>
      </c>
      <c r="D66" s="1">
        <v>1293</v>
      </c>
      <c r="E66" s="34">
        <v>40848</v>
      </c>
      <c r="F66" s="1">
        <v>9.1999999999999993</v>
      </c>
      <c r="G66" s="34">
        <v>40848</v>
      </c>
      <c r="H66" s="1">
        <v>1.55</v>
      </c>
      <c r="I66" s="34">
        <v>40848</v>
      </c>
      <c r="J66" s="1">
        <v>144.44</v>
      </c>
      <c r="K66" s="34">
        <v>40848</v>
      </c>
      <c r="L66" s="1">
        <v>3895.7</v>
      </c>
      <c r="M66" s="34">
        <v>40848</v>
      </c>
      <c r="N66" s="1">
        <v>632.70000000000005</v>
      </c>
    </row>
    <row r="67" spans="1:14" x14ac:dyDescent="0.25">
      <c r="A67" s="34">
        <v>40878</v>
      </c>
      <c r="B67" s="1">
        <v>3866.1</v>
      </c>
      <c r="C67" s="34">
        <v>40878</v>
      </c>
      <c r="D67" s="1">
        <v>1282</v>
      </c>
      <c r="E67" s="34">
        <v>40878</v>
      </c>
      <c r="F67" s="1">
        <v>9.1999999999999993</v>
      </c>
      <c r="G67" s="34">
        <v>40878</v>
      </c>
      <c r="H67" s="1">
        <v>1.79</v>
      </c>
      <c r="I67" s="34">
        <v>40878</v>
      </c>
      <c r="J67" s="1">
        <v>144.87</v>
      </c>
      <c r="K67" s="34">
        <v>40878</v>
      </c>
      <c r="L67" s="1">
        <v>3904.7</v>
      </c>
      <c r="M67" s="34">
        <v>40878</v>
      </c>
      <c r="N67" s="1">
        <v>629.9</v>
      </c>
    </row>
    <row r="68" spans="1:14" x14ac:dyDescent="0.25">
      <c r="A68" s="34">
        <v>40909</v>
      </c>
      <c r="B68" s="1">
        <v>3875.3</v>
      </c>
      <c r="C68" s="34">
        <v>40909</v>
      </c>
      <c r="D68" s="1">
        <v>950</v>
      </c>
      <c r="E68" s="34">
        <v>40909</v>
      </c>
      <c r="F68" s="1">
        <v>9.1</v>
      </c>
      <c r="G68" s="34">
        <v>40909</v>
      </c>
      <c r="H68" s="1">
        <v>2.13</v>
      </c>
      <c r="I68" s="34">
        <v>40909</v>
      </c>
      <c r="J68" s="1">
        <v>145.33000000000001</v>
      </c>
      <c r="K68" s="34">
        <v>40909</v>
      </c>
      <c r="L68" s="1">
        <v>3793.8</v>
      </c>
      <c r="M68" s="34">
        <v>40909</v>
      </c>
      <c r="N68" s="1">
        <v>613.1</v>
      </c>
    </row>
    <row r="69" spans="1:14" x14ac:dyDescent="0.25">
      <c r="A69" s="34">
        <v>40940</v>
      </c>
      <c r="B69" s="1">
        <v>3882.4</v>
      </c>
      <c r="C69" s="34">
        <v>40940</v>
      </c>
      <c r="D69" s="1">
        <v>1097</v>
      </c>
      <c r="E69" s="34">
        <v>40940</v>
      </c>
      <c r="F69" s="1">
        <v>9.1</v>
      </c>
      <c r="G69" s="34">
        <v>40940</v>
      </c>
      <c r="H69" s="1">
        <v>1.22</v>
      </c>
      <c r="I69" s="34">
        <v>40940</v>
      </c>
      <c r="J69" s="1">
        <v>145.74</v>
      </c>
      <c r="K69" s="34">
        <v>40940</v>
      </c>
      <c r="L69" s="1">
        <v>3812.1</v>
      </c>
      <c r="M69" s="34">
        <v>40940</v>
      </c>
      <c r="N69" s="1">
        <v>626.29999999999995</v>
      </c>
    </row>
    <row r="70" spans="1:14" x14ac:dyDescent="0.25">
      <c r="A70" s="34">
        <v>40969</v>
      </c>
      <c r="B70" s="1">
        <v>3891.7</v>
      </c>
      <c r="C70" s="34">
        <v>40969</v>
      </c>
      <c r="D70" s="1">
        <v>1291</v>
      </c>
      <c r="E70" s="34">
        <v>40969</v>
      </c>
      <c r="F70" s="1">
        <v>9.1999999999999993</v>
      </c>
      <c r="G70" s="34">
        <v>40969</v>
      </c>
      <c r="H70" s="1">
        <v>0.42</v>
      </c>
      <c r="I70" s="34">
        <v>40969</v>
      </c>
      <c r="J70" s="1">
        <v>146</v>
      </c>
      <c r="K70" s="34">
        <v>40969</v>
      </c>
      <c r="L70" s="1">
        <v>3850.2</v>
      </c>
      <c r="M70" s="34">
        <v>40969</v>
      </c>
      <c r="N70" s="1">
        <v>630.70000000000005</v>
      </c>
    </row>
    <row r="71" spans="1:14" x14ac:dyDescent="0.25">
      <c r="A71" s="34">
        <v>41000</v>
      </c>
      <c r="B71" s="1">
        <v>3875.9</v>
      </c>
      <c r="C71" s="34">
        <v>41000</v>
      </c>
      <c r="D71" s="1">
        <v>1544</v>
      </c>
      <c r="E71" s="34">
        <v>41000</v>
      </c>
      <c r="F71" s="1">
        <v>9.3000000000000007</v>
      </c>
      <c r="G71" s="34">
        <v>41000</v>
      </c>
      <c r="H71" s="1">
        <v>0.89</v>
      </c>
      <c r="I71" s="34">
        <v>41000</v>
      </c>
      <c r="J71" s="1">
        <v>146.16999999999999</v>
      </c>
      <c r="K71" s="34">
        <v>41000</v>
      </c>
      <c r="L71" s="1">
        <v>3862</v>
      </c>
      <c r="M71" s="34">
        <v>41000</v>
      </c>
      <c r="N71" s="1">
        <v>627.20000000000005</v>
      </c>
    </row>
    <row r="72" spans="1:14" x14ac:dyDescent="0.25">
      <c r="A72" s="34">
        <v>41030</v>
      </c>
      <c r="B72" s="1">
        <v>3883.8</v>
      </c>
      <c r="C72" s="34">
        <v>41030</v>
      </c>
      <c r="D72" s="1">
        <v>1279</v>
      </c>
      <c r="E72" s="34">
        <v>41030</v>
      </c>
      <c r="F72" s="1">
        <v>9.4</v>
      </c>
      <c r="G72" s="34">
        <v>41030</v>
      </c>
      <c r="H72" s="1">
        <v>0.87</v>
      </c>
      <c r="I72" s="34">
        <v>41030</v>
      </c>
      <c r="J72" s="1">
        <v>146.29</v>
      </c>
      <c r="K72" s="34">
        <v>41030</v>
      </c>
      <c r="L72" s="1">
        <v>3910.2</v>
      </c>
      <c r="M72" s="34">
        <v>41030</v>
      </c>
      <c r="N72" s="1">
        <v>623.79999999999995</v>
      </c>
    </row>
    <row r="73" spans="1:14" x14ac:dyDescent="0.25">
      <c r="A73" s="34">
        <v>41061</v>
      </c>
      <c r="B73" s="1">
        <v>3891.2</v>
      </c>
      <c r="C73" s="34">
        <v>41061</v>
      </c>
      <c r="D73" s="1">
        <v>2098</v>
      </c>
      <c r="E73" s="34">
        <v>41061</v>
      </c>
      <c r="F73" s="1">
        <v>9.5</v>
      </c>
      <c r="G73" s="34">
        <v>41061</v>
      </c>
      <c r="H73" s="1">
        <v>0.82</v>
      </c>
      <c r="I73" s="34">
        <v>41061</v>
      </c>
      <c r="J73" s="1">
        <v>146.41</v>
      </c>
      <c r="K73" s="34">
        <v>41061</v>
      </c>
      <c r="L73" s="1">
        <v>3972.4</v>
      </c>
      <c r="M73" s="34">
        <v>41061</v>
      </c>
      <c r="N73" s="1">
        <v>627.70000000000005</v>
      </c>
    </row>
    <row r="74" spans="1:14" x14ac:dyDescent="0.25">
      <c r="A74" s="34">
        <v>41091</v>
      </c>
      <c r="B74" s="1">
        <v>3884.7</v>
      </c>
      <c r="C74" s="34">
        <v>41091</v>
      </c>
      <c r="D74" s="1">
        <v>1909</v>
      </c>
      <c r="E74" s="34">
        <v>41091</v>
      </c>
      <c r="F74" s="1">
        <v>9.6</v>
      </c>
      <c r="G74" s="34">
        <v>41091</v>
      </c>
      <c r="H74" s="1">
        <v>1.29</v>
      </c>
      <c r="I74" s="34">
        <v>41091</v>
      </c>
      <c r="J74" s="1">
        <v>146.57</v>
      </c>
      <c r="K74" s="34">
        <v>41091</v>
      </c>
      <c r="L74" s="1">
        <v>3895.7</v>
      </c>
      <c r="M74" s="34">
        <v>41091</v>
      </c>
      <c r="N74" s="1">
        <v>585.9</v>
      </c>
    </row>
    <row r="75" spans="1:14" x14ac:dyDescent="0.25">
      <c r="A75" s="34">
        <v>41122</v>
      </c>
      <c r="B75" s="1">
        <v>3892.1</v>
      </c>
      <c r="C75" s="34">
        <v>41122</v>
      </c>
      <c r="D75" s="1">
        <v>1332</v>
      </c>
      <c r="E75" s="34">
        <v>41122</v>
      </c>
      <c r="F75" s="1">
        <v>9.5</v>
      </c>
      <c r="G75" s="34">
        <v>41122</v>
      </c>
      <c r="H75" s="1">
        <v>2.2000000000000002</v>
      </c>
      <c r="I75" s="34">
        <v>41122</v>
      </c>
      <c r="J75" s="1">
        <v>146.86000000000001</v>
      </c>
      <c r="K75" s="34">
        <v>41122</v>
      </c>
      <c r="L75" s="1">
        <v>3887.7</v>
      </c>
      <c r="M75" s="34">
        <v>41122</v>
      </c>
      <c r="N75" s="1">
        <v>574.4</v>
      </c>
    </row>
    <row r="76" spans="1:14" x14ac:dyDescent="0.25">
      <c r="A76" s="34">
        <v>41153</v>
      </c>
      <c r="B76" s="1">
        <v>3900.3</v>
      </c>
      <c r="C76" s="34">
        <v>41153</v>
      </c>
      <c r="D76" s="1">
        <v>1596</v>
      </c>
      <c r="E76" s="34">
        <v>41153</v>
      </c>
      <c r="F76" s="1">
        <v>9.4</v>
      </c>
      <c r="G76" s="34">
        <v>41153</v>
      </c>
      <c r="H76" s="1">
        <v>1.74</v>
      </c>
      <c r="I76" s="34">
        <v>41153</v>
      </c>
      <c r="J76" s="1">
        <v>147.25</v>
      </c>
      <c r="K76" s="34">
        <v>41153</v>
      </c>
      <c r="L76" s="1">
        <v>3908.6</v>
      </c>
      <c r="M76" s="34">
        <v>41153</v>
      </c>
      <c r="N76" s="1">
        <v>602.20000000000005</v>
      </c>
    </row>
    <row r="77" spans="1:14" x14ac:dyDescent="0.25">
      <c r="A77" s="34">
        <v>41183</v>
      </c>
      <c r="B77" s="1">
        <v>3902.6</v>
      </c>
      <c r="C77" s="34">
        <v>41183</v>
      </c>
      <c r="D77" s="1">
        <v>1643</v>
      </c>
      <c r="E77" s="34">
        <v>41183</v>
      </c>
      <c r="F77" s="1">
        <v>9.3000000000000007</v>
      </c>
      <c r="G77" s="34">
        <v>41183</v>
      </c>
      <c r="H77" s="1">
        <v>1.68</v>
      </c>
      <c r="I77" s="34">
        <v>41183</v>
      </c>
      <c r="J77" s="1">
        <v>147.69</v>
      </c>
      <c r="K77" s="34">
        <v>41183</v>
      </c>
      <c r="L77" s="1">
        <v>3922</v>
      </c>
      <c r="M77" s="34">
        <v>41183</v>
      </c>
      <c r="N77" s="1">
        <v>626.29999999999995</v>
      </c>
    </row>
    <row r="78" spans="1:14" x14ac:dyDescent="0.25">
      <c r="A78" s="34">
        <v>41214</v>
      </c>
      <c r="B78" s="1">
        <v>3896.5</v>
      </c>
      <c r="C78" s="34">
        <v>41214</v>
      </c>
      <c r="D78" s="1">
        <v>1160</v>
      </c>
      <c r="E78" s="34">
        <v>41214</v>
      </c>
      <c r="F78" s="1">
        <v>9.1999999999999993</v>
      </c>
      <c r="G78" s="34">
        <v>41214</v>
      </c>
      <c r="H78" s="1">
        <v>1.79</v>
      </c>
      <c r="I78" s="34">
        <v>41214</v>
      </c>
      <c r="J78" s="1">
        <v>148.13999999999999</v>
      </c>
      <c r="K78" s="34">
        <v>41214</v>
      </c>
      <c r="L78" s="1">
        <v>3926</v>
      </c>
      <c r="M78" s="34">
        <v>41214</v>
      </c>
      <c r="N78" s="1">
        <v>627.4</v>
      </c>
    </row>
    <row r="79" spans="1:14" x14ac:dyDescent="0.25">
      <c r="A79" s="34">
        <v>41244</v>
      </c>
      <c r="B79" s="1">
        <v>3910</v>
      </c>
      <c r="C79" s="34">
        <v>41244</v>
      </c>
      <c r="D79" s="1">
        <v>1664</v>
      </c>
      <c r="E79" s="34">
        <v>41244</v>
      </c>
      <c r="F79" s="1">
        <v>9.1</v>
      </c>
      <c r="G79" s="34">
        <v>41244</v>
      </c>
      <c r="H79" s="1">
        <v>2.29</v>
      </c>
      <c r="I79" s="34">
        <v>41244</v>
      </c>
      <c r="J79" s="1">
        <v>148.61000000000001</v>
      </c>
      <c r="K79" s="34">
        <v>41244</v>
      </c>
      <c r="L79" s="1">
        <v>3949</v>
      </c>
      <c r="M79" s="34">
        <v>41244</v>
      </c>
      <c r="N79" s="1">
        <v>627.4</v>
      </c>
    </row>
    <row r="80" spans="1:14" x14ac:dyDescent="0.25">
      <c r="A80" s="34">
        <v>41275</v>
      </c>
      <c r="B80" s="1">
        <v>3919.3</v>
      </c>
      <c r="C80" s="34">
        <v>41275</v>
      </c>
      <c r="D80" s="1">
        <v>1752</v>
      </c>
      <c r="E80" s="34">
        <v>41275</v>
      </c>
      <c r="F80" s="1">
        <v>8.9</v>
      </c>
      <c r="G80" s="34">
        <v>41275</v>
      </c>
      <c r="H80" s="1">
        <v>2.02</v>
      </c>
      <c r="I80" s="34">
        <v>41275</v>
      </c>
      <c r="J80" s="1">
        <v>149.07</v>
      </c>
      <c r="K80" s="34">
        <v>41275</v>
      </c>
      <c r="L80" s="1">
        <v>3836.7</v>
      </c>
      <c r="M80" s="34">
        <v>41275</v>
      </c>
      <c r="N80" s="1">
        <v>616.4</v>
      </c>
    </row>
    <row r="81" spans="1:14" x14ac:dyDescent="0.25">
      <c r="A81" s="34">
        <v>41306</v>
      </c>
      <c r="B81" s="1">
        <v>3924.7</v>
      </c>
      <c r="C81" s="34">
        <v>41306</v>
      </c>
      <c r="D81" s="1">
        <v>928</v>
      </c>
      <c r="E81" s="34">
        <v>41306</v>
      </c>
      <c r="F81" s="1">
        <v>8.8000000000000007</v>
      </c>
      <c r="G81" s="34">
        <v>41306</v>
      </c>
      <c r="H81" s="1">
        <v>1.3</v>
      </c>
      <c r="I81" s="34">
        <v>41306</v>
      </c>
      <c r="J81" s="1">
        <v>149.49</v>
      </c>
      <c r="K81" s="34">
        <v>41306</v>
      </c>
      <c r="L81" s="1">
        <v>3855.2</v>
      </c>
      <c r="M81" s="34">
        <v>41306</v>
      </c>
      <c r="N81" s="1">
        <v>630.70000000000005</v>
      </c>
    </row>
    <row r="82" spans="1:14" x14ac:dyDescent="0.25">
      <c r="A82" s="34">
        <v>41334</v>
      </c>
      <c r="B82" s="1">
        <v>3928.8</v>
      </c>
      <c r="C82" s="34">
        <v>41334</v>
      </c>
      <c r="D82" s="1">
        <v>1464</v>
      </c>
      <c r="E82" s="34">
        <v>41334</v>
      </c>
      <c r="F82" s="1">
        <v>8.6999999999999993</v>
      </c>
      <c r="G82" s="34">
        <v>41334</v>
      </c>
      <c r="H82" s="1">
        <v>1.44</v>
      </c>
      <c r="I82" s="34">
        <v>41334</v>
      </c>
      <c r="J82" s="1">
        <v>149.87</v>
      </c>
      <c r="K82" s="34">
        <v>41334</v>
      </c>
      <c r="L82" s="1">
        <v>3888.2</v>
      </c>
      <c r="M82" s="34">
        <v>41334</v>
      </c>
      <c r="N82" s="1">
        <v>631.1</v>
      </c>
    </row>
    <row r="83" spans="1:14" x14ac:dyDescent="0.25">
      <c r="A83" s="34">
        <v>41365</v>
      </c>
      <c r="B83" s="1">
        <v>3927.7</v>
      </c>
      <c r="C83" s="34">
        <v>41365</v>
      </c>
      <c r="D83" s="1">
        <v>1883</v>
      </c>
      <c r="E83" s="34">
        <v>41365</v>
      </c>
      <c r="F83" s="1">
        <v>8.5</v>
      </c>
      <c r="G83" s="34">
        <v>41365</v>
      </c>
      <c r="H83" s="1">
        <v>1.39</v>
      </c>
      <c r="I83" s="34">
        <v>41365</v>
      </c>
      <c r="J83" s="1">
        <v>150.24</v>
      </c>
      <c r="K83" s="34">
        <v>41365</v>
      </c>
      <c r="L83" s="1">
        <v>3914.4</v>
      </c>
      <c r="M83" s="34">
        <v>41365</v>
      </c>
      <c r="N83" s="1">
        <v>623</v>
      </c>
    </row>
    <row r="84" spans="1:14" x14ac:dyDescent="0.25">
      <c r="A84" s="34">
        <v>41395</v>
      </c>
      <c r="B84" s="1">
        <v>3934.9</v>
      </c>
      <c r="C84" s="34">
        <v>41395</v>
      </c>
      <c r="D84" s="1">
        <v>2724</v>
      </c>
      <c r="E84" s="34">
        <v>41395</v>
      </c>
      <c r="F84" s="1">
        <v>8.4</v>
      </c>
      <c r="G84" s="34">
        <v>41395</v>
      </c>
      <c r="H84" s="1">
        <v>1.04</v>
      </c>
      <c r="I84" s="34">
        <v>41395</v>
      </c>
      <c r="J84" s="1">
        <v>150.56</v>
      </c>
      <c r="K84" s="34">
        <v>41395</v>
      </c>
      <c r="L84" s="1">
        <v>3955.7</v>
      </c>
      <c r="M84" s="34">
        <v>41395</v>
      </c>
      <c r="N84" s="1">
        <v>619.70000000000005</v>
      </c>
    </row>
    <row r="85" spans="1:14" x14ac:dyDescent="0.25">
      <c r="A85" s="34">
        <v>41426</v>
      </c>
      <c r="B85" s="1">
        <v>3938.6</v>
      </c>
      <c r="C85" s="34">
        <v>41426</v>
      </c>
      <c r="D85" s="1">
        <v>1832</v>
      </c>
      <c r="E85" s="34">
        <v>41426</v>
      </c>
      <c r="F85" s="1">
        <v>8.4</v>
      </c>
      <c r="G85" s="34">
        <v>41426</v>
      </c>
      <c r="H85" s="1">
        <v>0.9</v>
      </c>
      <c r="I85" s="34">
        <v>41426</v>
      </c>
      <c r="J85" s="1">
        <v>150.81</v>
      </c>
      <c r="K85" s="34">
        <v>41426</v>
      </c>
      <c r="L85" s="1">
        <v>4015.5</v>
      </c>
      <c r="M85" s="34">
        <v>41426</v>
      </c>
      <c r="N85" s="1">
        <v>623.5</v>
      </c>
    </row>
    <row r="86" spans="1:14" x14ac:dyDescent="0.25">
      <c r="A86" s="34">
        <v>41456</v>
      </c>
      <c r="B86" s="1">
        <v>3937</v>
      </c>
      <c r="C86" s="34">
        <v>41456</v>
      </c>
      <c r="D86" s="1">
        <v>2261</v>
      </c>
      <c r="E86" s="34">
        <v>41456</v>
      </c>
      <c r="F86" s="1">
        <v>8.3000000000000007</v>
      </c>
      <c r="G86" s="34">
        <v>41456</v>
      </c>
      <c r="H86" s="1">
        <v>1.79</v>
      </c>
      <c r="I86" s="34">
        <v>41456</v>
      </c>
      <c r="J86" s="1">
        <v>151.09</v>
      </c>
      <c r="K86" s="34">
        <v>41456</v>
      </c>
      <c r="L86" s="1">
        <v>3947.9</v>
      </c>
      <c r="M86" s="34">
        <v>41456</v>
      </c>
      <c r="N86" s="1">
        <v>582.70000000000005</v>
      </c>
    </row>
    <row r="87" spans="1:14" x14ac:dyDescent="0.25">
      <c r="A87" s="34">
        <v>41487</v>
      </c>
      <c r="B87" s="1">
        <v>3946.5</v>
      </c>
      <c r="C87" s="34">
        <v>41487</v>
      </c>
      <c r="D87" s="1">
        <v>2688</v>
      </c>
      <c r="E87" s="34">
        <v>41487</v>
      </c>
      <c r="F87" s="1">
        <v>8.1</v>
      </c>
      <c r="G87" s="34">
        <v>41487</v>
      </c>
      <c r="H87" s="1">
        <v>1.58</v>
      </c>
      <c r="I87" s="34">
        <v>41487</v>
      </c>
      <c r="J87" s="1">
        <v>151.41</v>
      </c>
      <c r="K87" s="34">
        <v>41487</v>
      </c>
      <c r="L87" s="1">
        <v>3942.2</v>
      </c>
      <c r="M87" s="34">
        <v>41487</v>
      </c>
      <c r="N87" s="1">
        <v>575.1</v>
      </c>
    </row>
    <row r="88" spans="1:14" x14ac:dyDescent="0.25">
      <c r="A88" s="34">
        <v>41518</v>
      </c>
      <c r="B88" s="1">
        <v>3947.1</v>
      </c>
      <c r="C88" s="34">
        <v>41518</v>
      </c>
      <c r="D88" s="1">
        <v>1736</v>
      </c>
      <c r="E88" s="34">
        <v>41518</v>
      </c>
      <c r="F88" s="1">
        <v>7.9</v>
      </c>
      <c r="G88" s="34">
        <v>41518</v>
      </c>
      <c r="H88" s="1">
        <v>1.1399999999999999</v>
      </c>
      <c r="I88" s="34">
        <v>41518</v>
      </c>
      <c r="J88" s="1">
        <v>151.72</v>
      </c>
      <c r="K88" s="34">
        <v>41518</v>
      </c>
      <c r="L88" s="1">
        <v>3955.8</v>
      </c>
      <c r="M88" s="34">
        <v>41518</v>
      </c>
      <c r="N88" s="1">
        <v>601.6</v>
      </c>
    </row>
    <row r="89" spans="1:14" x14ac:dyDescent="0.25">
      <c r="A89" s="34">
        <v>41548</v>
      </c>
      <c r="B89" s="1">
        <v>3942.5</v>
      </c>
      <c r="C89" s="34">
        <v>41548</v>
      </c>
      <c r="D89" s="1">
        <v>1993</v>
      </c>
      <c r="E89" s="34">
        <v>41548</v>
      </c>
      <c r="F89" s="1">
        <v>7.7</v>
      </c>
      <c r="G89" s="34">
        <v>41548</v>
      </c>
      <c r="H89" s="1">
        <v>1.54</v>
      </c>
      <c r="I89" s="34">
        <v>41548</v>
      </c>
      <c r="J89" s="1">
        <v>152.04</v>
      </c>
      <c r="K89" s="34">
        <v>41548</v>
      </c>
      <c r="L89" s="1">
        <v>3964</v>
      </c>
      <c r="M89" s="34">
        <v>41548</v>
      </c>
      <c r="N89" s="1">
        <v>624.4</v>
      </c>
    </row>
    <row r="90" spans="1:14" x14ac:dyDescent="0.25">
      <c r="A90" s="34">
        <v>41579</v>
      </c>
      <c r="B90" s="1">
        <v>3947.9</v>
      </c>
      <c r="C90" s="34">
        <v>41579</v>
      </c>
      <c r="D90" s="1">
        <v>1728</v>
      </c>
      <c r="E90" s="34">
        <v>41579</v>
      </c>
      <c r="F90" s="1">
        <v>7.4</v>
      </c>
      <c r="G90" s="34">
        <v>41579</v>
      </c>
      <c r="H90" s="1">
        <v>1.64</v>
      </c>
      <c r="I90" s="34">
        <v>41579</v>
      </c>
      <c r="J90" s="1">
        <v>152.38</v>
      </c>
      <c r="K90" s="34">
        <v>41579</v>
      </c>
      <c r="L90" s="1">
        <v>3980.7</v>
      </c>
      <c r="M90" s="34">
        <v>41579</v>
      </c>
      <c r="N90" s="1">
        <v>628.70000000000005</v>
      </c>
    </row>
    <row r="91" spans="1:14" x14ac:dyDescent="0.25">
      <c r="A91" s="34">
        <v>41609</v>
      </c>
      <c r="B91" s="1">
        <v>3928.8</v>
      </c>
      <c r="C91" s="34">
        <v>41609</v>
      </c>
      <c r="D91" s="1">
        <v>2047</v>
      </c>
      <c r="E91" s="34">
        <v>41609</v>
      </c>
      <c r="F91" s="1">
        <v>7.2</v>
      </c>
      <c r="G91" s="34">
        <v>41609</v>
      </c>
      <c r="H91" s="1">
        <v>0.61</v>
      </c>
      <c r="I91" s="34">
        <v>41609</v>
      </c>
      <c r="J91" s="1">
        <v>152.66</v>
      </c>
      <c r="K91" s="34">
        <v>41609</v>
      </c>
      <c r="L91" s="1">
        <v>3961.6</v>
      </c>
      <c r="M91" s="34">
        <v>41609</v>
      </c>
      <c r="N91" s="1">
        <v>627.29999999999995</v>
      </c>
    </row>
    <row r="92" spans="1:14" x14ac:dyDescent="0.25">
      <c r="A92" s="34">
        <v>41640</v>
      </c>
      <c r="B92" s="1">
        <v>3933</v>
      </c>
      <c r="C92" s="34">
        <v>41640</v>
      </c>
      <c r="D92" s="1">
        <v>1387</v>
      </c>
      <c r="E92" s="34">
        <v>41640</v>
      </c>
      <c r="F92" s="1">
        <v>7.1</v>
      </c>
      <c r="G92" s="34">
        <v>41640</v>
      </c>
      <c r="H92" s="1">
        <v>0.51</v>
      </c>
      <c r="I92" s="34">
        <v>41640</v>
      </c>
      <c r="J92" s="1">
        <v>152.85</v>
      </c>
      <c r="K92" s="34">
        <v>41640</v>
      </c>
      <c r="L92" s="1">
        <v>3848.7</v>
      </c>
      <c r="M92" s="34">
        <v>41640</v>
      </c>
      <c r="N92" s="1">
        <v>611.20000000000005</v>
      </c>
    </row>
    <row r="93" spans="1:14" x14ac:dyDescent="0.25">
      <c r="A93" s="34">
        <v>41671</v>
      </c>
      <c r="B93" s="1">
        <v>3928.2</v>
      </c>
      <c r="C93" s="34">
        <v>41671</v>
      </c>
      <c r="D93" s="1">
        <v>1552</v>
      </c>
      <c r="E93" s="34">
        <v>41671</v>
      </c>
      <c r="F93" s="1">
        <v>7.1</v>
      </c>
      <c r="G93" s="34">
        <v>41671</v>
      </c>
      <c r="H93" s="1">
        <v>0.57999999999999996</v>
      </c>
      <c r="I93" s="34">
        <v>41671</v>
      </c>
      <c r="J93" s="1">
        <v>152.97</v>
      </c>
      <c r="K93" s="34">
        <v>41671</v>
      </c>
      <c r="L93" s="1">
        <v>3854.4</v>
      </c>
      <c r="M93" s="34">
        <v>41671</v>
      </c>
      <c r="N93" s="1">
        <v>624.4</v>
      </c>
    </row>
    <row r="94" spans="1:14" x14ac:dyDescent="0.25">
      <c r="A94" s="34">
        <v>41699</v>
      </c>
      <c r="B94" s="1">
        <v>3927.9</v>
      </c>
      <c r="C94" s="34">
        <v>41699</v>
      </c>
      <c r="D94" s="1">
        <v>2330</v>
      </c>
      <c r="E94" s="34">
        <v>41699</v>
      </c>
      <c r="F94" s="1">
        <v>7.2</v>
      </c>
      <c r="G94" s="34">
        <v>41699</v>
      </c>
      <c r="H94" s="1">
        <v>1.68</v>
      </c>
      <c r="I94" s="34">
        <v>41699</v>
      </c>
      <c r="J94" s="1">
        <v>153.16999999999999</v>
      </c>
      <c r="K94" s="34">
        <v>41699</v>
      </c>
      <c r="L94" s="1">
        <v>3875.4</v>
      </c>
      <c r="M94" s="34">
        <v>41699</v>
      </c>
      <c r="N94" s="1">
        <v>626.4</v>
      </c>
    </row>
    <row r="95" spans="1:14" x14ac:dyDescent="0.25">
      <c r="A95" s="34">
        <v>41730</v>
      </c>
      <c r="B95" s="1">
        <v>3936.1</v>
      </c>
      <c r="C95" s="34">
        <v>41730</v>
      </c>
      <c r="D95" s="1">
        <v>1960</v>
      </c>
      <c r="E95" s="34">
        <v>41730</v>
      </c>
      <c r="F95" s="1">
        <v>6.9</v>
      </c>
      <c r="G95" s="34">
        <v>41730</v>
      </c>
      <c r="H95" s="1">
        <v>2.4</v>
      </c>
      <c r="I95" s="34">
        <v>41730</v>
      </c>
      <c r="J95" s="1">
        <v>153.54</v>
      </c>
      <c r="K95" s="34">
        <v>41730</v>
      </c>
      <c r="L95" s="1">
        <v>3917.2</v>
      </c>
      <c r="M95" s="34">
        <v>41730</v>
      </c>
      <c r="N95" s="1">
        <v>625.79999999999995</v>
      </c>
    </row>
    <row r="96" spans="1:14" x14ac:dyDescent="0.25">
      <c r="A96" s="34">
        <v>41760</v>
      </c>
      <c r="B96" s="1">
        <v>3937.6</v>
      </c>
      <c r="C96" s="34">
        <v>41760</v>
      </c>
      <c r="D96" s="1">
        <v>2564</v>
      </c>
      <c r="E96" s="34">
        <v>41760</v>
      </c>
      <c r="F96" s="1">
        <v>6.8</v>
      </c>
      <c r="G96" s="34">
        <v>41760</v>
      </c>
      <c r="H96" s="1">
        <v>1.47</v>
      </c>
      <c r="I96" s="34">
        <v>41760</v>
      </c>
      <c r="J96" s="1">
        <v>153.99</v>
      </c>
      <c r="K96" s="34">
        <v>41760</v>
      </c>
      <c r="L96" s="1">
        <v>3963.3</v>
      </c>
      <c r="M96" s="34">
        <v>41760</v>
      </c>
      <c r="N96" s="1">
        <v>621.1</v>
      </c>
    </row>
    <row r="97" spans="1:14" x14ac:dyDescent="0.25">
      <c r="A97" s="34">
        <v>41791</v>
      </c>
      <c r="B97" s="1">
        <v>3944.9</v>
      </c>
      <c r="C97" s="34">
        <v>41791</v>
      </c>
      <c r="D97" s="1">
        <v>2263</v>
      </c>
      <c r="E97" s="34">
        <v>41791</v>
      </c>
      <c r="F97" s="1">
        <v>6.6</v>
      </c>
      <c r="G97" s="34">
        <v>41791</v>
      </c>
      <c r="H97" s="1">
        <v>1.48</v>
      </c>
      <c r="I97" s="34">
        <v>41791</v>
      </c>
      <c r="J97" s="1">
        <v>154.44</v>
      </c>
      <c r="K97" s="34">
        <v>41791</v>
      </c>
      <c r="L97" s="1">
        <v>4022.6</v>
      </c>
      <c r="M97" s="34">
        <v>41791</v>
      </c>
      <c r="N97" s="1">
        <v>622.4</v>
      </c>
    </row>
    <row r="98" spans="1:14" x14ac:dyDescent="0.25">
      <c r="A98" s="34">
        <v>41821</v>
      </c>
      <c r="B98" s="1">
        <v>3950.4</v>
      </c>
      <c r="C98" s="34">
        <v>41821</v>
      </c>
      <c r="D98" s="1">
        <v>3115</v>
      </c>
      <c r="E98" s="34">
        <v>41821</v>
      </c>
      <c r="F98" s="1">
        <v>6.5</v>
      </c>
      <c r="G98" s="34">
        <v>41821</v>
      </c>
      <c r="H98" s="1">
        <v>0.83</v>
      </c>
      <c r="I98" s="34">
        <v>41821</v>
      </c>
      <c r="J98" s="1">
        <v>154.80000000000001</v>
      </c>
      <c r="K98" s="34">
        <v>41821</v>
      </c>
      <c r="L98" s="1">
        <v>3979.6</v>
      </c>
      <c r="M98" s="34">
        <v>41821</v>
      </c>
      <c r="N98" s="1">
        <v>581.5</v>
      </c>
    </row>
    <row r="99" spans="1:14" x14ac:dyDescent="0.25">
      <c r="A99" s="34">
        <v>41852</v>
      </c>
      <c r="B99" s="1">
        <v>3953.2</v>
      </c>
      <c r="C99" s="34">
        <v>41852</v>
      </c>
      <c r="D99" s="1">
        <v>2015</v>
      </c>
      <c r="E99" s="34">
        <v>41852</v>
      </c>
      <c r="F99" s="1">
        <v>6.6</v>
      </c>
      <c r="G99" s="34">
        <v>41852</v>
      </c>
      <c r="H99" s="1">
        <v>0.43</v>
      </c>
      <c r="I99" s="34">
        <v>41852</v>
      </c>
      <c r="J99" s="1">
        <v>155.04</v>
      </c>
      <c r="K99" s="34">
        <v>41852</v>
      </c>
      <c r="L99" s="1">
        <v>3958.8</v>
      </c>
      <c r="M99" s="34">
        <v>41852</v>
      </c>
      <c r="N99" s="1">
        <v>569.79999999999995</v>
      </c>
    </row>
    <row r="100" spans="1:14" x14ac:dyDescent="0.25">
      <c r="A100" s="34">
        <v>41883</v>
      </c>
      <c r="B100" s="1">
        <v>3956.2</v>
      </c>
      <c r="C100" s="34">
        <v>41883</v>
      </c>
      <c r="D100" s="1">
        <v>2548</v>
      </c>
      <c r="E100" s="34">
        <v>41883</v>
      </c>
      <c r="F100" s="1">
        <v>6.5</v>
      </c>
      <c r="G100" s="34">
        <v>41883</v>
      </c>
      <c r="H100" s="1">
        <v>1.22</v>
      </c>
      <c r="I100" s="34">
        <v>41883</v>
      </c>
      <c r="J100" s="1">
        <v>155.24</v>
      </c>
      <c r="K100" s="34">
        <v>41883</v>
      </c>
      <c r="L100" s="1">
        <v>3962.6</v>
      </c>
      <c r="M100" s="34">
        <v>41883</v>
      </c>
      <c r="N100" s="1">
        <v>599.70000000000005</v>
      </c>
    </row>
    <row r="101" spans="1:14" x14ac:dyDescent="0.25">
      <c r="A101" s="34">
        <v>41913</v>
      </c>
      <c r="B101" s="1">
        <v>3952.7</v>
      </c>
      <c r="C101" s="34">
        <v>41913</v>
      </c>
      <c r="D101" s="1">
        <v>1588</v>
      </c>
      <c r="E101" s="34">
        <v>41913</v>
      </c>
      <c r="F101" s="1">
        <v>6.6</v>
      </c>
      <c r="G101" s="34">
        <v>41913</v>
      </c>
      <c r="H101" s="1">
        <v>0.93</v>
      </c>
      <c r="I101" s="34">
        <v>41913</v>
      </c>
      <c r="J101" s="1">
        <v>155.43</v>
      </c>
      <c r="K101" s="34">
        <v>41913</v>
      </c>
      <c r="L101" s="1">
        <v>3979.6</v>
      </c>
      <c r="M101" s="34">
        <v>41913</v>
      </c>
      <c r="N101" s="1">
        <v>623.20000000000005</v>
      </c>
    </row>
    <row r="102" spans="1:14" x14ac:dyDescent="0.25">
      <c r="A102" s="34">
        <v>41944</v>
      </c>
      <c r="B102" s="1">
        <v>3958.2</v>
      </c>
      <c r="C102" s="34">
        <v>41944</v>
      </c>
      <c r="D102" s="1">
        <v>1784</v>
      </c>
      <c r="E102" s="34">
        <v>41944</v>
      </c>
      <c r="F102" s="1">
        <v>6.4</v>
      </c>
      <c r="G102" s="34">
        <v>41944</v>
      </c>
      <c r="H102" s="1">
        <v>1.44</v>
      </c>
      <c r="I102" s="34">
        <v>41944</v>
      </c>
      <c r="J102" s="1">
        <v>155.68</v>
      </c>
      <c r="K102" s="34">
        <v>41944</v>
      </c>
      <c r="L102" s="1">
        <v>3993.9</v>
      </c>
      <c r="M102" s="34">
        <v>41944</v>
      </c>
      <c r="N102" s="1">
        <v>627.70000000000005</v>
      </c>
    </row>
    <row r="103" spans="1:14" x14ac:dyDescent="0.25">
      <c r="A103" s="34">
        <v>41974</v>
      </c>
      <c r="B103" s="1">
        <v>3957.8</v>
      </c>
      <c r="E103" s="34">
        <v>41974</v>
      </c>
      <c r="F103" s="1">
        <v>6.2</v>
      </c>
      <c r="K103" s="34">
        <v>41974</v>
      </c>
      <c r="L103" s="1">
        <v>3990.2</v>
      </c>
      <c r="M103" s="34">
        <v>41974</v>
      </c>
      <c r="N103" s="1">
        <v>626.29999999999995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P103"/>
  <sheetViews>
    <sheetView topLeftCell="A77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238</v>
      </c>
      <c r="C1" s="34" t="s">
        <v>239</v>
      </c>
      <c r="E1" s="34" t="s">
        <v>240</v>
      </c>
      <c r="G1" s="34" t="s">
        <v>241</v>
      </c>
      <c r="I1" s="34" t="s">
        <v>242</v>
      </c>
      <c r="K1" s="34" t="str">
        <f>CONCATENATE(LEFT(A1,2), "NAN")</f>
        <v>NMNAN</v>
      </c>
      <c r="M1" s="34" t="str">
        <f>CONCATENATE(LEFT(A1,2), "GOVTN")</f>
        <v>NMGOVTN</v>
      </c>
      <c r="O1" s="34" t="str">
        <f>CONCATENATE(LEFT($A$1,2), "RGSP")</f>
        <v>NMRGSP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908</v>
      </c>
      <c r="C5" s="35" t="s">
        <v>387</v>
      </c>
      <c r="E5" s="35" t="s">
        <v>388</v>
      </c>
      <c r="G5" s="35" t="s">
        <v>389</v>
      </c>
      <c r="I5" s="35" t="s">
        <v>390</v>
      </c>
      <c r="K5" s="35" t="s">
        <v>908</v>
      </c>
      <c r="M5" s="35" t="s">
        <v>909</v>
      </c>
      <c r="O5" s="35" t="s">
        <v>788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837</v>
      </c>
      <c r="C8" s="34">
        <v>39083</v>
      </c>
      <c r="D8" s="1">
        <v>668</v>
      </c>
      <c r="E8" s="34">
        <v>39083</v>
      </c>
      <c r="F8" s="1">
        <v>3.5</v>
      </c>
      <c r="G8" s="34">
        <v>39083</v>
      </c>
      <c r="H8" s="1">
        <v>1.2</v>
      </c>
      <c r="I8" s="34">
        <v>39083</v>
      </c>
      <c r="J8" s="1">
        <v>168.86</v>
      </c>
      <c r="K8" s="34">
        <v>39083</v>
      </c>
      <c r="L8" s="1">
        <v>824.4</v>
      </c>
      <c r="M8" s="34">
        <v>39083</v>
      </c>
      <c r="N8" s="1">
        <v>190.6</v>
      </c>
      <c r="O8" s="34">
        <v>39083</v>
      </c>
      <c r="P8" s="1">
        <v>81125</v>
      </c>
    </row>
    <row r="9" spans="1:16" x14ac:dyDescent="0.25">
      <c r="A9" s="34">
        <v>39114</v>
      </c>
      <c r="B9" s="1">
        <v>840.2</v>
      </c>
      <c r="C9" s="34">
        <v>39114</v>
      </c>
      <c r="D9" s="1">
        <v>744</v>
      </c>
      <c r="E9" s="34">
        <v>39114</v>
      </c>
      <c r="F9" s="1">
        <v>3.5</v>
      </c>
      <c r="G9" s="34">
        <v>39114</v>
      </c>
      <c r="H9" s="1">
        <v>0.76</v>
      </c>
      <c r="I9" s="34">
        <v>39114</v>
      </c>
      <c r="J9" s="1">
        <v>169.1</v>
      </c>
      <c r="K9" s="34">
        <v>39114</v>
      </c>
      <c r="L9" s="1">
        <v>833.9</v>
      </c>
      <c r="M9" s="34">
        <v>39114</v>
      </c>
      <c r="N9" s="1">
        <v>196</v>
      </c>
      <c r="O9" s="34">
        <v>39448</v>
      </c>
      <c r="P9" s="1">
        <v>81372</v>
      </c>
    </row>
    <row r="10" spans="1:16" x14ac:dyDescent="0.25">
      <c r="A10" s="34">
        <v>39142</v>
      </c>
      <c r="B10" s="1">
        <v>844.2</v>
      </c>
      <c r="C10" s="34">
        <v>39142</v>
      </c>
      <c r="D10" s="1">
        <v>907</v>
      </c>
      <c r="E10" s="34">
        <v>39142</v>
      </c>
      <c r="F10" s="1">
        <v>3.4</v>
      </c>
      <c r="G10" s="34">
        <v>39142</v>
      </c>
      <c r="H10" s="1">
        <v>0.95</v>
      </c>
      <c r="I10" s="34">
        <v>39142</v>
      </c>
      <c r="J10" s="1">
        <v>169.57</v>
      </c>
      <c r="K10" s="34">
        <v>39142</v>
      </c>
      <c r="L10" s="1">
        <v>842.3</v>
      </c>
      <c r="M10" s="34">
        <v>39142</v>
      </c>
      <c r="N10" s="1">
        <v>197.7</v>
      </c>
      <c r="O10" s="34">
        <v>39814</v>
      </c>
      <c r="P10" s="1">
        <v>81356</v>
      </c>
    </row>
    <row r="11" spans="1:16" x14ac:dyDescent="0.25">
      <c r="A11" s="34">
        <v>39173</v>
      </c>
      <c r="B11" s="1">
        <v>841.1</v>
      </c>
      <c r="C11" s="34">
        <v>39173</v>
      </c>
      <c r="D11" s="1">
        <v>920</v>
      </c>
      <c r="E11" s="34">
        <v>39173</v>
      </c>
      <c r="F11" s="1">
        <v>3.4</v>
      </c>
      <c r="G11" s="34">
        <v>39173</v>
      </c>
      <c r="H11" s="1">
        <v>0.62</v>
      </c>
      <c r="I11" s="34">
        <v>39173</v>
      </c>
      <c r="J11" s="1">
        <v>169.73</v>
      </c>
      <c r="K11" s="34">
        <v>39173</v>
      </c>
      <c r="L11" s="1">
        <v>840.2</v>
      </c>
      <c r="M11" s="34">
        <v>39173</v>
      </c>
      <c r="N11" s="1">
        <v>196.8</v>
      </c>
      <c r="O11" s="34">
        <v>40179</v>
      </c>
      <c r="P11" s="1">
        <v>81179</v>
      </c>
    </row>
    <row r="12" spans="1:16" x14ac:dyDescent="0.25">
      <c r="A12" s="34">
        <v>39203</v>
      </c>
      <c r="B12" s="1">
        <v>841.4</v>
      </c>
      <c r="C12" s="34">
        <v>39203</v>
      </c>
      <c r="D12" s="1">
        <v>1134</v>
      </c>
      <c r="E12" s="34">
        <v>39203</v>
      </c>
      <c r="F12" s="1">
        <v>3.4</v>
      </c>
      <c r="G12" s="34">
        <v>39203</v>
      </c>
      <c r="H12" s="1">
        <v>0.47</v>
      </c>
      <c r="I12" s="34">
        <v>39203</v>
      </c>
      <c r="J12" s="1">
        <v>169.96</v>
      </c>
      <c r="K12" s="34">
        <v>39203</v>
      </c>
      <c r="L12" s="1">
        <v>845.6</v>
      </c>
      <c r="M12" s="34">
        <v>39203</v>
      </c>
      <c r="N12" s="1">
        <v>196.7</v>
      </c>
      <c r="O12" s="34">
        <v>40544</v>
      </c>
      <c r="P12" s="1">
        <v>82096</v>
      </c>
    </row>
    <row r="13" spans="1:16" x14ac:dyDescent="0.25">
      <c r="A13" s="34">
        <v>39234</v>
      </c>
      <c r="B13" s="1">
        <v>843.7</v>
      </c>
      <c r="C13" s="34">
        <v>39234</v>
      </c>
      <c r="D13" s="1">
        <v>1068</v>
      </c>
      <c r="E13" s="34">
        <v>39234</v>
      </c>
      <c r="F13" s="1">
        <v>3.4</v>
      </c>
      <c r="G13" s="34">
        <v>39234</v>
      </c>
      <c r="H13" s="1">
        <v>0.71</v>
      </c>
      <c r="I13" s="34">
        <v>39234</v>
      </c>
      <c r="J13" s="1">
        <v>170.2</v>
      </c>
      <c r="K13" s="34">
        <v>39234</v>
      </c>
      <c r="L13" s="1">
        <v>845.9</v>
      </c>
      <c r="M13" s="34">
        <v>39234</v>
      </c>
      <c r="N13" s="1">
        <v>192.7</v>
      </c>
      <c r="O13" s="34">
        <v>40909</v>
      </c>
      <c r="P13" s="1">
        <v>83057</v>
      </c>
    </row>
    <row r="14" spans="1:16" x14ac:dyDescent="0.25">
      <c r="A14" s="34">
        <v>39264</v>
      </c>
      <c r="B14" s="1">
        <v>843.4</v>
      </c>
      <c r="C14" s="34">
        <v>39264</v>
      </c>
      <c r="D14" s="1">
        <v>821</v>
      </c>
      <c r="E14" s="34">
        <v>39264</v>
      </c>
      <c r="F14" s="1">
        <v>3.5</v>
      </c>
      <c r="G14" s="34">
        <v>39264</v>
      </c>
      <c r="H14" s="1">
        <v>0.22</v>
      </c>
      <c r="I14" s="34">
        <v>39264</v>
      </c>
      <c r="J14" s="1">
        <v>170.22</v>
      </c>
      <c r="K14" s="34">
        <v>39264</v>
      </c>
      <c r="L14" s="1">
        <v>837.8</v>
      </c>
      <c r="M14" s="34">
        <v>39264</v>
      </c>
      <c r="N14" s="1">
        <v>186.5</v>
      </c>
      <c r="O14" s="34">
        <v>41275</v>
      </c>
      <c r="P14" s="1">
        <v>84310</v>
      </c>
    </row>
    <row r="15" spans="1:16" x14ac:dyDescent="0.25">
      <c r="A15" s="34">
        <v>39295</v>
      </c>
      <c r="B15" s="1">
        <v>844.4</v>
      </c>
      <c r="C15" s="34">
        <v>39295</v>
      </c>
      <c r="D15" s="1">
        <v>902</v>
      </c>
      <c r="E15" s="34">
        <v>39295</v>
      </c>
      <c r="F15" s="1">
        <v>3.5</v>
      </c>
      <c r="G15" s="34">
        <v>39295</v>
      </c>
      <c r="H15" s="1">
        <v>0.56000000000000005</v>
      </c>
      <c r="I15" s="34">
        <v>39295</v>
      </c>
      <c r="J15" s="1">
        <v>170.47</v>
      </c>
      <c r="K15" s="34">
        <v>39295</v>
      </c>
      <c r="L15" s="1">
        <v>843.2</v>
      </c>
      <c r="M15" s="34">
        <v>39295</v>
      </c>
      <c r="N15" s="1">
        <v>187.7</v>
      </c>
    </row>
    <row r="16" spans="1:16" x14ac:dyDescent="0.25">
      <c r="A16" s="34">
        <v>39326</v>
      </c>
      <c r="B16" s="1">
        <v>844.7</v>
      </c>
      <c r="C16" s="34">
        <v>39326</v>
      </c>
      <c r="D16" s="1">
        <v>459</v>
      </c>
      <c r="E16" s="34">
        <v>39326</v>
      </c>
      <c r="F16" s="1">
        <v>3.5</v>
      </c>
      <c r="G16" s="34">
        <v>39326</v>
      </c>
      <c r="H16" s="1">
        <v>0.57999999999999996</v>
      </c>
      <c r="I16" s="34">
        <v>39326</v>
      </c>
      <c r="J16" s="1">
        <v>170.69</v>
      </c>
      <c r="K16" s="34">
        <v>39326</v>
      </c>
      <c r="L16" s="1">
        <v>850.2</v>
      </c>
      <c r="M16" s="34">
        <v>39326</v>
      </c>
      <c r="N16" s="1">
        <v>196.3</v>
      </c>
    </row>
    <row r="17" spans="1:14" x14ac:dyDescent="0.25">
      <c r="A17" s="34">
        <v>39356</v>
      </c>
      <c r="B17" s="1">
        <v>846.4</v>
      </c>
      <c r="C17" s="34">
        <v>39356</v>
      </c>
      <c r="D17" s="1">
        <v>623</v>
      </c>
      <c r="E17" s="34">
        <v>39356</v>
      </c>
      <c r="F17" s="1">
        <v>3.5</v>
      </c>
      <c r="G17" s="34">
        <v>39356</v>
      </c>
      <c r="H17" s="1">
        <v>0.69</v>
      </c>
      <c r="I17" s="34">
        <v>39356</v>
      </c>
      <c r="J17" s="1">
        <v>170.96</v>
      </c>
      <c r="K17" s="34">
        <v>39356</v>
      </c>
      <c r="L17" s="1">
        <v>851.9</v>
      </c>
      <c r="M17" s="34">
        <v>39356</v>
      </c>
      <c r="N17" s="1">
        <v>198.2</v>
      </c>
    </row>
    <row r="18" spans="1:14" x14ac:dyDescent="0.25">
      <c r="A18" s="34">
        <v>39387</v>
      </c>
      <c r="B18" s="1">
        <v>847.9</v>
      </c>
      <c r="C18" s="34">
        <v>39387</v>
      </c>
      <c r="D18" s="1">
        <v>536</v>
      </c>
      <c r="E18" s="34">
        <v>39387</v>
      </c>
      <c r="F18" s="1">
        <v>3.5</v>
      </c>
      <c r="G18" s="34">
        <v>39387</v>
      </c>
      <c r="H18" s="1">
        <v>0.8</v>
      </c>
      <c r="I18" s="34">
        <v>39387</v>
      </c>
      <c r="J18" s="1">
        <v>171.22</v>
      </c>
      <c r="K18" s="34">
        <v>39387</v>
      </c>
      <c r="L18" s="1">
        <v>853.9</v>
      </c>
      <c r="M18" s="34">
        <v>39387</v>
      </c>
      <c r="N18" s="1">
        <v>199.2</v>
      </c>
    </row>
    <row r="19" spans="1:14" x14ac:dyDescent="0.25">
      <c r="A19" s="34">
        <v>39417</v>
      </c>
      <c r="B19" s="1">
        <v>849.1</v>
      </c>
      <c r="C19" s="34">
        <v>39417</v>
      </c>
      <c r="D19" s="1">
        <v>333</v>
      </c>
      <c r="E19" s="34">
        <v>39417</v>
      </c>
      <c r="F19" s="1">
        <v>3.6</v>
      </c>
      <c r="G19" s="34">
        <v>39417</v>
      </c>
      <c r="H19" s="1">
        <v>0.17</v>
      </c>
      <c r="I19" s="34">
        <v>39417</v>
      </c>
      <c r="J19" s="1">
        <v>171.26</v>
      </c>
      <c r="K19" s="34">
        <v>39417</v>
      </c>
      <c r="L19" s="1">
        <v>855.3</v>
      </c>
      <c r="M19" s="34">
        <v>39417</v>
      </c>
      <c r="N19" s="1">
        <v>199.4</v>
      </c>
    </row>
    <row r="20" spans="1:14" x14ac:dyDescent="0.25">
      <c r="A20" s="34">
        <v>39448</v>
      </c>
      <c r="B20" s="1">
        <v>847.1</v>
      </c>
      <c r="C20" s="34">
        <v>39448</v>
      </c>
      <c r="D20" s="1">
        <v>466</v>
      </c>
      <c r="E20" s="34">
        <v>39448</v>
      </c>
      <c r="F20" s="1">
        <v>3.6</v>
      </c>
      <c r="G20" s="34">
        <v>39448</v>
      </c>
      <c r="H20" s="1">
        <v>0.37</v>
      </c>
      <c r="I20" s="34">
        <v>39448</v>
      </c>
      <c r="J20" s="1">
        <v>171.48</v>
      </c>
      <c r="K20" s="34">
        <v>39448</v>
      </c>
      <c r="L20" s="1">
        <v>834</v>
      </c>
      <c r="M20" s="34">
        <v>39448</v>
      </c>
      <c r="N20" s="1">
        <v>193.2</v>
      </c>
    </row>
    <row r="21" spans="1:14" x14ac:dyDescent="0.25">
      <c r="A21" s="34">
        <v>39479</v>
      </c>
      <c r="B21" s="1">
        <v>849.7</v>
      </c>
      <c r="C21" s="34">
        <v>39479</v>
      </c>
      <c r="D21" s="1">
        <v>711</v>
      </c>
      <c r="E21" s="34">
        <v>39479</v>
      </c>
      <c r="F21" s="1">
        <v>3.7</v>
      </c>
      <c r="G21" s="34">
        <v>39479</v>
      </c>
      <c r="H21" s="1">
        <v>0.13</v>
      </c>
      <c r="I21" s="34">
        <v>39479</v>
      </c>
      <c r="J21" s="1">
        <v>171.47</v>
      </c>
      <c r="K21" s="34">
        <v>39479</v>
      </c>
      <c r="L21" s="1">
        <v>843.3</v>
      </c>
      <c r="M21" s="34">
        <v>39479</v>
      </c>
      <c r="N21" s="1">
        <v>198.7</v>
      </c>
    </row>
    <row r="22" spans="1:14" x14ac:dyDescent="0.25">
      <c r="A22" s="34">
        <v>39508</v>
      </c>
      <c r="B22" s="1">
        <v>849.5</v>
      </c>
      <c r="C22" s="34">
        <v>39508</v>
      </c>
      <c r="D22" s="1">
        <v>552</v>
      </c>
      <c r="E22" s="34">
        <v>39508</v>
      </c>
      <c r="F22" s="1">
        <v>3.8</v>
      </c>
      <c r="G22" s="34">
        <v>39508</v>
      </c>
      <c r="H22" s="1">
        <v>0.03</v>
      </c>
      <c r="I22" s="34">
        <v>39508</v>
      </c>
      <c r="J22" s="1">
        <v>171.42</v>
      </c>
      <c r="K22" s="34">
        <v>39508</v>
      </c>
      <c r="L22" s="1">
        <v>847.5</v>
      </c>
      <c r="M22" s="34">
        <v>39508</v>
      </c>
      <c r="N22" s="1">
        <v>199.7</v>
      </c>
    </row>
    <row r="23" spans="1:14" x14ac:dyDescent="0.25">
      <c r="A23" s="34">
        <v>39539</v>
      </c>
      <c r="B23" s="1">
        <v>849.6</v>
      </c>
      <c r="C23" s="34">
        <v>39539</v>
      </c>
      <c r="D23" s="1">
        <v>558</v>
      </c>
      <c r="E23" s="34">
        <v>39539</v>
      </c>
      <c r="F23" s="1">
        <v>4</v>
      </c>
      <c r="G23" s="34">
        <v>39539</v>
      </c>
      <c r="H23" s="1">
        <v>-0.54</v>
      </c>
      <c r="I23" s="34">
        <v>39539</v>
      </c>
      <c r="J23" s="1">
        <v>171.12</v>
      </c>
      <c r="K23" s="34">
        <v>39539</v>
      </c>
      <c r="L23" s="1">
        <v>848.8</v>
      </c>
      <c r="M23" s="34">
        <v>39539</v>
      </c>
      <c r="N23" s="1">
        <v>199.5</v>
      </c>
    </row>
    <row r="24" spans="1:14" x14ac:dyDescent="0.25">
      <c r="A24" s="34">
        <v>39569</v>
      </c>
      <c r="B24" s="1">
        <v>849.2</v>
      </c>
      <c r="C24" s="34">
        <v>39569</v>
      </c>
      <c r="D24" s="1">
        <v>601</v>
      </c>
      <c r="E24" s="34">
        <v>39569</v>
      </c>
      <c r="F24" s="1">
        <v>4.2</v>
      </c>
      <c r="G24" s="34">
        <v>39569</v>
      </c>
      <c r="H24" s="1">
        <v>-0.98</v>
      </c>
      <c r="I24" s="34">
        <v>39569</v>
      </c>
      <c r="J24" s="1">
        <v>170.8</v>
      </c>
      <c r="K24" s="34">
        <v>39569</v>
      </c>
      <c r="L24" s="1">
        <v>852.8</v>
      </c>
      <c r="M24" s="34">
        <v>39569</v>
      </c>
      <c r="N24" s="1">
        <v>200.4</v>
      </c>
    </row>
    <row r="25" spans="1:14" x14ac:dyDescent="0.25">
      <c r="A25" s="34">
        <v>39600</v>
      </c>
      <c r="B25" s="1">
        <v>849.1</v>
      </c>
      <c r="C25" s="34">
        <v>39600</v>
      </c>
      <c r="D25" s="1">
        <v>669</v>
      </c>
      <c r="E25" s="34">
        <v>39600</v>
      </c>
      <c r="F25" s="1">
        <v>4.4000000000000004</v>
      </c>
      <c r="G25" s="34">
        <v>39600</v>
      </c>
      <c r="H25" s="1">
        <v>-0.83</v>
      </c>
      <c r="I25" s="34">
        <v>39600</v>
      </c>
      <c r="J25" s="1">
        <v>170.45</v>
      </c>
      <c r="K25" s="34">
        <v>39600</v>
      </c>
      <c r="L25" s="1">
        <v>850.2</v>
      </c>
      <c r="M25" s="34">
        <v>39600</v>
      </c>
      <c r="N25" s="1">
        <v>195.7</v>
      </c>
    </row>
    <row r="26" spans="1:14" x14ac:dyDescent="0.25">
      <c r="A26" s="34">
        <v>39630</v>
      </c>
      <c r="B26" s="1">
        <v>847.4</v>
      </c>
      <c r="C26" s="34">
        <v>39630</v>
      </c>
      <c r="D26" s="1">
        <v>460</v>
      </c>
      <c r="E26" s="34">
        <v>39630</v>
      </c>
      <c r="F26" s="1">
        <v>4.5999999999999996</v>
      </c>
      <c r="G26" s="34">
        <v>39630</v>
      </c>
      <c r="H26" s="1">
        <v>-1.28</v>
      </c>
      <c r="I26" s="34">
        <v>39630</v>
      </c>
      <c r="J26" s="1">
        <v>170.04</v>
      </c>
      <c r="K26" s="34">
        <v>39630</v>
      </c>
      <c r="L26" s="1">
        <v>841.7</v>
      </c>
      <c r="M26" s="34">
        <v>39630</v>
      </c>
      <c r="N26" s="1">
        <v>189.3</v>
      </c>
    </row>
    <row r="27" spans="1:14" x14ac:dyDescent="0.25">
      <c r="A27" s="34">
        <v>39661</v>
      </c>
      <c r="B27" s="1">
        <v>848.3</v>
      </c>
      <c r="C27" s="34">
        <v>39661</v>
      </c>
      <c r="D27" s="1">
        <v>497</v>
      </c>
      <c r="E27" s="34">
        <v>39661</v>
      </c>
      <c r="F27" s="1">
        <v>4.8</v>
      </c>
      <c r="G27" s="34">
        <v>39661</v>
      </c>
      <c r="H27" s="1">
        <v>-1.58</v>
      </c>
      <c r="I27" s="34">
        <v>39661</v>
      </c>
      <c r="J27" s="1">
        <v>169.58</v>
      </c>
      <c r="K27" s="34">
        <v>39661</v>
      </c>
      <c r="L27" s="1">
        <v>846.8</v>
      </c>
      <c r="M27" s="34">
        <v>39661</v>
      </c>
      <c r="N27" s="1">
        <v>190.5</v>
      </c>
    </row>
    <row r="28" spans="1:14" x14ac:dyDescent="0.25">
      <c r="A28" s="34">
        <v>39692</v>
      </c>
      <c r="B28" s="1">
        <v>848.8</v>
      </c>
      <c r="C28" s="34">
        <v>39692</v>
      </c>
      <c r="D28" s="1">
        <v>389</v>
      </c>
      <c r="E28" s="34">
        <v>39692</v>
      </c>
      <c r="F28" s="1">
        <v>5</v>
      </c>
      <c r="G28" s="34">
        <v>39692</v>
      </c>
      <c r="H28" s="1">
        <v>-1.84</v>
      </c>
      <c r="I28" s="34">
        <v>39692</v>
      </c>
      <c r="J28" s="1">
        <v>169.02</v>
      </c>
      <c r="K28" s="34">
        <v>39692</v>
      </c>
      <c r="L28" s="1">
        <v>854.7</v>
      </c>
      <c r="M28" s="34">
        <v>39692</v>
      </c>
      <c r="N28" s="1">
        <v>199.8</v>
      </c>
    </row>
    <row r="29" spans="1:14" x14ac:dyDescent="0.25">
      <c r="A29" s="34">
        <v>39722</v>
      </c>
      <c r="B29" s="1">
        <v>845.6</v>
      </c>
      <c r="C29" s="34">
        <v>39722</v>
      </c>
      <c r="D29" s="1">
        <v>392</v>
      </c>
      <c r="E29" s="34">
        <v>39722</v>
      </c>
      <c r="F29" s="1">
        <v>5.2</v>
      </c>
      <c r="G29" s="34">
        <v>39722</v>
      </c>
      <c r="H29" s="1">
        <v>-2.12</v>
      </c>
      <c r="I29" s="34">
        <v>39722</v>
      </c>
      <c r="J29" s="1">
        <v>168.32</v>
      </c>
      <c r="K29" s="34">
        <v>39722</v>
      </c>
      <c r="L29" s="1">
        <v>852.2</v>
      </c>
      <c r="M29" s="34">
        <v>39722</v>
      </c>
      <c r="N29" s="1">
        <v>201.4</v>
      </c>
    </row>
    <row r="30" spans="1:14" x14ac:dyDescent="0.25">
      <c r="A30" s="34">
        <v>39753</v>
      </c>
      <c r="B30" s="1">
        <v>842.4</v>
      </c>
      <c r="C30" s="34">
        <v>39753</v>
      </c>
      <c r="D30" s="1">
        <v>236</v>
      </c>
      <c r="E30" s="34">
        <v>39753</v>
      </c>
      <c r="F30" s="1">
        <v>5.4</v>
      </c>
      <c r="G30" s="34">
        <v>39753</v>
      </c>
      <c r="H30" s="1">
        <v>-2.63</v>
      </c>
      <c r="I30" s="34">
        <v>39753</v>
      </c>
      <c r="J30" s="1">
        <v>167.44</v>
      </c>
      <c r="K30" s="34">
        <v>39753</v>
      </c>
      <c r="L30" s="1">
        <v>847.2</v>
      </c>
      <c r="M30" s="34">
        <v>39753</v>
      </c>
      <c r="N30" s="1">
        <v>201.9</v>
      </c>
    </row>
    <row r="31" spans="1:14" x14ac:dyDescent="0.25">
      <c r="A31" s="34">
        <v>39783</v>
      </c>
      <c r="B31" s="1">
        <v>836.6</v>
      </c>
      <c r="C31" s="34">
        <v>39783</v>
      </c>
      <c r="D31" s="1">
        <v>279</v>
      </c>
      <c r="E31" s="34">
        <v>39783</v>
      </c>
      <c r="F31" s="1">
        <v>5.6</v>
      </c>
      <c r="G31" s="34">
        <v>39783</v>
      </c>
      <c r="H31" s="1">
        <v>-3.33</v>
      </c>
      <c r="I31" s="34">
        <v>39783</v>
      </c>
      <c r="J31" s="1">
        <v>166.43</v>
      </c>
      <c r="K31" s="34">
        <v>39783</v>
      </c>
      <c r="L31" s="1">
        <v>842.4</v>
      </c>
      <c r="M31" s="34">
        <v>39783</v>
      </c>
      <c r="N31" s="1">
        <v>201.6</v>
      </c>
    </row>
    <row r="32" spans="1:14" x14ac:dyDescent="0.25">
      <c r="A32" s="34">
        <v>39814</v>
      </c>
      <c r="B32" s="1">
        <v>829.1</v>
      </c>
      <c r="C32" s="34">
        <v>39814</v>
      </c>
      <c r="D32" s="1">
        <v>446</v>
      </c>
      <c r="E32" s="34">
        <v>39814</v>
      </c>
      <c r="F32" s="1">
        <v>5.8</v>
      </c>
      <c r="G32" s="34">
        <v>39814</v>
      </c>
      <c r="H32" s="1">
        <v>-3.43</v>
      </c>
      <c r="I32" s="34">
        <v>39814</v>
      </c>
      <c r="J32" s="1">
        <v>165.31</v>
      </c>
      <c r="K32" s="34">
        <v>39814</v>
      </c>
      <c r="L32" s="1">
        <v>816.9</v>
      </c>
      <c r="M32" s="34">
        <v>39814</v>
      </c>
      <c r="N32" s="1">
        <v>195.7</v>
      </c>
    </row>
    <row r="33" spans="1:14" x14ac:dyDescent="0.25">
      <c r="A33" s="34">
        <v>39845</v>
      </c>
      <c r="B33" s="1">
        <v>825</v>
      </c>
      <c r="C33" s="34">
        <v>39845</v>
      </c>
      <c r="D33" s="1">
        <v>335</v>
      </c>
      <c r="E33" s="34">
        <v>39845</v>
      </c>
      <c r="F33" s="1">
        <v>5.9</v>
      </c>
      <c r="G33" s="34">
        <v>39845</v>
      </c>
      <c r="H33" s="1">
        <v>-3.5</v>
      </c>
      <c r="I33" s="34">
        <v>39845</v>
      </c>
      <c r="J33" s="1">
        <v>164.37</v>
      </c>
      <c r="K33" s="34">
        <v>39845</v>
      </c>
      <c r="L33" s="1">
        <v>818.2</v>
      </c>
      <c r="M33" s="34">
        <v>39845</v>
      </c>
      <c r="N33" s="1">
        <v>200.9</v>
      </c>
    </row>
    <row r="34" spans="1:14" x14ac:dyDescent="0.25">
      <c r="A34" s="34">
        <v>39873</v>
      </c>
      <c r="B34" s="1">
        <v>818.8</v>
      </c>
      <c r="C34" s="34">
        <v>39873</v>
      </c>
      <c r="D34" s="1">
        <v>315</v>
      </c>
      <c r="E34" s="34">
        <v>39873</v>
      </c>
      <c r="F34" s="1">
        <v>6.1</v>
      </c>
      <c r="G34" s="34">
        <v>39873</v>
      </c>
      <c r="H34" s="1">
        <v>-3.54</v>
      </c>
      <c r="I34" s="34">
        <v>39873</v>
      </c>
      <c r="J34" s="1">
        <v>163.24</v>
      </c>
      <c r="K34" s="34">
        <v>39873</v>
      </c>
      <c r="L34" s="1">
        <v>816.7</v>
      </c>
      <c r="M34" s="34">
        <v>39873</v>
      </c>
      <c r="N34" s="1">
        <v>201.7</v>
      </c>
    </row>
    <row r="35" spans="1:14" x14ac:dyDescent="0.25">
      <c r="A35" s="34">
        <v>39904</v>
      </c>
      <c r="B35" s="1">
        <v>813.7</v>
      </c>
      <c r="C35" s="34">
        <v>39904</v>
      </c>
      <c r="D35" s="1">
        <v>451</v>
      </c>
      <c r="E35" s="34">
        <v>39904</v>
      </c>
      <c r="F35" s="1">
        <v>6.3</v>
      </c>
      <c r="G35" s="34">
        <v>39904</v>
      </c>
      <c r="H35" s="1">
        <v>-3.07</v>
      </c>
      <c r="I35" s="34">
        <v>39904</v>
      </c>
      <c r="J35" s="1">
        <v>162.22999999999999</v>
      </c>
      <c r="K35" s="34">
        <v>39904</v>
      </c>
      <c r="L35" s="1">
        <v>816</v>
      </c>
      <c r="M35" s="34">
        <v>39904</v>
      </c>
      <c r="N35" s="1">
        <v>202.6</v>
      </c>
    </row>
    <row r="36" spans="1:14" x14ac:dyDescent="0.25">
      <c r="A36" s="34">
        <v>39934</v>
      </c>
      <c r="B36" s="1">
        <v>813.8</v>
      </c>
      <c r="C36" s="34">
        <v>39934</v>
      </c>
      <c r="D36" s="1">
        <v>347</v>
      </c>
      <c r="E36" s="34">
        <v>39934</v>
      </c>
      <c r="F36" s="1">
        <v>6.6</v>
      </c>
      <c r="G36" s="34">
        <v>39934</v>
      </c>
      <c r="H36" s="1">
        <v>-2.66</v>
      </c>
      <c r="I36" s="34">
        <v>39934</v>
      </c>
      <c r="J36" s="1">
        <v>161.12</v>
      </c>
      <c r="K36" s="34">
        <v>39934</v>
      </c>
      <c r="L36" s="1">
        <v>817</v>
      </c>
      <c r="M36" s="34">
        <v>39934</v>
      </c>
      <c r="N36" s="1">
        <v>202.2</v>
      </c>
    </row>
    <row r="37" spans="1:14" x14ac:dyDescent="0.25">
      <c r="A37" s="34">
        <v>39965</v>
      </c>
      <c r="B37" s="1">
        <v>811.2</v>
      </c>
      <c r="C37" s="34">
        <v>39965</v>
      </c>
      <c r="D37" s="1">
        <v>398</v>
      </c>
      <c r="E37" s="34">
        <v>39965</v>
      </c>
      <c r="F37" s="1">
        <v>6.8</v>
      </c>
      <c r="G37" s="34">
        <v>39965</v>
      </c>
      <c r="H37" s="1">
        <v>-1.93</v>
      </c>
      <c r="I37" s="34">
        <v>39965</v>
      </c>
      <c r="J37" s="1">
        <v>160.31</v>
      </c>
      <c r="K37" s="34">
        <v>39965</v>
      </c>
      <c r="L37" s="1">
        <v>811.7</v>
      </c>
      <c r="M37" s="34">
        <v>39965</v>
      </c>
      <c r="N37" s="1">
        <v>197.4</v>
      </c>
    </row>
    <row r="38" spans="1:14" x14ac:dyDescent="0.25">
      <c r="A38" s="34">
        <v>39995</v>
      </c>
      <c r="B38" s="1">
        <v>809.3</v>
      </c>
      <c r="C38" s="34">
        <v>39995</v>
      </c>
      <c r="D38" s="1">
        <v>501</v>
      </c>
      <c r="E38" s="34">
        <v>39995</v>
      </c>
      <c r="F38" s="1">
        <v>7</v>
      </c>
      <c r="G38" s="34">
        <v>39995</v>
      </c>
      <c r="H38" s="1">
        <v>-1.41</v>
      </c>
      <c r="I38" s="34">
        <v>39995</v>
      </c>
      <c r="J38" s="1">
        <v>159.59</v>
      </c>
      <c r="K38" s="34">
        <v>39995</v>
      </c>
      <c r="L38" s="1">
        <v>803.5</v>
      </c>
      <c r="M38" s="34">
        <v>39995</v>
      </c>
      <c r="N38" s="1">
        <v>191</v>
      </c>
    </row>
    <row r="39" spans="1:14" x14ac:dyDescent="0.25">
      <c r="A39" s="34">
        <v>40026</v>
      </c>
      <c r="B39" s="1">
        <v>809.8</v>
      </c>
      <c r="C39" s="34">
        <v>40026</v>
      </c>
      <c r="D39" s="1">
        <v>414</v>
      </c>
      <c r="E39" s="34">
        <v>40026</v>
      </c>
      <c r="F39" s="1">
        <v>7.2</v>
      </c>
      <c r="G39" s="34">
        <v>40026</v>
      </c>
      <c r="H39" s="1">
        <v>-1.18</v>
      </c>
      <c r="I39" s="34">
        <v>40026</v>
      </c>
      <c r="J39" s="1">
        <v>158.94</v>
      </c>
      <c r="K39" s="34">
        <v>40026</v>
      </c>
      <c r="L39" s="1">
        <v>807.6</v>
      </c>
      <c r="M39" s="34">
        <v>40026</v>
      </c>
      <c r="N39" s="1">
        <v>192</v>
      </c>
    </row>
    <row r="40" spans="1:14" x14ac:dyDescent="0.25">
      <c r="A40" s="34">
        <v>40057</v>
      </c>
      <c r="B40" s="1">
        <v>807.3</v>
      </c>
      <c r="C40" s="34">
        <v>40057</v>
      </c>
      <c r="D40" s="1">
        <v>379</v>
      </c>
      <c r="E40" s="34">
        <v>40057</v>
      </c>
      <c r="F40" s="1">
        <v>7.4</v>
      </c>
      <c r="G40" s="34">
        <v>40057</v>
      </c>
      <c r="H40" s="1">
        <v>-1.27</v>
      </c>
      <c r="I40" s="34">
        <v>40057</v>
      </c>
      <c r="J40" s="1">
        <v>158.32</v>
      </c>
      <c r="K40" s="34">
        <v>40057</v>
      </c>
      <c r="L40" s="1">
        <v>812.4</v>
      </c>
      <c r="M40" s="34">
        <v>40057</v>
      </c>
      <c r="N40" s="1">
        <v>199</v>
      </c>
    </row>
    <row r="41" spans="1:14" x14ac:dyDescent="0.25">
      <c r="A41" s="34">
        <v>40087</v>
      </c>
      <c r="B41" s="1">
        <v>804.7</v>
      </c>
      <c r="C41" s="34">
        <v>40087</v>
      </c>
      <c r="D41" s="1">
        <v>359</v>
      </c>
      <c r="E41" s="34">
        <v>40087</v>
      </c>
      <c r="F41" s="1">
        <v>7.6</v>
      </c>
      <c r="G41" s="34">
        <v>40087</v>
      </c>
      <c r="H41" s="1">
        <v>-1.36</v>
      </c>
      <c r="I41" s="34">
        <v>40087</v>
      </c>
      <c r="J41" s="1">
        <v>157.75</v>
      </c>
      <c r="K41" s="34">
        <v>40087</v>
      </c>
      <c r="L41" s="1">
        <v>811.3</v>
      </c>
      <c r="M41" s="34">
        <v>40087</v>
      </c>
      <c r="N41" s="1">
        <v>201.6</v>
      </c>
    </row>
    <row r="42" spans="1:14" x14ac:dyDescent="0.25">
      <c r="A42" s="34">
        <v>40118</v>
      </c>
      <c r="B42" s="1">
        <v>803.6</v>
      </c>
      <c r="C42" s="34">
        <v>40118</v>
      </c>
      <c r="D42" s="1">
        <v>294</v>
      </c>
      <c r="E42" s="34">
        <v>40118</v>
      </c>
      <c r="F42" s="1">
        <v>7.7</v>
      </c>
      <c r="G42" s="34">
        <v>40118</v>
      </c>
      <c r="H42" s="1">
        <v>-0.91</v>
      </c>
      <c r="I42" s="34">
        <v>40118</v>
      </c>
      <c r="J42" s="1">
        <v>157.41</v>
      </c>
      <c r="K42" s="34">
        <v>40118</v>
      </c>
      <c r="L42" s="1">
        <v>808.8</v>
      </c>
      <c r="M42" s="34">
        <v>40118</v>
      </c>
      <c r="N42" s="1">
        <v>202</v>
      </c>
    </row>
    <row r="43" spans="1:14" x14ac:dyDescent="0.25">
      <c r="A43" s="34">
        <v>40148</v>
      </c>
      <c r="B43" s="1">
        <v>802.5</v>
      </c>
      <c r="C43" s="34">
        <v>40148</v>
      </c>
      <c r="D43" s="1">
        <v>321</v>
      </c>
      <c r="E43" s="34">
        <v>40148</v>
      </c>
      <c r="F43" s="1">
        <v>7.8</v>
      </c>
      <c r="G43" s="34">
        <v>40148</v>
      </c>
      <c r="H43" s="1">
        <v>-0.45</v>
      </c>
      <c r="I43" s="34">
        <v>40148</v>
      </c>
      <c r="J43" s="1">
        <v>157.13</v>
      </c>
      <c r="K43" s="34">
        <v>40148</v>
      </c>
      <c r="L43" s="1">
        <v>808.5</v>
      </c>
      <c r="M43" s="34">
        <v>40148</v>
      </c>
      <c r="N43" s="1">
        <v>201.8</v>
      </c>
    </row>
    <row r="44" spans="1:14" x14ac:dyDescent="0.25">
      <c r="A44" s="34">
        <v>40179</v>
      </c>
      <c r="B44" s="1">
        <v>801.1</v>
      </c>
      <c r="C44" s="34">
        <v>40179</v>
      </c>
      <c r="D44" s="1">
        <v>277</v>
      </c>
      <c r="E44" s="34">
        <v>40179</v>
      </c>
      <c r="F44" s="1">
        <v>7.9</v>
      </c>
      <c r="G44" s="34">
        <v>40179</v>
      </c>
      <c r="H44" s="1">
        <v>-0.46</v>
      </c>
      <c r="I44" s="34">
        <v>40179</v>
      </c>
      <c r="J44" s="1">
        <v>156.88</v>
      </c>
      <c r="K44" s="34">
        <v>40179</v>
      </c>
      <c r="L44" s="1">
        <v>789.4</v>
      </c>
      <c r="M44" s="34">
        <v>40179</v>
      </c>
      <c r="N44" s="1">
        <v>194.4</v>
      </c>
    </row>
    <row r="45" spans="1:14" x14ac:dyDescent="0.25">
      <c r="A45" s="34">
        <v>40210</v>
      </c>
      <c r="B45" s="1">
        <v>802.5</v>
      </c>
      <c r="C45" s="34">
        <v>40210</v>
      </c>
      <c r="D45" s="1">
        <v>349</v>
      </c>
      <c r="E45" s="34">
        <v>40210</v>
      </c>
      <c r="F45" s="1">
        <v>7.9</v>
      </c>
      <c r="G45" s="34">
        <v>40210</v>
      </c>
      <c r="H45" s="1">
        <v>-0.09</v>
      </c>
      <c r="I45" s="34">
        <v>40210</v>
      </c>
      <c r="J45" s="1">
        <v>156.88</v>
      </c>
      <c r="K45" s="34">
        <v>40210</v>
      </c>
      <c r="L45" s="1">
        <v>795.8</v>
      </c>
      <c r="M45" s="34">
        <v>40210</v>
      </c>
      <c r="N45" s="1">
        <v>200.6</v>
      </c>
    </row>
    <row r="46" spans="1:14" x14ac:dyDescent="0.25">
      <c r="A46" s="34">
        <v>40238</v>
      </c>
      <c r="B46" s="1">
        <v>803.1</v>
      </c>
      <c r="C46" s="34">
        <v>40238</v>
      </c>
      <c r="D46" s="1">
        <v>518</v>
      </c>
      <c r="E46" s="34">
        <v>40238</v>
      </c>
      <c r="F46" s="1">
        <v>8</v>
      </c>
      <c r="G46" s="34">
        <v>40238</v>
      </c>
      <c r="H46" s="1">
        <v>0.02</v>
      </c>
      <c r="I46" s="34">
        <v>40238</v>
      </c>
      <c r="J46" s="1">
        <v>156.72999999999999</v>
      </c>
      <c r="K46" s="34">
        <v>40238</v>
      </c>
      <c r="L46" s="1">
        <v>801.1</v>
      </c>
      <c r="M46" s="34">
        <v>40238</v>
      </c>
      <c r="N46" s="1">
        <v>203.3</v>
      </c>
    </row>
    <row r="47" spans="1:14" x14ac:dyDescent="0.25">
      <c r="A47" s="34">
        <v>40269</v>
      </c>
      <c r="B47" s="1">
        <v>804.7</v>
      </c>
      <c r="C47" s="34">
        <v>40269</v>
      </c>
      <c r="D47" s="1">
        <v>436</v>
      </c>
      <c r="E47" s="34">
        <v>40269</v>
      </c>
      <c r="F47" s="1">
        <v>8</v>
      </c>
      <c r="G47" s="34">
        <v>40269</v>
      </c>
      <c r="H47" s="1">
        <v>0.17</v>
      </c>
      <c r="I47" s="34">
        <v>40269</v>
      </c>
      <c r="J47" s="1">
        <v>156.79</v>
      </c>
      <c r="K47" s="34">
        <v>40269</v>
      </c>
      <c r="L47" s="1">
        <v>807.2</v>
      </c>
      <c r="M47" s="34">
        <v>40269</v>
      </c>
      <c r="N47" s="1">
        <v>205.1</v>
      </c>
    </row>
    <row r="48" spans="1:14" x14ac:dyDescent="0.25">
      <c r="A48" s="34">
        <v>40299</v>
      </c>
      <c r="B48" s="1">
        <v>807.6</v>
      </c>
      <c r="C48" s="34">
        <v>40299</v>
      </c>
      <c r="D48" s="1">
        <v>479</v>
      </c>
      <c r="E48" s="34">
        <v>40299</v>
      </c>
      <c r="F48" s="1">
        <v>8</v>
      </c>
      <c r="G48" s="34">
        <v>40299</v>
      </c>
      <c r="H48" s="1">
        <v>0.48</v>
      </c>
      <c r="I48" s="34">
        <v>40299</v>
      </c>
      <c r="J48" s="1">
        <v>156.81</v>
      </c>
      <c r="K48" s="34">
        <v>40299</v>
      </c>
      <c r="L48" s="1">
        <v>810.5</v>
      </c>
      <c r="M48" s="34">
        <v>40299</v>
      </c>
      <c r="N48" s="1">
        <v>206.8</v>
      </c>
    </row>
    <row r="49" spans="1:14" x14ac:dyDescent="0.25">
      <c r="A49" s="34">
        <v>40330</v>
      </c>
      <c r="B49" s="1">
        <v>806.9</v>
      </c>
      <c r="C49" s="34">
        <v>40330</v>
      </c>
      <c r="D49" s="1">
        <v>442</v>
      </c>
      <c r="E49" s="34">
        <v>40330</v>
      </c>
      <c r="F49" s="1">
        <v>8</v>
      </c>
      <c r="G49" s="34">
        <v>40330</v>
      </c>
      <c r="H49" s="1">
        <v>0.15</v>
      </c>
      <c r="I49" s="34">
        <v>40330</v>
      </c>
      <c r="J49" s="1">
        <v>156.78</v>
      </c>
      <c r="K49" s="34">
        <v>40330</v>
      </c>
      <c r="L49" s="1">
        <v>807.2</v>
      </c>
      <c r="M49" s="34">
        <v>40330</v>
      </c>
      <c r="N49" s="1">
        <v>200.3</v>
      </c>
    </row>
    <row r="50" spans="1:14" x14ac:dyDescent="0.25">
      <c r="A50" s="34">
        <v>40360</v>
      </c>
      <c r="B50" s="1">
        <v>805.9</v>
      </c>
      <c r="C50" s="34">
        <v>40360</v>
      </c>
      <c r="D50" s="1">
        <v>508</v>
      </c>
      <c r="E50" s="34">
        <v>40360</v>
      </c>
      <c r="F50" s="1">
        <v>8</v>
      </c>
      <c r="G50" s="34">
        <v>40360</v>
      </c>
      <c r="H50" s="1">
        <v>0</v>
      </c>
      <c r="I50" s="34">
        <v>40360</v>
      </c>
      <c r="J50" s="1">
        <v>156.69</v>
      </c>
      <c r="K50" s="34">
        <v>40360</v>
      </c>
      <c r="L50" s="1">
        <v>799.8</v>
      </c>
      <c r="M50" s="34">
        <v>40360</v>
      </c>
      <c r="N50" s="1">
        <v>193</v>
      </c>
    </row>
    <row r="51" spans="1:14" x14ac:dyDescent="0.25">
      <c r="A51" s="34">
        <v>40391</v>
      </c>
      <c r="B51" s="1">
        <v>803.8</v>
      </c>
      <c r="C51" s="34">
        <v>40391</v>
      </c>
      <c r="D51" s="1">
        <v>344</v>
      </c>
      <c r="E51" s="34">
        <v>40391</v>
      </c>
      <c r="F51" s="1">
        <v>8</v>
      </c>
      <c r="G51" s="34">
        <v>40391</v>
      </c>
      <c r="H51" s="1">
        <v>-0.33</v>
      </c>
      <c r="I51" s="34">
        <v>40391</v>
      </c>
      <c r="J51" s="1">
        <v>156.54</v>
      </c>
      <c r="K51" s="34">
        <v>40391</v>
      </c>
      <c r="L51" s="1">
        <v>801.7</v>
      </c>
      <c r="M51" s="34">
        <v>40391</v>
      </c>
      <c r="N51" s="1">
        <v>192.7</v>
      </c>
    </row>
    <row r="52" spans="1:14" x14ac:dyDescent="0.25">
      <c r="A52" s="34">
        <v>40422</v>
      </c>
      <c r="B52" s="1">
        <v>797.7</v>
      </c>
      <c r="C52" s="34">
        <v>40422</v>
      </c>
      <c r="D52" s="1">
        <v>329</v>
      </c>
      <c r="E52" s="34">
        <v>40422</v>
      </c>
      <c r="F52" s="1">
        <v>8</v>
      </c>
      <c r="G52" s="34">
        <v>40422</v>
      </c>
      <c r="H52" s="1">
        <v>-0.51</v>
      </c>
      <c r="I52" s="34">
        <v>40422</v>
      </c>
      <c r="J52" s="1">
        <v>156.35</v>
      </c>
      <c r="K52" s="34">
        <v>40422</v>
      </c>
      <c r="L52" s="1">
        <v>803.6</v>
      </c>
      <c r="M52" s="34">
        <v>40422</v>
      </c>
      <c r="N52" s="1">
        <v>197.2</v>
      </c>
    </row>
    <row r="53" spans="1:14" x14ac:dyDescent="0.25">
      <c r="A53" s="34">
        <v>40452</v>
      </c>
      <c r="B53" s="1">
        <v>800.8</v>
      </c>
      <c r="C53" s="34">
        <v>40452</v>
      </c>
      <c r="D53" s="1">
        <v>288</v>
      </c>
      <c r="E53" s="34">
        <v>40452</v>
      </c>
      <c r="F53" s="1">
        <v>8</v>
      </c>
      <c r="G53" s="34">
        <v>40452</v>
      </c>
      <c r="H53" s="1">
        <v>-0.31</v>
      </c>
      <c r="I53" s="34">
        <v>40452</v>
      </c>
      <c r="J53" s="1">
        <v>156.27000000000001</v>
      </c>
      <c r="K53" s="34">
        <v>40452</v>
      </c>
      <c r="L53" s="1">
        <v>807.8</v>
      </c>
      <c r="M53" s="34">
        <v>40452</v>
      </c>
      <c r="N53" s="1">
        <v>201.3</v>
      </c>
    </row>
    <row r="54" spans="1:14" x14ac:dyDescent="0.25">
      <c r="A54" s="34">
        <v>40483</v>
      </c>
      <c r="B54" s="1">
        <v>800.8</v>
      </c>
      <c r="C54" s="34">
        <v>40483</v>
      </c>
      <c r="D54" s="1">
        <v>272</v>
      </c>
      <c r="E54" s="34">
        <v>40483</v>
      </c>
      <c r="F54" s="1">
        <v>8</v>
      </c>
      <c r="G54" s="34">
        <v>40483</v>
      </c>
      <c r="H54" s="1">
        <v>-0.03</v>
      </c>
      <c r="I54" s="34">
        <v>40483</v>
      </c>
      <c r="J54" s="1">
        <v>156.13999999999999</v>
      </c>
      <c r="K54" s="34">
        <v>40483</v>
      </c>
      <c r="L54" s="1">
        <v>806.2</v>
      </c>
      <c r="M54" s="34">
        <v>40483</v>
      </c>
      <c r="N54" s="1">
        <v>200.9</v>
      </c>
    </row>
    <row r="55" spans="1:14" x14ac:dyDescent="0.25">
      <c r="A55" s="34">
        <v>40513</v>
      </c>
      <c r="B55" s="1">
        <v>802</v>
      </c>
      <c r="C55" s="34">
        <v>40513</v>
      </c>
      <c r="D55" s="1">
        <v>320</v>
      </c>
      <c r="E55" s="34">
        <v>40513</v>
      </c>
      <c r="F55" s="1">
        <v>7.9</v>
      </c>
      <c r="G55" s="34">
        <v>40513</v>
      </c>
      <c r="H55" s="1">
        <v>0.63</v>
      </c>
      <c r="I55" s="34">
        <v>40513</v>
      </c>
      <c r="J55" s="1">
        <v>156.25</v>
      </c>
      <c r="K55" s="34">
        <v>40513</v>
      </c>
      <c r="L55" s="1">
        <v>807.1</v>
      </c>
      <c r="M55" s="34">
        <v>40513</v>
      </c>
      <c r="N55" s="1">
        <v>200.1</v>
      </c>
    </row>
    <row r="56" spans="1:14" x14ac:dyDescent="0.25">
      <c r="A56" s="34">
        <v>40544</v>
      </c>
      <c r="B56" s="1">
        <v>799.9</v>
      </c>
      <c r="C56" s="34">
        <v>40544</v>
      </c>
      <c r="D56" s="1">
        <v>235</v>
      </c>
      <c r="E56" s="34">
        <v>40544</v>
      </c>
      <c r="F56" s="1">
        <v>7.8</v>
      </c>
      <c r="G56" s="34">
        <v>40544</v>
      </c>
      <c r="H56" s="1">
        <v>0.57999999999999996</v>
      </c>
      <c r="I56" s="34">
        <v>40544</v>
      </c>
      <c r="J56" s="1">
        <v>156.33000000000001</v>
      </c>
      <c r="K56" s="34">
        <v>40544</v>
      </c>
      <c r="L56" s="1">
        <v>787.9</v>
      </c>
      <c r="M56" s="34">
        <v>40544</v>
      </c>
      <c r="N56" s="1">
        <v>192.5</v>
      </c>
    </row>
    <row r="57" spans="1:14" x14ac:dyDescent="0.25">
      <c r="A57" s="34">
        <v>40575</v>
      </c>
      <c r="B57" s="1">
        <v>802.5</v>
      </c>
      <c r="C57" s="34">
        <v>40575</v>
      </c>
      <c r="D57" s="1">
        <v>212</v>
      </c>
      <c r="E57" s="34">
        <v>40575</v>
      </c>
      <c r="F57" s="1">
        <v>7.7</v>
      </c>
      <c r="G57" s="34">
        <v>40575</v>
      </c>
      <c r="H57" s="1">
        <v>0.49</v>
      </c>
      <c r="I57" s="34">
        <v>40575</v>
      </c>
      <c r="J57" s="1">
        <v>156.47</v>
      </c>
      <c r="K57" s="34">
        <v>40575</v>
      </c>
      <c r="L57" s="1">
        <v>795.7</v>
      </c>
      <c r="M57" s="34">
        <v>40575</v>
      </c>
      <c r="N57" s="1">
        <v>198.4</v>
      </c>
    </row>
    <row r="58" spans="1:14" x14ac:dyDescent="0.25">
      <c r="A58" s="34">
        <v>40603</v>
      </c>
      <c r="B58" s="1">
        <v>802.5</v>
      </c>
      <c r="C58" s="34">
        <v>40603</v>
      </c>
      <c r="D58" s="1">
        <v>315</v>
      </c>
      <c r="E58" s="34">
        <v>40603</v>
      </c>
      <c r="F58" s="1">
        <v>7.6</v>
      </c>
      <c r="G58" s="34">
        <v>40603</v>
      </c>
      <c r="H58" s="1">
        <v>0.53</v>
      </c>
      <c r="I58" s="34">
        <v>40603</v>
      </c>
      <c r="J58" s="1">
        <v>156.6</v>
      </c>
      <c r="K58" s="34">
        <v>40603</v>
      </c>
      <c r="L58" s="1">
        <v>800.4</v>
      </c>
      <c r="M58" s="34">
        <v>40603</v>
      </c>
      <c r="N58" s="1">
        <v>199.9</v>
      </c>
    </row>
    <row r="59" spans="1:14" x14ac:dyDescent="0.25">
      <c r="A59" s="34">
        <v>40634</v>
      </c>
      <c r="B59" s="1">
        <v>804.9</v>
      </c>
      <c r="C59" s="34">
        <v>40634</v>
      </c>
      <c r="D59" s="1">
        <v>369</v>
      </c>
      <c r="E59" s="34">
        <v>40634</v>
      </c>
      <c r="F59" s="1">
        <v>7.6</v>
      </c>
      <c r="G59" s="34">
        <v>40634</v>
      </c>
      <c r="H59" s="1">
        <v>0.21</v>
      </c>
      <c r="I59" s="34">
        <v>40634</v>
      </c>
      <c r="J59" s="1">
        <v>156.59</v>
      </c>
      <c r="K59" s="34">
        <v>40634</v>
      </c>
      <c r="L59" s="1">
        <v>808</v>
      </c>
      <c r="M59" s="34">
        <v>40634</v>
      </c>
      <c r="N59" s="1">
        <v>200.8</v>
      </c>
    </row>
    <row r="60" spans="1:14" x14ac:dyDescent="0.25">
      <c r="A60" s="34">
        <v>40664</v>
      </c>
      <c r="B60" s="1">
        <v>805.3</v>
      </c>
      <c r="C60" s="34">
        <v>40664</v>
      </c>
      <c r="D60" s="1">
        <v>382</v>
      </c>
      <c r="E60" s="34">
        <v>40664</v>
      </c>
      <c r="F60" s="1">
        <v>7.6</v>
      </c>
      <c r="G60" s="34">
        <v>40664</v>
      </c>
      <c r="H60" s="1">
        <v>-0.09</v>
      </c>
      <c r="I60" s="34">
        <v>40664</v>
      </c>
      <c r="J60" s="1">
        <v>156.53</v>
      </c>
      <c r="K60" s="34">
        <v>40664</v>
      </c>
      <c r="L60" s="1">
        <v>808.2</v>
      </c>
      <c r="M60" s="34">
        <v>40664</v>
      </c>
      <c r="N60" s="1">
        <v>199.4</v>
      </c>
    </row>
    <row r="61" spans="1:14" x14ac:dyDescent="0.25">
      <c r="A61" s="34">
        <v>40695</v>
      </c>
      <c r="B61" s="1">
        <v>804.7</v>
      </c>
      <c r="C61" s="34">
        <v>40695</v>
      </c>
      <c r="D61" s="1">
        <v>405</v>
      </c>
      <c r="E61" s="34">
        <v>40695</v>
      </c>
      <c r="F61" s="1">
        <v>7.7</v>
      </c>
      <c r="G61" s="34">
        <v>40695</v>
      </c>
      <c r="H61" s="1">
        <v>-0.56000000000000005</v>
      </c>
      <c r="I61" s="34">
        <v>40695</v>
      </c>
      <c r="J61" s="1">
        <v>156.28</v>
      </c>
      <c r="K61" s="34">
        <v>40695</v>
      </c>
      <c r="L61" s="1">
        <v>805.6</v>
      </c>
      <c r="M61" s="34">
        <v>40695</v>
      </c>
      <c r="N61" s="1">
        <v>194.7</v>
      </c>
    </row>
    <row r="62" spans="1:14" x14ac:dyDescent="0.25">
      <c r="A62" s="34">
        <v>40725</v>
      </c>
      <c r="B62" s="1">
        <v>804.3</v>
      </c>
      <c r="C62" s="34">
        <v>40725</v>
      </c>
      <c r="D62" s="1">
        <v>322</v>
      </c>
      <c r="E62" s="34">
        <v>40725</v>
      </c>
      <c r="F62" s="1">
        <v>7.7</v>
      </c>
      <c r="G62" s="34">
        <v>40725</v>
      </c>
      <c r="H62" s="1">
        <v>-0.09</v>
      </c>
      <c r="I62" s="34">
        <v>40725</v>
      </c>
      <c r="J62" s="1">
        <v>156.22999999999999</v>
      </c>
      <c r="K62" s="34">
        <v>40725</v>
      </c>
      <c r="L62" s="1">
        <v>797.4</v>
      </c>
      <c r="M62" s="34">
        <v>40725</v>
      </c>
      <c r="N62" s="1">
        <v>185.2</v>
      </c>
    </row>
    <row r="63" spans="1:14" x14ac:dyDescent="0.25">
      <c r="A63" s="34">
        <v>40756</v>
      </c>
      <c r="B63" s="1">
        <v>803.2</v>
      </c>
      <c r="C63" s="34">
        <v>40756</v>
      </c>
      <c r="D63" s="1">
        <v>650</v>
      </c>
      <c r="E63" s="34">
        <v>40756</v>
      </c>
      <c r="F63" s="1">
        <v>7.7</v>
      </c>
      <c r="G63" s="34">
        <v>40756</v>
      </c>
      <c r="H63" s="1">
        <v>0.26</v>
      </c>
      <c r="I63" s="34">
        <v>40756</v>
      </c>
      <c r="J63" s="1">
        <v>156.11000000000001</v>
      </c>
      <c r="K63" s="34">
        <v>40756</v>
      </c>
      <c r="L63" s="1">
        <v>801.6</v>
      </c>
      <c r="M63" s="34">
        <v>40756</v>
      </c>
      <c r="N63" s="1">
        <v>187.8</v>
      </c>
    </row>
    <row r="64" spans="1:14" x14ac:dyDescent="0.25">
      <c r="A64" s="34">
        <v>40787</v>
      </c>
      <c r="B64" s="1">
        <v>804.3</v>
      </c>
      <c r="C64" s="34">
        <v>40787</v>
      </c>
      <c r="D64" s="1">
        <v>312</v>
      </c>
      <c r="E64" s="34">
        <v>40787</v>
      </c>
      <c r="F64" s="1">
        <v>7.6</v>
      </c>
      <c r="G64" s="34">
        <v>40787</v>
      </c>
      <c r="H64" s="1">
        <v>0.54</v>
      </c>
      <c r="I64" s="34">
        <v>40787</v>
      </c>
      <c r="J64" s="1">
        <v>156.19999999999999</v>
      </c>
      <c r="K64" s="34">
        <v>40787</v>
      </c>
      <c r="L64" s="1">
        <v>809.6</v>
      </c>
      <c r="M64" s="34">
        <v>40787</v>
      </c>
      <c r="N64" s="1">
        <v>196.7</v>
      </c>
    </row>
    <row r="65" spans="1:14" x14ac:dyDescent="0.25">
      <c r="A65" s="34">
        <v>40817</v>
      </c>
      <c r="B65" s="1">
        <v>801.6</v>
      </c>
      <c r="C65" s="34">
        <v>40817</v>
      </c>
      <c r="D65" s="1">
        <v>310</v>
      </c>
      <c r="E65" s="34">
        <v>40817</v>
      </c>
      <c r="F65" s="1">
        <v>7.5</v>
      </c>
      <c r="G65" s="34">
        <v>40817</v>
      </c>
      <c r="H65" s="1">
        <v>0.59</v>
      </c>
      <c r="I65" s="34">
        <v>40817</v>
      </c>
      <c r="J65" s="1">
        <v>156.22</v>
      </c>
      <c r="K65" s="34">
        <v>40817</v>
      </c>
      <c r="L65" s="1">
        <v>808.8</v>
      </c>
      <c r="M65" s="34">
        <v>40817</v>
      </c>
      <c r="N65" s="1">
        <v>198.6</v>
      </c>
    </row>
    <row r="66" spans="1:14" x14ac:dyDescent="0.25">
      <c r="A66" s="34">
        <v>40848</v>
      </c>
      <c r="B66" s="1">
        <v>802.7</v>
      </c>
      <c r="C66" s="34">
        <v>40848</v>
      </c>
      <c r="D66" s="1">
        <v>256</v>
      </c>
      <c r="E66" s="34">
        <v>40848</v>
      </c>
      <c r="F66" s="1">
        <v>7.3</v>
      </c>
      <c r="G66" s="34">
        <v>40848</v>
      </c>
      <c r="H66" s="1">
        <v>0.89</v>
      </c>
      <c r="I66" s="34">
        <v>40848</v>
      </c>
      <c r="J66" s="1">
        <v>156.49</v>
      </c>
      <c r="K66" s="34">
        <v>40848</v>
      </c>
      <c r="L66" s="1">
        <v>808.2</v>
      </c>
      <c r="M66" s="34">
        <v>40848</v>
      </c>
      <c r="N66" s="1">
        <v>198.6</v>
      </c>
    </row>
    <row r="67" spans="1:14" x14ac:dyDescent="0.25">
      <c r="A67" s="34">
        <v>40878</v>
      </c>
      <c r="B67" s="1">
        <v>802.1</v>
      </c>
      <c r="C67" s="34">
        <v>40878</v>
      </c>
      <c r="D67" s="1">
        <v>261</v>
      </c>
      <c r="E67" s="34">
        <v>40878</v>
      </c>
      <c r="F67" s="1">
        <v>7.2</v>
      </c>
      <c r="G67" s="34">
        <v>40878</v>
      </c>
      <c r="H67" s="1">
        <v>0.73</v>
      </c>
      <c r="I67" s="34">
        <v>40878</v>
      </c>
      <c r="J67" s="1">
        <v>156.57</v>
      </c>
      <c r="K67" s="34">
        <v>40878</v>
      </c>
      <c r="L67" s="1">
        <v>807</v>
      </c>
      <c r="M67" s="34">
        <v>40878</v>
      </c>
      <c r="N67" s="1">
        <v>198.5</v>
      </c>
    </row>
    <row r="68" spans="1:14" x14ac:dyDescent="0.25">
      <c r="A68" s="34">
        <v>40909</v>
      </c>
      <c r="B68" s="1">
        <v>802.1</v>
      </c>
      <c r="C68" s="34">
        <v>40909</v>
      </c>
      <c r="D68" s="1">
        <v>282</v>
      </c>
      <c r="E68" s="34">
        <v>40909</v>
      </c>
      <c r="F68" s="1">
        <v>7.1</v>
      </c>
      <c r="G68" s="34">
        <v>40909</v>
      </c>
      <c r="H68" s="1">
        <v>0.9</v>
      </c>
      <c r="I68" s="34">
        <v>40909</v>
      </c>
      <c r="J68" s="1">
        <v>156.76</v>
      </c>
      <c r="K68" s="34">
        <v>40909</v>
      </c>
      <c r="L68" s="1">
        <v>790.1</v>
      </c>
      <c r="M68" s="34">
        <v>40909</v>
      </c>
      <c r="N68" s="1">
        <v>191.7</v>
      </c>
    </row>
    <row r="69" spans="1:14" x14ac:dyDescent="0.25">
      <c r="A69" s="34">
        <v>40940</v>
      </c>
      <c r="B69" s="1">
        <v>804.2</v>
      </c>
      <c r="C69" s="34">
        <v>40940</v>
      </c>
      <c r="D69" s="1">
        <v>312</v>
      </c>
      <c r="E69" s="34">
        <v>40940</v>
      </c>
      <c r="F69" s="1">
        <v>7.1</v>
      </c>
      <c r="G69" s="34">
        <v>40940</v>
      </c>
      <c r="H69" s="1">
        <v>0.25</v>
      </c>
      <c r="I69" s="34">
        <v>40940</v>
      </c>
      <c r="J69" s="1">
        <v>156.76</v>
      </c>
      <c r="K69" s="34">
        <v>40940</v>
      </c>
      <c r="L69" s="1">
        <v>798.2</v>
      </c>
      <c r="M69" s="34">
        <v>40940</v>
      </c>
      <c r="N69" s="1">
        <v>197.3</v>
      </c>
    </row>
    <row r="70" spans="1:14" x14ac:dyDescent="0.25">
      <c r="A70" s="34">
        <v>40969</v>
      </c>
      <c r="B70" s="1">
        <v>806</v>
      </c>
      <c r="C70" s="34">
        <v>40969</v>
      </c>
      <c r="D70" s="1">
        <v>690</v>
      </c>
      <c r="E70" s="34">
        <v>40969</v>
      </c>
      <c r="F70" s="1">
        <v>7</v>
      </c>
      <c r="G70" s="34">
        <v>40969</v>
      </c>
      <c r="H70" s="1">
        <v>0.82</v>
      </c>
      <c r="I70" s="34">
        <v>40969</v>
      </c>
      <c r="J70" s="1">
        <v>156.99</v>
      </c>
      <c r="K70" s="34">
        <v>40969</v>
      </c>
      <c r="L70" s="1">
        <v>803.8</v>
      </c>
      <c r="M70" s="34">
        <v>40969</v>
      </c>
      <c r="N70" s="1">
        <v>198.5</v>
      </c>
    </row>
    <row r="71" spans="1:14" x14ac:dyDescent="0.25">
      <c r="A71" s="34">
        <v>41000</v>
      </c>
      <c r="B71" s="1">
        <v>804.2</v>
      </c>
      <c r="C71" s="34">
        <v>41000</v>
      </c>
      <c r="D71" s="1">
        <v>353</v>
      </c>
      <c r="E71" s="34">
        <v>41000</v>
      </c>
      <c r="F71" s="1">
        <v>7.1</v>
      </c>
      <c r="G71" s="34">
        <v>41000</v>
      </c>
      <c r="H71" s="1">
        <v>0.22</v>
      </c>
      <c r="I71" s="34">
        <v>41000</v>
      </c>
      <c r="J71" s="1">
        <v>156.81</v>
      </c>
      <c r="K71" s="34">
        <v>41000</v>
      </c>
      <c r="L71" s="1">
        <v>805.8</v>
      </c>
      <c r="M71" s="34">
        <v>41000</v>
      </c>
      <c r="N71" s="1">
        <v>197</v>
      </c>
    </row>
    <row r="72" spans="1:14" x14ac:dyDescent="0.25">
      <c r="A72" s="34">
        <v>41030</v>
      </c>
      <c r="B72" s="1">
        <v>804.5</v>
      </c>
      <c r="C72" s="34">
        <v>41030</v>
      </c>
      <c r="D72" s="1">
        <v>431</v>
      </c>
      <c r="E72" s="34">
        <v>41030</v>
      </c>
      <c r="F72" s="1">
        <v>7.1</v>
      </c>
      <c r="G72" s="34">
        <v>41030</v>
      </c>
      <c r="H72" s="1">
        <v>0.38</v>
      </c>
      <c r="I72" s="34">
        <v>41030</v>
      </c>
      <c r="J72" s="1">
        <v>156.84</v>
      </c>
      <c r="K72" s="34">
        <v>41030</v>
      </c>
      <c r="L72" s="1">
        <v>807.7</v>
      </c>
      <c r="M72" s="34">
        <v>41030</v>
      </c>
      <c r="N72" s="1">
        <v>197.1</v>
      </c>
    </row>
    <row r="73" spans="1:14" x14ac:dyDescent="0.25">
      <c r="A73" s="34">
        <v>41061</v>
      </c>
      <c r="B73" s="1">
        <v>805.2</v>
      </c>
      <c r="C73" s="34">
        <v>41061</v>
      </c>
      <c r="D73" s="1">
        <v>383</v>
      </c>
      <c r="E73" s="34">
        <v>41061</v>
      </c>
      <c r="F73" s="1">
        <v>7.2</v>
      </c>
      <c r="G73" s="34">
        <v>41061</v>
      </c>
      <c r="H73" s="1">
        <v>0.25</v>
      </c>
      <c r="I73" s="34">
        <v>41061</v>
      </c>
      <c r="J73" s="1">
        <v>156.71</v>
      </c>
      <c r="K73" s="34">
        <v>41061</v>
      </c>
      <c r="L73" s="1">
        <v>805.9</v>
      </c>
      <c r="M73" s="34">
        <v>41061</v>
      </c>
      <c r="N73" s="1">
        <v>191.1</v>
      </c>
    </row>
    <row r="74" spans="1:14" x14ac:dyDescent="0.25">
      <c r="A74" s="34">
        <v>41091</v>
      </c>
      <c r="B74" s="1">
        <v>802.9</v>
      </c>
      <c r="C74" s="34">
        <v>41091</v>
      </c>
      <c r="D74" s="1">
        <v>449</v>
      </c>
      <c r="E74" s="34">
        <v>41091</v>
      </c>
      <c r="F74" s="1">
        <v>7.2</v>
      </c>
      <c r="G74" s="34">
        <v>41091</v>
      </c>
      <c r="H74" s="1">
        <v>0.35</v>
      </c>
      <c r="I74" s="34">
        <v>41091</v>
      </c>
      <c r="J74" s="1">
        <v>156.77000000000001</v>
      </c>
      <c r="K74" s="34">
        <v>41091</v>
      </c>
      <c r="L74" s="1">
        <v>795.7</v>
      </c>
      <c r="M74" s="34">
        <v>41091</v>
      </c>
      <c r="N74" s="1">
        <v>182.5</v>
      </c>
    </row>
    <row r="75" spans="1:14" x14ac:dyDescent="0.25">
      <c r="A75" s="34">
        <v>41122</v>
      </c>
      <c r="B75" s="1">
        <v>803.8</v>
      </c>
      <c r="C75" s="34">
        <v>41122</v>
      </c>
      <c r="D75" s="1">
        <v>432</v>
      </c>
      <c r="E75" s="34">
        <v>41122</v>
      </c>
      <c r="F75" s="1">
        <v>7.1</v>
      </c>
      <c r="G75" s="34">
        <v>41122</v>
      </c>
      <c r="H75" s="1">
        <v>1.27</v>
      </c>
      <c r="I75" s="34">
        <v>41122</v>
      </c>
      <c r="J75" s="1">
        <v>157.11000000000001</v>
      </c>
      <c r="K75" s="34">
        <v>41122</v>
      </c>
      <c r="L75" s="1">
        <v>802.3</v>
      </c>
      <c r="M75" s="34">
        <v>41122</v>
      </c>
      <c r="N75" s="1">
        <v>186.4</v>
      </c>
    </row>
    <row r="76" spans="1:14" x14ac:dyDescent="0.25">
      <c r="A76" s="34">
        <v>41153</v>
      </c>
      <c r="B76" s="1">
        <v>805.8</v>
      </c>
      <c r="C76" s="34">
        <v>41153</v>
      </c>
      <c r="D76" s="1">
        <v>574</v>
      </c>
      <c r="E76" s="34">
        <v>41153</v>
      </c>
      <c r="F76" s="1">
        <v>7.1</v>
      </c>
      <c r="G76" s="34">
        <v>41153</v>
      </c>
      <c r="H76" s="1">
        <v>1.2</v>
      </c>
      <c r="I76" s="34">
        <v>41153</v>
      </c>
      <c r="J76" s="1">
        <v>157.27000000000001</v>
      </c>
      <c r="K76" s="34">
        <v>41153</v>
      </c>
      <c r="L76" s="1">
        <v>809.8</v>
      </c>
      <c r="M76" s="34">
        <v>41153</v>
      </c>
      <c r="N76" s="1">
        <v>195.7</v>
      </c>
    </row>
    <row r="77" spans="1:14" x14ac:dyDescent="0.25">
      <c r="A77" s="34">
        <v>41183</v>
      </c>
      <c r="B77" s="1">
        <v>814.4</v>
      </c>
      <c r="C77" s="34">
        <v>41183</v>
      </c>
      <c r="D77" s="1">
        <v>386</v>
      </c>
      <c r="E77" s="34">
        <v>41183</v>
      </c>
      <c r="F77" s="1">
        <v>7</v>
      </c>
      <c r="G77" s="34">
        <v>41183</v>
      </c>
      <c r="H77" s="1">
        <v>1.68</v>
      </c>
      <c r="I77" s="34">
        <v>41183</v>
      </c>
      <c r="J77" s="1">
        <v>157.76</v>
      </c>
      <c r="K77" s="34">
        <v>41183</v>
      </c>
      <c r="L77" s="1">
        <v>821.6</v>
      </c>
      <c r="M77" s="34">
        <v>41183</v>
      </c>
      <c r="N77" s="1">
        <v>198.8</v>
      </c>
    </row>
    <row r="78" spans="1:14" x14ac:dyDescent="0.25">
      <c r="A78" s="34">
        <v>41214</v>
      </c>
      <c r="B78" s="1">
        <v>814.5</v>
      </c>
      <c r="C78" s="34">
        <v>41214</v>
      </c>
      <c r="D78" s="1">
        <v>329</v>
      </c>
      <c r="E78" s="34">
        <v>41214</v>
      </c>
      <c r="F78" s="1">
        <v>7</v>
      </c>
      <c r="G78" s="34">
        <v>41214</v>
      </c>
      <c r="H78" s="1">
        <v>1.29</v>
      </c>
      <c r="I78" s="34">
        <v>41214</v>
      </c>
      <c r="J78" s="1">
        <v>157.9</v>
      </c>
      <c r="K78" s="34">
        <v>41214</v>
      </c>
      <c r="L78" s="1">
        <v>821.2</v>
      </c>
      <c r="M78" s="34">
        <v>41214</v>
      </c>
      <c r="N78" s="1">
        <v>199.1</v>
      </c>
    </row>
    <row r="79" spans="1:14" x14ac:dyDescent="0.25">
      <c r="A79" s="34">
        <v>41244</v>
      </c>
      <c r="B79" s="1">
        <v>812.7</v>
      </c>
      <c r="C79" s="34">
        <v>41244</v>
      </c>
      <c r="D79" s="1">
        <v>305</v>
      </c>
      <c r="E79" s="34">
        <v>41244</v>
      </c>
      <c r="F79" s="1">
        <v>6.9</v>
      </c>
      <c r="G79" s="34">
        <v>41244</v>
      </c>
      <c r="H79" s="1">
        <v>1.26</v>
      </c>
      <c r="I79" s="34">
        <v>41244</v>
      </c>
      <c r="J79" s="1">
        <v>158.21</v>
      </c>
      <c r="K79" s="34">
        <v>41244</v>
      </c>
      <c r="L79" s="1">
        <v>818.4</v>
      </c>
      <c r="M79" s="34">
        <v>41244</v>
      </c>
      <c r="N79" s="1">
        <v>198.4</v>
      </c>
    </row>
    <row r="80" spans="1:14" x14ac:dyDescent="0.25">
      <c r="A80" s="34">
        <v>41275</v>
      </c>
      <c r="B80" s="1">
        <v>813.6</v>
      </c>
      <c r="C80" s="34">
        <v>41275</v>
      </c>
      <c r="D80" s="1">
        <v>501</v>
      </c>
      <c r="E80" s="34">
        <v>41275</v>
      </c>
      <c r="F80" s="1">
        <v>6.9</v>
      </c>
      <c r="G80" s="34">
        <v>41275</v>
      </c>
      <c r="H80" s="1">
        <v>1.02</v>
      </c>
      <c r="I80" s="34">
        <v>41275</v>
      </c>
      <c r="J80" s="1">
        <v>158.25</v>
      </c>
      <c r="K80" s="34">
        <v>41275</v>
      </c>
      <c r="L80" s="1">
        <v>801.5</v>
      </c>
      <c r="M80" s="34">
        <v>41275</v>
      </c>
      <c r="N80" s="1">
        <v>191.8</v>
      </c>
    </row>
    <row r="81" spans="1:14" x14ac:dyDescent="0.25">
      <c r="A81" s="34">
        <v>41306</v>
      </c>
      <c r="B81" s="1">
        <v>814.1</v>
      </c>
      <c r="C81" s="34">
        <v>41306</v>
      </c>
      <c r="D81" s="1">
        <v>390</v>
      </c>
      <c r="E81" s="34">
        <v>41306</v>
      </c>
      <c r="F81" s="1">
        <v>6.9</v>
      </c>
      <c r="G81" s="34">
        <v>41306</v>
      </c>
      <c r="H81" s="1">
        <v>0.69</v>
      </c>
      <c r="I81" s="34">
        <v>41306</v>
      </c>
      <c r="J81" s="1">
        <v>158.25</v>
      </c>
      <c r="K81" s="34">
        <v>41306</v>
      </c>
      <c r="L81" s="1">
        <v>808.1</v>
      </c>
      <c r="M81" s="34">
        <v>41306</v>
      </c>
      <c r="N81" s="1">
        <v>197.1</v>
      </c>
    </row>
    <row r="82" spans="1:14" x14ac:dyDescent="0.25">
      <c r="A82" s="34">
        <v>41334</v>
      </c>
      <c r="B82" s="1">
        <v>811.7</v>
      </c>
      <c r="C82" s="34">
        <v>41334</v>
      </c>
      <c r="D82" s="1">
        <v>366</v>
      </c>
      <c r="E82" s="34">
        <v>41334</v>
      </c>
      <c r="F82" s="1">
        <v>6.9</v>
      </c>
      <c r="G82" s="34">
        <v>41334</v>
      </c>
      <c r="H82" s="1">
        <v>0.41</v>
      </c>
      <c r="I82" s="34">
        <v>41334</v>
      </c>
      <c r="J82" s="1">
        <v>158.19999999999999</v>
      </c>
      <c r="K82" s="34">
        <v>41334</v>
      </c>
      <c r="L82" s="1">
        <v>809.9</v>
      </c>
      <c r="M82" s="34">
        <v>41334</v>
      </c>
      <c r="N82" s="1">
        <v>198.1</v>
      </c>
    </row>
    <row r="83" spans="1:14" x14ac:dyDescent="0.25">
      <c r="A83" s="34">
        <v>41365</v>
      </c>
      <c r="B83" s="1">
        <v>814.2</v>
      </c>
      <c r="C83" s="34">
        <v>41365</v>
      </c>
      <c r="D83" s="1">
        <v>344</v>
      </c>
      <c r="E83" s="34">
        <v>41365</v>
      </c>
      <c r="F83" s="1">
        <v>6.9</v>
      </c>
      <c r="G83" s="34">
        <v>41365</v>
      </c>
      <c r="H83" s="1">
        <v>0.2</v>
      </c>
      <c r="I83" s="34">
        <v>41365</v>
      </c>
      <c r="J83" s="1">
        <v>158.13999999999999</v>
      </c>
      <c r="K83" s="34">
        <v>41365</v>
      </c>
      <c r="L83" s="1">
        <v>816.1</v>
      </c>
      <c r="M83" s="34">
        <v>41365</v>
      </c>
      <c r="N83" s="1">
        <v>198.5</v>
      </c>
    </row>
    <row r="84" spans="1:14" x14ac:dyDescent="0.25">
      <c r="A84" s="34">
        <v>41395</v>
      </c>
      <c r="B84" s="1">
        <v>813.8</v>
      </c>
      <c r="C84" s="34">
        <v>41395</v>
      </c>
      <c r="D84" s="1">
        <v>384</v>
      </c>
      <c r="E84" s="34">
        <v>41395</v>
      </c>
      <c r="F84" s="1">
        <v>6.9</v>
      </c>
      <c r="G84" s="34">
        <v>41395</v>
      </c>
      <c r="H84" s="1">
        <v>-0.11</v>
      </c>
      <c r="I84" s="34">
        <v>41395</v>
      </c>
      <c r="J84" s="1">
        <v>158.03</v>
      </c>
      <c r="K84" s="34">
        <v>41395</v>
      </c>
      <c r="L84" s="1">
        <v>817.6</v>
      </c>
      <c r="M84" s="34">
        <v>41395</v>
      </c>
      <c r="N84" s="1">
        <v>197.5</v>
      </c>
    </row>
    <row r="85" spans="1:14" x14ac:dyDescent="0.25">
      <c r="A85" s="34">
        <v>41426</v>
      </c>
      <c r="B85" s="1">
        <v>808.3</v>
      </c>
      <c r="C85" s="34">
        <v>41426</v>
      </c>
      <c r="D85" s="1">
        <v>502</v>
      </c>
      <c r="E85" s="34">
        <v>41426</v>
      </c>
      <c r="F85" s="1">
        <v>6.9</v>
      </c>
      <c r="G85" s="34">
        <v>41426</v>
      </c>
      <c r="H85" s="1">
        <v>-0.16</v>
      </c>
      <c r="I85" s="34">
        <v>41426</v>
      </c>
      <c r="J85" s="1">
        <v>157.88</v>
      </c>
      <c r="K85" s="34">
        <v>41426</v>
      </c>
      <c r="L85" s="1">
        <v>807.7</v>
      </c>
      <c r="M85" s="34">
        <v>41426</v>
      </c>
      <c r="N85" s="1">
        <v>187.5</v>
      </c>
    </row>
    <row r="86" spans="1:14" x14ac:dyDescent="0.25">
      <c r="A86" s="34">
        <v>41456</v>
      </c>
      <c r="B86" s="1">
        <v>809.5</v>
      </c>
      <c r="C86" s="34">
        <v>41456</v>
      </c>
      <c r="D86" s="1">
        <v>350</v>
      </c>
      <c r="E86" s="34">
        <v>41456</v>
      </c>
      <c r="F86" s="1">
        <v>7</v>
      </c>
      <c r="G86" s="34">
        <v>41456</v>
      </c>
      <c r="H86" s="1">
        <v>-0.51</v>
      </c>
      <c r="I86" s="34">
        <v>41456</v>
      </c>
      <c r="J86" s="1">
        <v>157.63999999999999</v>
      </c>
      <c r="K86" s="34">
        <v>41456</v>
      </c>
      <c r="L86" s="1">
        <v>802.2</v>
      </c>
      <c r="M86" s="34">
        <v>41456</v>
      </c>
      <c r="N86" s="1">
        <v>179.6</v>
      </c>
    </row>
    <row r="87" spans="1:14" x14ac:dyDescent="0.25">
      <c r="A87" s="34">
        <v>41487</v>
      </c>
      <c r="B87" s="1">
        <v>811.8</v>
      </c>
      <c r="C87" s="34">
        <v>41487</v>
      </c>
      <c r="D87" s="1">
        <v>554</v>
      </c>
      <c r="E87" s="34">
        <v>41487</v>
      </c>
      <c r="F87" s="1">
        <v>7</v>
      </c>
      <c r="G87" s="34">
        <v>41487</v>
      </c>
      <c r="H87" s="1">
        <v>-0.23</v>
      </c>
      <c r="I87" s="34">
        <v>41487</v>
      </c>
      <c r="J87" s="1">
        <v>157.56</v>
      </c>
      <c r="K87" s="34">
        <v>41487</v>
      </c>
      <c r="L87" s="1">
        <v>810.2</v>
      </c>
      <c r="M87" s="34">
        <v>41487</v>
      </c>
      <c r="N87" s="1">
        <v>184.8</v>
      </c>
    </row>
    <row r="88" spans="1:14" x14ac:dyDescent="0.25">
      <c r="A88" s="34">
        <v>41518</v>
      </c>
      <c r="B88" s="1">
        <v>810.4</v>
      </c>
      <c r="C88" s="34">
        <v>41518</v>
      </c>
      <c r="D88" s="1">
        <v>390</v>
      </c>
      <c r="E88" s="34">
        <v>41518</v>
      </c>
      <c r="F88" s="1">
        <v>6.9</v>
      </c>
      <c r="G88" s="34">
        <v>41518</v>
      </c>
      <c r="H88" s="1">
        <v>0.5</v>
      </c>
      <c r="I88" s="34">
        <v>41518</v>
      </c>
      <c r="J88" s="1">
        <v>157.66</v>
      </c>
      <c r="K88" s="34">
        <v>41518</v>
      </c>
      <c r="L88" s="1">
        <v>814.4</v>
      </c>
      <c r="M88" s="34">
        <v>41518</v>
      </c>
      <c r="N88" s="1">
        <v>194.8</v>
      </c>
    </row>
    <row r="89" spans="1:14" x14ac:dyDescent="0.25">
      <c r="A89" s="34">
        <v>41548</v>
      </c>
      <c r="B89" s="1">
        <v>810.8</v>
      </c>
      <c r="C89" s="34">
        <v>41548</v>
      </c>
      <c r="D89" s="1">
        <v>616</v>
      </c>
      <c r="E89" s="34">
        <v>41548</v>
      </c>
      <c r="F89" s="1">
        <v>6.8</v>
      </c>
      <c r="G89" s="34">
        <v>41548</v>
      </c>
      <c r="H89" s="1">
        <v>0.56000000000000005</v>
      </c>
      <c r="I89" s="34">
        <v>41548</v>
      </c>
      <c r="J89" s="1">
        <v>157.77000000000001</v>
      </c>
      <c r="K89" s="34">
        <v>41548</v>
      </c>
      <c r="L89" s="1">
        <v>816.6</v>
      </c>
      <c r="M89" s="34">
        <v>41548</v>
      </c>
      <c r="N89" s="1">
        <v>196.1</v>
      </c>
    </row>
    <row r="90" spans="1:14" x14ac:dyDescent="0.25">
      <c r="A90" s="34">
        <v>41579</v>
      </c>
      <c r="B90" s="1">
        <v>811.1</v>
      </c>
      <c r="C90" s="34">
        <v>41579</v>
      </c>
      <c r="D90" s="1">
        <v>269</v>
      </c>
      <c r="E90" s="34">
        <v>41579</v>
      </c>
      <c r="F90" s="1">
        <v>6.7</v>
      </c>
      <c r="G90" s="34">
        <v>41579</v>
      </c>
      <c r="H90" s="1">
        <v>0.74</v>
      </c>
      <c r="I90" s="34">
        <v>41579</v>
      </c>
      <c r="J90" s="1">
        <v>157.9</v>
      </c>
      <c r="K90" s="34">
        <v>41579</v>
      </c>
      <c r="L90" s="1">
        <v>815.7</v>
      </c>
      <c r="M90" s="34">
        <v>41579</v>
      </c>
      <c r="N90" s="1">
        <v>196.3</v>
      </c>
    </row>
    <row r="91" spans="1:14" x14ac:dyDescent="0.25">
      <c r="A91" s="34">
        <v>41609</v>
      </c>
      <c r="B91" s="1">
        <v>811</v>
      </c>
      <c r="C91" s="34">
        <v>41609</v>
      </c>
      <c r="D91" s="1">
        <v>281</v>
      </c>
      <c r="E91" s="34">
        <v>41609</v>
      </c>
      <c r="F91" s="1">
        <v>6.6</v>
      </c>
      <c r="G91" s="34">
        <v>41609</v>
      </c>
      <c r="H91" s="1">
        <v>0.88</v>
      </c>
      <c r="I91" s="34">
        <v>41609</v>
      </c>
      <c r="J91" s="1">
        <v>158.12</v>
      </c>
      <c r="K91" s="34">
        <v>41609</v>
      </c>
      <c r="L91" s="1">
        <v>815</v>
      </c>
      <c r="M91" s="34">
        <v>41609</v>
      </c>
      <c r="N91" s="1">
        <v>194.7</v>
      </c>
    </row>
    <row r="92" spans="1:14" x14ac:dyDescent="0.25">
      <c r="A92" s="34">
        <v>41640</v>
      </c>
      <c r="B92" s="1">
        <v>811.5</v>
      </c>
      <c r="C92" s="34">
        <v>41640</v>
      </c>
      <c r="D92" s="1">
        <v>448</v>
      </c>
      <c r="E92" s="34">
        <v>41640</v>
      </c>
      <c r="F92" s="1">
        <v>6.6</v>
      </c>
      <c r="G92" s="34">
        <v>41640</v>
      </c>
      <c r="H92" s="1">
        <v>0.57999999999999996</v>
      </c>
      <c r="I92" s="34">
        <v>41640</v>
      </c>
      <c r="J92" s="1">
        <v>158.16</v>
      </c>
      <c r="K92" s="34">
        <v>41640</v>
      </c>
      <c r="L92" s="1">
        <v>798.4</v>
      </c>
      <c r="M92" s="34">
        <v>41640</v>
      </c>
      <c r="N92" s="1">
        <v>188.3</v>
      </c>
    </row>
    <row r="93" spans="1:14" x14ac:dyDescent="0.25">
      <c r="A93" s="34">
        <v>41671</v>
      </c>
      <c r="B93" s="1">
        <v>811.1</v>
      </c>
      <c r="C93" s="34">
        <v>41671</v>
      </c>
      <c r="D93" s="1">
        <v>284</v>
      </c>
      <c r="E93" s="34">
        <v>41671</v>
      </c>
      <c r="F93" s="1">
        <v>6.7</v>
      </c>
      <c r="G93" s="34">
        <v>41671</v>
      </c>
      <c r="H93" s="1">
        <v>0.2</v>
      </c>
      <c r="I93" s="34">
        <v>41671</v>
      </c>
      <c r="J93" s="1">
        <v>158.07</v>
      </c>
      <c r="K93" s="34">
        <v>41671</v>
      </c>
      <c r="L93" s="1">
        <v>805.2</v>
      </c>
      <c r="M93" s="34">
        <v>41671</v>
      </c>
      <c r="N93" s="1">
        <v>194.8</v>
      </c>
    </row>
    <row r="94" spans="1:14" x14ac:dyDescent="0.25">
      <c r="A94" s="34">
        <v>41699</v>
      </c>
      <c r="B94" s="1">
        <v>810.1</v>
      </c>
      <c r="C94" s="34">
        <v>41699</v>
      </c>
      <c r="D94" s="1">
        <v>454</v>
      </c>
      <c r="E94" s="34">
        <v>41699</v>
      </c>
      <c r="F94" s="1">
        <v>7</v>
      </c>
      <c r="G94" s="34">
        <v>41699</v>
      </c>
      <c r="H94" s="1">
        <v>-0.79</v>
      </c>
      <c r="I94" s="34">
        <v>41699</v>
      </c>
      <c r="J94" s="1">
        <v>157.6</v>
      </c>
      <c r="K94" s="34">
        <v>41699</v>
      </c>
      <c r="L94" s="1">
        <v>809.3</v>
      </c>
      <c r="M94" s="34">
        <v>41699</v>
      </c>
      <c r="N94" s="1">
        <v>195.2</v>
      </c>
    </row>
    <row r="95" spans="1:14" x14ac:dyDescent="0.25">
      <c r="A95" s="34">
        <v>41730</v>
      </c>
      <c r="B95" s="1">
        <v>807.9</v>
      </c>
      <c r="C95" s="34">
        <v>41730</v>
      </c>
      <c r="D95" s="1">
        <v>336</v>
      </c>
      <c r="E95" s="34">
        <v>41730</v>
      </c>
      <c r="F95" s="1">
        <v>6.8</v>
      </c>
      <c r="G95" s="34">
        <v>41730</v>
      </c>
      <c r="H95" s="1">
        <v>0.94</v>
      </c>
      <c r="I95" s="34">
        <v>41730</v>
      </c>
      <c r="J95" s="1">
        <v>158.06</v>
      </c>
      <c r="K95" s="34">
        <v>41730</v>
      </c>
      <c r="L95" s="1">
        <v>811.2</v>
      </c>
      <c r="M95" s="34">
        <v>41730</v>
      </c>
      <c r="N95" s="1">
        <v>194.9</v>
      </c>
    </row>
    <row r="96" spans="1:14" x14ac:dyDescent="0.25">
      <c r="A96" s="34">
        <v>41760</v>
      </c>
      <c r="B96" s="1">
        <v>812.6</v>
      </c>
      <c r="C96" s="34">
        <v>41760</v>
      </c>
      <c r="D96" s="1">
        <v>354</v>
      </c>
      <c r="E96" s="34">
        <v>41760</v>
      </c>
      <c r="F96" s="1">
        <v>6.5</v>
      </c>
      <c r="G96" s="34">
        <v>41760</v>
      </c>
      <c r="H96" s="1">
        <v>2.4</v>
      </c>
      <c r="I96" s="34">
        <v>41760</v>
      </c>
      <c r="J96" s="1">
        <v>158.80000000000001</v>
      </c>
      <c r="K96" s="34">
        <v>41760</v>
      </c>
      <c r="L96" s="1">
        <v>816.8</v>
      </c>
      <c r="M96" s="34">
        <v>41760</v>
      </c>
      <c r="N96" s="1">
        <v>194.9</v>
      </c>
    </row>
    <row r="97" spans="1:14" x14ac:dyDescent="0.25">
      <c r="A97" s="34">
        <v>41791</v>
      </c>
      <c r="B97" s="1">
        <v>807.6</v>
      </c>
      <c r="C97" s="34">
        <v>41791</v>
      </c>
      <c r="D97" s="1">
        <v>350</v>
      </c>
      <c r="E97" s="34">
        <v>41791</v>
      </c>
      <c r="F97" s="1">
        <v>6.5</v>
      </c>
      <c r="G97" s="34">
        <v>41791</v>
      </c>
      <c r="H97" s="1">
        <v>1.43</v>
      </c>
      <c r="I97" s="34">
        <v>41791</v>
      </c>
      <c r="J97" s="1">
        <v>158.96</v>
      </c>
      <c r="K97" s="34">
        <v>41791</v>
      </c>
      <c r="L97" s="1">
        <v>809.9</v>
      </c>
      <c r="M97" s="34">
        <v>41791</v>
      </c>
      <c r="N97" s="1">
        <v>184.8</v>
      </c>
    </row>
    <row r="98" spans="1:14" x14ac:dyDescent="0.25">
      <c r="A98" s="34">
        <v>41821</v>
      </c>
      <c r="B98" s="1">
        <v>812.7</v>
      </c>
      <c r="C98" s="34">
        <v>41821</v>
      </c>
      <c r="D98" s="1">
        <v>310</v>
      </c>
      <c r="E98" s="34">
        <v>41821</v>
      </c>
      <c r="F98" s="1">
        <v>6.6</v>
      </c>
      <c r="G98" s="34">
        <v>41821</v>
      </c>
      <c r="H98" s="1">
        <v>0.89</v>
      </c>
      <c r="I98" s="34">
        <v>41821</v>
      </c>
      <c r="J98" s="1">
        <v>159.13999999999999</v>
      </c>
      <c r="K98" s="34">
        <v>41821</v>
      </c>
      <c r="L98" s="1">
        <v>807.1</v>
      </c>
      <c r="M98" s="34">
        <v>41821</v>
      </c>
      <c r="N98" s="1">
        <v>179.5</v>
      </c>
    </row>
    <row r="99" spans="1:14" x14ac:dyDescent="0.25">
      <c r="A99" s="34">
        <v>41852</v>
      </c>
      <c r="B99" s="1">
        <v>817.6</v>
      </c>
      <c r="C99" s="34">
        <v>41852</v>
      </c>
      <c r="D99" s="1">
        <v>428</v>
      </c>
      <c r="E99" s="34">
        <v>41852</v>
      </c>
      <c r="F99" s="1">
        <v>6.7</v>
      </c>
      <c r="G99" s="34">
        <v>41852</v>
      </c>
      <c r="H99" s="1">
        <v>1.04</v>
      </c>
      <c r="I99" s="34">
        <v>41852</v>
      </c>
      <c r="J99" s="1">
        <v>159.28</v>
      </c>
      <c r="K99" s="34">
        <v>41852</v>
      </c>
      <c r="L99" s="1">
        <v>815.2</v>
      </c>
      <c r="M99" s="34">
        <v>41852</v>
      </c>
      <c r="N99" s="1">
        <v>184.9</v>
      </c>
    </row>
    <row r="100" spans="1:14" x14ac:dyDescent="0.25">
      <c r="A100" s="34">
        <v>41883</v>
      </c>
      <c r="B100" s="1">
        <v>817.1</v>
      </c>
      <c r="C100" s="34">
        <v>41883</v>
      </c>
      <c r="D100" s="1">
        <v>319</v>
      </c>
      <c r="E100" s="34">
        <v>41883</v>
      </c>
      <c r="F100" s="1">
        <v>6.6</v>
      </c>
      <c r="G100" s="34">
        <v>41883</v>
      </c>
      <c r="H100" s="1">
        <v>1.74</v>
      </c>
      <c r="I100" s="34">
        <v>41883</v>
      </c>
      <c r="J100" s="1">
        <v>159.82</v>
      </c>
      <c r="K100" s="34">
        <v>41883</v>
      </c>
      <c r="L100" s="1">
        <v>821.1</v>
      </c>
      <c r="M100" s="34">
        <v>41883</v>
      </c>
      <c r="N100" s="1">
        <v>193.4</v>
      </c>
    </row>
    <row r="101" spans="1:14" x14ac:dyDescent="0.25">
      <c r="A101" s="34">
        <v>41913</v>
      </c>
      <c r="B101" s="1">
        <v>821.8</v>
      </c>
      <c r="C101" s="34">
        <v>41913</v>
      </c>
      <c r="D101" s="1">
        <v>485</v>
      </c>
      <c r="E101" s="34">
        <v>41913</v>
      </c>
      <c r="F101" s="1">
        <v>6.5</v>
      </c>
      <c r="G101" s="34">
        <v>41913</v>
      </c>
      <c r="H101" s="1">
        <v>2.2599999999999998</v>
      </c>
      <c r="I101" s="34">
        <v>41913</v>
      </c>
      <c r="J101" s="1">
        <v>160.38</v>
      </c>
      <c r="K101" s="34">
        <v>41913</v>
      </c>
      <c r="L101" s="1">
        <v>826.2</v>
      </c>
      <c r="M101" s="34">
        <v>41913</v>
      </c>
      <c r="N101" s="1">
        <v>195.9</v>
      </c>
    </row>
    <row r="102" spans="1:14" x14ac:dyDescent="0.25">
      <c r="A102" s="34">
        <v>41944</v>
      </c>
      <c r="B102" s="1">
        <v>825.9</v>
      </c>
      <c r="C102" s="34">
        <v>41944</v>
      </c>
      <c r="D102" s="1">
        <v>330</v>
      </c>
      <c r="E102" s="34">
        <v>41944</v>
      </c>
      <c r="F102" s="1">
        <v>6.4</v>
      </c>
      <c r="G102" s="34">
        <v>41944</v>
      </c>
      <c r="H102" s="1">
        <v>2.19</v>
      </c>
      <c r="I102" s="34">
        <v>41944</v>
      </c>
      <c r="J102" s="1">
        <v>160.96</v>
      </c>
      <c r="K102" s="34">
        <v>41944</v>
      </c>
      <c r="L102" s="1">
        <v>830</v>
      </c>
      <c r="M102" s="34">
        <v>41944</v>
      </c>
      <c r="N102" s="1">
        <v>196.1</v>
      </c>
    </row>
    <row r="103" spans="1:14" x14ac:dyDescent="0.25">
      <c r="A103" s="34">
        <v>41974</v>
      </c>
      <c r="B103" s="1">
        <v>824.3</v>
      </c>
      <c r="E103" s="34">
        <v>41974</v>
      </c>
      <c r="F103" s="1">
        <v>6.1</v>
      </c>
      <c r="K103" s="34">
        <v>41974</v>
      </c>
      <c r="L103" s="1">
        <v>828.5</v>
      </c>
      <c r="M103" s="34">
        <v>41974</v>
      </c>
      <c r="N103" s="1">
        <v>194.4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P103"/>
  <sheetViews>
    <sheetView topLeftCell="A77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515</v>
      </c>
      <c r="C1" s="34" t="s">
        <v>516</v>
      </c>
      <c r="E1" s="34" t="s">
        <v>517</v>
      </c>
      <c r="G1" s="34" t="s">
        <v>518</v>
      </c>
      <c r="I1" s="34" t="s">
        <v>519</v>
      </c>
      <c r="K1" s="34" t="str">
        <f>CONCATENATE(LEFT(A1,2), "NAN")</f>
        <v>NVNAN</v>
      </c>
      <c r="M1" s="34" t="str">
        <f>CONCATENATE(LEFT(A1,2), "GOVTN")</f>
        <v>NVGOVTN</v>
      </c>
      <c r="O1" s="34" t="str">
        <f>CONCATENATE(LEFT($A$1,2), "RGSP")</f>
        <v>NVRGSP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910</v>
      </c>
      <c r="C5" s="35" t="s">
        <v>520</v>
      </c>
      <c r="E5" s="35" t="s">
        <v>521</v>
      </c>
      <c r="G5" s="35" t="s">
        <v>522</v>
      </c>
      <c r="I5" s="35" t="s">
        <v>523</v>
      </c>
      <c r="K5" s="35" t="s">
        <v>910</v>
      </c>
      <c r="M5" s="35" t="s">
        <v>911</v>
      </c>
      <c r="O5" s="35" t="s">
        <v>787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1289.5</v>
      </c>
      <c r="C8" s="34">
        <v>39083</v>
      </c>
      <c r="D8" s="1">
        <v>1538</v>
      </c>
      <c r="E8" s="34">
        <v>39083</v>
      </c>
      <c r="F8" s="1">
        <v>4.2</v>
      </c>
      <c r="G8" s="34">
        <v>39083</v>
      </c>
      <c r="H8" s="1">
        <v>0.28000000000000003</v>
      </c>
      <c r="I8" s="34">
        <v>39083</v>
      </c>
      <c r="J8" s="1">
        <v>232.35</v>
      </c>
      <c r="K8" s="34">
        <v>39083</v>
      </c>
      <c r="L8" s="1">
        <v>1268.2</v>
      </c>
      <c r="M8" s="34">
        <v>39083</v>
      </c>
      <c r="N8" s="1">
        <v>150.4</v>
      </c>
      <c r="O8" s="34">
        <v>39083</v>
      </c>
      <c r="P8" s="1">
        <v>137268</v>
      </c>
    </row>
    <row r="9" spans="1:16" x14ac:dyDescent="0.25">
      <c r="A9" s="34">
        <v>39114</v>
      </c>
      <c r="B9" s="1">
        <v>1296.5</v>
      </c>
      <c r="C9" s="34">
        <v>39114</v>
      </c>
      <c r="D9" s="1">
        <v>1888</v>
      </c>
      <c r="E9" s="34">
        <v>39114</v>
      </c>
      <c r="F9" s="1">
        <v>4.2</v>
      </c>
      <c r="G9" s="34">
        <v>39114</v>
      </c>
      <c r="H9" s="1">
        <v>-0.09</v>
      </c>
      <c r="I9" s="34">
        <v>39114</v>
      </c>
      <c r="J9" s="1">
        <v>232.63</v>
      </c>
      <c r="K9" s="34">
        <v>39114</v>
      </c>
      <c r="L9" s="1">
        <v>1283.3</v>
      </c>
      <c r="M9" s="34">
        <v>39114</v>
      </c>
      <c r="N9" s="1">
        <v>156.9</v>
      </c>
      <c r="O9" s="34">
        <v>39448</v>
      </c>
      <c r="P9" s="1">
        <v>132383</v>
      </c>
    </row>
    <row r="10" spans="1:16" x14ac:dyDescent="0.25">
      <c r="A10" s="34">
        <v>39142</v>
      </c>
      <c r="B10" s="1">
        <v>1297.3</v>
      </c>
      <c r="C10" s="34">
        <v>39142</v>
      </c>
      <c r="D10" s="1">
        <v>2292</v>
      </c>
      <c r="E10" s="34">
        <v>39142</v>
      </c>
      <c r="F10" s="1">
        <v>4.3</v>
      </c>
      <c r="G10" s="34">
        <v>39142</v>
      </c>
      <c r="H10" s="1">
        <v>-0.73</v>
      </c>
      <c r="I10" s="34">
        <v>39142</v>
      </c>
      <c r="J10" s="1">
        <v>232.76</v>
      </c>
      <c r="K10" s="34">
        <v>39142</v>
      </c>
      <c r="L10" s="1">
        <v>1290.9000000000001</v>
      </c>
      <c r="M10" s="34">
        <v>39142</v>
      </c>
      <c r="N10" s="1">
        <v>157.5</v>
      </c>
      <c r="O10" s="34">
        <v>39814</v>
      </c>
      <c r="P10" s="1">
        <v>120100</v>
      </c>
    </row>
    <row r="11" spans="1:16" x14ac:dyDescent="0.25">
      <c r="A11" s="34">
        <v>39173</v>
      </c>
      <c r="B11" s="1">
        <v>1295.5</v>
      </c>
      <c r="C11" s="34">
        <v>39173</v>
      </c>
      <c r="D11" s="1">
        <v>2412</v>
      </c>
      <c r="E11" s="34">
        <v>39173</v>
      </c>
      <c r="F11" s="1">
        <v>4.4000000000000004</v>
      </c>
      <c r="G11" s="34">
        <v>39173</v>
      </c>
      <c r="H11" s="1">
        <v>-1.02</v>
      </c>
      <c r="I11" s="34">
        <v>39173</v>
      </c>
      <c r="J11" s="1">
        <v>232.7</v>
      </c>
      <c r="K11" s="34">
        <v>39173</v>
      </c>
      <c r="L11" s="1">
        <v>1294.5</v>
      </c>
      <c r="M11" s="34">
        <v>39173</v>
      </c>
      <c r="N11" s="1">
        <v>159.1</v>
      </c>
      <c r="O11" s="34">
        <v>40179</v>
      </c>
      <c r="P11" s="1">
        <v>119242</v>
      </c>
    </row>
    <row r="12" spans="1:16" x14ac:dyDescent="0.25">
      <c r="A12" s="34">
        <v>39203</v>
      </c>
      <c r="B12" s="1">
        <v>1297.3</v>
      </c>
      <c r="C12" s="34">
        <v>39203</v>
      </c>
      <c r="D12" s="1">
        <v>2237</v>
      </c>
      <c r="E12" s="34">
        <v>39203</v>
      </c>
      <c r="F12" s="1">
        <v>4.5</v>
      </c>
      <c r="G12" s="34">
        <v>39203</v>
      </c>
      <c r="H12" s="1">
        <v>-0.79</v>
      </c>
      <c r="I12" s="34">
        <v>39203</v>
      </c>
      <c r="J12" s="1">
        <v>232.53</v>
      </c>
      <c r="K12" s="34">
        <v>39203</v>
      </c>
      <c r="L12" s="1">
        <v>1303.8</v>
      </c>
      <c r="M12" s="34">
        <v>39203</v>
      </c>
      <c r="N12" s="1">
        <v>159.6</v>
      </c>
      <c r="O12" s="34">
        <v>40544</v>
      </c>
      <c r="P12" s="1">
        <v>120217</v>
      </c>
    </row>
    <row r="13" spans="1:16" x14ac:dyDescent="0.25">
      <c r="A13" s="34">
        <v>39234</v>
      </c>
      <c r="B13" s="1">
        <v>1294.3</v>
      </c>
      <c r="C13" s="34">
        <v>39234</v>
      </c>
      <c r="D13" s="1">
        <v>1976</v>
      </c>
      <c r="E13" s="34">
        <v>39234</v>
      </c>
      <c r="F13" s="1">
        <v>4.5999999999999996</v>
      </c>
      <c r="G13" s="34">
        <v>39234</v>
      </c>
      <c r="H13" s="1">
        <v>-1.22</v>
      </c>
      <c r="I13" s="34">
        <v>39234</v>
      </c>
      <c r="J13" s="1">
        <v>232.28</v>
      </c>
      <c r="K13" s="34">
        <v>39234</v>
      </c>
      <c r="L13" s="1">
        <v>1302.0999999999999</v>
      </c>
      <c r="M13" s="34">
        <v>39234</v>
      </c>
      <c r="N13" s="1">
        <v>154.69999999999999</v>
      </c>
      <c r="O13" s="34">
        <v>40909</v>
      </c>
      <c r="P13" s="1">
        <v>122698</v>
      </c>
    </row>
    <row r="14" spans="1:16" x14ac:dyDescent="0.25">
      <c r="A14" s="34">
        <v>39264</v>
      </c>
      <c r="B14" s="1">
        <v>1290.5</v>
      </c>
      <c r="C14" s="34">
        <v>39264</v>
      </c>
      <c r="D14" s="1">
        <v>1257</v>
      </c>
      <c r="E14" s="34">
        <v>39264</v>
      </c>
      <c r="F14" s="1">
        <v>4.7</v>
      </c>
      <c r="G14" s="34">
        <v>39264</v>
      </c>
      <c r="H14" s="1">
        <v>-1.1299999999999999</v>
      </c>
      <c r="I14" s="34">
        <v>39264</v>
      </c>
      <c r="J14" s="1">
        <v>231.95</v>
      </c>
      <c r="K14" s="34">
        <v>39264</v>
      </c>
      <c r="L14" s="1">
        <v>1287.2</v>
      </c>
      <c r="M14" s="34">
        <v>39264</v>
      </c>
      <c r="N14" s="1">
        <v>147.19999999999999</v>
      </c>
      <c r="O14" s="34">
        <v>41275</v>
      </c>
      <c r="P14" s="1">
        <v>123903</v>
      </c>
    </row>
    <row r="15" spans="1:16" x14ac:dyDescent="0.25">
      <c r="A15" s="34">
        <v>39295</v>
      </c>
      <c r="B15" s="1">
        <v>1289</v>
      </c>
      <c r="C15" s="34">
        <v>39295</v>
      </c>
      <c r="D15" s="1">
        <v>2749</v>
      </c>
      <c r="E15" s="34">
        <v>39295</v>
      </c>
      <c r="F15" s="1">
        <v>4.8</v>
      </c>
      <c r="G15" s="34">
        <v>39295</v>
      </c>
      <c r="H15" s="1">
        <v>-0.94</v>
      </c>
      <c r="I15" s="34">
        <v>39295</v>
      </c>
      <c r="J15" s="1">
        <v>231.62</v>
      </c>
      <c r="K15" s="34">
        <v>39295</v>
      </c>
      <c r="L15" s="1">
        <v>1288.0999999999999</v>
      </c>
      <c r="M15" s="34">
        <v>39295</v>
      </c>
      <c r="N15" s="1">
        <v>146</v>
      </c>
    </row>
    <row r="16" spans="1:16" x14ac:dyDescent="0.25">
      <c r="A16" s="34">
        <v>39326</v>
      </c>
      <c r="B16" s="1">
        <v>1286.2</v>
      </c>
      <c r="C16" s="34">
        <v>39326</v>
      </c>
      <c r="D16" s="1">
        <v>3114</v>
      </c>
      <c r="E16" s="34">
        <v>39326</v>
      </c>
      <c r="F16" s="1">
        <v>4.9000000000000004</v>
      </c>
      <c r="G16" s="34">
        <v>39326</v>
      </c>
      <c r="H16" s="1">
        <v>-1.18</v>
      </c>
      <c r="I16" s="34">
        <v>39326</v>
      </c>
      <c r="J16" s="1">
        <v>231.29</v>
      </c>
      <c r="K16" s="34">
        <v>39326</v>
      </c>
      <c r="L16" s="1">
        <v>1292.3</v>
      </c>
      <c r="M16" s="34">
        <v>39326</v>
      </c>
      <c r="N16" s="1">
        <v>155.5</v>
      </c>
    </row>
    <row r="17" spans="1:14" x14ac:dyDescent="0.25">
      <c r="A17" s="34">
        <v>39356</v>
      </c>
      <c r="B17" s="1">
        <v>1289.9000000000001</v>
      </c>
      <c r="C17" s="34">
        <v>39356</v>
      </c>
      <c r="D17" s="1">
        <v>5059</v>
      </c>
      <c r="E17" s="34">
        <v>39356</v>
      </c>
      <c r="F17" s="1">
        <v>5</v>
      </c>
      <c r="G17" s="34">
        <v>39356</v>
      </c>
      <c r="H17" s="1">
        <v>-1.07</v>
      </c>
      <c r="I17" s="34">
        <v>39356</v>
      </c>
      <c r="J17" s="1">
        <v>230.96</v>
      </c>
      <c r="K17" s="34">
        <v>39356</v>
      </c>
      <c r="L17" s="1">
        <v>1297.7</v>
      </c>
      <c r="M17" s="34">
        <v>39356</v>
      </c>
      <c r="N17" s="1">
        <v>160.69999999999999</v>
      </c>
    </row>
    <row r="18" spans="1:14" x14ac:dyDescent="0.25">
      <c r="A18" s="34">
        <v>39387</v>
      </c>
      <c r="B18" s="1">
        <v>1291.2</v>
      </c>
      <c r="C18" s="34">
        <v>39387</v>
      </c>
      <c r="D18" s="1">
        <v>1654</v>
      </c>
      <c r="E18" s="34">
        <v>39387</v>
      </c>
      <c r="F18" s="1">
        <v>5.0999999999999996</v>
      </c>
      <c r="G18" s="34">
        <v>39387</v>
      </c>
      <c r="H18" s="1">
        <v>-1.47</v>
      </c>
      <c r="I18" s="34">
        <v>39387</v>
      </c>
      <c r="J18" s="1">
        <v>230.58</v>
      </c>
      <c r="K18" s="34">
        <v>39387</v>
      </c>
      <c r="L18" s="1">
        <v>1301</v>
      </c>
      <c r="M18" s="34">
        <v>39387</v>
      </c>
      <c r="N18" s="1">
        <v>161.6</v>
      </c>
    </row>
    <row r="19" spans="1:14" x14ac:dyDescent="0.25">
      <c r="A19" s="34">
        <v>39417</v>
      </c>
      <c r="B19" s="1">
        <v>1293.0999999999999</v>
      </c>
      <c r="C19" s="34">
        <v>39417</v>
      </c>
      <c r="D19" s="1">
        <v>902</v>
      </c>
      <c r="E19" s="34">
        <v>39417</v>
      </c>
      <c r="F19" s="1">
        <v>5.2</v>
      </c>
      <c r="G19" s="34">
        <v>39417</v>
      </c>
      <c r="H19" s="1">
        <v>-2.58</v>
      </c>
      <c r="I19" s="34">
        <v>39417</v>
      </c>
      <c r="J19" s="1">
        <v>230.03</v>
      </c>
      <c r="K19" s="34">
        <v>39417</v>
      </c>
      <c r="L19" s="1">
        <v>1300.4000000000001</v>
      </c>
      <c r="M19" s="34">
        <v>39417</v>
      </c>
      <c r="N19" s="1">
        <v>162.30000000000001</v>
      </c>
    </row>
    <row r="20" spans="1:14" x14ac:dyDescent="0.25">
      <c r="A20" s="34">
        <v>39448</v>
      </c>
      <c r="B20" s="1">
        <v>1289.5</v>
      </c>
      <c r="C20" s="34">
        <v>39448</v>
      </c>
      <c r="D20" s="1">
        <v>467</v>
      </c>
      <c r="E20" s="34">
        <v>39448</v>
      </c>
      <c r="F20" s="1">
        <v>5.4</v>
      </c>
      <c r="G20" s="34">
        <v>39448</v>
      </c>
      <c r="H20" s="1">
        <v>-3.38</v>
      </c>
      <c r="I20" s="34">
        <v>39448</v>
      </c>
      <c r="J20" s="1">
        <v>229.22</v>
      </c>
      <c r="K20" s="34">
        <v>39448</v>
      </c>
      <c r="L20" s="1">
        <v>1269.0999999999999</v>
      </c>
      <c r="M20" s="34">
        <v>39448</v>
      </c>
      <c r="N20" s="1">
        <v>156.30000000000001</v>
      </c>
    </row>
    <row r="21" spans="1:14" x14ac:dyDescent="0.25">
      <c r="A21" s="34">
        <v>39479</v>
      </c>
      <c r="B21" s="1">
        <v>1286.4000000000001</v>
      </c>
      <c r="C21" s="34">
        <v>39479</v>
      </c>
      <c r="D21" s="1">
        <v>1750</v>
      </c>
      <c r="E21" s="34">
        <v>39479</v>
      </c>
      <c r="F21" s="1">
        <v>5.6</v>
      </c>
      <c r="G21" s="34">
        <v>39479</v>
      </c>
      <c r="H21" s="1">
        <v>-3.48</v>
      </c>
      <c r="I21" s="34">
        <v>39479</v>
      </c>
      <c r="J21" s="1">
        <v>228.2</v>
      </c>
      <c r="K21" s="34">
        <v>39479</v>
      </c>
      <c r="L21" s="1">
        <v>1272.9000000000001</v>
      </c>
      <c r="M21" s="34">
        <v>39479</v>
      </c>
      <c r="N21" s="1">
        <v>162.30000000000001</v>
      </c>
    </row>
    <row r="22" spans="1:14" x14ac:dyDescent="0.25">
      <c r="A22" s="34">
        <v>39508</v>
      </c>
      <c r="B22" s="1">
        <v>1282.8</v>
      </c>
      <c r="C22" s="34">
        <v>39508</v>
      </c>
      <c r="D22" s="1">
        <v>699</v>
      </c>
      <c r="E22" s="34">
        <v>39508</v>
      </c>
      <c r="F22" s="1">
        <v>5.8</v>
      </c>
      <c r="G22" s="34">
        <v>39508</v>
      </c>
      <c r="H22" s="1">
        <v>-3.71</v>
      </c>
      <c r="I22" s="34">
        <v>39508</v>
      </c>
      <c r="J22" s="1">
        <v>227</v>
      </c>
      <c r="K22" s="34">
        <v>39508</v>
      </c>
      <c r="L22" s="1">
        <v>1275.8</v>
      </c>
      <c r="M22" s="34">
        <v>39508</v>
      </c>
      <c r="N22" s="1">
        <v>163.19999999999999</v>
      </c>
    </row>
    <row r="23" spans="1:14" x14ac:dyDescent="0.25">
      <c r="A23" s="34">
        <v>39539</v>
      </c>
      <c r="B23" s="1">
        <v>1282.9000000000001</v>
      </c>
      <c r="C23" s="34">
        <v>39539</v>
      </c>
      <c r="D23" s="1">
        <v>1021</v>
      </c>
      <c r="E23" s="34">
        <v>39539</v>
      </c>
      <c r="F23" s="1">
        <v>6.1</v>
      </c>
      <c r="G23" s="34">
        <v>39539</v>
      </c>
      <c r="H23" s="1">
        <v>-4.37</v>
      </c>
      <c r="I23" s="34">
        <v>39539</v>
      </c>
      <c r="J23" s="1">
        <v>225.61</v>
      </c>
      <c r="K23" s="34">
        <v>39539</v>
      </c>
      <c r="L23" s="1">
        <v>1281</v>
      </c>
      <c r="M23" s="34">
        <v>39539</v>
      </c>
      <c r="N23" s="1">
        <v>164.3</v>
      </c>
    </row>
    <row r="24" spans="1:14" x14ac:dyDescent="0.25">
      <c r="A24" s="34">
        <v>39569</v>
      </c>
      <c r="B24" s="1">
        <v>1279.3</v>
      </c>
      <c r="C24" s="34">
        <v>39569</v>
      </c>
      <c r="D24" s="1">
        <v>1302</v>
      </c>
      <c r="E24" s="34">
        <v>39569</v>
      </c>
      <c r="F24" s="1">
        <v>6.4</v>
      </c>
      <c r="G24" s="34">
        <v>39569</v>
      </c>
      <c r="H24" s="1">
        <v>-4.95</v>
      </c>
      <c r="I24" s="34">
        <v>39569</v>
      </c>
      <c r="J24" s="1">
        <v>224.01</v>
      </c>
      <c r="K24" s="34">
        <v>39569</v>
      </c>
      <c r="L24" s="1">
        <v>1286.2</v>
      </c>
      <c r="M24" s="34">
        <v>39569</v>
      </c>
      <c r="N24" s="1">
        <v>165</v>
      </c>
    </row>
    <row r="25" spans="1:14" x14ac:dyDescent="0.25">
      <c r="A25" s="34">
        <v>39600</v>
      </c>
      <c r="B25" s="1">
        <v>1275.4000000000001</v>
      </c>
      <c r="C25" s="34">
        <v>39600</v>
      </c>
      <c r="D25" s="1">
        <v>2594</v>
      </c>
      <c r="E25" s="34">
        <v>39600</v>
      </c>
      <c r="F25" s="1">
        <v>6.8</v>
      </c>
      <c r="G25" s="34">
        <v>39600</v>
      </c>
      <c r="H25" s="1">
        <v>-5.31</v>
      </c>
      <c r="I25" s="34">
        <v>39600</v>
      </c>
      <c r="J25" s="1">
        <v>222.19</v>
      </c>
      <c r="K25" s="34">
        <v>39600</v>
      </c>
      <c r="L25" s="1">
        <v>1279.5</v>
      </c>
      <c r="M25" s="34">
        <v>39600</v>
      </c>
      <c r="N25" s="1">
        <v>159.80000000000001</v>
      </c>
    </row>
    <row r="26" spans="1:14" x14ac:dyDescent="0.25">
      <c r="A26" s="34">
        <v>39630</v>
      </c>
      <c r="B26" s="1">
        <v>1268.0999999999999</v>
      </c>
      <c r="C26" s="34">
        <v>39630</v>
      </c>
      <c r="D26" s="1">
        <v>1293</v>
      </c>
      <c r="E26" s="34">
        <v>39630</v>
      </c>
      <c r="F26" s="1">
        <v>7.2</v>
      </c>
      <c r="G26" s="34">
        <v>39630</v>
      </c>
      <c r="H26" s="1">
        <v>-5.09</v>
      </c>
      <c r="I26" s="34">
        <v>39630</v>
      </c>
      <c r="J26" s="1">
        <v>220.22</v>
      </c>
      <c r="K26" s="34">
        <v>39630</v>
      </c>
      <c r="L26" s="1">
        <v>1265.2</v>
      </c>
      <c r="M26" s="34">
        <v>39630</v>
      </c>
      <c r="N26" s="1">
        <v>153.5</v>
      </c>
    </row>
    <row r="27" spans="1:14" x14ac:dyDescent="0.25">
      <c r="A27" s="34">
        <v>39661</v>
      </c>
      <c r="B27" s="1">
        <v>1260.9000000000001</v>
      </c>
      <c r="C27" s="34">
        <v>39661</v>
      </c>
      <c r="D27" s="1">
        <v>2021</v>
      </c>
      <c r="E27" s="34">
        <v>39661</v>
      </c>
      <c r="F27" s="1">
        <v>7.5</v>
      </c>
      <c r="G27" s="34">
        <v>39661</v>
      </c>
      <c r="H27" s="1">
        <v>-5.71</v>
      </c>
      <c r="I27" s="34">
        <v>39661</v>
      </c>
      <c r="J27" s="1">
        <v>218.1</v>
      </c>
      <c r="K27" s="34">
        <v>39661</v>
      </c>
      <c r="L27" s="1">
        <v>1260.5999999999999</v>
      </c>
      <c r="M27" s="34">
        <v>39661</v>
      </c>
      <c r="N27" s="1">
        <v>152.30000000000001</v>
      </c>
    </row>
    <row r="28" spans="1:14" x14ac:dyDescent="0.25">
      <c r="A28" s="34">
        <v>39692</v>
      </c>
      <c r="B28" s="1">
        <v>1254.3</v>
      </c>
      <c r="C28" s="34">
        <v>39692</v>
      </c>
      <c r="D28" s="1">
        <v>1138</v>
      </c>
      <c r="E28" s="34">
        <v>39692</v>
      </c>
      <c r="F28" s="1">
        <v>7.9</v>
      </c>
      <c r="G28" s="34">
        <v>39692</v>
      </c>
      <c r="H28" s="1">
        <v>-7.09</v>
      </c>
      <c r="I28" s="34">
        <v>39692</v>
      </c>
      <c r="J28" s="1">
        <v>215.68</v>
      </c>
      <c r="K28" s="34">
        <v>39692</v>
      </c>
      <c r="L28" s="1">
        <v>1261.5999999999999</v>
      </c>
      <c r="M28" s="34">
        <v>39692</v>
      </c>
      <c r="N28" s="1">
        <v>160.9</v>
      </c>
    </row>
    <row r="29" spans="1:14" x14ac:dyDescent="0.25">
      <c r="A29" s="34">
        <v>39722</v>
      </c>
      <c r="B29" s="1">
        <v>1242.4000000000001</v>
      </c>
      <c r="C29" s="34">
        <v>39722</v>
      </c>
      <c r="D29" s="1">
        <v>1017</v>
      </c>
      <c r="E29" s="34">
        <v>39722</v>
      </c>
      <c r="F29" s="1">
        <v>8.3000000000000007</v>
      </c>
      <c r="G29" s="34">
        <v>39722</v>
      </c>
      <c r="H29" s="1">
        <v>-7.89</v>
      </c>
      <c r="I29" s="34">
        <v>39722</v>
      </c>
      <c r="J29" s="1">
        <v>212.9</v>
      </c>
      <c r="K29" s="34">
        <v>39722</v>
      </c>
      <c r="L29" s="1">
        <v>1252.5</v>
      </c>
      <c r="M29" s="34">
        <v>39722</v>
      </c>
      <c r="N29" s="1">
        <v>165.7</v>
      </c>
    </row>
    <row r="30" spans="1:14" x14ac:dyDescent="0.25">
      <c r="A30" s="34">
        <v>39753</v>
      </c>
      <c r="B30" s="1">
        <v>1228.5999999999999</v>
      </c>
      <c r="C30" s="34">
        <v>39753</v>
      </c>
      <c r="D30" s="1">
        <v>346</v>
      </c>
      <c r="E30" s="34">
        <v>39753</v>
      </c>
      <c r="F30" s="1">
        <v>8.8000000000000007</v>
      </c>
      <c r="G30" s="34">
        <v>39753</v>
      </c>
      <c r="H30" s="1">
        <v>-8.6</v>
      </c>
      <c r="I30" s="34">
        <v>39753</v>
      </c>
      <c r="J30" s="1">
        <v>209.83</v>
      </c>
      <c r="K30" s="34">
        <v>39753</v>
      </c>
      <c r="L30" s="1">
        <v>1238.0999999999999</v>
      </c>
      <c r="M30" s="34">
        <v>39753</v>
      </c>
      <c r="N30" s="1">
        <v>165.9</v>
      </c>
    </row>
    <row r="31" spans="1:14" x14ac:dyDescent="0.25">
      <c r="A31" s="34">
        <v>39783</v>
      </c>
      <c r="B31" s="1">
        <v>1213.4000000000001</v>
      </c>
      <c r="C31" s="34">
        <v>39783</v>
      </c>
      <c r="D31" s="1">
        <v>531</v>
      </c>
      <c r="E31" s="34">
        <v>39783</v>
      </c>
      <c r="F31" s="1">
        <v>9.1999999999999993</v>
      </c>
      <c r="G31" s="34">
        <v>39783</v>
      </c>
      <c r="H31" s="1">
        <v>-8.2100000000000009</v>
      </c>
      <c r="I31" s="34">
        <v>39783</v>
      </c>
      <c r="J31" s="1">
        <v>206.62</v>
      </c>
      <c r="K31" s="34">
        <v>39783</v>
      </c>
      <c r="L31" s="1">
        <v>1221.0999999999999</v>
      </c>
      <c r="M31" s="34">
        <v>39783</v>
      </c>
      <c r="N31" s="1">
        <v>165.5</v>
      </c>
    </row>
    <row r="32" spans="1:14" x14ac:dyDescent="0.25">
      <c r="A32" s="34">
        <v>39814</v>
      </c>
      <c r="B32" s="1">
        <v>1198.5</v>
      </c>
      <c r="C32" s="34">
        <v>39814</v>
      </c>
      <c r="D32" s="1">
        <v>256</v>
      </c>
      <c r="E32" s="34">
        <v>39814</v>
      </c>
      <c r="F32" s="1">
        <v>9.6999999999999993</v>
      </c>
      <c r="G32" s="34">
        <v>39814</v>
      </c>
      <c r="H32" s="1">
        <v>-8.52</v>
      </c>
      <c r="I32" s="34">
        <v>39814</v>
      </c>
      <c r="J32" s="1">
        <v>203.36</v>
      </c>
      <c r="K32" s="34">
        <v>39814</v>
      </c>
      <c r="L32" s="1">
        <v>1180.8</v>
      </c>
      <c r="M32" s="34">
        <v>39814</v>
      </c>
      <c r="N32" s="1">
        <v>158.30000000000001</v>
      </c>
    </row>
    <row r="33" spans="1:14" x14ac:dyDescent="0.25">
      <c r="A33" s="34">
        <v>39845</v>
      </c>
      <c r="B33" s="1">
        <v>1184.8</v>
      </c>
      <c r="C33" s="34">
        <v>39845</v>
      </c>
      <c r="D33" s="1">
        <v>268</v>
      </c>
      <c r="E33" s="34">
        <v>39845</v>
      </c>
      <c r="F33" s="1">
        <v>10.1</v>
      </c>
      <c r="G33" s="34">
        <v>39845</v>
      </c>
      <c r="H33" s="1">
        <v>-7.54</v>
      </c>
      <c r="I33" s="34">
        <v>39845</v>
      </c>
      <c r="J33" s="1">
        <v>200.22</v>
      </c>
      <c r="K33" s="34">
        <v>39845</v>
      </c>
      <c r="L33" s="1">
        <v>1171.7</v>
      </c>
      <c r="M33" s="34">
        <v>39845</v>
      </c>
      <c r="N33" s="1">
        <v>162.19999999999999</v>
      </c>
    </row>
    <row r="34" spans="1:14" x14ac:dyDescent="0.25">
      <c r="A34" s="34">
        <v>39873</v>
      </c>
      <c r="B34" s="1">
        <v>1170.5999999999999</v>
      </c>
      <c r="C34" s="34">
        <v>39873</v>
      </c>
      <c r="D34" s="1">
        <v>821</v>
      </c>
      <c r="E34" s="34">
        <v>39873</v>
      </c>
      <c r="F34" s="1">
        <v>10.5</v>
      </c>
      <c r="G34" s="34">
        <v>39873</v>
      </c>
      <c r="H34" s="1">
        <v>-7.27</v>
      </c>
      <c r="I34" s="34">
        <v>39873</v>
      </c>
      <c r="J34" s="1">
        <v>197.25</v>
      </c>
      <c r="K34" s="34">
        <v>39873</v>
      </c>
      <c r="L34" s="1">
        <v>1163.3</v>
      </c>
      <c r="M34" s="34">
        <v>39873</v>
      </c>
      <c r="N34" s="1">
        <v>162.19999999999999</v>
      </c>
    </row>
    <row r="35" spans="1:14" x14ac:dyDescent="0.25">
      <c r="A35" s="34">
        <v>39904</v>
      </c>
      <c r="B35" s="1">
        <v>1156.2</v>
      </c>
      <c r="C35" s="34">
        <v>39904</v>
      </c>
      <c r="D35" s="1">
        <v>486</v>
      </c>
      <c r="E35" s="34">
        <v>39904</v>
      </c>
      <c r="F35" s="1">
        <v>10.9</v>
      </c>
      <c r="G35" s="34">
        <v>39904</v>
      </c>
      <c r="H35" s="1">
        <v>-6.5</v>
      </c>
      <c r="I35" s="34">
        <v>39904</v>
      </c>
      <c r="J35" s="1">
        <v>194.5</v>
      </c>
      <c r="K35" s="34">
        <v>39904</v>
      </c>
      <c r="L35" s="1">
        <v>1158.5</v>
      </c>
      <c r="M35" s="34">
        <v>39904</v>
      </c>
      <c r="N35" s="1">
        <v>161.9</v>
      </c>
    </row>
    <row r="36" spans="1:14" x14ac:dyDescent="0.25">
      <c r="A36" s="34">
        <v>39934</v>
      </c>
      <c r="B36" s="1">
        <v>1149.8</v>
      </c>
      <c r="C36" s="34">
        <v>39934</v>
      </c>
      <c r="D36" s="1">
        <v>518</v>
      </c>
      <c r="E36" s="34">
        <v>39934</v>
      </c>
      <c r="F36" s="1">
        <v>11.3</v>
      </c>
      <c r="G36" s="34">
        <v>39934</v>
      </c>
      <c r="H36" s="1">
        <v>-5.39</v>
      </c>
      <c r="I36" s="34">
        <v>39934</v>
      </c>
      <c r="J36" s="1">
        <v>192.02</v>
      </c>
      <c r="K36" s="34">
        <v>39934</v>
      </c>
      <c r="L36" s="1">
        <v>1155.9000000000001</v>
      </c>
      <c r="M36" s="34">
        <v>39934</v>
      </c>
      <c r="N36" s="1">
        <v>161.19999999999999</v>
      </c>
    </row>
    <row r="37" spans="1:14" x14ac:dyDescent="0.25">
      <c r="A37" s="34">
        <v>39965</v>
      </c>
      <c r="B37" s="1">
        <v>1144.0999999999999</v>
      </c>
      <c r="C37" s="34">
        <v>39965</v>
      </c>
      <c r="D37" s="1">
        <v>965</v>
      </c>
      <c r="E37" s="34">
        <v>39965</v>
      </c>
      <c r="F37" s="1">
        <v>11.7</v>
      </c>
      <c r="G37" s="34">
        <v>39965</v>
      </c>
      <c r="H37" s="1">
        <v>-4.57</v>
      </c>
      <c r="I37" s="34">
        <v>39965</v>
      </c>
      <c r="J37" s="1">
        <v>189.85</v>
      </c>
      <c r="K37" s="34">
        <v>39965</v>
      </c>
      <c r="L37" s="1">
        <v>1147.5999999999999</v>
      </c>
      <c r="M37" s="34">
        <v>39965</v>
      </c>
      <c r="N37" s="1">
        <v>155.9</v>
      </c>
    </row>
    <row r="38" spans="1:14" x14ac:dyDescent="0.25">
      <c r="A38" s="34">
        <v>39995</v>
      </c>
      <c r="B38" s="1">
        <v>1136.7</v>
      </c>
      <c r="C38" s="34">
        <v>39995</v>
      </c>
      <c r="D38" s="1">
        <v>593</v>
      </c>
      <c r="E38" s="34">
        <v>39995</v>
      </c>
      <c r="F38" s="1">
        <v>12</v>
      </c>
      <c r="G38" s="34">
        <v>39995</v>
      </c>
      <c r="H38" s="1">
        <v>-3.66</v>
      </c>
      <c r="I38" s="34">
        <v>39995</v>
      </c>
      <c r="J38" s="1">
        <v>187.99</v>
      </c>
      <c r="K38" s="34">
        <v>39995</v>
      </c>
      <c r="L38" s="1">
        <v>1133.5</v>
      </c>
      <c r="M38" s="34">
        <v>39995</v>
      </c>
      <c r="N38" s="1">
        <v>149.69999999999999</v>
      </c>
    </row>
    <row r="39" spans="1:14" x14ac:dyDescent="0.25">
      <c r="A39" s="34">
        <v>40026</v>
      </c>
      <c r="B39" s="1">
        <v>1131.9000000000001</v>
      </c>
      <c r="C39" s="34">
        <v>40026</v>
      </c>
      <c r="D39" s="1">
        <v>834</v>
      </c>
      <c r="E39" s="34">
        <v>40026</v>
      </c>
      <c r="F39" s="1">
        <v>12.4</v>
      </c>
      <c r="G39" s="34">
        <v>40026</v>
      </c>
      <c r="H39" s="1">
        <v>-2.98</v>
      </c>
      <c r="I39" s="34">
        <v>40026</v>
      </c>
      <c r="J39" s="1">
        <v>186.39</v>
      </c>
      <c r="K39" s="34">
        <v>40026</v>
      </c>
      <c r="L39" s="1">
        <v>1128.0999999999999</v>
      </c>
      <c r="M39" s="34">
        <v>40026</v>
      </c>
      <c r="N39" s="1">
        <v>148.19999999999999</v>
      </c>
    </row>
    <row r="40" spans="1:14" x14ac:dyDescent="0.25">
      <c r="A40" s="34">
        <v>40057</v>
      </c>
      <c r="B40" s="1">
        <v>1129.2</v>
      </c>
      <c r="C40" s="34">
        <v>40057</v>
      </c>
      <c r="D40" s="1">
        <v>727</v>
      </c>
      <c r="E40" s="34">
        <v>40057</v>
      </c>
      <c r="F40" s="1">
        <v>12.6</v>
      </c>
      <c r="G40" s="34">
        <v>40057</v>
      </c>
      <c r="H40" s="1">
        <v>-1.94</v>
      </c>
      <c r="I40" s="34">
        <v>40057</v>
      </c>
      <c r="J40" s="1">
        <v>185.06</v>
      </c>
      <c r="K40" s="34">
        <v>40057</v>
      </c>
      <c r="L40" s="1">
        <v>1135.5</v>
      </c>
      <c r="M40" s="34">
        <v>40057</v>
      </c>
      <c r="N40" s="1">
        <v>156.30000000000001</v>
      </c>
    </row>
    <row r="41" spans="1:14" x14ac:dyDescent="0.25">
      <c r="A41" s="34">
        <v>40087</v>
      </c>
      <c r="B41" s="1">
        <v>1126.4000000000001</v>
      </c>
      <c r="C41" s="34">
        <v>40087</v>
      </c>
      <c r="D41" s="1">
        <v>511</v>
      </c>
      <c r="E41" s="34">
        <v>40087</v>
      </c>
      <c r="F41" s="1">
        <v>12.9</v>
      </c>
      <c r="G41" s="34">
        <v>40087</v>
      </c>
      <c r="H41" s="1">
        <v>-2.6</v>
      </c>
      <c r="I41" s="34">
        <v>40087</v>
      </c>
      <c r="J41" s="1">
        <v>183.9</v>
      </c>
      <c r="K41" s="34">
        <v>40087</v>
      </c>
      <c r="L41" s="1">
        <v>1135.5</v>
      </c>
      <c r="M41" s="34">
        <v>40087</v>
      </c>
      <c r="N41" s="1">
        <v>158.1</v>
      </c>
    </row>
    <row r="42" spans="1:14" x14ac:dyDescent="0.25">
      <c r="A42" s="34">
        <v>40118</v>
      </c>
      <c r="B42" s="1">
        <v>1125</v>
      </c>
      <c r="C42" s="34">
        <v>40118</v>
      </c>
      <c r="D42" s="1">
        <v>364</v>
      </c>
      <c r="E42" s="34">
        <v>40118</v>
      </c>
      <c r="F42" s="1">
        <v>13.1</v>
      </c>
      <c r="G42" s="34">
        <v>40118</v>
      </c>
      <c r="H42" s="1">
        <v>-1.91</v>
      </c>
      <c r="I42" s="34">
        <v>40118</v>
      </c>
      <c r="J42" s="1">
        <v>182.88</v>
      </c>
      <c r="K42" s="34">
        <v>40118</v>
      </c>
      <c r="L42" s="1">
        <v>1134.5999999999999</v>
      </c>
      <c r="M42" s="34">
        <v>40118</v>
      </c>
      <c r="N42" s="1">
        <v>157.80000000000001</v>
      </c>
    </row>
    <row r="43" spans="1:14" x14ac:dyDescent="0.25">
      <c r="A43" s="34">
        <v>40148</v>
      </c>
      <c r="B43" s="1">
        <v>1126.5</v>
      </c>
      <c r="C43" s="34">
        <v>40148</v>
      </c>
      <c r="D43" s="1">
        <v>473</v>
      </c>
      <c r="E43" s="34">
        <v>40148</v>
      </c>
      <c r="F43" s="1">
        <v>13.3</v>
      </c>
      <c r="G43" s="34">
        <v>40148</v>
      </c>
      <c r="H43" s="1">
        <v>-1.6</v>
      </c>
      <c r="I43" s="34">
        <v>40148</v>
      </c>
      <c r="J43" s="1">
        <v>181.99</v>
      </c>
      <c r="K43" s="34">
        <v>40148</v>
      </c>
      <c r="L43" s="1">
        <v>1134.0999999999999</v>
      </c>
      <c r="M43" s="34">
        <v>40148</v>
      </c>
      <c r="N43" s="1">
        <v>157.30000000000001</v>
      </c>
    </row>
    <row r="44" spans="1:14" x14ac:dyDescent="0.25">
      <c r="A44" s="34">
        <v>40179</v>
      </c>
      <c r="B44" s="1">
        <v>1120.7</v>
      </c>
      <c r="C44" s="34">
        <v>40179</v>
      </c>
      <c r="D44" s="1">
        <v>573</v>
      </c>
      <c r="E44" s="34">
        <v>40179</v>
      </c>
      <c r="F44" s="1">
        <v>13.4</v>
      </c>
      <c r="G44" s="34">
        <v>40179</v>
      </c>
      <c r="H44" s="1">
        <v>-1.1299999999999999</v>
      </c>
      <c r="I44" s="34">
        <v>40179</v>
      </c>
      <c r="J44" s="1">
        <v>181.24</v>
      </c>
      <c r="K44" s="34">
        <v>40179</v>
      </c>
      <c r="L44" s="1">
        <v>1104.2</v>
      </c>
      <c r="M44" s="34">
        <v>40179</v>
      </c>
      <c r="N44" s="1">
        <v>152.30000000000001</v>
      </c>
    </row>
    <row r="45" spans="1:14" x14ac:dyDescent="0.25">
      <c r="A45" s="34">
        <v>40210</v>
      </c>
      <c r="B45" s="1">
        <v>1118.9000000000001</v>
      </c>
      <c r="C45" s="34">
        <v>40210</v>
      </c>
      <c r="D45" s="1">
        <v>632</v>
      </c>
      <c r="E45" s="34">
        <v>40210</v>
      </c>
      <c r="F45" s="1">
        <v>13.6</v>
      </c>
      <c r="G45" s="34">
        <v>40210</v>
      </c>
      <c r="H45" s="1">
        <v>-0.63</v>
      </c>
      <c r="I45" s="34">
        <v>40210</v>
      </c>
      <c r="J45" s="1">
        <v>180.64</v>
      </c>
      <c r="K45" s="34">
        <v>40210</v>
      </c>
      <c r="L45" s="1">
        <v>1105.7</v>
      </c>
      <c r="M45" s="34">
        <v>40210</v>
      </c>
      <c r="N45" s="1">
        <v>157</v>
      </c>
    </row>
    <row r="46" spans="1:14" x14ac:dyDescent="0.25">
      <c r="A46" s="34">
        <v>40238</v>
      </c>
      <c r="B46" s="1">
        <v>1116.5999999999999</v>
      </c>
      <c r="C46" s="34">
        <v>40238</v>
      </c>
      <c r="D46" s="1">
        <v>864</v>
      </c>
      <c r="E46" s="34">
        <v>40238</v>
      </c>
      <c r="F46" s="1">
        <v>13.6</v>
      </c>
      <c r="G46" s="34">
        <v>40238</v>
      </c>
      <c r="H46" s="1">
        <v>0.47</v>
      </c>
      <c r="I46" s="34">
        <v>40238</v>
      </c>
      <c r="J46" s="1">
        <v>180.25</v>
      </c>
      <c r="K46" s="34">
        <v>40238</v>
      </c>
      <c r="L46" s="1">
        <v>1109</v>
      </c>
      <c r="M46" s="34">
        <v>40238</v>
      </c>
      <c r="N46" s="1">
        <v>157.80000000000001</v>
      </c>
    </row>
    <row r="47" spans="1:14" x14ac:dyDescent="0.25">
      <c r="A47" s="34">
        <v>40269</v>
      </c>
      <c r="B47" s="1">
        <v>1118.4000000000001</v>
      </c>
      <c r="C47" s="34">
        <v>40269</v>
      </c>
      <c r="D47" s="1">
        <v>698</v>
      </c>
      <c r="E47" s="34">
        <v>40269</v>
      </c>
      <c r="F47" s="1">
        <v>13.7</v>
      </c>
      <c r="G47" s="34">
        <v>40269</v>
      </c>
      <c r="H47" s="1">
        <v>-0.27</v>
      </c>
      <c r="I47" s="34">
        <v>40269</v>
      </c>
      <c r="J47" s="1">
        <v>179.97</v>
      </c>
      <c r="K47" s="34">
        <v>40269</v>
      </c>
      <c r="L47" s="1">
        <v>1120.8</v>
      </c>
      <c r="M47" s="34">
        <v>40269</v>
      </c>
      <c r="N47" s="1">
        <v>157.9</v>
      </c>
    </row>
    <row r="48" spans="1:14" x14ac:dyDescent="0.25">
      <c r="A48" s="34">
        <v>40299</v>
      </c>
      <c r="B48" s="1">
        <v>1122.0999999999999</v>
      </c>
      <c r="C48" s="34">
        <v>40299</v>
      </c>
      <c r="D48" s="1">
        <v>501</v>
      </c>
      <c r="E48" s="34">
        <v>40299</v>
      </c>
      <c r="F48" s="1">
        <v>13.7</v>
      </c>
      <c r="G48" s="34">
        <v>40299</v>
      </c>
      <c r="H48" s="1">
        <v>-0.19</v>
      </c>
      <c r="I48" s="34">
        <v>40299</v>
      </c>
      <c r="J48" s="1">
        <v>179.73</v>
      </c>
      <c r="K48" s="34">
        <v>40299</v>
      </c>
      <c r="L48" s="1">
        <v>1128.3</v>
      </c>
      <c r="M48" s="34">
        <v>40299</v>
      </c>
      <c r="N48" s="1">
        <v>161.19999999999999</v>
      </c>
    </row>
    <row r="49" spans="1:14" x14ac:dyDescent="0.25">
      <c r="A49" s="34">
        <v>40330</v>
      </c>
      <c r="B49" s="1">
        <v>1120.7</v>
      </c>
      <c r="C49" s="34">
        <v>40330</v>
      </c>
      <c r="D49" s="1">
        <v>751</v>
      </c>
      <c r="E49" s="34">
        <v>40330</v>
      </c>
      <c r="F49" s="1">
        <v>13.8</v>
      </c>
      <c r="G49" s="34">
        <v>40330</v>
      </c>
      <c r="H49" s="1">
        <v>-0.75</v>
      </c>
      <c r="I49" s="34">
        <v>40330</v>
      </c>
      <c r="J49" s="1">
        <v>179.45</v>
      </c>
      <c r="K49" s="34">
        <v>40330</v>
      </c>
      <c r="L49" s="1">
        <v>1124</v>
      </c>
      <c r="M49" s="34">
        <v>40330</v>
      </c>
      <c r="N49" s="1">
        <v>153.69999999999999</v>
      </c>
    </row>
    <row r="50" spans="1:14" x14ac:dyDescent="0.25">
      <c r="A50" s="34">
        <v>40360</v>
      </c>
      <c r="B50" s="1">
        <v>1119.7</v>
      </c>
      <c r="C50" s="34">
        <v>40360</v>
      </c>
      <c r="D50" s="1">
        <v>455</v>
      </c>
      <c r="E50" s="34">
        <v>40360</v>
      </c>
      <c r="F50" s="1">
        <v>13.8</v>
      </c>
      <c r="G50" s="34">
        <v>40360</v>
      </c>
      <c r="H50" s="1">
        <v>-0.66</v>
      </c>
      <c r="I50" s="34">
        <v>40360</v>
      </c>
      <c r="J50" s="1">
        <v>179.17</v>
      </c>
      <c r="K50" s="34">
        <v>40360</v>
      </c>
      <c r="L50" s="1">
        <v>1116.7</v>
      </c>
      <c r="M50" s="34">
        <v>40360</v>
      </c>
      <c r="N50" s="1">
        <v>147.6</v>
      </c>
    </row>
    <row r="51" spans="1:14" x14ac:dyDescent="0.25">
      <c r="A51" s="34">
        <v>40391</v>
      </c>
      <c r="B51" s="1">
        <v>1117.9000000000001</v>
      </c>
      <c r="C51" s="34">
        <v>40391</v>
      </c>
      <c r="D51" s="1">
        <v>463</v>
      </c>
      <c r="E51" s="34">
        <v>40391</v>
      </c>
      <c r="F51" s="1">
        <v>13.9</v>
      </c>
      <c r="G51" s="34">
        <v>40391</v>
      </c>
      <c r="H51" s="1">
        <v>-1.1200000000000001</v>
      </c>
      <c r="I51" s="34">
        <v>40391</v>
      </c>
      <c r="J51" s="1">
        <v>178.85</v>
      </c>
      <c r="K51" s="34">
        <v>40391</v>
      </c>
      <c r="L51" s="1">
        <v>1114.0999999999999</v>
      </c>
      <c r="M51" s="34">
        <v>40391</v>
      </c>
      <c r="N51" s="1">
        <v>144.80000000000001</v>
      </c>
    </row>
    <row r="52" spans="1:14" x14ac:dyDescent="0.25">
      <c r="A52" s="34">
        <v>40422</v>
      </c>
      <c r="B52" s="1">
        <v>1111.5</v>
      </c>
      <c r="C52" s="34">
        <v>40422</v>
      </c>
      <c r="D52" s="1">
        <v>303</v>
      </c>
      <c r="E52" s="34">
        <v>40422</v>
      </c>
      <c r="F52" s="1">
        <v>13.9</v>
      </c>
      <c r="G52" s="34">
        <v>40422</v>
      </c>
      <c r="H52" s="1">
        <v>-0.51</v>
      </c>
      <c r="I52" s="34">
        <v>40422</v>
      </c>
      <c r="J52" s="1">
        <v>178.57</v>
      </c>
      <c r="K52" s="34">
        <v>40422</v>
      </c>
      <c r="L52" s="1">
        <v>1116</v>
      </c>
      <c r="M52" s="34">
        <v>40422</v>
      </c>
      <c r="N52" s="1">
        <v>151.9</v>
      </c>
    </row>
    <row r="53" spans="1:14" x14ac:dyDescent="0.25">
      <c r="A53" s="34">
        <v>40452</v>
      </c>
      <c r="B53" s="1">
        <v>1114.9000000000001</v>
      </c>
      <c r="C53" s="34">
        <v>40452</v>
      </c>
      <c r="D53" s="1">
        <v>433</v>
      </c>
      <c r="E53" s="34">
        <v>40452</v>
      </c>
      <c r="F53" s="1">
        <v>13.9</v>
      </c>
      <c r="G53" s="34">
        <v>40452</v>
      </c>
      <c r="H53" s="1">
        <v>-0.37</v>
      </c>
      <c r="I53" s="34">
        <v>40452</v>
      </c>
      <c r="J53" s="1">
        <v>178.35</v>
      </c>
      <c r="K53" s="34">
        <v>40452</v>
      </c>
      <c r="L53" s="1">
        <v>1124</v>
      </c>
      <c r="M53" s="34">
        <v>40452</v>
      </c>
      <c r="N53" s="1">
        <v>153.5</v>
      </c>
    </row>
    <row r="54" spans="1:14" x14ac:dyDescent="0.25">
      <c r="A54" s="34">
        <v>40483</v>
      </c>
      <c r="B54" s="1">
        <v>1116.4000000000001</v>
      </c>
      <c r="C54" s="34">
        <v>40483</v>
      </c>
      <c r="D54" s="1">
        <v>240</v>
      </c>
      <c r="E54" s="34">
        <v>40483</v>
      </c>
      <c r="F54" s="1">
        <v>13.9</v>
      </c>
      <c r="G54" s="34">
        <v>40483</v>
      </c>
      <c r="H54" s="1">
        <v>0.09</v>
      </c>
      <c r="I54" s="34">
        <v>40483</v>
      </c>
      <c r="J54" s="1">
        <v>178.21</v>
      </c>
      <c r="K54" s="34">
        <v>40483</v>
      </c>
      <c r="L54" s="1">
        <v>1125.7</v>
      </c>
      <c r="M54" s="34">
        <v>40483</v>
      </c>
      <c r="N54" s="1">
        <v>153.9</v>
      </c>
    </row>
    <row r="55" spans="1:14" x14ac:dyDescent="0.25">
      <c r="A55" s="34">
        <v>40513</v>
      </c>
      <c r="B55" s="1">
        <v>1119.2</v>
      </c>
      <c r="C55" s="34">
        <v>40513</v>
      </c>
      <c r="D55" s="1">
        <v>544</v>
      </c>
      <c r="E55" s="34">
        <v>40513</v>
      </c>
      <c r="F55" s="1">
        <v>13.8</v>
      </c>
      <c r="G55" s="34">
        <v>40513</v>
      </c>
      <c r="H55" s="1">
        <v>0.49</v>
      </c>
      <c r="I55" s="34">
        <v>40513</v>
      </c>
      <c r="J55" s="1">
        <v>178.17</v>
      </c>
      <c r="K55" s="34">
        <v>40513</v>
      </c>
      <c r="L55" s="1">
        <v>1124.7</v>
      </c>
      <c r="M55" s="34">
        <v>40513</v>
      </c>
      <c r="N55" s="1">
        <v>153.80000000000001</v>
      </c>
    </row>
    <row r="56" spans="1:14" x14ac:dyDescent="0.25">
      <c r="A56" s="34">
        <v>40544</v>
      </c>
      <c r="B56" s="1">
        <v>1124</v>
      </c>
      <c r="C56" s="34">
        <v>40544</v>
      </c>
      <c r="D56" s="1">
        <v>643</v>
      </c>
      <c r="E56" s="34">
        <v>40544</v>
      </c>
      <c r="F56" s="1">
        <v>13.7</v>
      </c>
      <c r="G56" s="34">
        <v>40544</v>
      </c>
      <c r="H56" s="1">
        <v>0.55000000000000004</v>
      </c>
      <c r="I56" s="34">
        <v>40544</v>
      </c>
      <c r="J56" s="1">
        <v>178.24</v>
      </c>
      <c r="K56" s="34">
        <v>40544</v>
      </c>
      <c r="L56" s="1">
        <v>1107.0999999999999</v>
      </c>
      <c r="M56" s="34">
        <v>40544</v>
      </c>
      <c r="N56" s="1">
        <v>151.1</v>
      </c>
    </row>
    <row r="57" spans="1:14" x14ac:dyDescent="0.25">
      <c r="A57" s="34">
        <v>40575</v>
      </c>
      <c r="B57" s="1">
        <v>1122.5999999999999</v>
      </c>
      <c r="C57" s="34">
        <v>40575</v>
      </c>
      <c r="D57" s="1">
        <v>312</v>
      </c>
      <c r="E57" s="34">
        <v>40575</v>
      </c>
      <c r="F57" s="1">
        <v>13.5</v>
      </c>
      <c r="G57" s="34">
        <v>40575</v>
      </c>
      <c r="H57" s="1">
        <v>0.52</v>
      </c>
      <c r="I57" s="34">
        <v>40575</v>
      </c>
      <c r="J57" s="1">
        <v>178.34</v>
      </c>
      <c r="K57" s="34">
        <v>40575</v>
      </c>
      <c r="L57" s="1">
        <v>1109.5999999999999</v>
      </c>
      <c r="M57" s="34">
        <v>40575</v>
      </c>
      <c r="N57" s="1">
        <v>154.6</v>
      </c>
    </row>
    <row r="58" spans="1:14" x14ac:dyDescent="0.25">
      <c r="A58" s="34">
        <v>40603</v>
      </c>
      <c r="B58" s="1">
        <v>1122.0999999999999</v>
      </c>
      <c r="C58" s="34">
        <v>40603</v>
      </c>
      <c r="D58" s="1">
        <v>541</v>
      </c>
      <c r="E58" s="34">
        <v>40603</v>
      </c>
      <c r="F58" s="1">
        <v>13.4</v>
      </c>
      <c r="G58" s="34">
        <v>40603</v>
      </c>
      <c r="H58" s="1">
        <v>-0.15</v>
      </c>
      <c r="I58" s="34">
        <v>40603</v>
      </c>
      <c r="J58" s="1">
        <v>178.37</v>
      </c>
      <c r="K58" s="34">
        <v>40603</v>
      </c>
      <c r="L58" s="1">
        <v>1114.7</v>
      </c>
      <c r="M58" s="34">
        <v>40603</v>
      </c>
      <c r="N58" s="1">
        <v>154.4</v>
      </c>
    </row>
    <row r="59" spans="1:14" x14ac:dyDescent="0.25">
      <c r="A59" s="34">
        <v>40634</v>
      </c>
      <c r="B59" s="1">
        <v>1123.5999999999999</v>
      </c>
      <c r="C59" s="34">
        <v>40634</v>
      </c>
      <c r="D59" s="1">
        <v>436</v>
      </c>
      <c r="E59" s="34">
        <v>40634</v>
      </c>
      <c r="F59" s="1">
        <v>13.4</v>
      </c>
      <c r="G59" s="34">
        <v>40634</v>
      </c>
      <c r="H59" s="1">
        <v>-0.47</v>
      </c>
      <c r="I59" s="34">
        <v>40634</v>
      </c>
      <c r="J59" s="1">
        <v>178.32</v>
      </c>
      <c r="K59" s="34">
        <v>40634</v>
      </c>
      <c r="L59" s="1">
        <v>1126.5999999999999</v>
      </c>
      <c r="M59" s="34">
        <v>40634</v>
      </c>
      <c r="N59" s="1">
        <v>154.69999999999999</v>
      </c>
    </row>
    <row r="60" spans="1:14" x14ac:dyDescent="0.25">
      <c r="A60" s="34">
        <v>40664</v>
      </c>
      <c r="B60" s="1">
        <v>1124.0999999999999</v>
      </c>
      <c r="C60" s="34">
        <v>40664</v>
      </c>
      <c r="D60" s="1">
        <v>598</v>
      </c>
      <c r="E60" s="34">
        <v>40664</v>
      </c>
      <c r="F60" s="1">
        <v>13.4</v>
      </c>
      <c r="G60" s="34">
        <v>40664</v>
      </c>
      <c r="H60" s="1">
        <v>-0.66</v>
      </c>
      <c r="I60" s="34">
        <v>40664</v>
      </c>
      <c r="J60" s="1">
        <v>178.17</v>
      </c>
      <c r="K60" s="34">
        <v>40664</v>
      </c>
      <c r="L60" s="1">
        <v>1130.4000000000001</v>
      </c>
      <c r="M60" s="34">
        <v>40664</v>
      </c>
      <c r="N60" s="1">
        <v>154.30000000000001</v>
      </c>
    </row>
    <row r="61" spans="1:14" x14ac:dyDescent="0.25">
      <c r="A61" s="34">
        <v>40695</v>
      </c>
      <c r="B61" s="1">
        <v>1122.2</v>
      </c>
      <c r="C61" s="34">
        <v>40695</v>
      </c>
      <c r="D61" s="1">
        <v>1190</v>
      </c>
      <c r="E61" s="34">
        <v>40695</v>
      </c>
      <c r="F61" s="1">
        <v>13.5</v>
      </c>
      <c r="G61" s="34">
        <v>40695</v>
      </c>
      <c r="H61" s="1">
        <v>-0.21</v>
      </c>
      <c r="I61" s="34">
        <v>40695</v>
      </c>
      <c r="J61" s="1">
        <v>177.98</v>
      </c>
      <c r="K61" s="34">
        <v>40695</v>
      </c>
      <c r="L61" s="1">
        <v>1128.5999999999999</v>
      </c>
      <c r="M61" s="34">
        <v>40695</v>
      </c>
      <c r="N61" s="1">
        <v>147.6</v>
      </c>
    </row>
    <row r="62" spans="1:14" x14ac:dyDescent="0.25">
      <c r="A62" s="34">
        <v>40725</v>
      </c>
      <c r="B62" s="1">
        <v>1125.0999999999999</v>
      </c>
      <c r="C62" s="34">
        <v>40725</v>
      </c>
      <c r="D62" s="1">
        <v>368</v>
      </c>
      <c r="E62" s="34">
        <v>40725</v>
      </c>
      <c r="F62" s="1">
        <v>13.5</v>
      </c>
      <c r="G62" s="34">
        <v>40725</v>
      </c>
      <c r="H62" s="1">
        <v>0.61</v>
      </c>
      <c r="I62" s="34">
        <v>40725</v>
      </c>
      <c r="J62" s="1">
        <v>177.86</v>
      </c>
      <c r="K62" s="34">
        <v>40725</v>
      </c>
      <c r="L62" s="1">
        <v>1122.8</v>
      </c>
      <c r="M62" s="34">
        <v>40725</v>
      </c>
      <c r="N62" s="1">
        <v>142.30000000000001</v>
      </c>
    </row>
    <row r="63" spans="1:14" x14ac:dyDescent="0.25">
      <c r="A63" s="34">
        <v>40756</v>
      </c>
      <c r="B63" s="1">
        <v>1126</v>
      </c>
      <c r="C63" s="34">
        <v>40756</v>
      </c>
      <c r="D63" s="1">
        <v>459</v>
      </c>
      <c r="E63" s="34">
        <v>40756</v>
      </c>
      <c r="F63" s="1">
        <v>13.4</v>
      </c>
      <c r="G63" s="34">
        <v>40756</v>
      </c>
      <c r="H63" s="1">
        <v>0.92</v>
      </c>
      <c r="I63" s="34">
        <v>40756</v>
      </c>
      <c r="J63" s="1">
        <v>177.85</v>
      </c>
      <c r="K63" s="34">
        <v>40756</v>
      </c>
      <c r="L63" s="1">
        <v>1122.4000000000001</v>
      </c>
      <c r="M63" s="34">
        <v>40756</v>
      </c>
      <c r="N63" s="1">
        <v>142.4</v>
      </c>
    </row>
    <row r="64" spans="1:14" x14ac:dyDescent="0.25">
      <c r="A64" s="34">
        <v>40787</v>
      </c>
      <c r="B64" s="1">
        <v>1128.3</v>
      </c>
      <c r="C64" s="34">
        <v>40787</v>
      </c>
      <c r="D64" s="1">
        <v>353</v>
      </c>
      <c r="E64" s="34">
        <v>40787</v>
      </c>
      <c r="F64" s="1">
        <v>13.2</v>
      </c>
      <c r="G64" s="34">
        <v>40787</v>
      </c>
      <c r="H64" s="1">
        <v>1.06</v>
      </c>
      <c r="I64" s="34">
        <v>40787</v>
      </c>
      <c r="J64" s="1">
        <v>177.91</v>
      </c>
      <c r="K64" s="34">
        <v>40787</v>
      </c>
      <c r="L64" s="1">
        <v>1132.3</v>
      </c>
      <c r="M64" s="34">
        <v>40787</v>
      </c>
      <c r="N64" s="1">
        <v>148.6</v>
      </c>
    </row>
    <row r="65" spans="1:14" x14ac:dyDescent="0.25">
      <c r="A65" s="34">
        <v>40817</v>
      </c>
      <c r="B65" s="1">
        <v>1129.0999999999999</v>
      </c>
      <c r="C65" s="34">
        <v>40817</v>
      </c>
      <c r="D65" s="1">
        <v>289</v>
      </c>
      <c r="E65" s="34">
        <v>40817</v>
      </c>
      <c r="F65" s="1">
        <v>13</v>
      </c>
      <c r="G65" s="34">
        <v>40817</v>
      </c>
      <c r="H65" s="1">
        <v>0.69</v>
      </c>
      <c r="I65" s="34">
        <v>40817</v>
      </c>
      <c r="J65" s="1">
        <v>178.01</v>
      </c>
      <c r="K65" s="34">
        <v>40817</v>
      </c>
      <c r="L65" s="1">
        <v>1138</v>
      </c>
      <c r="M65" s="34">
        <v>40817</v>
      </c>
      <c r="N65" s="1">
        <v>150.6</v>
      </c>
    </row>
    <row r="66" spans="1:14" x14ac:dyDescent="0.25">
      <c r="A66" s="34">
        <v>40848</v>
      </c>
      <c r="B66" s="1">
        <v>1130.2</v>
      </c>
      <c r="C66" s="34">
        <v>40848</v>
      </c>
      <c r="D66" s="1">
        <v>360</v>
      </c>
      <c r="E66" s="34">
        <v>40848</v>
      </c>
      <c r="F66" s="1">
        <v>12.7</v>
      </c>
      <c r="G66" s="34">
        <v>40848</v>
      </c>
      <c r="H66" s="1">
        <v>1.19</v>
      </c>
      <c r="I66" s="34">
        <v>40848</v>
      </c>
      <c r="J66" s="1">
        <v>178.17</v>
      </c>
      <c r="K66" s="34">
        <v>40848</v>
      </c>
      <c r="L66" s="1">
        <v>1139.3</v>
      </c>
      <c r="M66" s="34">
        <v>40848</v>
      </c>
      <c r="N66" s="1">
        <v>150.80000000000001</v>
      </c>
    </row>
    <row r="67" spans="1:14" x14ac:dyDescent="0.25">
      <c r="A67" s="34">
        <v>40878</v>
      </c>
      <c r="B67" s="1">
        <v>1131.2</v>
      </c>
      <c r="C67" s="34">
        <v>40878</v>
      </c>
      <c r="D67" s="1">
        <v>505</v>
      </c>
      <c r="E67" s="34">
        <v>40878</v>
      </c>
      <c r="F67" s="1">
        <v>12.4</v>
      </c>
      <c r="G67" s="34">
        <v>40878</v>
      </c>
      <c r="H67" s="1">
        <v>1.35</v>
      </c>
      <c r="I67" s="34">
        <v>40878</v>
      </c>
      <c r="J67" s="1">
        <v>178.41</v>
      </c>
      <c r="K67" s="34">
        <v>40878</v>
      </c>
      <c r="L67" s="1">
        <v>1136.8</v>
      </c>
      <c r="M67" s="34">
        <v>40878</v>
      </c>
      <c r="N67" s="1">
        <v>151.69999999999999</v>
      </c>
    </row>
    <row r="68" spans="1:14" x14ac:dyDescent="0.25">
      <c r="A68" s="34">
        <v>40909</v>
      </c>
      <c r="B68" s="1">
        <v>1136.7</v>
      </c>
      <c r="C68" s="34">
        <v>40909</v>
      </c>
      <c r="D68" s="1">
        <v>428</v>
      </c>
      <c r="E68" s="34">
        <v>40909</v>
      </c>
      <c r="F68" s="1">
        <v>12.1</v>
      </c>
      <c r="G68" s="34">
        <v>40909</v>
      </c>
      <c r="H68" s="1">
        <v>1.28</v>
      </c>
      <c r="I68" s="34">
        <v>40909</v>
      </c>
      <c r="J68" s="1">
        <v>178.7</v>
      </c>
      <c r="K68" s="34">
        <v>40909</v>
      </c>
      <c r="L68" s="1">
        <v>1120.3</v>
      </c>
      <c r="M68" s="34">
        <v>40909</v>
      </c>
      <c r="N68" s="1">
        <v>147</v>
      </c>
    </row>
    <row r="69" spans="1:14" x14ac:dyDescent="0.25">
      <c r="A69" s="34">
        <v>40940</v>
      </c>
      <c r="B69" s="1">
        <v>1136.3</v>
      </c>
      <c r="C69" s="34">
        <v>40940</v>
      </c>
      <c r="D69" s="1">
        <v>557</v>
      </c>
      <c r="E69" s="34">
        <v>40940</v>
      </c>
      <c r="F69" s="1">
        <v>11.9</v>
      </c>
      <c r="G69" s="34">
        <v>40940</v>
      </c>
      <c r="H69" s="1">
        <v>0.47</v>
      </c>
      <c r="I69" s="34">
        <v>40940</v>
      </c>
      <c r="J69" s="1">
        <v>178.92</v>
      </c>
      <c r="K69" s="34">
        <v>40940</v>
      </c>
      <c r="L69" s="1">
        <v>1123.5</v>
      </c>
      <c r="M69" s="34">
        <v>40940</v>
      </c>
      <c r="N69" s="1">
        <v>150.19999999999999</v>
      </c>
    </row>
    <row r="70" spans="1:14" x14ac:dyDescent="0.25">
      <c r="A70" s="34">
        <v>40969</v>
      </c>
      <c r="B70" s="1">
        <v>1138.4000000000001</v>
      </c>
      <c r="C70" s="34">
        <v>40969</v>
      </c>
      <c r="D70" s="1">
        <v>956</v>
      </c>
      <c r="E70" s="34">
        <v>40969</v>
      </c>
      <c r="F70" s="1">
        <v>11.8</v>
      </c>
      <c r="G70" s="34">
        <v>40969</v>
      </c>
      <c r="H70" s="1">
        <v>0.41</v>
      </c>
      <c r="I70" s="34">
        <v>40969</v>
      </c>
      <c r="J70" s="1">
        <v>179.06</v>
      </c>
      <c r="K70" s="34">
        <v>40969</v>
      </c>
      <c r="L70" s="1">
        <v>1131.0999999999999</v>
      </c>
      <c r="M70" s="34">
        <v>40969</v>
      </c>
      <c r="N70" s="1">
        <v>151.80000000000001</v>
      </c>
    </row>
    <row r="71" spans="1:14" x14ac:dyDescent="0.25">
      <c r="A71" s="34">
        <v>41000</v>
      </c>
      <c r="B71" s="1">
        <v>1139.9000000000001</v>
      </c>
      <c r="C71" s="34">
        <v>41000</v>
      </c>
      <c r="D71" s="1">
        <v>767</v>
      </c>
      <c r="E71" s="34">
        <v>41000</v>
      </c>
      <c r="F71" s="1">
        <v>11.8</v>
      </c>
      <c r="G71" s="34">
        <v>41000</v>
      </c>
      <c r="H71" s="1">
        <v>0.89</v>
      </c>
      <c r="I71" s="34">
        <v>41000</v>
      </c>
      <c r="J71" s="1">
        <v>179.18</v>
      </c>
      <c r="K71" s="34">
        <v>41000</v>
      </c>
      <c r="L71" s="1">
        <v>1139.5</v>
      </c>
      <c r="M71" s="34">
        <v>41000</v>
      </c>
      <c r="N71" s="1">
        <v>151.80000000000001</v>
      </c>
    </row>
    <row r="72" spans="1:14" x14ac:dyDescent="0.25">
      <c r="A72" s="34">
        <v>41030</v>
      </c>
      <c r="B72" s="1">
        <v>1141.7</v>
      </c>
      <c r="C72" s="34">
        <v>41030</v>
      </c>
      <c r="D72" s="1">
        <v>792</v>
      </c>
      <c r="E72" s="34">
        <v>41030</v>
      </c>
      <c r="F72" s="1">
        <v>11.7</v>
      </c>
      <c r="G72" s="34">
        <v>41030</v>
      </c>
      <c r="H72" s="1">
        <v>1.31</v>
      </c>
      <c r="I72" s="34">
        <v>41030</v>
      </c>
      <c r="J72" s="1">
        <v>179.35</v>
      </c>
      <c r="K72" s="34">
        <v>41030</v>
      </c>
      <c r="L72" s="1">
        <v>1148.0999999999999</v>
      </c>
      <c r="M72" s="34">
        <v>41030</v>
      </c>
      <c r="N72" s="1">
        <v>152.30000000000001</v>
      </c>
    </row>
    <row r="73" spans="1:14" x14ac:dyDescent="0.25">
      <c r="A73" s="34">
        <v>41061</v>
      </c>
      <c r="B73" s="1">
        <v>1143.8</v>
      </c>
      <c r="C73" s="34">
        <v>41061</v>
      </c>
      <c r="D73" s="1">
        <v>1155</v>
      </c>
      <c r="E73" s="34">
        <v>41061</v>
      </c>
      <c r="F73" s="1">
        <v>11.7</v>
      </c>
      <c r="G73" s="34">
        <v>41061</v>
      </c>
      <c r="H73" s="1">
        <v>0.87</v>
      </c>
      <c r="I73" s="34">
        <v>41061</v>
      </c>
      <c r="J73" s="1">
        <v>179.55</v>
      </c>
      <c r="K73" s="34">
        <v>41061</v>
      </c>
      <c r="L73" s="1">
        <v>1150.0999999999999</v>
      </c>
      <c r="M73" s="34">
        <v>41061</v>
      </c>
      <c r="N73" s="1">
        <v>147.5</v>
      </c>
    </row>
    <row r="74" spans="1:14" x14ac:dyDescent="0.25">
      <c r="A74" s="34">
        <v>41091</v>
      </c>
      <c r="B74" s="1">
        <v>1141.9000000000001</v>
      </c>
      <c r="C74" s="34">
        <v>41091</v>
      </c>
      <c r="D74" s="1">
        <v>751</v>
      </c>
      <c r="E74" s="34">
        <v>41091</v>
      </c>
      <c r="F74" s="1">
        <v>11.6</v>
      </c>
      <c r="G74" s="34">
        <v>41091</v>
      </c>
      <c r="H74" s="1">
        <v>1.69</v>
      </c>
      <c r="I74" s="34">
        <v>41091</v>
      </c>
      <c r="J74" s="1">
        <v>179.82</v>
      </c>
      <c r="K74" s="34">
        <v>41091</v>
      </c>
      <c r="L74" s="1">
        <v>1139.5</v>
      </c>
      <c r="M74" s="34">
        <v>41091</v>
      </c>
      <c r="N74" s="1">
        <v>142.5</v>
      </c>
    </row>
    <row r="75" spans="1:14" x14ac:dyDescent="0.25">
      <c r="A75" s="34">
        <v>41122</v>
      </c>
      <c r="B75" s="1">
        <v>1145.3</v>
      </c>
      <c r="C75" s="34">
        <v>41122</v>
      </c>
      <c r="D75" s="1">
        <v>701</v>
      </c>
      <c r="E75" s="34">
        <v>41122</v>
      </c>
      <c r="F75" s="1">
        <v>11.4</v>
      </c>
      <c r="G75" s="34">
        <v>41122</v>
      </c>
      <c r="H75" s="1">
        <v>2.21</v>
      </c>
      <c r="I75" s="34">
        <v>41122</v>
      </c>
      <c r="J75" s="1">
        <v>180.21</v>
      </c>
      <c r="K75" s="34">
        <v>41122</v>
      </c>
      <c r="L75" s="1">
        <v>1145.3</v>
      </c>
      <c r="M75" s="34">
        <v>41122</v>
      </c>
      <c r="N75" s="1">
        <v>142.19999999999999</v>
      </c>
    </row>
    <row r="76" spans="1:14" x14ac:dyDescent="0.25">
      <c r="A76" s="34">
        <v>41153</v>
      </c>
      <c r="B76" s="1">
        <v>1148.7</v>
      </c>
      <c r="C76" s="34">
        <v>41153</v>
      </c>
      <c r="D76" s="1">
        <v>854</v>
      </c>
      <c r="E76" s="34">
        <v>41153</v>
      </c>
      <c r="F76" s="1">
        <v>11.2</v>
      </c>
      <c r="G76" s="34">
        <v>41153</v>
      </c>
      <c r="H76" s="1">
        <v>1.47</v>
      </c>
      <c r="I76" s="34">
        <v>41153</v>
      </c>
      <c r="J76" s="1">
        <v>180.64</v>
      </c>
      <c r="K76" s="34">
        <v>41153</v>
      </c>
      <c r="L76" s="1">
        <v>1153.7</v>
      </c>
      <c r="M76" s="34">
        <v>41153</v>
      </c>
      <c r="N76" s="1">
        <v>149.80000000000001</v>
      </c>
    </row>
    <row r="77" spans="1:14" x14ac:dyDescent="0.25">
      <c r="A77" s="34">
        <v>41183</v>
      </c>
      <c r="B77" s="1">
        <v>1152</v>
      </c>
      <c r="C77" s="34">
        <v>41183</v>
      </c>
      <c r="D77" s="1">
        <v>698</v>
      </c>
      <c r="E77" s="34">
        <v>41183</v>
      </c>
      <c r="F77" s="1">
        <v>11</v>
      </c>
      <c r="G77" s="34">
        <v>41183</v>
      </c>
      <c r="H77" s="1">
        <v>1.63</v>
      </c>
      <c r="I77" s="34">
        <v>41183</v>
      </c>
      <c r="J77" s="1">
        <v>181.07</v>
      </c>
      <c r="K77" s="34">
        <v>41183</v>
      </c>
      <c r="L77" s="1">
        <v>1160.7</v>
      </c>
      <c r="M77" s="34">
        <v>41183</v>
      </c>
      <c r="N77" s="1">
        <v>151.69999999999999</v>
      </c>
    </row>
    <row r="78" spans="1:14" x14ac:dyDescent="0.25">
      <c r="A78" s="34">
        <v>41214</v>
      </c>
      <c r="B78" s="1">
        <v>1156.5</v>
      </c>
      <c r="C78" s="34">
        <v>41214</v>
      </c>
      <c r="D78" s="1">
        <v>726</v>
      </c>
      <c r="E78" s="34">
        <v>41214</v>
      </c>
      <c r="F78" s="1">
        <v>10.8</v>
      </c>
      <c r="G78" s="34">
        <v>41214</v>
      </c>
      <c r="H78" s="1">
        <v>1.46</v>
      </c>
      <c r="I78" s="34">
        <v>41214</v>
      </c>
      <c r="J78" s="1">
        <v>181.49</v>
      </c>
      <c r="K78" s="34">
        <v>41214</v>
      </c>
      <c r="L78" s="1">
        <v>1165.7</v>
      </c>
      <c r="M78" s="34">
        <v>41214</v>
      </c>
      <c r="N78" s="1">
        <v>152.5</v>
      </c>
    </row>
    <row r="79" spans="1:14" x14ac:dyDescent="0.25">
      <c r="A79" s="34">
        <v>41244</v>
      </c>
      <c r="B79" s="1">
        <v>1153.5999999999999</v>
      </c>
      <c r="C79" s="34">
        <v>41244</v>
      </c>
      <c r="D79" s="1">
        <v>634</v>
      </c>
      <c r="E79" s="34">
        <v>41244</v>
      </c>
      <c r="F79" s="1">
        <v>10.6</v>
      </c>
      <c r="G79" s="34">
        <v>41244</v>
      </c>
      <c r="H79" s="1">
        <v>1.29</v>
      </c>
      <c r="I79" s="34">
        <v>41244</v>
      </c>
      <c r="J79" s="1">
        <v>181.88</v>
      </c>
      <c r="K79" s="34">
        <v>41244</v>
      </c>
      <c r="L79" s="1">
        <v>1160.5</v>
      </c>
      <c r="M79" s="34">
        <v>41244</v>
      </c>
      <c r="N79" s="1">
        <v>153.30000000000001</v>
      </c>
    </row>
    <row r="80" spans="1:14" x14ac:dyDescent="0.25">
      <c r="A80" s="34">
        <v>41275</v>
      </c>
      <c r="B80" s="1">
        <v>1161.7</v>
      </c>
      <c r="C80" s="34">
        <v>41275</v>
      </c>
      <c r="D80" s="1">
        <v>758</v>
      </c>
      <c r="E80" s="34">
        <v>41275</v>
      </c>
      <c r="F80" s="1">
        <v>10.5</v>
      </c>
      <c r="G80" s="34">
        <v>41275</v>
      </c>
      <c r="H80" s="1">
        <v>1.33</v>
      </c>
      <c r="I80" s="34">
        <v>41275</v>
      </c>
      <c r="J80" s="1">
        <v>182.27</v>
      </c>
      <c r="K80" s="34">
        <v>41275</v>
      </c>
      <c r="L80" s="1">
        <v>1145</v>
      </c>
      <c r="M80" s="34">
        <v>41275</v>
      </c>
      <c r="N80" s="1">
        <v>149.5</v>
      </c>
    </row>
    <row r="81" spans="1:14" x14ac:dyDescent="0.25">
      <c r="A81" s="34">
        <v>41306</v>
      </c>
      <c r="B81" s="1">
        <v>1161.7</v>
      </c>
      <c r="C81" s="34">
        <v>41306</v>
      </c>
      <c r="D81" s="1">
        <v>633</v>
      </c>
      <c r="E81" s="34">
        <v>41306</v>
      </c>
      <c r="F81" s="1">
        <v>10.3</v>
      </c>
      <c r="G81" s="34">
        <v>41306</v>
      </c>
      <c r="H81" s="1">
        <v>1.69</v>
      </c>
      <c r="I81" s="34">
        <v>41306</v>
      </c>
      <c r="J81" s="1">
        <v>182.7</v>
      </c>
      <c r="K81" s="34">
        <v>41306</v>
      </c>
      <c r="L81" s="1">
        <v>1148.9000000000001</v>
      </c>
      <c r="M81" s="34">
        <v>41306</v>
      </c>
      <c r="N81" s="1">
        <v>151.9</v>
      </c>
    </row>
    <row r="82" spans="1:14" x14ac:dyDescent="0.25">
      <c r="A82" s="34">
        <v>41334</v>
      </c>
      <c r="B82" s="1">
        <v>1165.3</v>
      </c>
      <c r="C82" s="34">
        <v>41334</v>
      </c>
      <c r="D82" s="1">
        <v>1005</v>
      </c>
      <c r="E82" s="34">
        <v>41334</v>
      </c>
      <c r="F82" s="1">
        <v>10.199999999999999</v>
      </c>
      <c r="G82" s="34">
        <v>41334</v>
      </c>
      <c r="H82" s="1">
        <v>1.38</v>
      </c>
      <c r="I82" s="34">
        <v>41334</v>
      </c>
      <c r="J82" s="1">
        <v>183.14</v>
      </c>
      <c r="K82" s="34">
        <v>41334</v>
      </c>
      <c r="L82" s="1">
        <v>1158.3</v>
      </c>
      <c r="M82" s="34">
        <v>41334</v>
      </c>
      <c r="N82" s="1">
        <v>153.1</v>
      </c>
    </row>
    <row r="83" spans="1:14" x14ac:dyDescent="0.25">
      <c r="A83" s="34">
        <v>41365</v>
      </c>
      <c r="B83" s="1">
        <v>1168.2</v>
      </c>
      <c r="C83" s="34">
        <v>41365</v>
      </c>
      <c r="D83" s="1">
        <v>1128</v>
      </c>
      <c r="E83" s="34">
        <v>41365</v>
      </c>
      <c r="F83" s="1">
        <v>10.1</v>
      </c>
      <c r="G83" s="34">
        <v>41365</v>
      </c>
      <c r="H83" s="1">
        <v>1.21</v>
      </c>
      <c r="I83" s="34">
        <v>41365</v>
      </c>
      <c r="J83" s="1">
        <v>183.54</v>
      </c>
      <c r="K83" s="34">
        <v>41365</v>
      </c>
      <c r="L83" s="1">
        <v>1168.2</v>
      </c>
      <c r="M83" s="34">
        <v>41365</v>
      </c>
      <c r="N83" s="1">
        <v>153.19999999999999</v>
      </c>
    </row>
    <row r="84" spans="1:14" x14ac:dyDescent="0.25">
      <c r="A84" s="34">
        <v>41395</v>
      </c>
      <c r="B84" s="1">
        <v>1169.2</v>
      </c>
      <c r="C84" s="34">
        <v>41395</v>
      </c>
      <c r="D84" s="1">
        <v>1268</v>
      </c>
      <c r="E84" s="34">
        <v>41395</v>
      </c>
      <c r="F84" s="1">
        <v>10.1</v>
      </c>
      <c r="G84" s="34">
        <v>41395</v>
      </c>
      <c r="H84" s="1">
        <v>1.54</v>
      </c>
      <c r="I84" s="34">
        <v>41395</v>
      </c>
      <c r="J84" s="1">
        <v>183.95</v>
      </c>
      <c r="K84" s="34">
        <v>41395</v>
      </c>
      <c r="L84" s="1">
        <v>1176</v>
      </c>
      <c r="M84" s="34">
        <v>41395</v>
      </c>
      <c r="N84" s="1">
        <v>153.5</v>
      </c>
    </row>
    <row r="85" spans="1:14" x14ac:dyDescent="0.25">
      <c r="A85" s="34">
        <v>41426</v>
      </c>
      <c r="B85" s="1">
        <v>1174.2</v>
      </c>
      <c r="C85" s="34">
        <v>41426</v>
      </c>
      <c r="D85" s="1">
        <v>1550</v>
      </c>
      <c r="E85" s="34">
        <v>41426</v>
      </c>
      <c r="F85" s="1">
        <v>10</v>
      </c>
      <c r="G85" s="34">
        <v>41426</v>
      </c>
      <c r="H85" s="1">
        <v>2.15</v>
      </c>
      <c r="I85" s="34">
        <v>41426</v>
      </c>
      <c r="J85" s="1">
        <v>184.43</v>
      </c>
      <c r="K85" s="34">
        <v>41426</v>
      </c>
      <c r="L85" s="1">
        <v>1177.3</v>
      </c>
      <c r="M85" s="34">
        <v>41426</v>
      </c>
      <c r="N85" s="1">
        <v>149.19999999999999</v>
      </c>
    </row>
    <row r="86" spans="1:14" x14ac:dyDescent="0.25">
      <c r="A86" s="34">
        <v>41456</v>
      </c>
      <c r="B86" s="1">
        <v>1172.8</v>
      </c>
      <c r="C86" s="34">
        <v>41456</v>
      </c>
      <c r="D86" s="1">
        <v>700</v>
      </c>
      <c r="E86" s="34">
        <v>41456</v>
      </c>
      <c r="F86" s="1">
        <v>9.9</v>
      </c>
      <c r="G86" s="34">
        <v>41456</v>
      </c>
      <c r="H86" s="1">
        <v>2.0099999999999998</v>
      </c>
      <c r="I86" s="34">
        <v>41456</v>
      </c>
      <c r="J86" s="1">
        <v>184.98</v>
      </c>
      <c r="K86" s="34">
        <v>41456</v>
      </c>
      <c r="L86" s="1">
        <v>1170.3</v>
      </c>
      <c r="M86" s="34">
        <v>41456</v>
      </c>
      <c r="N86" s="1">
        <v>142.6</v>
      </c>
    </row>
    <row r="87" spans="1:14" x14ac:dyDescent="0.25">
      <c r="A87" s="34">
        <v>41487</v>
      </c>
      <c r="B87" s="1">
        <v>1179.4000000000001</v>
      </c>
      <c r="C87" s="34">
        <v>41487</v>
      </c>
      <c r="D87" s="1">
        <v>1315</v>
      </c>
      <c r="E87" s="34">
        <v>41487</v>
      </c>
      <c r="F87" s="1">
        <v>9.8000000000000007</v>
      </c>
      <c r="G87" s="34">
        <v>41487</v>
      </c>
      <c r="H87" s="1">
        <v>2.02</v>
      </c>
      <c r="I87" s="34">
        <v>41487</v>
      </c>
      <c r="J87" s="1">
        <v>185.59</v>
      </c>
      <c r="K87" s="34">
        <v>41487</v>
      </c>
      <c r="L87" s="1">
        <v>1179.5</v>
      </c>
      <c r="M87" s="34">
        <v>41487</v>
      </c>
      <c r="N87" s="1">
        <v>145.5</v>
      </c>
    </row>
    <row r="88" spans="1:14" x14ac:dyDescent="0.25">
      <c r="A88" s="34">
        <v>41518</v>
      </c>
      <c r="B88" s="1">
        <v>1179.7</v>
      </c>
      <c r="C88" s="34">
        <v>41518</v>
      </c>
      <c r="D88" s="1">
        <v>815</v>
      </c>
      <c r="E88" s="34">
        <v>41518</v>
      </c>
      <c r="F88" s="1">
        <v>9.6</v>
      </c>
      <c r="G88" s="34">
        <v>41518</v>
      </c>
      <c r="H88" s="1">
        <v>2.36</v>
      </c>
      <c r="I88" s="34">
        <v>41518</v>
      </c>
      <c r="J88" s="1">
        <v>186.24</v>
      </c>
      <c r="K88" s="34">
        <v>41518</v>
      </c>
      <c r="L88" s="1">
        <v>1184.7</v>
      </c>
      <c r="M88" s="34">
        <v>41518</v>
      </c>
      <c r="N88" s="1">
        <v>151.80000000000001</v>
      </c>
    </row>
    <row r="89" spans="1:14" x14ac:dyDescent="0.25">
      <c r="A89" s="34">
        <v>41548</v>
      </c>
      <c r="B89" s="1">
        <v>1185.4000000000001</v>
      </c>
      <c r="C89" s="34">
        <v>41548</v>
      </c>
      <c r="D89" s="1">
        <v>794</v>
      </c>
      <c r="E89" s="34">
        <v>41548</v>
      </c>
      <c r="F89" s="1">
        <v>9.4</v>
      </c>
      <c r="G89" s="34">
        <v>41548</v>
      </c>
      <c r="H89" s="1">
        <v>2.7</v>
      </c>
      <c r="I89" s="34">
        <v>41548</v>
      </c>
      <c r="J89" s="1">
        <v>186.98</v>
      </c>
      <c r="K89" s="34">
        <v>41548</v>
      </c>
      <c r="L89" s="1">
        <v>1193.7</v>
      </c>
      <c r="M89" s="34">
        <v>41548</v>
      </c>
      <c r="N89" s="1">
        <v>153.30000000000001</v>
      </c>
    </row>
    <row r="90" spans="1:14" x14ac:dyDescent="0.25">
      <c r="A90" s="34">
        <v>41579</v>
      </c>
      <c r="B90" s="1">
        <v>1189.7</v>
      </c>
      <c r="C90" s="34">
        <v>41579</v>
      </c>
      <c r="D90" s="1">
        <v>658</v>
      </c>
      <c r="E90" s="34">
        <v>41579</v>
      </c>
      <c r="F90" s="1">
        <v>9.1</v>
      </c>
      <c r="G90" s="34">
        <v>41579</v>
      </c>
      <c r="H90" s="1">
        <v>2.33</v>
      </c>
      <c r="I90" s="34">
        <v>41579</v>
      </c>
      <c r="J90" s="1">
        <v>187.74</v>
      </c>
      <c r="K90" s="34">
        <v>41579</v>
      </c>
      <c r="L90" s="1">
        <v>1203.2</v>
      </c>
      <c r="M90" s="34">
        <v>41579</v>
      </c>
      <c r="N90" s="1">
        <v>153.5</v>
      </c>
    </row>
    <row r="91" spans="1:14" x14ac:dyDescent="0.25">
      <c r="A91" s="34">
        <v>41609</v>
      </c>
      <c r="B91" s="1">
        <v>1193.0999999999999</v>
      </c>
      <c r="C91" s="34">
        <v>41609</v>
      </c>
      <c r="D91" s="1">
        <v>591</v>
      </c>
      <c r="E91" s="34">
        <v>41609</v>
      </c>
      <c r="F91" s="1">
        <v>9</v>
      </c>
      <c r="G91" s="34">
        <v>41609</v>
      </c>
      <c r="H91" s="1">
        <v>1.93</v>
      </c>
      <c r="I91" s="34">
        <v>41609</v>
      </c>
      <c r="J91" s="1">
        <v>188.46</v>
      </c>
      <c r="K91" s="34">
        <v>41609</v>
      </c>
      <c r="L91" s="1">
        <v>1203.0999999999999</v>
      </c>
      <c r="M91" s="34">
        <v>41609</v>
      </c>
      <c r="N91" s="1">
        <v>154.19999999999999</v>
      </c>
    </row>
    <row r="92" spans="1:14" x14ac:dyDescent="0.25">
      <c r="A92" s="34">
        <v>41640</v>
      </c>
      <c r="B92" s="1">
        <v>1200</v>
      </c>
      <c r="C92" s="34">
        <v>41640</v>
      </c>
      <c r="D92" s="1">
        <v>676</v>
      </c>
      <c r="E92" s="34">
        <v>41640</v>
      </c>
      <c r="F92" s="1">
        <v>8.6999999999999993</v>
      </c>
      <c r="G92" s="34">
        <v>41640</v>
      </c>
      <c r="H92" s="1">
        <v>2.1</v>
      </c>
      <c r="I92" s="34">
        <v>41640</v>
      </c>
      <c r="J92" s="1">
        <v>189.13</v>
      </c>
      <c r="K92" s="34">
        <v>41640</v>
      </c>
      <c r="L92" s="1">
        <v>1184.4000000000001</v>
      </c>
      <c r="M92" s="34">
        <v>41640</v>
      </c>
      <c r="N92" s="1">
        <v>148.30000000000001</v>
      </c>
    </row>
    <row r="93" spans="1:14" x14ac:dyDescent="0.25">
      <c r="A93" s="34">
        <v>41671</v>
      </c>
      <c r="B93" s="1">
        <v>1205.4000000000001</v>
      </c>
      <c r="C93" s="34">
        <v>41671</v>
      </c>
      <c r="D93" s="1">
        <v>918</v>
      </c>
      <c r="E93" s="34">
        <v>41671</v>
      </c>
      <c r="F93" s="1">
        <v>8.5</v>
      </c>
      <c r="G93" s="34">
        <v>41671</v>
      </c>
      <c r="H93" s="1">
        <v>1.04</v>
      </c>
      <c r="I93" s="34">
        <v>41671</v>
      </c>
      <c r="J93" s="1">
        <v>189.69</v>
      </c>
      <c r="K93" s="34">
        <v>41671</v>
      </c>
      <c r="L93" s="1">
        <v>1194.7</v>
      </c>
      <c r="M93" s="34">
        <v>41671</v>
      </c>
      <c r="N93" s="1">
        <v>154.1</v>
      </c>
    </row>
    <row r="94" spans="1:14" x14ac:dyDescent="0.25">
      <c r="A94" s="34">
        <v>41699</v>
      </c>
      <c r="B94" s="1">
        <v>1209.9000000000001</v>
      </c>
      <c r="C94" s="34">
        <v>41699</v>
      </c>
      <c r="D94" s="1">
        <v>1100</v>
      </c>
      <c r="E94" s="34">
        <v>41699</v>
      </c>
      <c r="F94" s="1">
        <v>8.5</v>
      </c>
      <c r="G94" s="34">
        <v>41699</v>
      </c>
      <c r="H94" s="1">
        <v>1.29</v>
      </c>
      <c r="I94" s="34">
        <v>41699</v>
      </c>
      <c r="J94" s="1">
        <v>190.15</v>
      </c>
      <c r="K94" s="34">
        <v>41699</v>
      </c>
      <c r="L94" s="1">
        <v>1205.3</v>
      </c>
      <c r="M94" s="34">
        <v>41699</v>
      </c>
      <c r="N94" s="1">
        <v>155</v>
      </c>
    </row>
    <row r="95" spans="1:14" x14ac:dyDescent="0.25">
      <c r="A95" s="34">
        <v>41730</v>
      </c>
      <c r="B95" s="1">
        <v>1212.5999999999999</v>
      </c>
      <c r="C95" s="34">
        <v>41730</v>
      </c>
      <c r="D95" s="1">
        <v>1194</v>
      </c>
      <c r="E95" s="34">
        <v>41730</v>
      </c>
      <c r="F95" s="1">
        <v>8</v>
      </c>
      <c r="G95" s="34">
        <v>41730</v>
      </c>
      <c r="H95" s="1">
        <v>2.63</v>
      </c>
      <c r="I95" s="34">
        <v>41730</v>
      </c>
      <c r="J95" s="1">
        <v>190.71</v>
      </c>
      <c r="K95" s="34">
        <v>41730</v>
      </c>
      <c r="L95" s="1">
        <v>1211.5</v>
      </c>
      <c r="M95" s="34">
        <v>41730</v>
      </c>
      <c r="N95" s="1">
        <v>153.9</v>
      </c>
    </row>
    <row r="96" spans="1:14" x14ac:dyDescent="0.25">
      <c r="A96" s="34">
        <v>41760</v>
      </c>
      <c r="B96" s="1">
        <v>1215.0999999999999</v>
      </c>
      <c r="C96" s="34">
        <v>41760</v>
      </c>
      <c r="D96" s="1">
        <v>1145</v>
      </c>
      <c r="E96" s="34">
        <v>41760</v>
      </c>
      <c r="F96" s="1">
        <v>7.9</v>
      </c>
      <c r="G96" s="34">
        <v>41760</v>
      </c>
      <c r="H96" s="1">
        <v>0.16</v>
      </c>
      <c r="I96" s="34">
        <v>41760</v>
      </c>
      <c r="J96" s="1">
        <v>191.15</v>
      </c>
      <c r="K96" s="34">
        <v>41760</v>
      </c>
      <c r="L96" s="1">
        <v>1219.9000000000001</v>
      </c>
      <c r="M96" s="34">
        <v>41760</v>
      </c>
      <c r="N96" s="1">
        <v>155.80000000000001</v>
      </c>
    </row>
    <row r="97" spans="1:14" x14ac:dyDescent="0.25">
      <c r="A97" s="34">
        <v>41791</v>
      </c>
      <c r="B97" s="1">
        <v>1217.5999999999999</v>
      </c>
      <c r="C97" s="34">
        <v>41791</v>
      </c>
      <c r="D97" s="1">
        <v>1076</v>
      </c>
      <c r="E97" s="34">
        <v>41791</v>
      </c>
      <c r="F97" s="1">
        <v>7.7</v>
      </c>
      <c r="G97" s="34">
        <v>41791</v>
      </c>
      <c r="H97" s="1">
        <v>0.15</v>
      </c>
      <c r="I97" s="34">
        <v>41791</v>
      </c>
      <c r="J97" s="1">
        <v>191.39</v>
      </c>
      <c r="K97" s="34">
        <v>41791</v>
      </c>
      <c r="L97" s="1">
        <v>1218.7</v>
      </c>
      <c r="M97" s="34">
        <v>41791</v>
      </c>
      <c r="N97" s="1">
        <v>148.19999999999999</v>
      </c>
    </row>
    <row r="98" spans="1:14" x14ac:dyDescent="0.25">
      <c r="A98" s="34">
        <v>41821</v>
      </c>
      <c r="B98" s="1">
        <v>1220.3</v>
      </c>
      <c r="C98" s="34">
        <v>41821</v>
      </c>
      <c r="D98" s="1">
        <v>1487</v>
      </c>
      <c r="E98" s="34">
        <v>41821</v>
      </c>
      <c r="F98" s="1">
        <v>7.7</v>
      </c>
      <c r="G98" s="34">
        <v>41821</v>
      </c>
      <c r="H98" s="1">
        <v>0.43</v>
      </c>
      <c r="I98" s="34">
        <v>41821</v>
      </c>
      <c r="J98" s="1">
        <v>191.49</v>
      </c>
      <c r="K98" s="34">
        <v>41821</v>
      </c>
      <c r="L98" s="1">
        <v>1211.7</v>
      </c>
      <c r="M98" s="34">
        <v>41821</v>
      </c>
      <c r="N98" s="1">
        <v>144</v>
      </c>
    </row>
    <row r="99" spans="1:14" x14ac:dyDescent="0.25">
      <c r="A99" s="34">
        <v>41852</v>
      </c>
      <c r="B99" s="1">
        <v>1219.7</v>
      </c>
      <c r="C99" s="34">
        <v>41852</v>
      </c>
      <c r="D99" s="1">
        <v>1230</v>
      </c>
      <c r="E99" s="34">
        <v>41852</v>
      </c>
      <c r="F99" s="1">
        <v>7.6</v>
      </c>
      <c r="G99" s="34">
        <v>41852</v>
      </c>
      <c r="H99" s="1">
        <v>1.45</v>
      </c>
      <c r="I99" s="34">
        <v>41852</v>
      </c>
      <c r="J99" s="1">
        <v>191.65</v>
      </c>
      <c r="K99" s="34">
        <v>41852</v>
      </c>
      <c r="L99" s="1">
        <v>1215.5999999999999</v>
      </c>
      <c r="M99" s="34">
        <v>41852</v>
      </c>
      <c r="N99" s="1">
        <v>144.4</v>
      </c>
    </row>
    <row r="100" spans="1:14" x14ac:dyDescent="0.25">
      <c r="A100" s="34">
        <v>41883</v>
      </c>
      <c r="B100" s="1">
        <v>1221.3</v>
      </c>
      <c r="C100" s="34">
        <v>41883</v>
      </c>
      <c r="D100" s="1">
        <v>1163</v>
      </c>
      <c r="E100" s="34">
        <v>41883</v>
      </c>
      <c r="F100" s="1">
        <v>7.3</v>
      </c>
      <c r="G100" s="34">
        <v>41883</v>
      </c>
      <c r="H100" s="1">
        <v>1.28</v>
      </c>
      <c r="I100" s="34">
        <v>41883</v>
      </c>
      <c r="J100" s="1">
        <v>191.9</v>
      </c>
      <c r="K100" s="34">
        <v>41883</v>
      </c>
      <c r="L100" s="1">
        <v>1225.8</v>
      </c>
      <c r="M100" s="34">
        <v>41883</v>
      </c>
      <c r="N100" s="1">
        <v>153.30000000000001</v>
      </c>
    </row>
    <row r="101" spans="1:14" x14ac:dyDescent="0.25">
      <c r="A101" s="34">
        <v>41913</v>
      </c>
      <c r="B101" s="1">
        <v>1214.4000000000001</v>
      </c>
      <c r="C101" s="34">
        <v>41913</v>
      </c>
      <c r="D101" s="1">
        <v>1150</v>
      </c>
      <c r="E101" s="34">
        <v>41913</v>
      </c>
      <c r="F101" s="1">
        <v>7.1</v>
      </c>
      <c r="G101" s="34">
        <v>41913</v>
      </c>
      <c r="H101" s="1">
        <v>0.32</v>
      </c>
      <c r="I101" s="34">
        <v>41913</v>
      </c>
      <c r="J101" s="1">
        <v>192.1</v>
      </c>
      <c r="K101" s="34">
        <v>41913</v>
      </c>
      <c r="L101" s="1">
        <v>1227.2</v>
      </c>
      <c r="M101" s="34">
        <v>41913</v>
      </c>
      <c r="N101" s="1">
        <v>154.6</v>
      </c>
    </row>
    <row r="102" spans="1:14" x14ac:dyDescent="0.25">
      <c r="A102" s="34">
        <v>41944</v>
      </c>
      <c r="B102" s="1">
        <v>1217.9000000000001</v>
      </c>
      <c r="C102" s="34">
        <v>41944</v>
      </c>
      <c r="D102" s="1">
        <v>1158</v>
      </c>
      <c r="E102" s="34">
        <v>41944</v>
      </c>
      <c r="F102" s="1">
        <v>6.9</v>
      </c>
      <c r="G102" s="34">
        <v>41944</v>
      </c>
      <c r="H102" s="1">
        <v>0.53</v>
      </c>
      <c r="I102" s="34">
        <v>41944</v>
      </c>
      <c r="J102" s="1">
        <v>192.23</v>
      </c>
      <c r="K102" s="34">
        <v>41944</v>
      </c>
      <c r="L102" s="1">
        <v>1231.7</v>
      </c>
      <c r="M102" s="34">
        <v>41944</v>
      </c>
      <c r="N102" s="1">
        <v>154.6</v>
      </c>
    </row>
    <row r="103" spans="1:14" x14ac:dyDescent="0.25">
      <c r="A103" s="34">
        <v>41974</v>
      </c>
      <c r="B103" s="1">
        <v>1220.4000000000001</v>
      </c>
      <c r="E103" s="34">
        <v>41974</v>
      </c>
      <c r="F103" s="1">
        <v>6.8</v>
      </c>
      <c r="K103" s="34">
        <v>41974</v>
      </c>
      <c r="L103" s="1">
        <v>1230.8</v>
      </c>
      <c r="M103" s="34">
        <v>41974</v>
      </c>
      <c r="N103" s="1">
        <v>155.6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P103"/>
  <sheetViews>
    <sheetView topLeftCell="A77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243</v>
      </c>
      <c r="C1" s="34" t="s">
        <v>244</v>
      </c>
      <c r="E1" s="34" t="s">
        <v>245</v>
      </c>
      <c r="G1" s="34" t="s">
        <v>246</v>
      </c>
      <c r="I1" s="34" t="s">
        <v>247</v>
      </c>
      <c r="K1" s="34" t="str">
        <f>CONCATENATE(LEFT(A1,2), "NAN")</f>
        <v>NYNAN</v>
      </c>
      <c r="M1" s="34" t="str">
        <f>CONCATENATE(LEFT(A1,2), "GOVTN")</f>
        <v>NYGOVTN</v>
      </c>
      <c r="O1" s="34" t="str">
        <f>CONCATENATE(LEFT($A$1,2), "RGSP")</f>
        <v>NYRGSP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912</v>
      </c>
      <c r="C5" s="35" t="s">
        <v>383</v>
      </c>
      <c r="E5" s="35" t="s">
        <v>384</v>
      </c>
      <c r="G5" s="35" t="s">
        <v>385</v>
      </c>
      <c r="I5" s="35" t="s">
        <v>386</v>
      </c>
      <c r="K5" s="35" t="s">
        <v>912</v>
      </c>
      <c r="M5" s="35" t="s">
        <v>913</v>
      </c>
      <c r="O5" s="35" t="s">
        <v>786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8688.9</v>
      </c>
      <c r="C8" s="34">
        <v>39083</v>
      </c>
      <c r="D8" s="1">
        <v>4133</v>
      </c>
      <c r="E8" s="34">
        <v>39083</v>
      </c>
      <c r="F8" s="1">
        <v>4.3</v>
      </c>
      <c r="G8" s="34">
        <v>39083</v>
      </c>
      <c r="H8" s="1">
        <v>0.83</v>
      </c>
      <c r="I8" s="34">
        <v>39083</v>
      </c>
      <c r="J8" s="1">
        <v>135.03</v>
      </c>
      <c r="K8" s="34">
        <v>39083</v>
      </c>
      <c r="L8" s="1">
        <v>8522.7000000000007</v>
      </c>
      <c r="M8" s="34">
        <v>39083</v>
      </c>
      <c r="N8" s="1">
        <v>1489.5</v>
      </c>
      <c r="O8" s="34">
        <v>39083</v>
      </c>
      <c r="P8" s="1">
        <v>1158678</v>
      </c>
    </row>
    <row r="9" spans="1:16" x14ac:dyDescent="0.25">
      <c r="A9" s="34">
        <v>39114</v>
      </c>
      <c r="B9" s="1">
        <v>8691.9</v>
      </c>
      <c r="C9" s="34">
        <v>39114</v>
      </c>
      <c r="D9" s="1">
        <v>2741</v>
      </c>
      <c r="E9" s="34">
        <v>39114</v>
      </c>
      <c r="F9" s="1">
        <v>4.3</v>
      </c>
      <c r="G9" s="34">
        <v>39114</v>
      </c>
      <c r="H9" s="1">
        <v>0.6</v>
      </c>
      <c r="I9" s="34">
        <v>39114</v>
      </c>
      <c r="J9" s="1">
        <v>135.34</v>
      </c>
      <c r="K9" s="34">
        <v>39114</v>
      </c>
      <c r="L9" s="1">
        <v>8561.2999999999993</v>
      </c>
      <c r="M9" s="34">
        <v>39114</v>
      </c>
      <c r="N9" s="1">
        <v>1509</v>
      </c>
      <c r="O9" s="34">
        <v>39448</v>
      </c>
      <c r="P9" s="1">
        <v>1138182</v>
      </c>
    </row>
    <row r="10" spans="1:16" x14ac:dyDescent="0.25">
      <c r="A10" s="34">
        <v>39142</v>
      </c>
      <c r="B10" s="1">
        <v>8703.7000000000007</v>
      </c>
      <c r="C10" s="34">
        <v>39142</v>
      </c>
      <c r="D10" s="1">
        <v>5311</v>
      </c>
      <c r="E10" s="34">
        <v>39142</v>
      </c>
      <c r="F10" s="1">
        <v>4.3</v>
      </c>
      <c r="G10" s="34">
        <v>39142</v>
      </c>
      <c r="H10" s="1">
        <v>0.62</v>
      </c>
      <c r="I10" s="34">
        <v>39142</v>
      </c>
      <c r="J10" s="1">
        <v>135.6</v>
      </c>
      <c r="K10" s="34">
        <v>39142</v>
      </c>
      <c r="L10" s="1">
        <v>8617.7000000000007</v>
      </c>
      <c r="M10" s="34">
        <v>39142</v>
      </c>
      <c r="N10" s="1">
        <v>1511.1</v>
      </c>
      <c r="O10" s="34">
        <v>39814</v>
      </c>
      <c r="P10" s="1">
        <v>1151659</v>
      </c>
    </row>
    <row r="11" spans="1:16" x14ac:dyDescent="0.25">
      <c r="A11" s="34">
        <v>39173</v>
      </c>
      <c r="B11" s="1">
        <v>8695.2000000000007</v>
      </c>
      <c r="C11" s="34">
        <v>39173</v>
      </c>
      <c r="D11" s="1">
        <v>4748</v>
      </c>
      <c r="E11" s="34">
        <v>39173</v>
      </c>
      <c r="F11" s="1">
        <v>4.4000000000000004</v>
      </c>
      <c r="G11" s="34">
        <v>39173</v>
      </c>
      <c r="H11" s="1">
        <v>0.48</v>
      </c>
      <c r="I11" s="34">
        <v>39173</v>
      </c>
      <c r="J11" s="1">
        <v>135.81</v>
      </c>
      <c r="K11" s="34">
        <v>39173</v>
      </c>
      <c r="L11" s="1">
        <v>8653.4</v>
      </c>
      <c r="M11" s="34">
        <v>39173</v>
      </c>
      <c r="N11" s="1">
        <v>1509.3</v>
      </c>
      <c r="O11" s="34">
        <v>40179</v>
      </c>
      <c r="P11" s="1">
        <v>1182857</v>
      </c>
    </row>
    <row r="12" spans="1:16" x14ac:dyDescent="0.25">
      <c r="A12" s="34">
        <v>39203</v>
      </c>
      <c r="B12" s="1">
        <v>8709.7000000000007</v>
      </c>
      <c r="C12" s="34">
        <v>39203</v>
      </c>
      <c r="D12" s="1">
        <v>4720</v>
      </c>
      <c r="E12" s="34">
        <v>39203</v>
      </c>
      <c r="F12" s="1">
        <v>4.5</v>
      </c>
      <c r="G12" s="34">
        <v>39203</v>
      </c>
      <c r="H12" s="1">
        <v>0.75</v>
      </c>
      <c r="I12" s="34">
        <v>39203</v>
      </c>
      <c r="J12" s="1">
        <v>135.97999999999999</v>
      </c>
      <c r="K12" s="34">
        <v>39203</v>
      </c>
      <c r="L12" s="1">
        <v>8750.7000000000007</v>
      </c>
      <c r="M12" s="34">
        <v>39203</v>
      </c>
      <c r="N12" s="1">
        <v>1517.7</v>
      </c>
      <c r="O12" s="34">
        <v>40544</v>
      </c>
      <c r="P12" s="1">
        <v>1197378</v>
      </c>
    </row>
    <row r="13" spans="1:16" x14ac:dyDescent="0.25">
      <c r="A13" s="34">
        <v>39234</v>
      </c>
      <c r="B13" s="1">
        <v>8722.7000000000007</v>
      </c>
      <c r="C13" s="34">
        <v>39234</v>
      </c>
      <c r="D13" s="1">
        <v>6179</v>
      </c>
      <c r="E13" s="34">
        <v>39234</v>
      </c>
      <c r="F13" s="1">
        <v>4.5999999999999996</v>
      </c>
      <c r="G13" s="34">
        <v>39234</v>
      </c>
      <c r="H13" s="1">
        <v>0.9</v>
      </c>
      <c r="I13" s="34">
        <v>39234</v>
      </c>
      <c r="J13" s="1">
        <v>136.15</v>
      </c>
      <c r="K13" s="34">
        <v>39234</v>
      </c>
      <c r="L13" s="1">
        <v>8815.6</v>
      </c>
      <c r="M13" s="34">
        <v>39234</v>
      </c>
      <c r="N13" s="1">
        <v>1517</v>
      </c>
      <c r="O13" s="34">
        <v>40909</v>
      </c>
      <c r="P13" s="1">
        <v>1217512</v>
      </c>
    </row>
    <row r="14" spans="1:16" x14ac:dyDescent="0.25">
      <c r="A14" s="34">
        <v>39264</v>
      </c>
      <c r="B14" s="1">
        <v>8725</v>
      </c>
      <c r="C14" s="34">
        <v>39264</v>
      </c>
      <c r="D14" s="1">
        <v>5805</v>
      </c>
      <c r="E14" s="34">
        <v>39264</v>
      </c>
      <c r="F14" s="1">
        <v>4.7</v>
      </c>
      <c r="G14" s="34">
        <v>39264</v>
      </c>
      <c r="H14" s="1">
        <v>1.05</v>
      </c>
      <c r="I14" s="34">
        <v>39264</v>
      </c>
      <c r="J14" s="1">
        <v>136.34</v>
      </c>
      <c r="K14" s="34">
        <v>39264</v>
      </c>
      <c r="L14" s="1">
        <v>8722.2000000000007</v>
      </c>
      <c r="M14" s="34">
        <v>39264</v>
      </c>
      <c r="N14" s="1">
        <v>1466.6</v>
      </c>
      <c r="O14" s="34">
        <v>41275</v>
      </c>
      <c r="P14" s="1">
        <v>1226619</v>
      </c>
    </row>
    <row r="15" spans="1:16" x14ac:dyDescent="0.25">
      <c r="A15" s="34">
        <v>39295</v>
      </c>
      <c r="B15" s="1">
        <v>8721.2999999999993</v>
      </c>
      <c r="C15" s="34">
        <v>39295</v>
      </c>
      <c r="D15" s="1">
        <v>4242</v>
      </c>
      <c r="E15" s="34">
        <v>39295</v>
      </c>
      <c r="F15" s="1">
        <v>4.7</v>
      </c>
      <c r="G15" s="34">
        <v>39295</v>
      </c>
      <c r="H15" s="1">
        <v>1.34</v>
      </c>
      <c r="I15" s="34">
        <v>39295</v>
      </c>
      <c r="J15" s="1">
        <v>136.57</v>
      </c>
      <c r="K15" s="34">
        <v>39295</v>
      </c>
      <c r="L15" s="1">
        <v>8692.1</v>
      </c>
      <c r="M15" s="34">
        <v>39295</v>
      </c>
      <c r="N15" s="1">
        <v>1450.3</v>
      </c>
    </row>
    <row r="16" spans="1:16" x14ac:dyDescent="0.25">
      <c r="A16" s="34">
        <v>39326</v>
      </c>
      <c r="B16" s="1">
        <v>8725.2000000000007</v>
      </c>
      <c r="C16" s="34">
        <v>39326</v>
      </c>
      <c r="D16" s="1">
        <v>4126</v>
      </c>
      <c r="E16" s="34">
        <v>39326</v>
      </c>
      <c r="F16" s="1">
        <v>4.7</v>
      </c>
      <c r="G16" s="34">
        <v>39326</v>
      </c>
      <c r="H16" s="1">
        <v>1.41</v>
      </c>
      <c r="I16" s="34">
        <v>39326</v>
      </c>
      <c r="J16" s="1">
        <v>136.85</v>
      </c>
      <c r="K16" s="34">
        <v>39326</v>
      </c>
      <c r="L16" s="1">
        <v>8729</v>
      </c>
      <c r="M16" s="34">
        <v>39326</v>
      </c>
      <c r="N16" s="1">
        <v>1474.9</v>
      </c>
    </row>
    <row r="17" spans="1:14" x14ac:dyDescent="0.25">
      <c r="A17" s="34">
        <v>39356</v>
      </c>
      <c r="B17" s="1">
        <v>8754.1</v>
      </c>
      <c r="C17" s="34">
        <v>39356</v>
      </c>
      <c r="D17" s="1">
        <v>5538</v>
      </c>
      <c r="E17" s="34">
        <v>39356</v>
      </c>
      <c r="F17" s="1">
        <v>4.7</v>
      </c>
      <c r="G17" s="34">
        <v>39356</v>
      </c>
      <c r="H17" s="1">
        <v>1.21</v>
      </c>
      <c r="I17" s="34">
        <v>39356</v>
      </c>
      <c r="J17" s="1">
        <v>137.16999999999999</v>
      </c>
      <c r="K17" s="34">
        <v>39356</v>
      </c>
      <c r="L17" s="1">
        <v>8832.2999999999993</v>
      </c>
      <c r="M17" s="34">
        <v>39356</v>
      </c>
      <c r="N17" s="1">
        <v>1512.8</v>
      </c>
    </row>
    <row r="18" spans="1:14" x14ac:dyDescent="0.25">
      <c r="A18" s="34">
        <v>39387</v>
      </c>
      <c r="B18" s="1">
        <v>8765.7999999999993</v>
      </c>
      <c r="C18" s="34">
        <v>39387</v>
      </c>
      <c r="D18" s="1">
        <v>3748</v>
      </c>
      <c r="E18" s="34">
        <v>39387</v>
      </c>
      <c r="F18" s="1">
        <v>4.7</v>
      </c>
      <c r="G18" s="34">
        <v>39387</v>
      </c>
      <c r="H18" s="1">
        <v>0.98</v>
      </c>
      <c r="I18" s="34">
        <v>39387</v>
      </c>
      <c r="J18" s="1">
        <v>137.5</v>
      </c>
      <c r="K18" s="34">
        <v>39387</v>
      </c>
      <c r="L18" s="1">
        <v>8878</v>
      </c>
      <c r="M18" s="34">
        <v>39387</v>
      </c>
      <c r="N18" s="1">
        <v>1522.8</v>
      </c>
    </row>
    <row r="19" spans="1:14" x14ac:dyDescent="0.25">
      <c r="A19" s="34">
        <v>39417</v>
      </c>
      <c r="B19" s="1">
        <v>8774</v>
      </c>
      <c r="C19" s="34">
        <v>39417</v>
      </c>
      <c r="D19" s="1">
        <v>4366</v>
      </c>
      <c r="E19" s="34">
        <v>39417</v>
      </c>
      <c r="F19" s="1">
        <v>4.7</v>
      </c>
      <c r="G19" s="34">
        <v>39417</v>
      </c>
      <c r="H19" s="1">
        <v>0.81</v>
      </c>
      <c r="I19" s="34">
        <v>39417</v>
      </c>
      <c r="J19" s="1">
        <v>137.82</v>
      </c>
      <c r="K19" s="34">
        <v>39417</v>
      </c>
      <c r="L19" s="1">
        <v>8911.2999999999993</v>
      </c>
      <c r="M19" s="34">
        <v>39417</v>
      </c>
      <c r="N19" s="1">
        <v>1531.2</v>
      </c>
    </row>
    <row r="20" spans="1:14" x14ac:dyDescent="0.25">
      <c r="A20" s="34">
        <v>39448</v>
      </c>
      <c r="B20" s="1">
        <v>8792.7999999999993</v>
      </c>
      <c r="C20" s="34">
        <v>39448</v>
      </c>
      <c r="D20" s="1">
        <v>3022</v>
      </c>
      <c r="E20" s="34">
        <v>39448</v>
      </c>
      <c r="F20" s="1">
        <v>4.7</v>
      </c>
      <c r="G20" s="34">
        <v>39448</v>
      </c>
      <c r="H20" s="1">
        <v>0.71</v>
      </c>
      <c r="I20" s="34">
        <v>39448</v>
      </c>
      <c r="J20" s="1">
        <v>138.1</v>
      </c>
      <c r="K20" s="34">
        <v>39448</v>
      </c>
      <c r="L20" s="1">
        <v>8625.7000000000007</v>
      </c>
      <c r="M20" s="34">
        <v>39448</v>
      </c>
      <c r="N20" s="1">
        <v>1495.4</v>
      </c>
    </row>
    <row r="21" spans="1:14" x14ac:dyDescent="0.25">
      <c r="A21" s="34">
        <v>39479</v>
      </c>
      <c r="B21" s="1">
        <v>8799</v>
      </c>
      <c r="C21" s="34">
        <v>39479</v>
      </c>
      <c r="D21" s="1">
        <v>2259</v>
      </c>
      <c r="E21" s="34">
        <v>39479</v>
      </c>
      <c r="F21" s="1">
        <v>4.7</v>
      </c>
      <c r="G21" s="34">
        <v>39479</v>
      </c>
      <c r="H21" s="1">
        <v>0.05</v>
      </c>
      <c r="I21" s="34">
        <v>39479</v>
      </c>
      <c r="J21" s="1">
        <v>138.33000000000001</v>
      </c>
      <c r="K21" s="34">
        <v>39479</v>
      </c>
      <c r="L21" s="1">
        <v>8669.6</v>
      </c>
      <c r="M21" s="34">
        <v>39479</v>
      </c>
      <c r="N21" s="1">
        <v>1515.9</v>
      </c>
    </row>
    <row r="22" spans="1:14" x14ac:dyDescent="0.25">
      <c r="A22" s="34">
        <v>39508</v>
      </c>
      <c r="B22" s="1">
        <v>8797</v>
      </c>
      <c r="C22" s="34">
        <v>39508</v>
      </c>
      <c r="D22" s="1">
        <v>2038</v>
      </c>
      <c r="E22" s="34">
        <v>39508</v>
      </c>
      <c r="F22" s="1">
        <v>4.8</v>
      </c>
      <c r="G22" s="34">
        <v>39508</v>
      </c>
      <c r="H22" s="1">
        <v>0.11</v>
      </c>
      <c r="I22" s="34">
        <v>39508</v>
      </c>
      <c r="J22" s="1">
        <v>138.47999999999999</v>
      </c>
      <c r="K22" s="34">
        <v>39508</v>
      </c>
      <c r="L22" s="1">
        <v>8710</v>
      </c>
      <c r="M22" s="34">
        <v>39508</v>
      </c>
      <c r="N22" s="1">
        <v>1519.8</v>
      </c>
    </row>
    <row r="23" spans="1:14" x14ac:dyDescent="0.25">
      <c r="A23" s="34">
        <v>39539</v>
      </c>
      <c r="B23" s="1">
        <v>8817</v>
      </c>
      <c r="C23" s="34">
        <v>39539</v>
      </c>
      <c r="D23" s="1">
        <v>3464</v>
      </c>
      <c r="E23" s="34">
        <v>39539</v>
      </c>
      <c r="F23" s="1">
        <v>4.9000000000000004</v>
      </c>
      <c r="G23" s="34">
        <v>39539</v>
      </c>
      <c r="H23" s="1">
        <v>0.25</v>
      </c>
      <c r="I23" s="34">
        <v>39539</v>
      </c>
      <c r="J23" s="1">
        <v>138.57</v>
      </c>
      <c r="K23" s="34">
        <v>39539</v>
      </c>
      <c r="L23" s="1">
        <v>8775.7999999999993</v>
      </c>
      <c r="M23" s="34">
        <v>39539</v>
      </c>
      <c r="N23" s="1">
        <v>1529.8</v>
      </c>
    </row>
    <row r="24" spans="1:14" x14ac:dyDescent="0.25">
      <c r="A24" s="34">
        <v>39569</v>
      </c>
      <c r="B24" s="1">
        <v>8805.2999999999993</v>
      </c>
      <c r="C24" s="34">
        <v>39569</v>
      </c>
      <c r="D24" s="1">
        <v>5775</v>
      </c>
      <c r="E24" s="34">
        <v>39569</v>
      </c>
      <c r="F24" s="1">
        <v>5</v>
      </c>
      <c r="G24" s="34">
        <v>39569</v>
      </c>
      <c r="H24" s="1">
        <v>-0.09</v>
      </c>
      <c r="I24" s="34">
        <v>39569</v>
      </c>
      <c r="J24" s="1">
        <v>138.63</v>
      </c>
      <c r="K24" s="34">
        <v>39569</v>
      </c>
      <c r="L24" s="1">
        <v>8839.2000000000007</v>
      </c>
      <c r="M24" s="34">
        <v>39569</v>
      </c>
      <c r="N24" s="1">
        <v>1533.6</v>
      </c>
    </row>
    <row r="25" spans="1:14" x14ac:dyDescent="0.25">
      <c r="A25" s="34">
        <v>39600</v>
      </c>
      <c r="B25" s="1">
        <v>8804</v>
      </c>
      <c r="C25" s="34">
        <v>39600</v>
      </c>
      <c r="D25" s="1">
        <v>20015</v>
      </c>
      <c r="E25" s="34">
        <v>39600</v>
      </c>
      <c r="F25" s="1">
        <v>5.2</v>
      </c>
      <c r="G25" s="34">
        <v>39600</v>
      </c>
      <c r="H25" s="1">
        <v>-0.36</v>
      </c>
      <c r="I25" s="34">
        <v>39600</v>
      </c>
      <c r="J25" s="1">
        <v>138.63</v>
      </c>
      <c r="K25" s="34">
        <v>39600</v>
      </c>
      <c r="L25" s="1">
        <v>8881.5</v>
      </c>
      <c r="M25" s="34">
        <v>39600</v>
      </c>
      <c r="N25" s="1">
        <v>1533.4</v>
      </c>
    </row>
    <row r="26" spans="1:14" x14ac:dyDescent="0.25">
      <c r="A26" s="34">
        <v>39630</v>
      </c>
      <c r="B26" s="1">
        <v>8813.4</v>
      </c>
      <c r="C26" s="34">
        <v>39630</v>
      </c>
      <c r="D26" s="1">
        <v>4389</v>
      </c>
      <c r="E26" s="34">
        <v>39630</v>
      </c>
      <c r="F26" s="1">
        <v>5.3</v>
      </c>
      <c r="G26" s="34">
        <v>39630</v>
      </c>
      <c r="H26" s="1">
        <v>-0.76</v>
      </c>
      <c r="I26" s="34">
        <v>39630</v>
      </c>
      <c r="J26" s="1">
        <v>138.58000000000001</v>
      </c>
      <c r="K26" s="34">
        <v>39630</v>
      </c>
      <c r="L26" s="1">
        <v>8809.2000000000007</v>
      </c>
      <c r="M26" s="34">
        <v>39630</v>
      </c>
      <c r="N26" s="1">
        <v>1499.3</v>
      </c>
    </row>
    <row r="27" spans="1:14" x14ac:dyDescent="0.25">
      <c r="A27" s="34">
        <v>39661</v>
      </c>
      <c r="B27" s="1">
        <v>8803.2999999999993</v>
      </c>
      <c r="C27" s="34">
        <v>39661</v>
      </c>
      <c r="D27" s="1">
        <v>2387</v>
      </c>
      <c r="E27" s="34">
        <v>39661</v>
      </c>
      <c r="F27" s="1">
        <v>5.5</v>
      </c>
      <c r="G27" s="34">
        <v>39661</v>
      </c>
      <c r="H27" s="1">
        <v>-1.65</v>
      </c>
      <c r="I27" s="34">
        <v>39661</v>
      </c>
      <c r="J27" s="1">
        <v>138.41999999999999</v>
      </c>
      <c r="K27" s="34">
        <v>39661</v>
      </c>
      <c r="L27" s="1">
        <v>8770.7000000000007</v>
      </c>
      <c r="M27" s="34">
        <v>39661</v>
      </c>
      <c r="N27" s="1">
        <v>1471.1</v>
      </c>
    </row>
    <row r="28" spans="1:14" x14ac:dyDescent="0.25">
      <c r="A28" s="34">
        <v>39692</v>
      </c>
      <c r="B28" s="1">
        <v>8781.9</v>
      </c>
      <c r="C28" s="34">
        <v>39692</v>
      </c>
      <c r="D28" s="1">
        <v>3109</v>
      </c>
      <c r="E28" s="34">
        <v>39692</v>
      </c>
      <c r="F28" s="1">
        <v>5.7</v>
      </c>
      <c r="G28" s="34">
        <v>39692</v>
      </c>
      <c r="H28" s="1">
        <v>-2.0699999999999998</v>
      </c>
      <c r="I28" s="34">
        <v>39692</v>
      </c>
      <c r="J28" s="1">
        <v>138.13999999999999</v>
      </c>
      <c r="K28" s="34">
        <v>39692</v>
      </c>
      <c r="L28" s="1">
        <v>8785.2999999999993</v>
      </c>
      <c r="M28" s="34">
        <v>39692</v>
      </c>
      <c r="N28" s="1">
        <v>1487.7</v>
      </c>
    </row>
    <row r="29" spans="1:14" x14ac:dyDescent="0.25">
      <c r="A29" s="34">
        <v>39722</v>
      </c>
      <c r="B29" s="1">
        <v>8758.1</v>
      </c>
      <c r="C29" s="34">
        <v>39722</v>
      </c>
      <c r="D29" s="1">
        <v>2087</v>
      </c>
      <c r="E29" s="34">
        <v>39722</v>
      </c>
      <c r="F29" s="1">
        <v>6</v>
      </c>
      <c r="G29" s="34">
        <v>39722</v>
      </c>
      <c r="H29" s="1">
        <v>-2.38</v>
      </c>
      <c r="I29" s="34">
        <v>39722</v>
      </c>
      <c r="J29" s="1">
        <v>137.72</v>
      </c>
      <c r="K29" s="34">
        <v>39722</v>
      </c>
      <c r="L29" s="1">
        <v>8846.1</v>
      </c>
      <c r="M29" s="34">
        <v>39722</v>
      </c>
      <c r="N29" s="1">
        <v>1526.2</v>
      </c>
    </row>
    <row r="30" spans="1:14" x14ac:dyDescent="0.25">
      <c r="A30" s="34">
        <v>39753</v>
      </c>
      <c r="B30" s="1">
        <v>8732</v>
      </c>
      <c r="C30" s="34">
        <v>39753</v>
      </c>
      <c r="D30" s="1">
        <v>1493</v>
      </c>
      <c r="E30" s="34">
        <v>39753</v>
      </c>
      <c r="F30" s="1">
        <v>6.3</v>
      </c>
      <c r="G30" s="34">
        <v>39753</v>
      </c>
      <c r="H30" s="1">
        <v>-2.54</v>
      </c>
      <c r="I30" s="34">
        <v>39753</v>
      </c>
      <c r="J30" s="1">
        <v>137.18</v>
      </c>
      <c r="K30" s="34">
        <v>39753</v>
      </c>
      <c r="L30" s="1">
        <v>8841.7999999999993</v>
      </c>
      <c r="M30" s="34">
        <v>39753</v>
      </c>
      <c r="N30" s="1">
        <v>1535.1</v>
      </c>
    </row>
    <row r="31" spans="1:14" x14ac:dyDescent="0.25">
      <c r="A31" s="34">
        <v>39783</v>
      </c>
      <c r="B31" s="1">
        <v>8705.1</v>
      </c>
      <c r="C31" s="34">
        <v>39783</v>
      </c>
      <c r="D31" s="1">
        <v>1429</v>
      </c>
      <c r="E31" s="34">
        <v>39783</v>
      </c>
      <c r="F31" s="1">
        <v>6.7</v>
      </c>
      <c r="G31" s="34">
        <v>39783</v>
      </c>
      <c r="H31" s="1">
        <v>-2.57</v>
      </c>
      <c r="I31" s="34">
        <v>39783</v>
      </c>
      <c r="J31" s="1">
        <v>136.55000000000001</v>
      </c>
      <c r="K31" s="34">
        <v>39783</v>
      </c>
      <c r="L31" s="1">
        <v>8835.7000000000007</v>
      </c>
      <c r="M31" s="34">
        <v>39783</v>
      </c>
      <c r="N31" s="1">
        <v>1539.1</v>
      </c>
    </row>
    <row r="32" spans="1:14" x14ac:dyDescent="0.25">
      <c r="A32" s="34">
        <v>39814</v>
      </c>
      <c r="B32" s="1">
        <v>8664.9</v>
      </c>
      <c r="C32" s="34">
        <v>39814</v>
      </c>
      <c r="D32" s="1">
        <v>1173</v>
      </c>
      <c r="E32" s="34">
        <v>39814</v>
      </c>
      <c r="F32" s="1">
        <v>7.1</v>
      </c>
      <c r="G32" s="34">
        <v>39814</v>
      </c>
      <c r="H32" s="1">
        <v>-2.35</v>
      </c>
      <c r="I32" s="34">
        <v>39814</v>
      </c>
      <c r="J32" s="1">
        <v>135.88</v>
      </c>
      <c r="K32" s="34">
        <v>39814</v>
      </c>
      <c r="L32" s="1">
        <v>8495.7000000000007</v>
      </c>
      <c r="M32" s="34">
        <v>39814</v>
      </c>
      <c r="N32" s="1">
        <v>1507.1</v>
      </c>
    </row>
    <row r="33" spans="1:14" x14ac:dyDescent="0.25">
      <c r="A33" s="34">
        <v>39845</v>
      </c>
      <c r="B33" s="1">
        <v>8636.2000000000007</v>
      </c>
      <c r="C33" s="34">
        <v>39845</v>
      </c>
      <c r="D33" s="1">
        <v>753</v>
      </c>
      <c r="E33" s="34">
        <v>39845</v>
      </c>
      <c r="F33" s="1">
        <v>7.5</v>
      </c>
      <c r="G33" s="34">
        <v>39845</v>
      </c>
      <c r="H33" s="1">
        <v>-1.84</v>
      </c>
      <c r="I33" s="34">
        <v>39845</v>
      </c>
      <c r="J33" s="1">
        <v>135.22</v>
      </c>
      <c r="K33" s="34">
        <v>39845</v>
      </c>
      <c r="L33" s="1">
        <v>8512.6</v>
      </c>
      <c r="M33" s="34">
        <v>39845</v>
      </c>
      <c r="N33" s="1">
        <v>1531.5</v>
      </c>
    </row>
    <row r="34" spans="1:14" x14ac:dyDescent="0.25">
      <c r="A34" s="34">
        <v>39873</v>
      </c>
      <c r="B34" s="1">
        <v>8598.7000000000007</v>
      </c>
      <c r="C34" s="34">
        <v>39873</v>
      </c>
      <c r="D34" s="1">
        <v>1140</v>
      </c>
      <c r="E34" s="34">
        <v>39873</v>
      </c>
      <c r="F34" s="1">
        <v>7.8</v>
      </c>
      <c r="G34" s="34">
        <v>39873</v>
      </c>
      <c r="H34" s="1">
        <v>-1.59</v>
      </c>
      <c r="I34" s="34">
        <v>39873</v>
      </c>
      <c r="J34" s="1">
        <v>134.61000000000001</v>
      </c>
      <c r="K34" s="34">
        <v>39873</v>
      </c>
      <c r="L34" s="1">
        <v>8514.9</v>
      </c>
      <c r="M34" s="34">
        <v>39873</v>
      </c>
      <c r="N34" s="1">
        <v>1534.4</v>
      </c>
    </row>
    <row r="35" spans="1:14" x14ac:dyDescent="0.25">
      <c r="A35" s="34">
        <v>39904</v>
      </c>
      <c r="B35" s="1">
        <v>8529.9</v>
      </c>
      <c r="C35" s="34">
        <v>39904</v>
      </c>
      <c r="D35" s="1">
        <v>1420</v>
      </c>
      <c r="E35" s="34">
        <v>39904</v>
      </c>
      <c r="F35" s="1">
        <v>8.1</v>
      </c>
      <c r="G35" s="34">
        <v>39904</v>
      </c>
      <c r="H35" s="1">
        <v>-1.1100000000000001</v>
      </c>
      <c r="I35" s="34">
        <v>39904</v>
      </c>
      <c r="J35" s="1">
        <v>134.08000000000001</v>
      </c>
      <c r="K35" s="34">
        <v>39904</v>
      </c>
      <c r="L35" s="1">
        <v>8520.7000000000007</v>
      </c>
      <c r="M35" s="34">
        <v>39904</v>
      </c>
      <c r="N35" s="1">
        <v>1537.9</v>
      </c>
    </row>
    <row r="36" spans="1:14" x14ac:dyDescent="0.25">
      <c r="A36" s="34">
        <v>39934</v>
      </c>
      <c r="B36" s="1">
        <v>8539.2000000000007</v>
      </c>
      <c r="C36" s="34">
        <v>39934</v>
      </c>
      <c r="D36" s="1">
        <v>1317</v>
      </c>
      <c r="E36" s="34">
        <v>39934</v>
      </c>
      <c r="F36" s="1">
        <v>8.3000000000000007</v>
      </c>
      <c r="G36" s="34">
        <v>39934</v>
      </c>
      <c r="H36" s="1">
        <v>-0.62</v>
      </c>
      <c r="I36" s="34">
        <v>39934</v>
      </c>
      <c r="J36" s="1">
        <v>133.66</v>
      </c>
      <c r="K36" s="34">
        <v>39934</v>
      </c>
      <c r="L36" s="1">
        <v>8583.7000000000007</v>
      </c>
      <c r="M36" s="34">
        <v>39934</v>
      </c>
      <c r="N36" s="1">
        <v>1542.6</v>
      </c>
    </row>
    <row r="37" spans="1:14" x14ac:dyDescent="0.25">
      <c r="A37" s="34">
        <v>39965</v>
      </c>
      <c r="B37" s="1">
        <v>8522.6</v>
      </c>
      <c r="C37" s="34">
        <v>39965</v>
      </c>
      <c r="D37" s="1">
        <v>2372</v>
      </c>
      <c r="E37" s="34">
        <v>39965</v>
      </c>
      <c r="F37" s="1">
        <v>8.5</v>
      </c>
      <c r="G37" s="34">
        <v>39965</v>
      </c>
      <c r="H37" s="1">
        <v>-0.19</v>
      </c>
      <c r="I37" s="34">
        <v>39965</v>
      </c>
      <c r="J37" s="1">
        <v>133.36000000000001</v>
      </c>
      <c r="K37" s="34">
        <v>39965</v>
      </c>
      <c r="L37" s="1">
        <v>8592.6</v>
      </c>
      <c r="M37" s="34">
        <v>39965</v>
      </c>
      <c r="N37" s="1">
        <v>1531</v>
      </c>
    </row>
    <row r="38" spans="1:14" x14ac:dyDescent="0.25">
      <c r="A38" s="34">
        <v>39995</v>
      </c>
      <c r="B38" s="1">
        <v>8552.7999999999993</v>
      </c>
      <c r="C38" s="34">
        <v>39995</v>
      </c>
      <c r="D38" s="1">
        <v>1610</v>
      </c>
      <c r="E38" s="34">
        <v>39995</v>
      </c>
      <c r="F38" s="1">
        <v>8.6999999999999993</v>
      </c>
      <c r="G38" s="34">
        <v>39995</v>
      </c>
      <c r="H38" s="1">
        <v>0.36</v>
      </c>
      <c r="I38" s="34">
        <v>39995</v>
      </c>
      <c r="J38" s="1">
        <v>133.16999999999999</v>
      </c>
      <c r="K38" s="34">
        <v>39995</v>
      </c>
      <c r="L38" s="1">
        <v>8547.7000000000007</v>
      </c>
      <c r="M38" s="34">
        <v>39995</v>
      </c>
      <c r="N38" s="1">
        <v>1531.2</v>
      </c>
    </row>
    <row r="39" spans="1:14" x14ac:dyDescent="0.25">
      <c r="A39" s="34">
        <v>40026</v>
      </c>
      <c r="B39" s="1">
        <v>8536.6</v>
      </c>
      <c r="C39" s="34">
        <v>40026</v>
      </c>
      <c r="D39" s="1">
        <v>1515</v>
      </c>
      <c r="E39" s="34">
        <v>40026</v>
      </c>
      <c r="F39" s="1">
        <v>8.6999999999999993</v>
      </c>
      <c r="G39" s="34">
        <v>40026</v>
      </c>
      <c r="H39" s="1">
        <v>0.34</v>
      </c>
      <c r="I39" s="34">
        <v>40026</v>
      </c>
      <c r="J39" s="1">
        <v>133.09</v>
      </c>
      <c r="K39" s="34">
        <v>40026</v>
      </c>
      <c r="L39" s="1">
        <v>8499.6</v>
      </c>
      <c r="M39" s="34">
        <v>40026</v>
      </c>
      <c r="N39" s="1">
        <v>1503.7</v>
      </c>
    </row>
    <row r="40" spans="1:14" x14ac:dyDescent="0.25">
      <c r="A40" s="34">
        <v>40057</v>
      </c>
      <c r="B40" s="1">
        <v>8496.9</v>
      </c>
      <c r="C40" s="34">
        <v>40057</v>
      </c>
      <c r="D40" s="1">
        <v>1447</v>
      </c>
      <c r="E40" s="34">
        <v>40057</v>
      </c>
      <c r="F40" s="1">
        <v>8.8000000000000007</v>
      </c>
      <c r="G40" s="34">
        <v>40057</v>
      </c>
      <c r="H40" s="1">
        <v>0.3</v>
      </c>
      <c r="I40" s="34">
        <v>40057</v>
      </c>
      <c r="J40" s="1">
        <v>133.08000000000001</v>
      </c>
      <c r="K40" s="34">
        <v>40057</v>
      </c>
      <c r="L40" s="1">
        <v>8494.5</v>
      </c>
      <c r="M40" s="34">
        <v>40057</v>
      </c>
      <c r="N40" s="1">
        <v>1475.3</v>
      </c>
    </row>
    <row r="41" spans="1:14" x14ac:dyDescent="0.25">
      <c r="A41" s="34">
        <v>40087</v>
      </c>
      <c r="B41" s="1">
        <v>8486.7999999999993</v>
      </c>
      <c r="C41" s="34">
        <v>40087</v>
      </c>
      <c r="D41" s="1">
        <v>1263</v>
      </c>
      <c r="E41" s="34">
        <v>40087</v>
      </c>
      <c r="F41" s="1">
        <v>8.8000000000000007</v>
      </c>
      <c r="G41" s="34">
        <v>40087</v>
      </c>
      <c r="H41" s="1">
        <v>0.84</v>
      </c>
      <c r="I41" s="34">
        <v>40087</v>
      </c>
      <c r="J41" s="1">
        <v>133.13</v>
      </c>
      <c r="K41" s="34">
        <v>40087</v>
      </c>
      <c r="L41" s="1">
        <v>8574.7999999999993</v>
      </c>
      <c r="M41" s="34">
        <v>40087</v>
      </c>
      <c r="N41" s="1">
        <v>1524</v>
      </c>
    </row>
    <row r="42" spans="1:14" x14ac:dyDescent="0.25">
      <c r="A42" s="34">
        <v>40118</v>
      </c>
      <c r="B42" s="1">
        <v>8488.7999999999993</v>
      </c>
      <c r="C42" s="34">
        <v>40118</v>
      </c>
      <c r="D42" s="1">
        <v>1474</v>
      </c>
      <c r="E42" s="34">
        <v>40118</v>
      </c>
      <c r="F42" s="1">
        <v>8.8000000000000007</v>
      </c>
      <c r="G42" s="34">
        <v>40118</v>
      </c>
      <c r="H42" s="1">
        <v>0.9</v>
      </c>
      <c r="I42" s="34">
        <v>40118</v>
      </c>
      <c r="J42" s="1">
        <v>133.22999999999999</v>
      </c>
      <c r="K42" s="34">
        <v>40118</v>
      </c>
      <c r="L42" s="1">
        <v>8596.2999999999993</v>
      </c>
      <c r="M42" s="34">
        <v>40118</v>
      </c>
      <c r="N42" s="1">
        <v>1532.3</v>
      </c>
    </row>
    <row r="43" spans="1:14" x14ac:dyDescent="0.25">
      <c r="A43" s="34">
        <v>40148</v>
      </c>
      <c r="B43" s="1">
        <v>8489.7999999999993</v>
      </c>
      <c r="C43" s="34">
        <v>40148</v>
      </c>
      <c r="D43" s="1">
        <v>1533</v>
      </c>
      <c r="E43" s="34">
        <v>40148</v>
      </c>
      <c r="F43" s="1">
        <v>8.9</v>
      </c>
      <c r="G43" s="34">
        <v>40148</v>
      </c>
      <c r="H43" s="1">
        <v>1.21</v>
      </c>
      <c r="I43" s="34">
        <v>40148</v>
      </c>
      <c r="J43" s="1">
        <v>133.38999999999999</v>
      </c>
      <c r="K43" s="34">
        <v>40148</v>
      </c>
      <c r="L43" s="1">
        <v>8613.7000000000007</v>
      </c>
      <c r="M43" s="34">
        <v>40148</v>
      </c>
      <c r="N43" s="1">
        <v>1534</v>
      </c>
    </row>
    <row r="44" spans="1:14" x14ac:dyDescent="0.25">
      <c r="A44" s="34">
        <v>40179</v>
      </c>
      <c r="B44" s="1">
        <v>8501</v>
      </c>
      <c r="C44" s="34">
        <v>40179</v>
      </c>
      <c r="D44" s="1">
        <v>848</v>
      </c>
      <c r="E44" s="34">
        <v>40179</v>
      </c>
      <c r="F44" s="1">
        <v>8.9</v>
      </c>
      <c r="G44" s="34">
        <v>40179</v>
      </c>
      <c r="H44" s="1">
        <v>1.87</v>
      </c>
      <c r="I44" s="34">
        <v>40179</v>
      </c>
      <c r="J44" s="1">
        <v>133.63</v>
      </c>
      <c r="K44" s="34">
        <v>40179</v>
      </c>
      <c r="L44" s="1">
        <v>8329.7000000000007</v>
      </c>
      <c r="M44" s="34">
        <v>40179</v>
      </c>
      <c r="N44" s="1">
        <v>1500.9</v>
      </c>
    </row>
    <row r="45" spans="1:14" x14ac:dyDescent="0.25">
      <c r="A45" s="34">
        <v>40210</v>
      </c>
      <c r="B45" s="1">
        <v>8499.7999999999993</v>
      </c>
      <c r="C45" s="34">
        <v>40210</v>
      </c>
      <c r="D45" s="1">
        <v>1078</v>
      </c>
      <c r="E45" s="34">
        <v>40210</v>
      </c>
      <c r="F45" s="1">
        <v>8.9</v>
      </c>
      <c r="G45" s="34">
        <v>40210</v>
      </c>
      <c r="H45" s="1">
        <v>1.85</v>
      </c>
      <c r="I45" s="34">
        <v>40210</v>
      </c>
      <c r="J45" s="1">
        <v>133.93</v>
      </c>
      <c r="K45" s="34">
        <v>40210</v>
      </c>
      <c r="L45" s="1">
        <v>8378.5</v>
      </c>
      <c r="M45" s="34">
        <v>40210</v>
      </c>
      <c r="N45" s="1">
        <v>1524.6</v>
      </c>
    </row>
    <row r="46" spans="1:14" x14ac:dyDescent="0.25">
      <c r="A46" s="34">
        <v>40238</v>
      </c>
      <c r="B46" s="1">
        <v>8516.7000000000007</v>
      </c>
      <c r="C46" s="34">
        <v>40238</v>
      </c>
      <c r="D46" s="1">
        <v>1500</v>
      </c>
      <c r="E46" s="34">
        <v>40238</v>
      </c>
      <c r="F46" s="1">
        <v>8.8000000000000007</v>
      </c>
      <c r="G46" s="34">
        <v>40238</v>
      </c>
      <c r="H46" s="1">
        <v>2</v>
      </c>
      <c r="I46" s="34">
        <v>40238</v>
      </c>
      <c r="J46" s="1">
        <v>134.30000000000001</v>
      </c>
      <c r="K46" s="34">
        <v>40238</v>
      </c>
      <c r="L46" s="1">
        <v>8434.1</v>
      </c>
      <c r="M46" s="34">
        <v>40238</v>
      </c>
      <c r="N46" s="1">
        <v>1529.7</v>
      </c>
    </row>
    <row r="47" spans="1:14" x14ac:dyDescent="0.25">
      <c r="A47" s="34">
        <v>40269</v>
      </c>
      <c r="B47" s="1">
        <v>8552.7000000000007</v>
      </c>
      <c r="C47" s="34">
        <v>40269</v>
      </c>
      <c r="D47" s="1">
        <v>1666</v>
      </c>
      <c r="E47" s="34">
        <v>40269</v>
      </c>
      <c r="F47" s="1">
        <v>8.8000000000000007</v>
      </c>
      <c r="G47" s="34">
        <v>40269</v>
      </c>
      <c r="H47" s="1">
        <v>1.41</v>
      </c>
      <c r="I47" s="34">
        <v>40269</v>
      </c>
      <c r="J47" s="1">
        <v>134.68</v>
      </c>
      <c r="K47" s="34">
        <v>40269</v>
      </c>
      <c r="L47" s="1">
        <v>8547.7000000000007</v>
      </c>
      <c r="M47" s="34">
        <v>40269</v>
      </c>
      <c r="N47" s="1">
        <v>1536.1</v>
      </c>
    </row>
    <row r="48" spans="1:14" x14ac:dyDescent="0.25">
      <c r="A48" s="34">
        <v>40299</v>
      </c>
      <c r="B48" s="1">
        <v>8588.1</v>
      </c>
      <c r="C48" s="34">
        <v>40299</v>
      </c>
      <c r="D48" s="1">
        <v>1617</v>
      </c>
      <c r="E48" s="34">
        <v>40299</v>
      </c>
      <c r="F48" s="1">
        <v>8.6999999999999993</v>
      </c>
      <c r="G48" s="34">
        <v>40299</v>
      </c>
      <c r="H48" s="1">
        <v>0.71</v>
      </c>
      <c r="I48" s="34">
        <v>40299</v>
      </c>
      <c r="J48" s="1">
        <v>135.02000000000001</v>
      </c>
      <c r="K48" s="34">
        <v>40299</v>
      </c>
      <c r="L48" s="1">
        <v>8635.7000000000007</v>
      </c>
      <c r="M48" s="34">
        <v>40299</v>
      </c>
      <c r="N48" s="1">
        <v>1577.6</v>
      </c>
    </row>
    <row r="49" spans="1:14" x14ac:dyDescent="0.25">
      <c r="A49" s="34">
        <v>40330</v>
      </c>
      <c r="B49" s="1">
        <v>8583.2000000000007</v>
      </c>
      <c r="C49" s="34">
        <v>40330</v>
      </c>
      <c r="D49" s="1">
        <v>3482</v>
      </c>
      <c r="E49" s="34">
        <v>40330</v>
      </c>
      <c r="F49" s="1">
        <v>8.6</v>
      </c>
      <c r="G49" s="34">
        <v>40330</v>
      </c>
      <c r="H49" s="1">
        <v>0.83</v>
      </c>
      <c r="I49" s="34">
        <v>40330</v>
      </c>
      <c r="J49" s="1">
        <v>135.31</v>
      </c>
      <c r="K49" s="34">
        <v>40330</v>
      </c>
      <c r="L49" s="1">
        <v>8650.2000000000007</v>
      </c>
      <c r="M49" s="34">
        <v>40330</v>
      </c>
      <c r="N49" s="1">
        <v>1554.1</v>
      </c>
    </row>
    <row r="50" spans="1:14" x14ac:dyDescent="0.25">
      <c r="A50" s="34">
        <v>40360</v>
      </c>
      <c r="B50" s="1">
        <v>8555.2000000000007</v>
      </c>
      <c r="C50" s="34">
        <v>40360</v>
      </c>
      <c r="D50" s="1">
        <v>1753</v>
      </c>
      <c r="E50" s="34">
        <v>40360</v>
      </c>
      <c r="F50" s="1">
        <v>8.6</v>
      </c>
      <c r="G50" s="34">
        <v>40360</v>
      </c>
      <c r="H50" s="1">
        <v>0.81</v>
      </c>
      <c r="I50" s="34">
        <v>40360</v>
      </c>
      <c r="J50" s="1">
        <v>135.53</v>
      </c>
      <c r="K50" s="34">
        <v>40360</v>
      </c>
      <c r="L50" s="1">
        <v>8552.6</v>
      </c>
      <c r="M50" s="34">
        <v>40360</v>
      </c>
      <c r="N50" s="1">
        <v>1472.6</v>
      </c>
    </row>
    <row r="51" spans="1:14" x14ac:dyDescent="0.25">
      <c r="A51" s="34">
        <v>40391</v>
      </c>
      <c r="B51" s="1">
        <v>8553.5</v>
      </c>
      <c r="C51" s="34">
        <v>40391</v>
      </c>
      <c r="D51" s="1">
        <v>1545</v>
      </c>
      <c r="E51" s="34">
        <v>40391</v>
      </c>
      <c r="F51" s="1">
        <v>8.5</v>
      </c>
      <c r="G51" s="34">
        <v>40391</v>
      </c>
      <c r="H51" s="1">
        <v>1.8</v>
      </c>
      <c r="I51" s="34">
        <v>40391</v>
      </c>
      <c r="J51" s="1">
        <v>135.77000000000001</v>
      </c>
      <c r="K51" s="34">
        <v>40391</v>
      </c>
      <c r="L51" s="1">
        <v>8519.7000000000007</v>
      </c>
      <c r="M51" s="34">
        <v>40391</v>
      </c>
      <c r="N51" s="1">
        <v>1440.9</v>
      </c>
    </row>
    <row r="52" spans="1:14" x14ac:dyDescent="0.25">
      <c r="A52" s="34">
        <v>40422</v>
      </c>
      <c r="B52" s="1">
        <v>8549</v>
      </c>
      <c r="C52" s="34">
        <v>40422</v>
      </c>
      <c r="D52" s="1">
        <v>1570</v>
      </c>
      <c r="E52" s="34">
        <v>40422</v>
      </c>
      <c r="F52" s="1">
        <v>8.5</v>
      </c>
      <c r="G52" s="34">
        <v>40422</v>
      </c>
      <c r="H52" s="1">
        <v>1.49</v>
      </c>
      <c r="I52" s="34">
        <v>40422</v>
      </c>
      <c r="J52" s="1">
        <v>136.03</v>
      </c>
      <c r="K52" s="34">
        <v>40422</v>
      </c>
      <c r="L52" s="1">
        <v>8558.4</v>
      </c>
      <c r="M52" s="34">
        <v>40422</v>
      </c>
      <c r="N52" s="1">
        <v>1463.1</v>
      </c>
    </row>
    <row r="53" spans="1:14" x14ac:dyDescent="0.25">
      <c r="A53" s="34">
        <v>40452</v>
      </c>
      <c r="B53" s="1">
        <v>8580.2999999999993</v>
      </c>
      <c r="C53" s="34">
        <v>40452</v>
      </c>
      <c r="D53" s="1">
        <v>1575</v>
      </c>
      <c r="E53" s="34">
        <v>40452</v>
      </c>
      <c r="F53" s="1">
        <v>8.5</v>
      </c>
      <c r="G53" s="34">
        <v>40452</v>
      </c>
      <c r="H53" s="1">
        <v>1.73</v>
      </c>
      <c r="I53" s="34">
        <v>40452</v>
      </c>
      <c r="J53" s="1">
        <v>136.34</v>
      </c>
      <c r="K53" s="34">
        <v>40452</v>
      </c>
      <c r="L53" s="1">
        <v>8665.2000000000007</v>
      </c>
      <c r="M53" s="34">
        <v>40452</v>
      </c>
      <c r="N53" s="1">
        <v>1506.7</v>
      </c>
    </row>
    <row r="54" spans="1:14" x14ac:dyDescent="0.25">
      <c r="A54" s="34">
        <v>40483</v>
      </c>
      <c r="B54" s="1">
        <v>8592.2000000000007</v>
      </c>
      <c r="C54" s="34">
        <v>40483</v>
      </c>
      <c r="D54" s="1">
        <v>1310</v>
      </c>
      <c r="E54" s="34">
        <v>40483</v>
      </c>
      <c r="F54" s="1">
        <v>8.4</v>
      </c>
      <c r="G54" s="34">
        <v>40483</v>
      </c>
      <c r="H54" s="1">
        <v>1.63</v>
      </c>
      <c r="I54" s="34">
        <v>40483</v>
      </c>
      <c r="J54" s="1">
        <v>136.68</v>
      </c>
      <c r="K54" s="34">
        <v>40483</v>
      </c>
      <c r="L54" s="1">
        <v>8700</v>
      </c>
      <c r="M54" s="34">
        <v>40483</v>
      </c>
      <c r="N54" s="1">
        <v>1515.8</v>
      </c>
    </row>
    <row r="55" spans="1:14" x14ac:dyDescent="0.25">
      <c r="A55" s="34">
        <v>40513</v>
      </c>
      <c r="B55" s="1">
        <v>8592.7999999999993</v>
      </c>
      <c r="C55" s="34">
        <v>40513</v>
      </c>
      <c r="D55" s="1">
        <v>2805</v>
      </c>
      <c r="E55" s="34">
        <v>40513</v>
      </c>
      <c r="F55" s="1">
        <v>8.3000000000000007</v>
      </c>
      <c r="G55" s="34">
        <v>40513</v>
      </c>
      <c r="H55" s="1">
        <v>1.52</v>
      </c>
      <c r="I55" s="34">
        <v>40513</v>
      </c>
      <c r="J55" s="1">
        <v>137.05000000000001</v>
      </c>
      <c r="K55" s="34">
        <v>40513</v>
      </c>
      <c r="L55" s="1">
        <v>8709.9</v>
      </c>
      <c r="M55" s="34">
        <v>40513</v>
      </c>
      <c r="N55" s="1">
        <v>1511.9</v>
      </c>
    </row>
    <row r="56" spans="1:14" x14ac:dyDescent="0.25">
      <c r="A56" s="34">
        <v>40544</v>
      </c>
      <c r="B56" s="1">
        <v>8618.9</v>
      </c>
      <c r="C56" s="34">
        <v>40544</v>
      </c>
      <c r="D56" s="1">
        <v>1454</v>
      </c>
      <c r="E56" s="34">
        <v>40544</v>
      </c>
      <c r="F56" s="1">
        <v>8.1999999999999993</v>
      </c>
      <c r="G56" s="34">
        <v>40544</v>
      </c>
      <c r="H56" s="1">
        <v>1.41</v>
      </c>
      <c r="I56" s="34">
        <v>40544</v>
      </c>
      <c r="J56" s="1">
        <v>137.41999999999999</v>
      </c>
      <c r="K56" s="34">
        <v>40544</v>
      </c>
      <c r="L56" s="1">
        <v>8443.1</v>
      </c>
      <c r="M56" s="34">
        <v>40544</v>
      </c>
      <c r="N56" s="1">
        <v>1475.7</v>
      </c>
    </row>
    <row r="57" spans="1:14" x14ac:dyDescent="0.25">
      <c r="A57" s="34">
        <v>40575</v>
      </c>
      <c r="B57" s="1">
        <v>8628.4</v>
      </c>
      <c r="C57" s="34">
        <v>40575</v>
      </c>
      <c r="D57" s="1">
        <v>1028</v>
      </c>
      <c r="E57" s="34">
        <v>40575</v>
      </c>
      <c r="F57" s="1">
        <v>8.1</v>
      </c>
      <c r="G57" s="34">
        <v>40575</v>
      </c>
      <c r="H57" s="1">
        <v>1.25</v>
      </c>
      <c r="I57" s="34">
        <v>40575</v>
      </c>
      <c r="J57" s="1">
        <v>137.76</v>
      </c>
      <c r="K57" s="34">
        <v>40575</v>
      </c>
      <c r="L57" s="1">
        <v>8505.4</v>
      </c>
      <c r="M57" s="34">
        <v>40575</v>
      </c>
      <c r="N57" s="1">
        <v>1497.5</v>
      </c>
    </row>
    <row r="58" spans="1:14" x14ac:dyDescent="0.25">
      <c r="A58" s="34">
        <v>40603</v>
      </c>
      <c r="B58" s="1">
        <v>8633.2000000000007</v>
      </c>
      <c r="C58" s="34">
        <v>40603</v>
      </c>
      <c r="D58" s="1">
        <v>1179</v>
      </c>
      <c r="E58" s="34">
        <v>40603</v>
      </c>
      <c r="F58" s="1">
        <v>8.1</v>
      </c>
      <c r="G58" s="34">
        <v>40603</v>
      </c>
      <c r="H58" s="1">
        <v>1.2</v>
      </c>
      <c r="I58" s="34">
        <v>40603</v>
      </c>
      <c r="J58" s="1">
        <v>138.08000000000001</v>
      </c>
      <c r="K58" s="34">
        <v>40603</v>
      </c>
      <c r="L58" s="1">
        <v>8549.7999999999993</v>
      </c>
      <c r="M58" s="34">
        <v>40603</v>
      </c>
      <c r="N58" s="1">
        <v>1500.1</v>
      </c>
    </row>
    <row r="59" spans="1:14" x14ac:dyDescent="0.25">
      <c r="A59" s="34">
        <v>40634</v>
      </c>
      <c r="B59" s="1">
        <v>8665.9</v>
      </c>
      <c r="C59" s="34">
        <v>40634</v>
      </c>
      <c r="D59" s="1">
        <v>1495</v>
      </c>
      <c r="E59" s="34">
        <v>40634</v>
      </c>
      <c r="F59" s="1">
        <v>8</v>
      </c>
      <c r="G59" s="34">
        <v>40634</v>
      </c>
      <c r="H59" s="1">
        <v>1.19</v>
      </c>
      <c r="I59" s="34">
        <v>40634</v>
      </c>
      <c r="J59" s="1">
        <v>138.38</v>
      </c>
      <c r="K59" s="34">
        <v>40634</v>
      </c>
      <c r="L59" s="1">
        <v>8665.6</v>
      </c>
      <c r="M59" s="34">
        <v>40634</v>
      </c>
      <c r="N59" s="1">
        <v>1506.9</v>
      </c>
    </row>
    <row r="60" spans="1:14" x14ac:dyDescent="0.25">
      <c r="A60" s="34">
        <v>40664</v>
      </c>
      <c r="B60" s="1">
        <v>8659.2000000000007</v>
      </c>
      <c r="C60" s="34">
        <v>40664</v>
      </c>
      <c r="D60" s="1">
        <v>2576</v>
      </c>
      <c r="E60" s="34">
        <v>40664</v>
      </c>
      <c r="F60" s="1">
        <v>8.1</v>
      </c>
      <c r="G60" s="34">
        <v>40664</v>
      </c>
      <c r="H60" s="1">
        <v>0.72</v>
      </c>
      <c r="I60" s="34">
        <v>40664</v>
      </c>
      <c r="J60" s="1">
        <v>138.65</v>
      </c>
      <c r="K60" s="34">
        <v>40664</v>
      </c>
      <c r="L60" s="1">
        <v>8711.1</v>
      </c>
      <c r="M60" s="34">
        <v>40664</v>
      </c>
      <c r="N60" s="1">
        <v>1501.8</v>
      </c>
    </row>
    <row r="61" spans="1:14" x14ac:dyDescent="0.25">
      <c r="A61" s="34">
        <v>40695</v>
      </c>
      <c r="B61" s="1">
        <v>8661.1</v>
      </c>
      <c r="C61" s="34">
        <v>40695</v>
      </c>
      <c r="D61" s="1">
        <v>3281</v>
      </c>
      <c r="E61" s="34">
        <v>40695</v>
      </c>
      <c r="F61" s="1">
        <v>8.1999999999999993</v>
      </c>
      <c r="G61" s="34">
        <v>40695</v>
      </c>
      <c r="H61" s="1">
        <v>1</v>
      </c>
      <c r="I61" s="34">
        <v>40695</v>
      </c>
      <c r="J61" s="1">
        <v>138.91</v>
      </c>
      <c r="K61" s="34">
        <v>40695</v>
      </c>
      <c r="L61" s="1">
        <v>8741.7000000000007</v>
      </c>
      <c r="M61" s="34">
        <v>40695</v>
      </c>
      <c r="N61" s="1">
        <v>1489.6</v>
      </c>
    </row>
    <row r="62" spans="1:14" x14ac:dyDescent="0.25">
      <c r="A62" s="34">
        <v>40725</v>
      </c>
      <c r="B62" s="1">
        <v>8693.5</v>
      </c>
      <c r="C62" s="34">
        <v>40725</v>
      </c>
      <c r="D62" s="1">
        <v>1469</v>
      </c>
      <c r="E62" s="34">
        <v>40725</v>
      </c>
      <c r="F62" s="1">
        <v>8.3000000000000007</v>
      </c>
      <c r="G62" s="34">
        <v>40725</v>
      </c>
      <c r="H62" s="1">
        <v>1.1599999999999999</v>
      </c>
      <c r="I62" s="34">
        <v>40725</v>
      </c>
      <c r="J62" s="1">
        <v>139.16</v>
      </c>
      <c r="K62" s="34">
        <v>40725</v>
      </c>
      <c r="L62" s="1">
        <v>8689.7999999999993</v>
      </c>
      <c r="M62" s="34">
        <v>40725</v>
      </c>
      <c r="N62" s="1">
        <v>1453.1</v>
      </c>
    </row>
    <row r="63" spans="1:14" x14ac:dyDescent="0.25">
      <c r="A63" s="34">
        <v>40756</v>
      </c>
      <c r="B63" s="1">
        <v>8694.7999999999993</v>
      </c>
      <c r="C63" s="34">
        <v>40756</v>
      </c>
      <c r="D63" s="1">
        <v>1968</v>
      </c>
      <c r="E63" s="34">
        <v>40756</v>
      </c>
      <c r="F63" s="1">
        <v>8.4</v>
      </c>
      <c r="G63" s="34">
        <v>40756</v>
      </c>
      <c r="H63" s="1">
        <v>1.04</v>
      </c>
      <c r="I63" s="34">
        <v>40756</v>
      </c>
      <c r="J63" s="1">
        <v>139.41999999999999</v>
      </c>
      <c r="K63" s="34">
        <v>40756</v>
      </c>
      <c r="L63" s="1">
        <v>8660.1</v>
      </c>
      <c r="M63" s="34">
        <v>40756</v>
      </c>
      <c r="N63" s="1">
        <v>1441.8</v>
      </c>
    </row>
    <row r="64" spans="1:14" x14ac:dyDescent="0.25">
      <c r="A64" s="34">
        <v>40787</v>
      </c>
      <c r="B64" s="1">
        <v>8707.2000000000007</v>
      </c>
      <c r="C64" s="34">
        <v>40787</v>
      </c>
      <c r="D64" s="1">
        <v>1541</v>
      </c>
      <c r="E64" s="34">
        <v>40787</v>
      </c>
      <c r="F64" s="1">
        <v>8.4</v>
      </c>
      <c r="G64" s="34">
        <v>40787</v>
      </c>
      <c r="H64" s="1">
        <v>1.44</v>
      </c>
      <c r="I64" s="34">
        <v>40787</v>
      </c>
      <c r="J64" s="1">
        <v>139.69</v>
      </c>
      <c r="K64" s="34">
        <v>40787</v>
      </c>
      <c r="L64" s="1">
        <v>8716.2999999999993</v>
      </c>
      <c r="M64" s="34">
        <v>40787</v>
      </c>
      <c r="N64" s="1">
        <v>1449.7</v>
      </c>
    </row>
    <row r="65" spans="1:14" x14ac:dyDescent="0.25">
      <c r="A65" s="34">
        <v>40817</v>
      </c>
      <c r="B65" s="1">
        <v>8701.5</v>
      </c>
      <c r="C65" s="34">
        <v>40817</v>
      </c>
      <c r="D65" s="1">
        <v>1616</v>
      </c>
      <c r="E65" s="34">
        <v>40817</v>
      </c>
      <c r="F65" s="1">
        <v>8.4</v>
      </c>
      <c r="G65" s="34">
        <v>40817</v>
      </c>
      <c r="H65" s="1">
        <v>1.48</v>
      </c>
      <c r="I65" s="34">
        <v>40817</v>
      </c>
      <c r="J65" s="1">
        <v>139.99</v>
      </c>
      <c r="K65" s="34">
        <v>40817</v>
      </c>
      <c r="L65" s="1">
        <v>8787</v>
      </c>
      <c r="M65" s="34">
        <v>40817</v>
      </c>
      <c r="N65" s="1">
        <v>1487.7</v>
      </c>
    </row>
    <row r="66" spans="1:14" x14ac:dyDescent="0.25">
      <c r="A66" s="34">
        <v>40848</v>
      </c>
      <c r="B66" s="1">
        <v>8717.6</v>
      </c>
      <c r="C66" s="34">
        <v>40848</v>
      </c>
      <c r="D66" s="1">
        <v>1803</v>
      </c>
      <c r="E66" s="34">
        <v>40848</v>
      </c>
      <c r="F66" s="1">
        <v>8.4</v>
      </c>
      <c r="G66" s="34">
        <v>40848</v>
      </c>
      <c r="H66" s="1">
        <v>1.5</v>
      </c>
      <c r="I66" s="34">
        <v>40848</v>
      </c>
      <c r="J66" s="1">
        <v>140.31</v>
      </c>
      <c r="K66" s="34">
        <v>40848</v>
      </c>
      <c r="L66" s="1">
        <v>8825.2999999999993</v>
      </c>
      <c r="M66" s="34">
        <v>40848</v>
      </c>
      <c r="N66" s="1">
        <v>1492.7</v>
      </c>
    </row>
    <row r="67" spans="1:14" x14ac:dyDescent="0.25">
      <c r="A67" s="34">
        <v>40878</v>
      </c>
      <c r="B67" s="1">
        <v>8725.2000000000007</v>
      </c>
      <c r="C67" s="34">
        <v>40878</v>
      </c>
      <c r="D67" s="1">
        <v>1577</v>
      </c>
      <c r="E67" s="34">
        <v>40878</v>
      </c>
      <c r="F67" s="1">
        <v>8.4</v>
      </c>
      <c r="G67" s="34">
        <v>40878</v>
      </c>
      <c r="H67" s="1">
        <v>1.27</v>
      </c>
      <c r="I67" s="34">
        <v>40878</v>
      </c>
      <c r="J67" s="1">
        <v>140.63999999999999</v>
      </c>
      <c r="K67" s="34">
        <v>40878</v>
      </c>
      <c r="L67" s="1">
        <v>8842.5</v>
      </c>
      <c r="M67" s="34">
        <v>40878</v>
      </c>
      <c r="N67" s="1">
        <v>1490.8</v>
      </c>
    </row>
    <row r="68" spans="1:14" x14ac:dyDescent="0.25">
      <c r="A68" s="34">
        <v>40909</v>
      </c>
      <c r="B68" s="1">
        <v>8746.4</v>
      </c>
      <c r="C68" s="34">
        <v>40909</v>
      </c>
      <c r="D68" s="1">
        <v>1478</v>
      </c>
      <c r="E68" s="34">
        <v>40909</v>
      </c>
      <c r="F68" s="1">
        <v>8.4</v>
      </c>
      <c r="G68" s="34">
        <v>40909</v>
      </c>
      <c r="H68" s="1">
        <v>1.1399999999999999</v>
      </c>
      <c r="I68" s="34">
        <v>40909</v>
      </c>
      <c r="J68" s="1">
        <v>140.96</v>
      </c>
      <c r="K68" s="34">
        <v>40909</v>
      </c>
      <c r="L68" s="1">
        <v>8564.5</v>
      </c>
      <c r="M68" s="34">
        <v>40909</v>
      </c>
      <c r="N68" s="1">
        <v>1444.6</v>
      </c>
    </row>
    <row r="69" spans="1:14" x14ac:dyDescent="0.25">
      <c r="A69" s="34">
        <v>40940</v>
      </c>
      <c r="B69" s="1">
        <v>8768.7000000000007</v>
      </c>
      <c r="C69" s="34">
        <v>40940</v>
      </c>
      <c r="D69" s="1">
        <v>1448</v>
      </c>
      <c r="E69" s="34">
        <v>40940</v>
      </c>
      <c r="F69" s="1">
        <v>8.5</v>
      </c>
      <c r="G69" s="34">
        <v>40940</v>
      </c>
      <c r="H69" s="1">
        <v>1.02</v>
      </c>
      <c r="I69" s="34">
        <v>40940</v>
      </c>
      <c r="J69" s="1">
        <v>141.26</v>
      </c>
      <c r="K69" s="34">
        <v>40940</v>
      </c>
      <c r="L69" s="1">
        <v>8645.7000000000007</v>
      </c>
      <c r="M69" s="34">
        <v>40940</v>
      </c>
      <c r="N69" s="1">
        <v>1477.6</v>
      </c>
    </row>
    <row r="70" spans="1:14" x14ac:dyDescent="0.25">
      <c r="A70" s="34">
        <v>40969</v>
      </c>
      <c r="B70" s="1">
        <v>8783.4</v>
      </c>
      <c r="C70" s="34">
        <v>40969</v>
      </c>
      <c r="D70" s="1">
        <v>1591</v>
      </c>
      <c r="E70" s="34">
        <v>40969</v>
      </c>
      <c r="F70" s="1">
        <v>8.5</v>
      </c>
      <c r="G70" s="34">
        <v>40969</v>
      </c>
      <c r="H70" s="1">
        <v>0.85</v>
      </c>
      <c r="I70" s="34">
        <v>40969</v>
      </c>
      <c r="J70" s="1">
        <v>141.53</v>
      </c>
      <c r="K70" s="34">
        <v>40969</v>
      </c>
      <c r="L70" s="1">
        <v>8700.2000000000007</v>
      </c>
      <c r="M70" s="34">
        <v>40969</v>
      </c>
      <c r="N70" s="1">
        <v>1480.5</v>
      </c>
    </row>
    <row r="71" spans="1:14" x14ac:dyDescent="0.25">
      <c r="A71" s="34">
        <v>41000</v>
      </c>
      <c r="B71" s="1">
        <v>8777.1</v>
      </c>
      <c r="C71" s="34">
        <v>41000</v>
      </c>
      <c r="D71" s="1">
        <v>2406</v>
      </c>
      <c r="E71" s="34">
        <v>41000</v>
      </c>
      <c r="F71" s="1">
        <v>8.6</v>
      </c>
      <c r="G71" s="34">
        <v>41000</v>
      </c>
      <c r="H71" s="1">
        <v>0.92</v>
      </c>
      <c r="I71" s="34">
        <v>41000</v>
      </c>
      <c r="J71" s="1">
        <v>141.77000000000001</v>
      </c>
      <c r="K71" s="34">
        <v>41000</v>
      </c>
      <c r="L71" s="1">
        <v>8758.4</v>
      </c>
      <c r="M71" s="34">
        <v>41000</v>
      </c>
      <c r="N71" s="1">
        <v>1480.2</v>
      </c>
    </row>
    <row r="72" spans="1:14" x14ac:dyDescent="0.25">
      <c r="A72" s="34">
        <v>41030</v>
      </c>
      <c r="B72" s="1">
        <v>8789.9</v>
      </c>
      <c r="C72" s="34">
        <v>41030</v>
      </c>
      <c r="D72" s="1">
        <v>2235</v>
      </c>
      <c r="E72" s="34">
        <v>41030</v>
      </c>
      <c r="F72" s="1">
        <v>8.6</v>
      </c>
      <c r="G72" s="34">
        <v>41030</v>
      </c>
      <c r="H72" s="1">
        <v>1.44</v>
      </c>
      <c r="I72" s="34">
        <v>41030</v>
      </c>
      <c r="J72" s="1">
        <v>142.02000000000001</v>
      </c>
      <c r="K72" s="34">
        <v>41030</v>
      </c>
      <c r="L72" s="1">
        <v>8845.7999999999993</v>
      </c>
      <c r="M72" s="34">
        <v>41030</v>
      </c>
      <c r="N72" s="1">
        <v>1484.1</v>
      </c>
    </row>
    <row r="73" spans="1:14" x14ac:dyDescent="0.25">
      <c r="A73" s="34">
        <v>41061</v>
      </c>
      <c r="B73" s="1">
        <v>8791.6</v>
      </c>
      <c r="C73" s="34">
        <v>41061</v>
      </c>
      <c r="D73" s="1">
        <v>2218</v>
      </c>
      <c r="E73" s="34">
        <v>41061</v>
      </c>
      <c r="F73" s="1">
        <v>8.6999999999999993</v>
      </c>
      <c r="G73" s="34">
        <v>41061</v>
      </c>
      <c r="H73" s="1">
        <v>1.08</v>
      </c>
      <c r="I73" s="34">
        <v>41061</v>
      </c>
      <c r="J73" s="1">
        <v>142.28</v>
      </c>
      <c r="K73" s="34">
        <v>41061</v>
      </c>
      <c r="L73" s="1">
        <v>8871.7000000000007</v>
      </c>
      <c r="M73" s="34">
        <v>41061</v>
      </c>
      <c r="N73" s="1">
        <v>1470.8</v>
      </c>
    </row>
    <row r="74" spans="1:14" x14ac:dyDescent="0.25">
      <c r="A74" s="34">
        <v>41091</v>
      </c>
      <c r="B74" s="1">
        <v>8783.4</v>
      </c>
      <c r="C74" s="34">
        <v>41091</v>
      </c>
      <c r="D74" s="1">
        <v>2394</v>
      </c>
      <c r="E74" s="34">
        <v>41091</v>
      </c>
      <c r="F74" s="1">
        <v>8.6999999999999993</v>
      </c>
      <c r="G74" s="34">
        <v>41091</v>
      </c>
      <c r="H74" s="1">
        <v>1.82</v>
      </c>
      <c r="I74" s="34">
        <v>41091</v>
      </c>
      <c r="J74" s="1">
        <v>142.56</v>
      </c>
      <c r="K74" s="34">
        <v>41091</v>
      </c>
      <c r="L74" s="1">
        <v>8780.7000000000007</v>
      </c>
      <c r="M74" s="34">
        <v>41091</v>
      </c>
      <c r="N74" s="1">
        <v>1425.2</v>
      </c>
    </row>
    <row r="75" spans="1:14" x14ac:dyDescent="0.25">
      <c r="A75" s="34">
        <v>41122</v>
      </c>
      <c r="B75" s="1">
        <v>8805.9</v>
      </c>
      <c r="C75" s="34">
        <v>41122</v>
      </c>
      <c r="D75" s="1">
        <v>2373</v>
      </c>
      <c r="E75" s="34">
        <v>41122</v>
      </c>
      <c r="F75" s="1">
        <v>8.6</v>
      </c>
      <c r="G75" s="34">
        <v>41122</v>
      </c>
      <c r="H75" s="1">
        <v>2.0099999999999998</v>
      </c>
      <c r="I75" s="34">
        <v>41122</v>
      </c>
      <c r="J75" s="1">
        <v>142.9</v>
      </c>
      <c r="K75" s="34">
        <v>41122</v>
      </c>
      <c r="L75" s="1">
        <v>8768.5</v>
      </c>
      <c r="M75" s="34">
        <v>41122</v>
      </c>
      <c r="N75" s="1">
        <v>1407.5</v>
      </c>
    </row>
    <row r="76" spans="1:14" x14ac:dyDescent="0.25">
      <c r="A76" s="34">
        <v>41153</v>
      </c>
      <c r="B76" s="1">
        <v>8824.2999999999993</v>
      </c>
      <c r="C76" s="34">
        <v>41153</v>
      </c>
      <c r="D76" s="1">
        <v>2181</v>
      </c>
      <c r="E76" s="34">
        <v>41153</v>
      </c>
      <c r="F76" s="1">
        <v>8.4</v>
      </c>
      <c r="G76" s="34">
        <v>41153</v>
      </c>
      <c r="H76" s="1">
        <v>1.63</v>
      </c>
      <c r="I76" s="34">
        <v>41153</v>
      </c>
      <c r="J76" s="1">
        <v>143.29</v>
      </c>
      <c r="K76" s="34">
        <v>41153</v>
      </c>
      <c r="L76" s="1">
        <v>8821.2000000000007</v>
      </c>
      <c r="M76" s="34">
        <v>41153</v>
      </c>
      <c r="N76" s="1">
        <v>1427.1</v>
      </c>
    </row>
    <row r="77" spans="1:14" x14ac:dyDescent="0.25">
      <c r="A77" s="34">
        <v>41183</v>
      </c>
      <c r="B77" s="1">
        <v>8836.5</v>
      </c>
      <c r="C77" s="34">
        <v>41183</v>
      </c>
      <c r="D77" s="1">
        <v>2395</v>
      </c>
      <c r="E77" s="34">
        <v>41183</v>
      </c>
      <c r="F77" s="1">
        <v>8.3000000000000007</v>
      </c>
      <c r="G77" s="34">
        <v>41183</v>
      </c>
      <c r="H77" s="1">
        <v>0.91</v>
      </c>
      <c r="I77" s="34">
        <v>41183</v>
      </c>
      <c r="J77" s="1">
        <v>143.66</v>
      </c>
      <c r="K77" s="34">
        <v>41183</v>
      </c>
      <c r="L77" s="1">
        <v>8922.2999999999993</v>
      </c>
      <c r="M77" s="34">
        <v>41183</v>
      </c>
      <c r="N77" s="1">
        <v>1466.7</v>
      </c>
    </row>
    <row r="78" spans="1:14" x14ac:dyDescent="0.25">
      <c r="A78" s="34">
        <v>41214</v>
      </c>
      <c r="B78" s="1">
        <v>8814.2000000000007</v>
      </c>
      <c r="C78" s="34">
        <v>41214</v>
      </c>
      <c r="D78" s="1">
        <v>1696</v>
      </c>
      <c r="E78" s="34">
        <v>41214</v>
      </c>
      <c r="F78" s="1">
        <v>8.1999999999999993</v>
      </c>
      <c r="G78" s="34">
        <v>41214</v>
      </c>
      <c r="H78" s="1">
        <v>1.0900000000000001</v>
      </c>
      <c r="I78" s="34">
        <v>41214</v>
      </c>
      <c r="J78" s="1">
        <v>144.01</v>
      </c>
      <c r="K78" s="34">
        <v>41214</v>
      </c>
      <c r="L78" s="1">
        <v>8922.2999999999993</v>
      </c>
      <c r="M78" s="34">
        <v>41214</v>
      </c>
      <c r="N78" s="1">
        <v>1467.3</v>
      </c>
    </row>
    <row r="79" spans="1:14" x14ac:dyDescent="0.25">
      <c r="A79" s="34">
        <v>41244</v>
      </c>
      <c r="B79" s="1">
        <v>8849.9</v>
      </c>
      <c r="C79" s="34">
        <v>41244</v>
      </c>
      <c r="D79" s="1">
        <v>2023</v>
      </c>
      <c r="E79" s="34">
        <v>41244</v>
      </c>
      <c r="F79" s="1">
        <v>8.1999999999999993</v>
      </c>
      <c r="G79" s="34">
        <v>41244</v>
      </c>
      <c r="H79" s="1">
        <v>1.31</v>
      </c>
      <c r="I79" s="34">
        <v>41244</v>
      </c>
      <c r="J79" s="1">
        <v>144.33000000000001</v>
      </c>
      <c r="K79" s="34">
        <v>41244</v>
      </c>
      <c r="L79" s="1">
        <v>8973.5</v>
      </c>
      <c r="M79" s="34">
        <v>41244</v>
      </c>
      <c r="N79" s="1">
        <v>1473.1</v>
      </c>
    </row>
    <row r="80" spans="1:14" x14ac:dyDescent="0.25">
      <c r="A80" s="34">
        <v>41275</v>
      </c>
      <c r="B80" s="1">
        <v>8848.1</v>
      </c>
      <c r="C80" s="34">
        <v>41275</v>
      </c>
      <c r="D80" s="1">
        <v>2188</v>
      </c>
      <c r="E80" s="34">
        <v>41275</v>
      </c>
      <c r="F80" s="1">
        <v>8.1</v>
      </c>
      <c r="G80" s="34">
        <v>41275</v>
      </c>
      <c r="H80" s="1">
        <v>1.57</v>
      </c>
      <c r="I80" s="34">
        <v>41275</v>
      </c>
      <c r="J80" s="1">
        <v>144.65</v>
      </c>
      <c r="K80" s="34">
        <v>41275</v>
      </c>
      <c r="L80" s="1">
        <v>8660.7999999999993</v>
      </c>
      <c r="M80" s="34">
        <v>41275</v>
      </c>
      <c r="N80" s="1">
        <v>1426.4</v>
      </c>
    </row>
    <row r="81" spans="1:14" x14ac:dyDescent="0.25">
      <c r="A81" s="34">
        <v>41306</v>
      </c>
      <c r="B81" s="1">
        <v>8860.7999999999993</v>
      </c>
      <c r="C81" s="34">
        <v>41306</v>
      </c>
      <c r="D81" s="1">
        <v>1380</v>
      </c>
      <c r="E81" s="34">
        <v>41306</v>
      </c>
      <c r="F81" s="1">
        <v>8</v>
      </c>
      <c r="G81" s="34">
        <v>41306</v>
      </c>
      <c r="H81" s="1">
        <v>1.48</v>
      </c>
      <c r="I81" s="34">
        <v>41306</v>
      </c>
      <c r="J81" s="1">
        <v>144.99</v>
      </c>
      <c r="K81" s="34">
        <v>41306</v>
      </c>
      <c r="L81" s="1">
        <v>8736.6</v>
      </c>
      <c r="M81" s="34">
        <v>41306</v>
      </c>
      <c r="N81" s="1">
        <v>1457.4</v>
      </c>
    </row>
    <row r="82" spans="1:14" x14ac:dyDescent="0.25">
      <c r="A82" s="34">
        <v>41334</v>
      </c>
      <c r="B82" s="1">
        <v>8877.5</v>
      </c>
      <c r="C82" s="34">
        <v>41334</v>
      </c>
      <c r="D82" s="1">
        <v>1572</v>
      </c>
      <c r="E82" s="34">
        <v>41334</v>
      </c>
      <c r="F82" s="1">
        <v>7.9</v>
      </c>
      <c r="G82" s="34">
        <v>41334</v>
      </c>
      <c r="H82" s="1">
        <v>1.2</v>
      </c>
      <c r="I82" s="34">
        <v>41334</v>
      </c>
      <c r="J82" s="1">
        <v>145.34</v>
      </c>
      <c r="K82" s="34">
        <v>41334</v>
      </c>
      <c r="L82" s="1">
        <v>8794.4</v>
      </c>
      <c r="M82" s="34">
        <v>41334</v>
      </c>
      <c r="N82" s="1">
        <v>1460.1</v>
      </c>
    </row>
    <row r="83" spans="1:14" x14ac:dyDescent="0.25">
      <c r="A83" s="34">
        <v>41365</v>
      </c>
      <c r="B83" s="1">
        <v>8904.7999999999993</v>
      </c>
      <c r="C83" s="34">
        <v>41365</v>
      </c>
      <c r="D83" s="1">
        <v>2593</v>
      </c>
      <c r="E83" s="34">
        <v>41365</v>
      </c>
      <c r="F83" s="1">
        <v>7.8</v>
      </c>
      <c r="G83" s="34">
        <v>41365</v>
      </c>
      <c r="H83" s="1">
        <v>1.01</v>
      </c>
      <c r="I83" s="34">
        <v>41365</v>
      </c>
      <c r="J83" s="1">
        <v>145.68</v>
      </c>
      <c r="K83" s="34">
        <v>41365</v>
      </c>
      <c r="L83" s="1">
        <v>8889.2000000000007</v>
      </c>
      <c r="M83" s="34">
        <v>41365</v>
      </c>
      <c r="N83" s="1">
        <v>1460.7</v>
      </c>
    </row>
    <row r="84" spans="1:14" x14ac:dyDescent="0.25">
      <c r="A84" s="34">
        <v>41395</v>
      </c>
      <c r="B84" s="1">
        <v>8912.5</v>
      </c>
      <c r="C84" s="34">
        <v>41395</v>
      </c>
      <c r="D84" s="1">
        <v>2422</v>
      </c>
      <c r="E84" s="34">
        <v>41395</v>
      </c>
      <c r="F84" s="1">
        <v>7.8</v>
      </c>
      <c r="G84" s="34">
        <v>41395</v>
      </c>
      <c r="H84" s="1">
        <v>0.79</v>
      </c>
      <c r="I84" s="34">
        <v>41395</v>
      </c>
      <c r="J84" s="1">
        <v>145.97</v>
      </c>
      <c r="K84" s="34">
        <v>41395</v>
      </c>
      <c r="L84" s="1">
        <v>8960.6</v>
      </c>
      <c r="M84" s="34">
        <v>41395</v>
      </c>
      <c r="N84" s="1">
        <v>1466.8</v>
      </c>
    </row>
    <row r="85" spans="1:14" x14ac:dyDescent="0.25">
      <c r="A85" s="34">
        <v>41426</v>
      </c>
      <c r="B85" s="1">
        <v>8915</v>
      </c>
      <c r="C85" s="34">
        <v>41426</v>
      </c>
      <c r="D85" s="1">
        <v>4115</v>
      </c>
      <c r="E85" s="34">
        <v>41426</v>
      </c>
      <c r="F85" s="1">
        <v>7.8</v>
      </c>
      <c r="G85" s="34">
        <v>41426</v>
      </c>
      <c r="H85" s="1">
        <v>1.44</v>
      </c>
      <c r="I85" s="34">
        <v>41426</v>
      </c>
      <c r="J85" s="1">
        <v>146.26</v>
      </c>
      <c r="K85" s="34">
        <v>41426</v>
      </c>
      <c r="L85" s="1">
        <v>8980.9</v>
      </c>
      <c r="M85" s="34">
        <v>41426</v>
      </c>
      <c r="N85" s="1">
        <v>1453.7</v>
      </c>
    </row>
    <row r="86" spans="1:14" x14ac:dyDescent="0.25">
      <c r="A86" s="34">
        <v>41456</v>
      </c>
      <c r="B86" s="1">
        <v>8927.4</v>
      </c>
      <c r="C86" s="34">
        <v>41456</v>
      </c>
      <c r="D86" s="1">
        <v>2847</v>
      </c>
      <c r="E86" s="34">
        <v>41456</v>
      </c>
      <c r="F86" s="1">
        <v>7.7</v>
      </c>
      <c r="G86" s="34">
        <v>41456</v>
      </c>
      <c r="H86" s="1">
        <v>1.64</v>
      </c>
      <c r="I86" s="34">
        <v>41456</v>
      </c>
      <c r="J86" s="1">
        <v>146.55000000000001</v>
      </c>
      <c r="K86" s="34">
        <v>41456</v>
      </c>
      <c r="L86" s="1">
        <v>8922.9</v>
      </c>
      <c r="M86" s="34">
        <v>41456</v>
      </c>
      <c r="N86" s="1">
        <v>1414.4</v>
      </c>
    </row>
    <row r="87" spans="1:14" x14ac:dyDescent="0.25">
      <c r="A87" s="34">
        <v>41487</v>
      </c>
      <c r="B87" s="1">
        <v>8933.2000000000007</v>
      </c>
      <c r="C87" s="34">
        <v>41487</v>
      </c>
      <c r="D87" s="1">
        <v>4003</v>
      </c>
      <c r="E87" s="34">
        <v>41487</v>
      </c>
      <c r="F87" s="1">
        <v>7.7</v>
      </c>
      <c r="G87" s="34">
        <v>41487</v>
      </c>
      <c r="H87" s="1">
        <v>1.38</v>
      </c>
      <c r="I87" s="34">
        <v>41487</v>
      </c>
      <c r="J87" s="1">
        <v>146.87</v>
      </c>
      <c r="K87" s="34">
        <v>41487</v>
      </c>
      <c r="L87" s="1">
        <v>8893.4</v>
      </c>
      <c r="M87" s="34">
        <v>41487</v>
      </c>
      <c r="N87" s="1">
        <v>1398.2</v>
      </c>
    </row>
    <row r="88" spans="1:14" x14ac:dyDescent="0.25">
      <c r="A88" s="34">
        <v>41518</v>
      </c>
      <c r="B88" s="1">
        <v>8938.9</v>
      </c>
      <c r="C88" s="34">
        <v>41518</v>
      </c>
      <c r="D88" s="1">
        <v>2681</v>
      </c>
      <c r="E88" s="34">
        <v>41518</v>
      </c>
      <c r="F88" s="1">
        <v>7.5</v>
      </c>
      <c r="G88" s="34">
        <v>41518</v>
      </c>
      <c r="H88" s="1">
        <v>1.64</v>
      </c>
      <c r="I88" s="34">
        <v>41518</v>
      </c>
      <c r="J88" s="1">
        <v>147.21</v>
      </c>
      <c r="K88" s="34">
        <v>41518</v>
      </c>
      <c r="L88" s="1">
        <v>8935.7999999999993</v>
      </c>
      <c r="M88" s="34">
        <v>41518</v>
      </c>
      <c r="N88" s="1">
        <v>1410.9</v>
      </c>
    </row>
    <row r="89" spans="1:14" x14ac:dyDescent="0.25">
      <c r="A89" s="34">
        <v>41548</v>
      </c>
      <c r="B89" s="1">
        <v>8942.7000000000007</v>
      </c>
      <c r="C89" s="34">
        <v>41548</v>
      </c>
      <c r="D89" s="1">
        <v>2854</v>
      </c>
      <c r="E89" s="34">
        <v>41548</v>
      </c>
      <c r="F89" s="1">
        <v>7.4</v>
      </c>
      <c r="G89" s="34">
        <v>41548</v>
      </c>
      <c r="H89" s="1">
        <v>1.61</v>
      </c>
      <c r="I89" s="34">
        <v>41548</v>
      </c>
      <c r="J89" s="1">
        <v>147.58000000000001</v>
      </c>
      <c r="K89" s="34">
        <v>41548</v>
      </c>
      <c r="L89" s="1">
        <v>9022.5</v>
      </c>
      <c r="M89" s="34">
        <v>41548</v>
      </c>
      <c r="N89" s="1">
        <v>1450.4</v>
      </c>
    </row>
    <row r="90" spans="1:14" x14ac:dyDescent="0.25">
      <c r="A90" s="34">
        <v>41579</v>
      </c>
      <c r="B90" s="1">
        <v>8959</v>
      </c>
      <c r="C90" s="34">
        <v>41579</v>
      </c>
      <c r="D90" s="1">
        <v>2618</v>
      </c>
      <c r="E90" s="34">
        <v>41579</v>
      </c>
      <c r="F90" s="1">
        <v>7.1</v>
      </c>
      <c r="G90" s="34">
        <v>41579</v>
      </c>
      <c r="H90" s="1">
        <v>1.78</v>
      </c>
      <c r="I90" s="34">
        <v>41579</v>
      </c>
      <c r="J90" s="1">
        <v>147.97999999999999</v>
      </c>
      <c r="K90" s="34">
        <v>41579</v>
      </c>
      <c r="L90" s="1">
        <v>9059.4</v>
      </c>
      <c r="M90" s="34">
        <v>41579</v>
      </c>
      <c r="N90" s="1">
        <v>1463.9</v>
      </c>
    </row>
    <row r="91" spans="1:14" x14ac:dyDescent="0.25">
      <c r="A91" s="34">
        <v>41609</v>
      </c>
      <c r="B91" s="1">
        <v>8966.9</v>
      </c>
      <c r="C91" s="34">
        <v>41609</v>
      </c>
      <c r="D91" s="1">
        <v>3919</v>
      </c>
      <c r="E91" s="34">
        <v>41609</v>
      </c>
      <c r="F91" s="1">
        <v>7</v>
      </c>
      <c r="G91" s="34">
        <v>41609</v>
      </c>
      <c r="H91" s="1">
        <v>1.25</v>
      </c>
      <c r="I91" s="34">
        <v>41609</v>
      </c>
      <c r="J91" s="1">
        <v>148.37</v>
      </c>
      <c r="K91" s="34">
        <v>41609</v>
      </c>
      <c r="L91" s="1">
        <v>9045.2999999999993</v>
      </c>
      <c r="M91" s="34">
        <v>41609</v>
      </c>
      <c r="N91" s="1">
        <v>1466.7</v>
      </c>
    </row>
    <row r="92" spans="1:14" x14ac:dyDescent="0.25">
      <c r="A92" s="34">
        <v>41640</v>
      </c>
      <c r="B92" s="1">
        <v>8968.6</v>
      </c>
      <c r="C92" s="34">
        <v>41640</v>
      </c>
      <c r="D92" s="1">
        <v>1222</v>
      </c>
      <c r="E92" s="34">
        <v>41640</v>
      </c>
      <c r="F92" s="1">
        <v>6.8</v>
      </c>
      <c r="G92" s="34">
        <v>41640</v>
      </c>
      <c r="H92" s="1">
        <v>1.22</v>
      </c>
      <c r="I92" s="34">
        <v>41640</v>
      </c>
      <c r="J92" s="1">
        <v>148.74</v>
      </c>
      <c r="K92" s="34">
        <v>41640</v>
      </c>
      <c r="L92" s="1">
        <v>8777.7000000000007</v>
      </c>
      <c r="M92" s="34">
        <v>41640</v>
      </c>
      <c r="N92" s="1">
        <v>1422.8</v>
      </c>
    </row>
    <row r="93" spans="1:14" x14ac:dyDescent="0.25">
      <c r="A93" s="34">
        <v>41671</v>
      </c>
      <c r="B93" s="1">
        <v>8981.9</v>
      </c>
      <c r="C93" s="34">
        <v>41671</v>
      </c>
      <c r="D93" s="1">
        <v>2001</v>
      </c>
      <c r="E93" s="34">
        <v>41671</v>
      </c>
      <c r="F93" s="1">
        <v>6.8</v>
      </c>
      <c r="G93" s="34">
        <v>41671</v>
      </c>
      <c r="H93" s="1">
        <v>0.88</v>
      </c>
      <c r="I93" s="34">
        <v>41671</v>
      </c>
      <c r="J93" s="1">
        <v>149.06</v>
      </c>
      <c r="K93" s="34">
        <v>41671</v>
      </c>
      <c r="L93" s="1">
        <v>8844.7000000000007</v>
      </c>
      <c r="M93" s="34">
        <v>41671</v>
      </c>
      <c r="N93" s="1">
        <v>1452.3</v>
      </c>
    </row>
    <row r="94" spans="1:14" x14ac:dyDescent="0.25">
      <c r="A94" s="34">
        <v>41699</v>
      </c>
      <c r="B94" s="1">
        <v>8982.2999999999993</v>
      </c>
      <c r="C94" s="34">
        <v>41699</v>
      </c>
      <c r="D94" s="1">
        <v>4492</v>
      </c>
      <c r="E94" s="34">
        <v>41699</v>
      </c>
      <c r="F94" s="1">
        <v>6.9</v>
      </c>
      <c r="G94" s="34">
        <v>41699</v>
      </c>
      <c r="H94" s="1">
        <v>1.64</v>
      </c>
      <c r="I94" s="34">
        <v>41699</v>
      </c>
      <c r="J94" s="1">
        <v>149.37</v>
      </c>
      <c r="K94" s="34">
        <v>41699</v>
      </c>
      <c r="L94" s="1">
        <v>8899.4</v>
      </c>
      <c r="M94" s="34">
        <v>41699</v>
      </c>
      <c r="N94" s="1">
        <v>1455.6</v>
      </c>
    </row>
    <row r="95" spans="1:14" x14ac:dyDescent="0.25">
      <c r="A95" s="34">
        <v>41730</v>
      </c>
      <c r="B95" s="1">
        <v>8988</v>
      </c>
      <c r="C95" s="34">
        <v>41730</v>
      </c>
      <c r="D95" s="1">
        <v>3226</v>
      </c>
      <c r="E95" s="34">
        <v>41730</v>
      </c>
      <c r="F95" s="1">
        <v>6.7</v>
      </c>
      <c r="G95" s="34">
        <v>41730</v>
      </c>
      <c r="H95" s="1">
        <v>1.93</v>
      </c>
      <c r="I95" s="34">
        <v>41730</v>
      </c>
      <c r="J95" s="1">
        <v>149.72</v>
      </c>
      <c r="K95" s="34">
        <v>41730</v>
      </c>
      <c r="L95" s="1">
        <v>8982.7999999999993</v>
      </c>
      <c r="M95" s="34">
        <v>41730</v>
      </c>
      <c r="N95" s="1">
        <v>1456.5</v>
      </c>
    </row>
    <row r="96" spans="1:14" x14ac:dyDescent="0.25">
      <c r="A96" s="34">
        <v>41760</v>
      </c>
      <c r="B96" s="1">
        <v>9007.5</v>
      </c>
      <c r="C96" s="34">
        <v>41760</v>
      </c>
      <c r="D96" s="1">
        <v>3195</v>
      </c>
      <c r="E96" s="34">
        <v>41760</v>
      </c>
      <c r="F96" s="1">
        <v>6.7</v>
      </c>
      <c r="G96" s="34">
        <v>41760</v>
      </c>
      <c r="H96" s="1">
        <v>1.2</v>
      </c>
      <c r="I96" s="34">
        <v>41760</v>
      </c>
      <c r="J96" s="1">
        <v>150.08000000000001</v>
      </c>
      <c r="K96" s="34">
        <v>41760</v>
      </c>
      <c r="L96" s="1">
        <v>9057.2999999999993</v>
      </c>
      <c r="M96" s="34">
        <v>41760</v>
      </c>
      <c r="N96" s="1">
        <v>1461.1</v>
      </c>
    </row>
    <row r="97" spans="1:14" x14ac:dyDescent="0.25">
      <c r="A97" s="34">
        <v>41791</v>
      </c>
      <c r="B97" s="1">
        <v>9026.2999999999993</v>
      </c>
      <c r="C97" s="34">
        <v>41791</v>
      </c>
      <c r="D97" s="1">
        <v>2780</v>
      </c>
      <c r="E97" s="34">
        <v>41791</v>
      </c>
      <c r="F97" s="1">
        <v>6.6</v>
      </c>
      <c r="G97" s="34">
        <v>41791</v>
      </c>
      <c r="H97" s="1">
        <v>1.43</v>
      </c>
      <c r="I97" s="34">
        <v>41791</v>
      </c>
      <c r="J97" s="1">
        <v>150.46</v>
      </c>
      <c r="K97" s="34">
        <v>41791</v>
      </c>
      <c r="L97" s="1">
        <v>9108.9</v>
      </c>
      <c r="M97" s="34">
        <v>41791</v>
      </c>
      <c r="N97" s="1">
        <v>1448.1</v>
      </c>
    </row>
    <row r="98" spans="1:14" x14ac:dyDescent="0.25">
      <c r="A98" s="34">
        <v>41821</v>
      </c>
      <c r="B98" s="1">
        <v>9039.9</v>
      </c>
      <c r="C98" s="34">
        <v>41821</v>
      </c>
      <c r="D98" s="1">
        <v>3683</v>
      </c>
      <c r="E98" s="34">
        <v>41821</v>
      </c>
      <c r="F98" s="1">
        <v>6.6</v>
      </c>
      <c r="G98" s="34">
        <v>41821</v>
      </c>
      <c r="H98" s="1">
        <v>1.03</v>
      </c>
      <c r="I98" s="34">
        <v>41821</v>
      </c>
      <c r="J98" s="1">
        <v>150.82</v>
      </c>
      <c r="K98" s="34">
        <v>41821</v>
      </c>
      <c r="L98" s="1">
        <v>9055</v>
      </c>
      <c r="M98" s="34">
        <v>41821</v>
      </c>
      <c r="N98" s="1">
        <v>1408.1</v>
      </c>
    </row>
    <row r="99" spans="1:14" x14ac:dyDescent="0.25">
      <c r="A99" s="34">
        <v>41852</v>
      </c>
      <c r="B99" s="1">
        <v>9048</v>
      </c>
      <c r="C99" s="34">
        <v>41852</v>
      </c>
      <c r="D99" s="1">
        <v>2912</v>
      </c>
      <c r="E99" s="34">
        <v>41852</v>
      </c>
      <c r="F99" s="1">
        <v>6.4</v>
      </c>
      <c r="G99" s="34">
        <v>41852</v>
      </c>
      <c r="H99" s="1">
        <v>1.1299999999999999</v>
      </c>
      <c r="I99" s="34">
        <v>41852</v>
      </c>
      <c r="J99" s="1">
        <v>151.15</v>
      </c>
      <c r="K99" s="34">
        <v>41852</v>
      </c>
      <c r="L99" s="1">
        <v>9035.7000000000007</v>
      </c>
      <c r="M99" s="34">
        <v>41852</v>
      </c>
      <c r="N99" s="1">
        <v>1392.4</v>
      </c>
    </row>
    <row r="100" spans="1:14" x14ac:dyDescent="0.25">
      <c r="A100" s="34">
        <v>41883</v>
      </c>
      <c r="B100" s="1">
        <v>9049.1</v>
      </c>
      <c r="C100" s="34">
        <v>41883</v>
      </c>
      <c r="D100" s="1">
        <v>3886</v>
      </c>
      <c r="E100" s="34">
        <v>41883</v>
      </c>
      <c r="F100" s="1">
        <v>6.2</v>
      </c>
      <c r="G100" s="34">
        <v>41883</v>
      </c>
      <c r="H100" s="1">
        <v>0.78</v>
      </c>
      <c r="I100" s="34">
        <v>41883</v>
      </c>
      <c r="J100" s="1">
        <v>151.44999999999999</v>
      </c>
      <c r="K100" s="34">
        <v>41883</v>
      </c>
      <c r="L100" s="1">
        <v>9049.5</v>
      </c>
      <c r="M100" s="34">
        <v>41883</v>
      </c>
      <c r="N100" s="1">
        <v>1407.3</v>
      </c>
    </row>
    <row r="101" spans="1:14" x14ac:dyDescent="0.25">
      <c r="A101" s="34">
        <v>41913</v>
      </c>
      <c r="B101" s="1">
        <v>9045.6</v>
      </c>
      <c r="C101" s="34">
        <v>41913</v>
      </c>
      <c r="D101" s="1">
        <v>2217</v>
      </c>
      <c r="E101" s="34">
        <v>41913</v>
      </c>
      <c r="F101" s="1">
        <v>6</v>
      </c>
      <c r="G101" s="34">
        <v>41913</v>
      </c>
      <c r="H101" s="1">
        <v>0.51</v>
      </c>
      <c r="I101" s="34">
        <v>41913</v>
      </c>
      <c r="J101" s="1">
        <v>151.69</v>
      </c>
      <c r="K101" s="34">
        <v>41913</v>
      </c>
      <c r="L101" s="1">
        <v>9131.2000000000007</v>
      </c>
      <c r="M101" s="34">
        <v>41913</v>
      </c>
      <c r="N101" s="1">
        <v>1446.9</v>
      </c>
    </row>
    <row r="102" spans="1:14" x14ac:dyDescent="0.25">
      <c r="A102" s="34">
        <v>41944</v>
      </c>
      <c r="B102" s="1">
        <v>9041.7999999999993</v>
      </c>
      <c r="C102" s="34">
        <v>41944</v>
      </c>
      <c r="D102" s="1">
        <v>2853</v>
      </c>
      <c r="E102" s="34">
        <v>41944</v>
      </c>
      <c r="F102" s="1">
        <v>5.9</v>
      </c>
      <c r="G102" s="34">
        <v>41944</v>
      </c>
      <c r="H102" s="1">
        <v>0.51</v>
      </c>
      <c r="I102" s="34">
        <v>41944</v>
      </c>
      <c r="J102" s="1">
        <v>151.88</v>
      </c>
      <c r="K102" s="34">
        <v>41944</v>
      </c>
      <c r="L102" s="1">
        <v>9147.2000000000007</v>
      </c>
      <c r="M102" s="34">
        <v>41944</v>
      </c>
      <c r="N102" s="1">
        <v>1454.6</v>
      </c>
    </row>
    <row r="103" spans="1:14" x14ac:dyDescent="0.25">
      <c r="A103" s="34">
        <v>41974</v>
      </c>
      <c r="B103" s="1">
        <v>9072.2000000000007</v>
      </c>
      <c r="E103" s="34">
        <v>41974</v>
      </c>
      <c r="F103" s="1">
        <v>5.8</v>
      </c>
      <c r="K103" s="34">
        <v>41974</v>
      </c>
      <c r="L103" s="1">
        <v>9150.5</v>
      </c>
      <c r="M103" s="34">
        <v>41974</v>
      </c>
      <c r="N103" s="1">
        <v>1457.7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P103"/>
  <sheetViews>
    <sheetView topLeftCell="A77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248</v>
      </c>
      <c r="C1" s="34" t="s">
        <v>249</v>
      </c>
      <c r="E1" s="34" t="s">
        <v>250</v>
      </c>
      <c r="G1" s="34" t="s">
        <v>251</v>
      </c>
      <c r="I1" s="34" t="s">
        <v>252</v>
      </c>
      <c r="K1" s="34" t="str">
        <f>CONCATENATE(LEFT(A1,2), "NAN")</f>
        <v>OHNAN</v>
      </c>
      <c r="M1" s="34" t="str">
        <f>CONCATENATE(LEFT(A1,2), "GOVTN")</f>
        <v>OHGOVTN</v>
      </c>
      <c r="O1" s="34" t="str">
        <f>CONCATENATE(LEFT($A$1,2), "RGSP")</f>
        <v>OHRGSP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961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914</v>
      </c>
      <c r="C5" s="35" t="s">
        <v>379</v>
      </c>
      <c r="E5" s="35" t="s">
        <v>380</v>
      </c>
      <c r="G5" s="35" t="s">
        <v>381</v>
      </c>
      <c r="I5" s="35" t="s">
        <v>382</v>
      </c>
      <c r="K5" s="35" t="s">
        <v>914</v>
      </c>
      <c r="M5" s="35" t="s">
        <v>915</v>
      </c>
      <c r="O5" s="35" t="s">
        <v>785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5435.9</v>
      </c>
      <c r="C8" s="34">
        <v>39083</v>
      </c>
      <c r="D8" s="1">
        <v>2125</v>
      </c>
      <c r="E8" s="34">
        <v>39083</v>
      </c>
      <c r="F8" s="1">
        <v>5.4</v>
      </c>
      <c r="G8" s="34">
        <v>39083</v>
      </c>
      <c r="H8" s="1">
        <v>0.11</v>
      </c>
      <c r="I8" s="34">
        <v>39083</v>
      </c>
      <c r="J8" s="1">
        <v>146.91</v>
      </c>
      <c r="K8" s="34">
        <v>39083</v>
      </c>
      <c r="L8" s="1">
        <v>5323.1</v>
      </c>
      <c r="M8" s="34">
        <v>39083</v>
      </c>
      <c r="N8" s="1">
        <v>793.8</v>
      </c>
      <c r="O8" s="34">
        <v>39083</v>
      </c>
      <c r="P8" s="1">
        <v>508674</v>
      </c>
    </row>
    <row r="9" spans="1:16" x14ac:dyDescent="0.25">
      <c r="A9" s="34">
        <v>39114</v>
      </c>
      <c r="B9" s="1">
        <v>5417.4</v>
      </c>
      <c r="C9" s="34">
        <v>39114</v>
      </c>
      <c r="D9" s="1">
        <v>2178</v>
      </c>
      <c r="E9" s="34">
        <v>39114</v>
      </c>
      <c r="F9" s="1">
        <v>5.4</v>
      </c>
      <c r="G9" s="34">
        <v>39114</v>
      </c>
      <c r="H9" s="1">
        <v>0.03</v>
      </c>
      <c r="I9" s="34">
        <v>39114</v>
      </c>
      <c r="J9" s="1">
        <v>147.16</v>
      </c>
      <c r="K9" s="34">
        <v>39114</v>
      </c>
      <c r="L9" s="1">
        <v>5319.8</v>
      </c>
      <c r="M9" s="34">
        <v>39114</v>
      </c>
      <c r="N9" s="1">
        <v>807.7</v>
      </c>
      <c r="O9" s="34">
        <v>39448</v>
      </c>
      <c r="P9" s="1">
        <v>500865</v>
      </c>
    </row>
    <row r="10" spans="1:16" x14ac:dyDescent="0.25">
      <c r="A10" s="34">
        <v>39142</v>
      </c>
      <c r="B10" s="1">
        <v>5431.5</v>
      </c>
      <c r="C10" s="34">
        <v>39142</v>
      </c>
      <c r="D10" s="1">
        <v>2915</v>
      </c>
      <c r="E10" s="34">
        <v>39142</v>
      </c>
      <c r="F10" s="1">
        <v>5.5</v>
      </c>
      <c r="G10" s="34">
        <v>39142</v>
      </c>
      <c r="H10" s="1">
        <v>-0.2</v>
      </c>
      <c r="I10" s="34">
        <v>39142</v>
      </c>
      <c r="J10" s="1">
        <v>147.31</v>
      </c>
      <c r="K10" s="34">
        <v>39142</v>
      </c>
      <c r="L10" s="1">
        <v>5367.7</v>
      </c>
      <c r="M10" s="34">
        <v>39142</v>
      </c>
      <c r="N10" s="1">
        <v>811.3</v>
      </c>
      <c r="O10" s="34">
        <v>39814</v>
      </c>
      <c r="P10" s="1">
        <v>476170</v>
      </c>
    </row>
    <row r="11" spans="1:16" x14ac:dyDescent="0.25">
      <c r="A11" s="34">
        <v>39173</v>
      </c>
      <c r="B11" s="1">
        <v>5432.9</v>
      </c>
      <c r="C11" s="34">
        <v>39173</v>
      </c>
      <c r="D11" s="1">
        <v>2951</v>
      </c>
      <c r="E11" s="34">
        <v>39173</v>
      </c>
      <c r="F11" s="1">
        <v>5.5</v>
      </c>
      <c r="G11" s="34">
        <v>39173</v>
      </c>
      <c r="H11" s="1">
        <v>-0.5</v>
      </c>
      <c r="I11" s="34">
        <v>39173</v>
      </c>
      <c r="J11" s="1">
        <v>147.37</v>
      </c>
      <c r="K11" s="34">
        <v>39173</v>
      </c>
      <c r="L11" s="1">
        <v>5416</v>
      </c>
      <c r="M11" s="34">
        <v>39173</v>
      </c>
      <c r="N11" s="1">
        <v>810.7</v>
      </c>
      <c r="O11" s="34">
        <v>40179</v>
      </c>
      <c r="P11" s="1">
        <v>488557</v>
      </c>
    </row>
    <row r="12" spans="1:16" x14ac:dyDescent="0.25">
      <c r="A12" s="34">
        <v>39203</v>
      </c>
      <c r="B12" s="1">
        <v>5434.9</v>
      </c>
      <c r="C12" s="34">
        <v>39203</v>
      </c>
      <c r="D12" s="1">
        <v>3529</v>
      </c>
      <c r="E12" s="34">
        <v>39203</v>
      </c>
      <c r="F12" s="1">
        <v>5.6</v>
      </c>
      <c r="G12" s="34">
        <v>39203</v>
      </c>
      <c r="H12" s="1">
        <v>-0.55000000000000004</v>
      </c>
      <c r="I12" s="34">
        <v>39203</v>
      </c>
      <c r="J12" s="1">
        <v>147.4</v>
      </c>
      <c r="K12" s="34">
        <v>39203</v>
      </c>
      <c r="L12" s="1">
        <v>5473.4</v>
      </c>
      <c r="M12" s="34">
        <v>39203</v>
      </c>
      <c r="N12" s="1">
        <v>814.4</v>
      </c>
      <c r="O12" s="34">
        <v>40544</v>
      </c>
      <c r="P12" s="1">
        <v>501335</v>
      </c>
    </row>
    <row r="13" spans="1:16" x14ac:dyDescent="0.25">
      <c r="A13" s="34">
        <v>39234</v>
      </c>
      <c r="B13" s="1">
        <v>5438.2</v>
      </c>
      <c r="C13" s="34">
        <v>39234</v>
      </c>
      <c r="D13" s="1">
        <v>3373</v>
      </c>
      <c r="E13" s="34">
        <v>39234</v>
      </c>
      <c r="F13" s="1">
        <v>5.7</v>
      </c>
      <c r="G13" s="34">
        <v>39234</v>
      </c>
      <c r="H13" s="1">
        <v>-0.82</v>
      </c>
      <c r="I13" s="34">
        <v>39234</v>
      </c>
      <c r="J13" s="1">
        <v>147.34</v>
      </c>
      <c r="K13" s="34">
        <v>39234</v>
      </c>
      <c r="L13" s="1">
        <v>5492.1</v>
      </c>
      <c r="M13" s="34">
        <v>39234</v>
      </c>
      <c r="N13" s="1">
        <v>796.1</v>
      </c>
      <c r="O13" s="34">
        <v>40909</v>
      </c>
      <c r="P13" s="1">
        <v>517064</v>
      </c>
    </row>
    <row r="14" spans="1:16" x14ac:dyDescent="0.25">
      <c r="A14" s="34">
        <v>39264</v>
      </c>
      <c r="B14" s="1">
        <v>5427.4</v>
      </c>
      <c r="C14" s="34">
        <v>39264</v>
      </c>
      <c r="D14" s="1">
        <v>3061</v>
      </c>
      <c r="E14" s="34">
        <v>39264</v>
      </c>
      <c r="F14" s="1">
        <v>5.8</v>
      </c>
      <c r="G14" s="34">
        <v>39264</v>
      </c>
      <c r="H14" s="1">
        <v>-0.69</v>
      </c>
      <c r="I14" s="34">
        <v>39264</v>
      </c>
      <c r="J14" s="1">
        <v>147.18</v>
      </c>
      <c r="K14" s="34">
        <v>39264</v>
      </c>
      <c r="L14" s="1">
        <v>5422.6</v>
      </c>
      <c r="M14" s="34">
        <v>39264</v>
      </c>
      <c r="N14" s="1">
        <v>756.9</v>
      </c>
      <c r="O14" s="34">
        <v>41275</v>
      </c>
      <c r="P14" s="1">
        <v>526196</v>
      </c>
    </row>
    <row r="15" spans="1:16" x14ac:dyDescent="0.25">
      <c r="A15" s="34">
        <v>39295</v>
      </c>
      <c r="B15" s="1">
        <v>5420.5</v>
      </c>
      <c r="C15" s="34">
        <v>39295</v>
      </c>
      <c r="D15" s="1">
        <v>2903</v>
      </c>
      <c r="E15" s="34">
        <v>39295</v>
      </c>
      <c r="F15" s="1">
        <v>5.8</v>
      </c>
      <c r="G15" s="34">
        <v>39295</v>
      </c>
      <c r="H15" s="1">
        <v>-0.72</v>
      </c>
      <c r="I15" s="34">
        <v>39295</v>
      </c>
      <c r="J15" s="1">
        <v>146.97</v>
      </c>
      <c r="K15" s="34">
        <v>39295</v>
      </c>
      <c r="L15" s="1">
        <v>5436.8</v>
      </c>
      <c r="M15" s="34">
        <v>39295</v>
      </c>
      <c r="N15" s="1">
        <v>755.1</v>
      </c>
    </row>
    <row r="16" spans="1:16" x14ac:dyDescent="0.25">
      <c r="A16" s="34">
        <v>39326</v>
      </c>
      <c r="B16" s="1">
        <v>5416.7</v>
      </c>
      <c r="C16" s="34">
        <v>39326</v>
      </c>
      <c r="D16" s="1">
        <v>2454</v>
      </c>
      <c r="E16" s="34">
        <v>39326</v>
      </c>
      <c r="F16" s="1">
        <v>5.8</v>
      </c>
      <c r="G16" s="34">
        <v>39326</v>
      </c>
      <c r="H16" s="1">
        <v>-0.96</v>
      </c>
      <c r="I16" s="34">
        <v>39326</v>
      </c>
      <c r="J16" s="1">
        <v>146.69</v>
      </c>
      <c r="K16" s="34">
        <v>39326</v>
      </c>
      <c r="L16" s="1">
        <v>5450.3</v>
      </c>
      <c r="M16" s="34">
        <v>39326</v>
      </c>
      <c r="N16" s="1">
        <v>789.3</v>
      </c>
    </row>
    <row r="17" spans="1:14" x14ac:dyDescent="0.25">
      <c r="A17" s="34">
        <v>39356</v>
      </c>
      <c r="B17" s="1">
        <v>5419.8</v>
      </c>
      <c r="C17" s="34">
        <v>39356</v>
      </c>
      <c r="D17" s="1">
        <v>2542</v>
      </c>
      <c r="E17" s="34">
        <v>39356</v>
      </c>
      <c r="F17" s="1">
        <v>5.8</v>
      </c>
      <c r="G17" s="34">
        <v>39356</v>
      </c>
      <c r="H17" s="1">
        <v>0.16</v>
      </c>
      <c r="I17" s="34">
        <v>39356</v>
      </c>
      <c r="J17" s="1">
        <v>146.59</v>
      </c>
      <c r="K17" s="34">
        <v>39356</v>
      </c>
      <c r="L17" s="1">
        <v>5463.3</v>
      </c>
      <c r="M17" s="34">
        <v>39356</v>
      </c>
      <c r="N17" s="1">
        <v>809.3</v>
      </c>
    </row>
    <row r="18" spans="1:14" x14ac:dyDescent="0.25">
      <c r="A18" s="34">
        <v>39387</v>
      </c>
      <c r="B18" s="1">
        <v>5421.5</v>
      </c>
      <c r="C18" s="34">
        <v>39387</v>
      </c>
      <c r="D18" s="1">
        <v>2367</v>
      </c>
      <c r="E18" s="34">
        <v>39387</v>
      </c>
      <c r="F18" s="1">
        <v>5.7</v>
      </c>
      <c r="G18" s="34">
        <v>39387</v>
      </c>
      <c r="H18" s="1">
        <v>0.51</v>
      </c>
      <c r="I18" s="34">
        <v>39387</v>
      </c>
      <c r="J18" s="1">
        <v>146.74</v>
      </c>
      <c r="K18" s="34">
        <v>39387</v>
      </c>
      <c r="L18" s="1">
        <v>5480.6</v>
      </c>
      <c r="M18" s="34">
        <v>39387</v>
      </c>
      <c r="N18" s="1">
        <v>813.3</v>
      </c>
    </row>
    <row r="19" spans="1:14" x14ac:dyDescent="0.25">
      <c r="A19" s="34">
        <v>39417</v>
      </c>
      <c r="B19" s="1">
        <v>5418.2</v>
      </c>
      <c r="C19" s="34">
        <v>39417</v>
      </c>
      <c r="D19" s="1">
        <v>1701</v>
      </c>
      <c r="E19" s="34">
        <v>39417</v>
      </c>
      <c r="F19" s="1">
        <v>5.7</v>
      </c>
      <c r="G19" s="34">
        <v>39417</v>
      </c>
      <c r="H19" s="1">
        <v>-0.41</v>
      </c>
      <c r="I19" s="34">
        <v>39417</v>
      </c>
      <c r="J19" s="1">
        <v>146.79</v>
      </c>
      <c r="K19" s="34">
        <v>39417</v>
      </c>
      <c r="L19" s="1">
        <v>5470.2</v>
      </c>
      <c r="M19" s="34">
        <v>39417</v>
      </c>
      <c r="N19" s="1">
        <v>806.7</v>
      </c>
    </row>
    <row r="20" spans="1:14" x14ac:dyDescent="0.25">
      <c r="A20" s="34">
        <v>39448</v>
      </c>
      <c r="B20" s="1">
        <v>5426.5</v>
      </c>
      <c r="C20" s="34">
        <v>39448</v>
      </c>
      <c r="D20" s="1">
        <v>1452</v>
      </c>
      <c r="E20" s="34">
        <v>39448</v>
      </c>
      <c r="F20" s="1">
        <v>5.7</v>
      </c>
      <c r="G20" s="34">
        <v>39448</v>
      </c>
      <c r="H20" s="1">
        <v>-0.49</v>
      </c>
      <c r="I20" s="34">
        <v>39448</v>
      </c>
      <c r="J20" s="1">
        <v>146.69999999999999</v>
      </c>
      <c r="K20" s="34">
        <v>39448</v>
      </c>
      <c r="L20" s="1">
        <v>5314.4</v>
      </c>
      <c r="M20" s="34">
        <v>39448</v>
      </c>
      <c r="N20" s="1">
        <v>792.8</v>
      </c>
    </row>
    <row r="21" spans="1:14" x14ac:dyDescent="0.25">
      <c r="A21" s="34">
        <v>39479</v>
      </c>
      <c r="B21" s="1">
        <v>5422.4</v>
      </c>
      <c r="C21" s="34">
        <v>39479</v>
      </c>
      <c r="D21" s="1">
        <v>1146</v>
      </c>
      <c r="E21" s="34">
        <v>39479</v>
      </c>
      <c r="F21" s="1">
        <v>5.7</v>
      </c>
      <c r="G21" s="34">
        <v>39479</v>
      </c>
      <c r="H21" s="1">
        <v>-1.2</v>
      </c>
      <c r="I21" s="34">
        <v>39479</v>
      </c>
      <c r="J21" s="1">
        <v>146.46</v>
      </c>
      <c r="K21" s="34">
        <v>39479</v>
      </c>
      <c r="L21" s="1">
        <v>5323.5</v>
      </c>
      <c r="M21" s="34">
        <v>39479</v>
      </c>
      <c r="N21" s="1">
        <v>810.7</v>
      </c>
    </row>
    <row r="22" spans="1:14" x14ac:dyDescent="0.25">
      <c r="A22" s="34">
        <v>39508</v>
      </c>
      <c r="B22" s="1">
        <v>5387.9</v>
      </c>
      <c r="C22" s="34">
        <v>39508</v>
      </c>
      <c r="D22" s="1">
        <v>1525</v>
      </c>
      <c r="E22" s="34">
        <v>39508</v>
      </c>
      <c r="F22" s="1">
        <v>5.8</v>
      </c>
      <c r="G22" s="34">
        <v>39508</v>
      </c>
      <c r="H22" s="1">
        <v>-1.46</v>
      </c>
      <c r="I22" s="34">
        <v>39508</v>
      </c>
      <c r="J22" s="1">
        <v>146.11000000000001</v>
      </c>
      <c r="K22" s="34">
        <v>39508</v>
      </c>
      <c r="L22" s="1">
        <v>5323.2</v>
      </c>
      <c r="M22" s="34">
        <v>39508</v>
      </c>
      <c r="N22" s="1">
        <v>809</v>
      </c>
    </row>
    <row r="23" spans="1:14" x14ac:dyDescent="0.25">
      <c r="A23" s="34">
        <v>39539</v>
      </c>
      <c r="B23" s="1">
        <v>5397.4</v>
      </c>
      <c r="C23" s="34">
        <v>39539</v>
      </c>
      <c r="D23" s="1">
        <v>2331</v>
      </c>
      <c r="E23" s="34">
        <v>39539</v>
      </c>
      <c r="F23" s="1">
        <v>5.9</v>
      </c>
      <c r="G23" s="34">
        <v>39539</v>
      </c>
      <c r="H23" s="1">
        <v>-1.19</v>
      </c>
      <c r="I23" s="34">
        <v>39539</v>
      </c>
      <c r="J23" s="1">
        <v>145.72</v>
      </c>
      <c r="K23" s="34">
        <v>39539</v>
      </c>
      <c r="L23" s="1">
        <v>5382</v>
      </c>
      <c r="M23" s="34">
        <v>39539</v>
      </c>
      <c r="N23" s="1">
        <v>809.9</v>
      </c>
    </row>
    <row r="24" spans="1:14" x14ac:dyDescent="0.25">
      <c r="A24" s="34">
        <v>39569</v>
      </c>
      <c r="B24" s="1">
        <v>5387.6</v>
      </c>
      <c r="C24" s="34">
        <v>39569</v>
      </c>
      <c r="D24" s="1">
        <v>2040</v>
      </c>
      <c r="E24" s="34">
        <v>39569</v>
      </c>
      <c r="F24" s="1">
        <v>6.2</v>
      </c>
      <c r="G24" s="34">
        <v>39569</v>
      </c>
      <c r="H24" s="1">
        <v>-0.99</v>
      </c>
      <c r="I24" s="34">
        <v>39569</v>
      </c>
      <c r="J24" s="1">
        <v>145.34</v>
      </c>
      <c r="K24" s="34">
        <v>39569</v>
      </c>
      <c r="L24" s="1">
        <v>5432.5</v>
      </c>
      <c r="M24" s="34">
        <v>39569</v>
      </c>
      <c r="N24" s="1">
        <v>814.7</v>
      </c>
    </row>
    <row r="25" spans="1:14" x14ac:dyDescent="0.25">
      <c r="A25" s="34">
        <v>39600</v>
      </c>
      <c r="B25" s="1">
        <v>5379.2</v>
      </c>
      <c r="C25" s="34">
        <v>39600</v>
      </c>
      <c r="D25" s="1">
        <v>2366</v>
      </c>
      <c r="E25" s="34">
        <v>39600</v>
      </c>
      <c r="F25" s="1">
        <v>6.4</v>
      </c>
      <c r="G25" s="34">
        <v>39600</v>
      </c>
      <c r="H25" s="1">
        <v>-1.25</v>
      </c>
      <c r="I25" s="34">
        <v>39600</v>
      </c>
      <c r="J25" s="1">
        <v>144.93</v>
      </c>
      <c r="K25" s="34">
        <v>39600</v>
      </c>
      <c r="L25" s="1">
        <v>5425.6</v>
      </c>
      <c r="M25" s="34">
        <v>39600</v>
      </c>
      <c r="N25" s="1">
        <v>792.2</v>
      </c>
    </row>
    <row r="26" spans="1:14" x14ac:dyDescent="0.25">
      <c r="A26" s="34">
        <v>39630</v>
      </c>
      <c r="B26" s="1">
        <v>5367.5</v>
      </c>
      <c r="C26" s="34">
        <v>39630</v>
      </c>
      <c r="D26" s="1">
        <v>2050</v>
      </c>
      <c r="E26" s="34">
        <v>39630</v>
      </c>
      <c r="F26" s="1">
        <v>6.7</v>
      </c>
      <c r="G26" s="34">
        <v>39630</v>
      </c>
      <c r="H26" s="1">
        <v>-1.49</v>
      </c>
      <c r="I26" s="34">
        <v>39630</v>
      </c>
      <c r="J26" s="1">
        <v>144.41999999999999</v>
      </c>
      <c r="K26" s="34">
        <v>39630</v>
      </c>
      <c r="L26" s="1">
        <v>5365.8</v>
      </c>
      <c r="M26" s="34">
        <v>39630</v>
      </c>
      <c r="N26" s="1">
        <v>754.3</v>
      </c>
    </row>
    <row r="27" spans="1:14" x14ac:dyDescent="0.25">
      <c r="A27" s="34">
        <v>39661</v>
      </c>
      <c r="B27" s="1">
        <v>5356.3</v>
      </c>
      <c r="C27" s="34">
        <v>39661</v>
      </c>
      <c r="D27" s="1">
        <v>1961</v>
      </c>
      <c r="E27" s="34">
        <v>39661</v>
      </c>
      <c r="F27" s="1">
        <v>6.9</v>
      </c>
      <c r="G27" s="34">
        <v>39661</v>
      </c>
      <c r="H27" s="1">
        <v>-1.37</v>
      </c>
      <c r="I27" s="34">
        <v>39661</v>
      </c>
      <c r="J27" s="1">
        <v>143.87</v>
      </c>
      <c r="K27" s="34">
        <v>39661</v>
      </c>
      <c r="L27" s="1">
        <v>5369.4</v>
      </c>
      <c r="M27" s="34">
        <v>39661</v>
      </c>
      <c r="N27" s="1">
        <v>753</v>
      </c>
    </row>
    <row r="28" spans="1:14" x14ac:dyDescent="0.25">
      <c r="A28" s="34">
        <v>39692</v>
      </c>
      <c r="B28" s="1">
        <v>5340</v>
      </c>
      <c r="C28" s="34">
        <v>39692</v>
      </c>
      <c r="D28" s="1">
        <v>2014</v>
      </c>
      <c r="E28" s="34">
        <v>39692</v>
      </c>
      <c r="F28" s="1">
        <v>7</v>
      </c>
      <c r="G28" s="34">
        <v>39692</v>
      </c>
      <c r="H28" s="1">
        <v>-1.89</v>
      </c>
      <c r="I28" s="34">
        <v>39692</v>
      </c>
      <c r="J28" s="1">
        <v>143.12</v>
      </c>
      <c r="K28" s="34">
        <v>39692</v>
      </c>
      <c r="L28" s="1">
        <v>5373</v>
      </c>
      <c r="M28" s="34">
        <v>39692</v>
      </c>
      <c r="N28" s="1">
        <v>787.5</v>
      </c>
    </row>
    <row r="29" spans="1:14" x14ac:dyDescent="0.25">
      <c r="A29" s="34">
        <v>39722</v>
      </c>
      <c r="B29" s="1">
        <v>5313</v>
      </c>
      <c r="C29" s="34">
        <v>39722</v>
      </c>
      <c r="D29" s="1">
        <v>2115</v>
      </c>
      <c r="E29" s="34">
        <v>39722</v>
      </c>
      <c r="F29" s="1">
        <v>7.3</v>
      </c>
      <c r="G29" s="34">
        <v>39722</v>
      </c>
      <c r="H29" s="1">
        <v>-2.68</v>
      </c>
      <c r="I29" s="34">
        <v>39722</v>
      </c>
      <c r="J29" s="1">
        <v>142.03</v>
      </c>
      <c r="K29" s="34">
        <v>39722</v>
      </c>
      <c r="L29" s="1">
        <v>5367.4</v>
      </c>
      <c r="M29" s="34">
        <v>39722</v>
      </c>
      <c r="N29" s="1">
        <v>809.9</v>
      </c>
    </row>
    <row r="30" spans="1:14" x14ac:dyDescent="0.25">
      <c r="A30" s="34">
        <v>39753</v>
      </c>
      <c r="B30" s="1">
        <v>5281.8</v>
      </c>
      <c r="C30" s="34">
        <v>39753</v>
      </c>
      <c r="D30" s="1">
        <v>1204</v>
      </c>
      <c r="E30" s="34">
        <v>39753</v>
      </c>
      <c r="F30" s="1">
        <v>7.6</v>
      </c>
      <c r="G30" s="34">
        <v>39753</v>
      </c>
      <c r="H30" s="1">
        <v>-3.25</v>
      </c>
      <c r="I30" s="34">
        <v>39753</v>
      </c>
      <c r="J30" s="1">
        <v>140.61000000000001</v>
      </c>
      <c r="K30" s="34">
        <v>39753</v>
      </c>
      <c r="L30" s="1">
        <v>5337.9</v>
      </c>
      <c r="M30" s="34">
        <v>39753</v>
      </c>
      <c r="N30" s="1">
        <v>814.7</v>
      </c>
    </row>
    <row r="31" spans="1:14" x14ac:dyDescent="0.25">
      <c r="A31" s="34">
        <v>39783</v>
      </c>
      <c r="B31" s="1">
        <v>5252.8</v>
      </c>
      <c r="C31" s="34">
        <v>39783</v>
      </c>
      <c r="D31" s="1">
        <v>937</v>
      </c>
      <c r="E31" s="34">
        <v>39783</v>
      </c>
      <c r="F31" s="1">
        <v>8.1</v>
      </c>
      <c r="G31" s="34">
        <v>39783</v>
      </c>
      <c r="H31" s="1">
        <v>-3.64</v>
      </c>
      <c r="I31" s="34">
        <v>39783</v>
      </c>
      <c r="J31" s="1">
        <v>139.02000000000001</v>
      </c>
      <c r="K31" s="34">
        <v>39783</v>
      </c>
      <c r="L31" s="1">
        <v>5299.7</v>
      </c>
      <c r="M31" s="34">
        <v>39783</v>
      </c>
      <c r="N31" s="1">
        <v>805.9</v>
      </c>
    </row>
    <row r="32" spans="1:14" x14ac:dyDescent="0.25">
      <c r="A32" s="34">
        <v>39814</v>
      </c>
      <c r="B32" s="1">
        <v>5203.8999999999996</v>
      </c>
      <c r="C32" s="34">
        <v>39814</v>
      </c>
      <c r="D32" s="1">
        <v>773</v>
      </c>
      <c r="E32" s="34">
        <v>39814</v>
      </c>
      <c r="F32" s="1">
        <v>8.6</v>
      </c>
      <c r="G32" s="34">
        <v>39814</v>
      </c>
      <c r="H32" s="1">
        <v>-4.84</v>
      </c>
      <c r="I32" s="34">
        <v>39814</v>
      </c>
      <c r="J32" s="1">
        <v>137.28</v>
      </c>
      <c r="K32" s="34">
        <v>39814</v>
      </c>
      <c r="L32" s="1">
        <v>5096.3999999999996</v>
      </c>
      <c r="M32" s="34">
        <v>39814</v>
      </c>
      <c r="N32" s="1">
        <v>790.2</v>
      </c>
    </row>
    <row r="33" spans="1:14" x14ac:dyDescent="0.25">
      <c r="A33" s="34">
        <v>39845</v>
      </c>
      <c r="B33" s="1">
        <v>5175.3999999999996</v>
      </c>
      <c r="C33" s="34">
        <v>39845</v>
      </c>
      <c r="D33" s="1">
        <v>738</v>
      </c>
      <c r="E33" s="34">
        <v>39845</v>
      </c>
      <c r="F33" s="1">
        <v>9.1999999999999993</v>
      </c>
      <c r="G33" s="34">
        <v>39845</v>
      </c>
      <c r="H33" s="1">
        <v>-4.41</v>
      </c>
      <c r="I33" s="34">
        <v>39845</v>
      </c>
      <c r="J33" s="1">
        <v>135.59</v>
      </c>
      <c r="K33" s="34">
        <v>39845</v>
      </c>
      <c r="L33" s="1">
        <v>5081</v>
      </c>
      <c r="M33" s="34">
        <v>39845</v>
      </c>
      <c r="N33" s="1">
        <v>805.1</v>
      </c>
    </row>
    <row r="34" spans="1:14" x14ac:dyDescent="0.25">
      <c r="A34" s="34">
        <v>39873</v>
      </c>
      <c r="B34" s="1">
        <v>5136</v>
      </c>
      <c r="C34" s="34">
        <v>39873</v>
      </c>
      <c r="D34" s="1">
        <v>869</v>
      </c>
      <c r="E34" s="34">
        <v>39873</v>
      </c>
      <c r="F34" s="1">
        <v>9.6</v>
      </c>
      <c r="G34" s="34">
        <v>39873</v>
      </c>
      <c r="H34" s="1">
        <v>-4.83</v>
      </c>
      <c r="I34" s="34">
        <v>39873</v>
      </c>
      <c r="J34" s="1">
        <v>133.97</v>
      </c>
      <c r="K34" s="34">
        <v>39873</v>
      </c>
      <c r="L34" s="1">
        <v>5074.7</v>
      </c>
      <c r="M34" s="34">
        <v>39873</v>
      </c>
      <c r="N34" s="1">
        <v>805.4</v>
      </c>
    </row>
    <row r="35" spans="1:14" x14ac:dyDescent="0.25">
      <c r="A35" s="34">
        <v>39904</v>
      </c>
      <c r="B35" s="1">
        <v>5091</v>
      </c>
      <c r="C35" s="34">
        <v>39904</v>
      </c>
      <c r="D35" s="1">
        <v>1263</v>
      </c>
      <c r="E35" s="34">
        <v>39904</v>
      </c>
      <c r="F35" s="1">
        <v>10</v>
      </c>
      <c r="G35" s="34">
        <v>39904</v>
      </c>
      <c r="H35" s="1">
        <v>-4.26</v>
      </c>
      <c r="I35" s="34">
        <v>39904</v>
      </c>
      <c r="J35" s="1">
        <v>132.5</v>
      </c>
      <c r="K35" s="34">
        <v>39904</v>
      </c>
      <c r="L35" s="1">
        <v>5090</v>
      </c>
      <c r="M35" s="34">
        <v>39904</v>
      </c>
      <c r="N35" s="1">
        <v>807.7</v>
      </c>
    </row>
    <row r="36" spans="1:14" x14ac:dyDescent="0.25">
      <c r="A36" s="34">
        <v>39934</v>
      </c>
      <c r="B36" s="1">
        <v>5072</v>
      </c>
      <c r="C36" s="34">
        <v>39934</v>
      </c>
      <c r="D36" s="1">
        <v>1269</v>
      </c>
      <c r="E36" s="34">
        <v>39934</v>
      </c>
      <c r="F36" s="1">
        <v>10.3</v>
      </c>
      <c r="G36" s="34">
        <v>39934</v>
      </c>
      <c r="H36" s="1">
        <v>-2.93</v>
      </c>
      <c r="I36" s="34">
        <v>39934</v>
      </c>
      <c r="J36" s="1">
        <v>131.34</v>
      </c>
      <c r="K36" s="34">
        <v>39934</v>
      </c>
      <c r="L36" s="1">
        <v>5115.1000000000004</v>
      </c>
      <c r="M36" s="34">
        <v>39934</v>
      </c>
      <c r="N36" s="1">
        <v>808.7</v>
      </c>
    </row>
    <row r="37" spans="1:14" x14ac:dyDescent="0.25">
      <c r="A37" s="34">
        <v>39965</v>
      </c>
      <c r="B37" s="1">
        <v>5042.8</v>
      </c>
      <c r="C37" s="34">
        <v>39965</v>
      </c>
      <c r="D37" s="1">
        <v>1370</v>
      </c>
      <c r="E37" s="34">
        <v>39965</v>
      </c>
      <c r="F37" s="1">
        <v>10.5</v>
      </c>
      <c r="G37" s="34">
        <v>39965</v>
      </c>
      <c r="H37" s="1">
        <v>-2</v>
      </c>
      <c r="I37" s="34">
        <v>39965</v>
      </c>
      <c r="J37" s="1">
        <v>130.49</v>
      </c>
      <c r="K37" s="34">
        <v>39965</v>
      </c>
      <c r="L37" s="1">
        <v>5087.6000000000004</v>
      </c>
      <c r="M37" s="34">
        <v>39965</v>
      </c>
      <c r="N37" s="1">
        <v>784.9</v>
      </c>
    </row>
    <row r="38" spans="1:14" x14ac:dyDescent="0.25">
      <c r="A38" s="34">
        <v>39995</v>
      </c>
      <c r="B38" s="1">
        <v>5030.6000000000004</v>
      </c>
      <c r="C38" s="34">
        <v>39995</v>
      </c>
      <c r="D38" s="1">
        <v>1352</v>
      </c>
      <c r="E38" s="34">
        <v>39995</v>
      </c>
      <c r="F38" s="1">
        <v>10.6</v>
      </c>
      <c r="G38" s="34">
        <v>39995</v>
      </c>
      <c r="H38" s="1">
        <v>-0.15</v>
      </c>
      <c r="I38" s="34">
        <v>39995</v>
      </c>
      <c r="J38" s="1">
        <v>130.06</v>
      </c>
      <c r="K38" s="34">
        <v>39995</v>
      </c>
      <c r="L38" s="1">
        <v>5032.3</v>
      </c>
      <c r="M38" s="34">
        <v>39995</v>
      </c>
      <c r="N38" s="1">
        <v>745</v>
      </c>
    </row>
    <row r="39" spans="1:14" x14ac:dyDescent="0.25">
      <c r="A39" s="34">
        <v>40026</v>
      </c>
      <c r="B39" s="1">
        <v>5022.8999999999996</v>
      </c>
      <c r="C39" s="34">
        <v>40026</v>
      </c>
      <c r="D39" s="1">
        <v>1170</v>
      </c>
      <c r="E39" s="34">
        <v>40026</v>
      </c>
      <c r="F39" s="1">
        <v>10.6</v>
      </c>
      <c r="G39" s="34">
        <v>40026</v>
      </c>
      <c r="H39" s="1">
        <v>0.32</v>
      </c>
      <c r="I39" s="34">
        <v>40026</v>
      </c>
      <c r="J39" s="1">
        <v>129.91</v>
      </c>
      <c r="K39" s="34">
        <v>40026</v>
      </c>
      <c r="L39" s="1">
        <v>5029.5</v>
      </c>
      <c r="M39" s="34">
        <v>40026</v>
      </c>
      <c r="N39" s="1">
        <v>741.7</v>
      </c>
    </row>
    <row r="40" spans="1:14" x14ac:dyDescent="0.25">
      <c r="A40" s="34">
        <v>40057</v>
      </c>
      <c r="B40" s="1">
        <v>5021.2</v>
      </c>
      <c r="C40" s="34">
        <v>40057</v>
      </c>
      <c r="D40" s="1">
        <v>1225</v>
      </c>
      <c r="E40" s="34">
        <v>40057</v>
      </c>
      <c r="F40" s="1">
        <v>10.6</v>
      </c>
      <c r="G40" s="34">
        <v>40057</v>
      </c>
      <c r="H40" s="1">
        <v>1.27</v>
      </c>
      <c r="I40" s="34">
        <v>40057</v>
      </c>
      <c r="J40" s="1">
        <v>129.97999999999999</v>
      </c>
      <c r="K40" s="34">
        <v>40057</v>
      </c>
      <c r="L40" s="1">
        <v>5049.3999999999996</v>
      </c>
      <c r="M40" s="34">
        <v>40057</v>
      </c>
      <c r="N40" s="1">
        <v>778.2</v>
      </c>
    </row>
    <row r="41" spans="1:14" x14ac:dyDescent="0.25">
      <c r="A41" s="34">
        <v>40087</v>
      </c>
      <c r="B41" s="1">
        <v>5011.1000000000004</v>
      </c>
      <c r="C41" s="34">
        <v>40087</v>
      </c>
      <c r="D41" s="1">
        <v>1115</v>
      </c>
      <c r="E41" s="34">
        <v>40087</v>
      </c>
      <c r="F41" s="1">
        <v>10.6</v>
      </c>
      <c r="G41" s="34">
        <v>40087</v>
      </c>
      <c r="H41" s="1">
        <v>0.54</v>
      </c>
      <c r="I41" s="34">
        <v>40087</v>
      </c>
      <c r="J41" s="1">
        <v>130.03</v>
      </c>
      <c r="K41" s="34">
        <v>40087</v>
      </c>
      <c r="L41" s="1">
        <v>5062.3</v>
      </c>
      <c r="M41" s="34">
        <v>40087</v>
      </c>
      <c r="N41" s="1">
        <v>799.1</v>
      </c>
    </row>
    <row r="42" spans="1:14" x14ac:dyDescent="0.25">
      <c r="A42" s="34">
        <v>40118</v>
      </c>
      <c r="B42" s="1">
        <v>5006.8999999999996</v>
      </c>
      <c r="C42" s="34">
        <v>40118</v>
      </c>
      <c r="D42" s="1">
        <v>966</v>
      </c>
      <c r="E42" s="34">
        <v>40118</v>
      </c>
      <c r="F42" s="1">
        <v>10.6</v>
      </c>
      <c r="G42" s="34">
        <v>40118</v>
      </c>
      <c r="H42" s="1">
        <v>1</v>
      </c>
      <c r="I42" s="34">
        <v>40118</v>
      </c>
      <c r="J42" s="1">
        <v>130.12</v>
      </c>
      <c r="K42" s="34">
        <v>40118</v>
      </c>
      <c r="L42" s="1">
        <v>5058.8</v>
      </c>
      <c r="M42" s="34">
        <v>40118</v>
      </c>
      <c r="N42" s="1">
        <v>800.5</v>
      </c>
    </row>
    <row r="43" spans="1:14" x14ac:dyDescent="0.25">
      <c r="A43" s="34">
        <v>40148</v>
      </c>
      <c r="B43" s="1">
        <v>5003.7</v>
      </c>
      <c r="C43" s="34">
        <v>40148</v>
      </c>
      <c r="D43" s="1">
        <v>1109</v>
      </c>
      <c r="E43" s="34">
        <v>40148</v>
      </c>
      <c r="F43" s="1">
        <v>10.6</v>
      </c>
      <c r="G43" s="34">
        <v>40148</v>
      </c>
      <c r="H43" s="1">
        <v>1.35</v>
      </c>
      <c r="I43" s="34">
        <v>40148</v>
      </c>
      <c r="J43" s="1">
        <v>130.32</v>
      </c>
      <c r="K43" s="34">
        <v>40148</v>
      </c>
      <c r="L43" s="1">
        <v>5045.8999999999996</v>
      </c>
      <c r="M43" s="34">
        <v>40148</v>
      </c>
      <c r="N43" s="1">
        <v>791.1</v>
      </c>
    </row>
    <row r="44" spans="1:14" x14ac:dyDescent="0.25">
      <c r="A44" s="34">
        <v>40179</v>
      </c>
      <c r="B44" s="1">
        <v>5005.8999999999996</v>
      </c>
      <c r="C44" s="34">
        <v>40179</v>
      </c>
      <c r="D44" s="1">
        <v>878</v>
      </c>
      <c r="E44" s="34">
        <v>40179</v>
      </c>
      <c r="F44" s="1">
        <v>10.6</v>
      </c>
      <c r="G44" s="34">
        <v>40179</v>
      </c>
      <c r="H44" s="1">
        <v>1.38</v>
      </c>
      <c r="I44" s="34">
        <v>40179</v>
      </c>
      <c r="J44" s="1">
        <v>130.57</v>
      </c>
      <c r="K44" s="34">
        <v>40179</v>
      </c>
      <c r="L44" s="1">
        <v>4900.2</v>
      </c>
      <c r="M44" s="34">
        <v>40179</v>
      </c>
      <c r="N44" s="1">
        <v>778.5</v>
      </c>
    </row>
    <row r="45" spans="1:14" x14ac:dyDescent="0.25">
      <c r="A45" s="34">
        <v>40210</v>
      </c>
      <c r="B45" s="1">
        <v>4998.8999999999996</v>
      </c>
      <c r="C45" s="34">
        <v>40210</v>
      </c>
      <c r="D45" s="1">
        <v>856</v>
      </c>
      <c r="E45" s="34">
        <v>40210</v>
      </c>
      <c r="F45" s="1">
        <v>10.6</v>
      </c>
      <c r="G45" s="34">
        <v>40210</v>
      </c>
      <c r="H45" s="1">
        <v>1.62</v>
      </c>
      <c r="I45" s="34">
        <v>40210</v>
      </c>
      <c r="J45" s="1">
        <v>130.82</v>
      </c>
      <c r="K45" s="34">
        <v>40210</v>
      </c>
      <c r="L45" s="1">
        <v>4905.6000000000004</v>
      </c>
      <c r="M45" s="34">
        <v>40210</v>
      </c>
      <c r="N45" s="1">
        <v>790.7</v>
      </c>
    </row>
    <row r="46" spans="1:14" x14ac:dyDescent="0.25">
      <c r="A46" s="34">
        <v>40238</v>
      </c>
      <c r="B46" s="1">
        <v>5001.8</v>
      </c>
      <c r="C46" s="34">
        <v>40238</v>
      </c>
      <c r="D46" s="1">
        <v>1588</v>
      </c>
      <c r="E46" s="34">
        <v>40238</v>
      </c>
      <c r="F46" s="1">
        <v>10.5</v>
      </c>
      <c r="G46" s="34">
        <v>40238</v>
      </c>
      <c r="H46" s="1">
        <v>4.05</v>
      </c>
      <c r="I46" s="34">
        <v>40238</v>
      </c>
      <c r="J46" s="1">
        <v>131.47999999999999</v>
      </c>
      <c r="K46" s="34">
        <v>40238</v>
      </c>
      <c r="L46" s="1">
        <v>4940.2</v>
      </c>
      <c r="M46" s="34">
        <v>40238</v>
      </c>
      <c r="N46" s="1">
        <v>793</v>
      </c>
    </row>
    <row r="47" spans="1:14" x14ac:dyDescent="0.25">
      <c r="A47" s="34">
        <v>40269</v>
      </c>
      <c r="B47" s="1">
        <v>5016.8999999999996</v>
      </c>
      <c r="C47" s="34">
        <v>40269</v>
      </c>
      <c r="D47" s="1">
        <v>1618</v>
      </c>
      <c r="E47" s="34">
        <v>40269</v>
      </c>
      <c r="F47" s="1">
        <v>10.3</v>
      </c>
      <c r="G47" s="34">
        <v>40269</v>
      </c>
      <c r="H47" s="1">
        <v>4.28</v>
      </c>
      <c r="I47" s="34">
        <v>40269</v>
      </c>
      <c r="J47" s="1">
        <v>132.52000000000001</v>
      </c>
      <c r="K47" s="34">
        <v>40269</v>
      </c>
      <c r="L47" s="1">
        <v>5017.6000000000004</v>
      </c>
      <c r="M47" s="34">
        <v>40269</v>
      </c>
      <c r="N47" s="1">
        <v>797.2</v>
      </c>
    </row>
    <row r="48" spans="1:14" x14ac:dyDescent="0.25">
      <c r="A48" s="34">
        <v>40299</v>
      </c>
      <c r="B48" s="1">
        <v>5031.1000000000004</v>
      </c>
      <c r="C48" s="34">
        <v>40299</v>
      </c>
      <c r="D48" s="1">
        <v>1067</v>
      </c>
      <c r="E48" s="34">
        <v>40299</v>
      </c>
      <c r="F48" s="1">
        <v>10.199999999999999</v>
      </c>
      <c r="G48" s="34">
        <v>40299</v>
      </c>
      <c r="H48" s="1">
        <v>2.3199999999999998</v>
      </c>
      <c r="I48" s="34">
        <v>40299</v>
      </c>
      <c r="J48" s="1">
        <v>133.34</v>
      </c>
      <c r="K48" s="34">
        <v>40299</v>
      </c>
      <c r="L48" s="1">
        <v>5075.6000000000004</v>
      </c>
      <c r="M48" s="34">
        <v>40299</v>
      </c>
      <c r="N48" s="1">
        <v>814.8</v>
      </c>
    </row>
    <row r="49" spans="1:14" x14ac:dyDescent="0.25">
      <c r="A49" s="34">
        <v>40330</v>
      </c>
      <c r="B49" s="1">
        <v>5026.8</v>
      </c>
      <c r="C49" s="34">
        <v>40330</v>
      </c>
      <c r="D49" s="1">
        <v>1175</v>
      </c>
      <c r="E49" s="34">
        <v>40330</v>
      </c>
      <c r="F49" s="1">
        <v>10</v>
      </c>
      <c r="G49" s="34">
        <v>40330</v>
      </c>
      <c r="H49" s="1">
        <v>1.74</v>
      </c>
      <c r="I49" s="34">
        <v>40330</v>
      </c>
      <c r="J49" s="1">
        <v>133.82</v>
      </c>
      <c r="K49" s="34">
        <v>40330</v>
      </c>
      <c r="L49" s="1">
        <v>5071.3999999999996</v>
      </c>
      <c r="M49" s="34">
        <v>40330</v>
      </c>
      <c r="N49" s="1">
        <v>782.9</v>
      </c>
    </row>
    <row r="50" spans="1:14" x14ac:dyDescent="0.25">
      <c r="A50" s="34">
        <v>40360</v>
      </c>
      <c r="B50" s="1">
        <v>5036.6000000000004</v>
      </c>
      <c r="C50" s="34">
        <v>40360</v>
      </c>
      <c r="D50" s="1">
        <v>1569</v>
      </c>
      <c r="E50" s="34">
        <v>40360</v>
      </c>
      <c r="F50" s="1">
        <v>9.9</v>
      </c>
      <c r="G50" s="34">
        <v>40360</v>
      </c>
      <c r="H50" s="1">
        <v>1.81</v>
      </c>
      <c r="I50" s="34">
        <v>40360</v>
      </c>
      <c r="J50" s="1">
        <v>134.12</v>
      </c>
      <c r="K50" s="34">
        <v>40360</v>
      </c>
      <c r="L50" s="1">
        <v>5038.1000000000004</v>
      </c>
      <c r="M50" s="34">
        <v>40360</v>
      </c>
      <c r="N50" s="1">
        <v>737.4</v>
      </c>
    </row>
    <row r="51" spans="1:14" x14ac:dyDescent="0.25">
      <c r="A51" s="34">
        <v>40391</v>
      </c>
      <c r="B51" s="1">
        <v>5034</v>
      </c>
      <c r="C51" s="34">
        <v>40391</v>
      </c>
      <c r="D51" s="1">
        <v>1155</v>
      </c>
      <c r="E51" s="34">
        <v>40391</v>
      </c>
      <c r="F51" s="1">
        <v>9.8000000000000007</v>
      </c>
      <c r="G51" s="34">
        <v>40391</v>
      </c>
      <c r="H51" s="1">
        <v>0.94</v>
      </c>
      <c r="I51" s="34">
        <v>40391</v>
      </c>
      <c r="J51" s="1">
        <v>134.29</v>
      </c>
      <c r="K51" s="34">
        <v>40391</v>
      </c>
      <c r="L51" s="1">
        <v>5041.7</v>
      </c>
      <c r="M51" s="34">
        <v>40391</v>
      </c>
      <c r="N51" s="1">
        <v>731.6</v>
      </c>
    </row>
    <row r="52" spans="1:14" x14ac:dyDescent="0.25">
      <c r="A52" s="34">
        <v>40422</v>
      </c>
      <c r="B52" s="1">
        <v>5037.2</v>
      </c>
      <c r="C52" s="34">
        <v>40422</v>
      </c>
      <c r="D52" s="1">
        <v>1045</v>
      </c>
      <c r="E52" s="34">
        <v>40422</v>
      </c>
      <c r="F52" s="1">
        <v>9.6999999999999993</v>
      </c>
      <c r="G52" s="34">
        <v>40422</v>
      </c>
      <c r="H52" s="1">
        <v>1.8</v>
      </c>
      <c r="I52" s="34">
        <v>40422</v>
      </c>
      <c r="J52" s="1">
        <v>134.69999999999999</v>
      </c>
      <c r="K52" s="34">
        <v>40422</v>
      </c>
      <c r="L52" s="1">
        <v>5063.6000000000004</v>
      </c>
      <c r="M52" s="34">
        <v>40422</v>
      </c>
      <c r="N52" s="1">
        <v>765.3</v>
      </c>
    </row>
    <row r="53" spans="1:14" x14ac:dyDescent="0.25">
      <c r="A53" s="34">
        <v>40452</v>
      </c>
      <c r="B53" s="1">
        <v>5054.1000000000004</v>
      </c>
      <c r="C53" s="34">
        <v>40452</v>
      </c>
      <c r="D53" s="1">
        <v>1404</v>
      </c>
      <c r="E53" s="34">
        <v>40452</v>
      </c>
      <c r="F53" s="1">
        <v>9.6</v>
      </c>
      <c r="G53" s="34">
        <v>40452</v>
      </c>
      <c r="H53" s="1">
        <v>1.87</v>
      </c>
      <c r="I53" s="34">
        <v>40452</v>
      </c>
      <c r="J53" s="1">
        <v>135.38999999999999</v>
      </c>
      <c r="K53" s="34">
        <v>40452</v>
      </c>
      <c r="L53" s="1">
        <v>5100.5</v>
      </c>
      <c r="M53" s="34">
        <v>40452</v>
      </c>
      <c r="N53" s="1">
        <v>789.3</v>
      </c>
    </row>
    <row r="54" spans="1:14" x14ac:dyDescent="0.25">
      <c r="A54" s="34">
        <v>40483</v>
      </c>
      <c r="B54" s="1">
        <v>5057.7</v>
      </c>
      <c r="C54" s="34">
        <v>40483</v>
      </c>
      <c r="D54" s="1">
        <v>742</v>
      </c>
      <c r="E54" s="34">
        <v>40483</v>
      </c>
      <c r="F54" s="1">
        <v>9.5</v>
      </c>
      <c r="G54" s="34">
        <v>40483</v>
      </c>
      <c r="H54" s="1">
        <v>1.22</v>
      </c>
      <c r="I54" s="34">
        <v>40483</v>
      </c>
      <c r="J54" s="1">
        <v>136.01</v>
      </c>
      <c r="K54" s="34">
        <v>40483</v>
      </c>
      <c r="L54" s="1">
        <v>5110.3999999999996</v>
      </c>
      <c r="M54" s="34">
        <v>40483</v>
      </c>
      <c r="N54" s="1">
        <v>792.6</v>
      </c>
    </row>
    <row r="55" spans="1:14" x14ac:dyDescent="0.25">
      <c r="A55" s="34">
        <v>40513</v>
      </c>
      <c r="B55" s="1">
        <v>5061</v>
      </c>
      <c r="C55" s="34">
        <v>40513</v>
      </c>
      <c r="D55" s="1">
        <v>648</v>
      </c>
      <c r="E55" s="34">
        <v>40513</v>
      </c>
      <c r="F55" s="1">
        <v>9.3000000000000007</v>
      </c>
      <c r="G55" s="34">
        <v>40513</v>
      </c>
      <c r="H55" s="1">
        <v>1.26</v>
      </c>
      <c r="I55" s="34">
        <v>40513</v>
      </c>
      <c r="J55" s="1">
        <v>136.47</v>
      </c>
      <c r="K55" s="34">
        <v>40513</v>
      </c>
      <c r="L55" s="1">
        <v>5100.6000000000004</v>
      </c>
      <c r="M55" s="34">
        <v>40513</v>
      </c>
      <c r="N55" s="1">
        <v>788.6</v>
      </c>
    </row>
    <row r="56" spans="1:14" x14ac:dyDescent="0.25">
      <c r="A56" s="34">
        <v>40544</v>
      </c>
      <c r="B56" s="1">
        <v>5061.5</v>
      </c>
      <c r="C56" s="34">
        <v>40544</v>
      </c>
      <c r="D56" s="1">
        <v>687</v>
      </c>
      <c r="E56" s="34">
        <v>40544</v>
      </c>
      <c r="F56" s="1">
        <v>9.1</v>
      </c>
      <c r="G56" s="34">
        <v>40544</v>
      </c>
      <c r="H56" s="1">
        <v>1.49</v>
      </c>
      <c r="I56" s="34">
        <v>40544</v>
      </c>
      <c r="J56" s="1">
        <v>136.82</v>
      </c>
      <c r="K56" s="34">
        <v>40544</v>
      </c>
      <c r="L56" s="1">
        <v>4952.8999999999996</v>
      </c>
      <c r="M56" s="34">
        <v>40544</v>
      </c>
      <c r="N56" s="1">
        <v>764.9</v>
      </c>
    </row>
    <row r="57" spans="1:14" x14ac:dyDescent="0.25">
      <c r="A57" s="34">
        <v>40575</v>
      </c>
      <c r="B57" s="1">
        <v>5070</v>
      </c>
      <c r="C57" s="34">
        <v>40575</v>
      </c>
      <c r="D57" s="1">
        <v>719</v>
      </c>
      <c r="E57" s="34">
        <v>40575</v>
      </c>
      <c r="F57" s="1">
        <v>8.9</v>
      </c>
      <c r="G57" s="34">
        <v>40575</v>
      </c>
      <c r="H57" s="1">
        <v>1.81</v>
      </c>
      <c r="I57" s="34">
        <v>40575</v>
      </c>
      <c r="J57" s="1">
        <v>137.21</v>
      </c>
      <c r="K57" s="34">
        <v>40575</v>
      </c>
      <c r="L57" s="1">
        <v>4974.8</v>
      </c>
      <c r="M57" s="34">
        <v>40575</v>
      </c>
      <c r="N57" s="1">
        <v>779.4</v>
      </c>
    </row>
    <row r="58" spans="1:14" x14ac:dyDescent="0.25">
      <c r="A58" s="34">
        <v>40603</v>
      </c>
      <c r="B58" s="1">
        <v>5072.2</v>
      </c>
      <c r="C58" s="34">
        <v>40603</v>
      </c>
      <c r="D58" s="1">
        <v>1290</v>
      </c>
      <c r="E58" s="34">
        <v>40603</v>
      </c>
      <c r="F58" s="1">
        <v>8.8000000000000007</v>
      </c>
      <c r="G58" s="34">
        <v>40603</v>
      </c>
      <c r="H58" s="1">
        <v>1.89</v>
      </c>
      <c r="I58" s="34">
        <v>40603</v>
      </c>
      <c r="J58" s="1">
        <v>137.62</v>
      </c>
      <c r="K58" s="34">
        <v>40603</v>
      </c>
      <c r="L58" s="1">
        <v>5008.5</v>
      </c>
      <c r="M58" s="34">
        <v>40603</v>
      </c>
      <c r="N58" s="1">
        <v>781.9</v>
      </c>
    </row>
    <row r="59" spans="1:14" x14ac:dyDescent="0.25">
      <c r="A59" s="34">
        <v>40634</v>
      </c>
      <c r="B59" s="1">
        <v>5082.6000000000004</v>
      </c>
      <c r="C59" s="34">
        <v>40634</v>
      </c>
      <c r="D59" s="1">
        <v>1107</v>
      </c>
      <c r="E59" s="34">
        <v>40634</v>
      </c>
      <c r="F59" s="1">
        <v>8.8000000000000007</v>
      </c>
      <c r="G59" s="34">
        <v>40634</v>
      </c>
      <c r="H59" s="1">
        <v>1.5</v>
      </c>
      <c r="I59" s="34">
        <v>40634</v>
      </c>
      <c r="J59" s="1">
        <v>137.93</v>
      </c>
      <c r="K59" s="34">
        <v>40634</v>
      </c>
      <c r="L59" s="1">
        <v>5085.7</v>
      </c>
      <c r="M59" s="34">
        <v>40634</v>
      </c>
      <c r="N59" s="1">
        <v>781.8</v>
      </c>
    </row>
    <row r="60" spans="1:14" x14ac:dyDescent="0.25">
      <c r="A60" s="34">
        <v>40664</v>
      </c>
      <c r="B60" s="1">
        <v>5079.6000000000004</v>
      </c>
      <c r="C60" s="34">
        <v>40664</v>
      </c>
      <c r="D60" s="1">
        <v>1245</v>
      </c>
      <c r="E60" s="34">
        <v>40664</v>
      </c>
      <c r="F60" s="1">
        <v>8.9</v>
      </c>
      <c r="G60" s="34">
        <v>40664</v>
      </c>
      <c r="H60" s="1">
        <v>1.92</v>
      </c>
      <c r="I60" s="34">
        <v>40664</v>
      </c>
      <c r="J60" s="1">
        <v>138.27000000000001</v>
      </c>
      <c r="K60" s="34">
        <v>40664</v>
      </c>
      <c r="L60" s="1">
        <v>5126.2</v>
      </c>
      <c r="M60" s="34">
        <v>40664</v>
      </c>
      <c r="N60" s="1">
        <v>781</v>
      </c>
    </row>
    <row r="61" spans="1:14" x14ac:dyDescent="0.25">
      <c r="A61" s="34">
        <v>40695</v>
      </c>
      <c r="B61" s="1">
        <v>5073.5</v>
      </c>
      <c r="C61" s="34">
        <v>40695</v>
      </c>
      <c r="D61" s="1">
        <v>1331</v>
      </c>
      <c r="E61" s="34">
        <v>40695</v>
      </c>
      <c r="F61" s="1">
        <v>8.9</v>
      </c>
      <c r="G61" s="34">
        <v>40695</v>
      </c>
      <c r="H61" s="1">
        <v>2.66</v>
      </c>
      <c r="I61" s="34">
        <v>40695</v>
      </c>
      <c r="J61" s="1">
        <v>138.80000000000001</v>
      </c>
      <c r="K61" s="34">
        <v>40695</v>
      </c>
      <c r="L61" s="1">
        <v>5123.3999999999996</v>
      </c>
      <c r="M61" s="34">
        <v>40695</v>
      </c>
      <c r="N61" s="1">
        <v>757.5</v>
      </c>
    </row>
    <row r="62" spans="1:14" x14ac:dyDescent="0.25">
      <c r="A62" s="34">
        <v>40725</v>
      </c>
      <c r="B62" s="1">
        <v>5110.8999999999996</v>
      </c>
      <c r="C62" s="34">
        <v>40725</v>
      </c>
      <c r="D62" s="1">
        <v>1205</v>
      </c>
      <c r="E62" s="34">
        <v>40725</v>
      </c>
      <c r="F62" s="1">
        <v>8.9</v>
      </c>
      <c r="G62" s="34">
        <v>40725</v>
      </c>
      <c r="H62" s="1">
        <v>1.9</v>
      </c>
      <c r="I62" s="34">
        <v>40725</v>
      </c>
      <c r="J62" s="1">
        <v>139.41999999999999</v>
      </c>
      <c r="K62" s="34">
        <v>40725</v>
      </c>
      <c r="L62" s="1">
        <v>5105.8999999999996</v>
      </c>
      <c r="M62" s="34">
        <v>40725</v>
      </c>
      <c r="N62" s="1">
        <v>723.3</v>
      </c>
    </row>
    <row r="63" spans="1:14" x14ac:dyDescent="0.25">
      <c r="A63" s="34">
        <v>40756</v>
      </c>
      <c r="B63" s="1">
        <v>5113.2</v>
      </c>
      <c r="C63" s="34">
        <v>40756</v>
      </c>
      <c r="D63" s="1">
        <v>1444</v>
      </c>
      <c r="E63" s="34">
        <v>40756</v>
      </c>
      <c r="F63" s="1">
        <v>8.8000000000000007</v>
      </c>
      <c r="G63" s="34">
        <v>40756</v>
      </c>
      <c r="H63" s="1">
        <v>2.25</v>
      </c>
      <c r="I63" s="34">
        <v>40756</v>
      </c>
      <c r="J63" s="1">
        <v>140.06</v>
      </c>
      <c r="K63" s="34">
        <v>40756</v>
      </c>
      <c r="L63" s="1">
        <v>5121.8</v>
      </c>
      <c r="M63" s="34">
        <v>40756</v>
      </c>
      <c r="N63" s="1">
        <v>720.9</v>
      </c>
    </row>
    <row r="64" spans="1:14" x14ac:dyDescent="0.25">
      <c r="A64" s="34">
        <v>40787</v>
      </c>
      <c r="B64" s="1">
        <v>5117.8</v>
      </c>
      <c r="C64" s="34">
        <v>40787</v>
      </c>
      <c r="D64" s="1">
        <v>1185</v>
      </c>
      <c r="E64" s="34">
        <v>40787</v>
      </c>
      <c r="F64" s="1">
        <v>8.6</v>
      </c>
      <c r="G64" s="34">
        <v>40787</v>
      </c>
      <c r="H64" s="1">
        <v>1.94</v>
      </c>
      <c r="I64" s="34">
        <v>40787</v>
      </c>
      <c r="J64" s="1">
        <v>140.63</v>
      </c>
      <c r="K64" s="34">
        <v>40787</v>
      </c>
      <c r="L64" s="1">
        <v>5143.5</v>
      </c>
      <c r="M64" s="34">
        <v>40787</v>
      </c>
      <c r="N64" s="1">
        <v>757.4</v>
      </c>
    </row>
    <row r="65" spans="1:14" x14ac:dyDescent="0.25">
      <c r="A65" s="34">
        <v>40817</v>
      </c>
      <c r="B65" s="1">
        <v>5116.8999999999996</v>
      </c>
      <c r="C65" s="34">
        <v>40817</v>
      </c>
      <c r="D65" s="1">
        <v>1796</v>
      </c>
      <c r="E65" s="34">
        <v>40817</v>
      </c>
      <c r="F65" s="1">
        <v>8.4</v>
      </c>
      <c r="G65" s="34">
        <v>40817</v>
      </c>
      <c r="H65" s="1">
        <v>2.4300000000000002</v>
      </c>
      <c r="I65" s="34">
        <v>40817</v>
      </c>
      <c r="J65" s="1">
        <v>141.19</v>
      </c>
      <c r="K65" s="34">
        <v>40817</v>
      </c>
      <c r="L65" s="1">
        <v>5162.8999999999996</v>
      </c>
      <c r="M65" s="34">
        <v>40817</v>
      </c>
      <c r="N65" s="1">
        <v>774.8</v>
      </c>
    </row>
    <row r="66" spans="1:14" x14ac:dyDescent="0.25">
      <c r="A66" s="34">
        <v>40848</v>
      </c>
      <c r="B66" s="1">
        <v>5132.7</v>
      </c>
      <c r="C66" s="34">
        <v>40848</v>
      </c>
      <c r="D66" s="1">
        <v>1087</v>
      </c>
      <c r="E66" s="34">
        <v>40848</v>
      </c>
      <c r="F66" s="1">
        <v>8.1</v>
      </c>
      <c r="G66" s="34">
        <v>40848</v>
      </c>
      <c r="H66" s="1">
        <v>2.83</v>
      </c>
      <c r="I66" s="34">
        <v>40848</v>
      </c>
      <c r="J66" s="1">
        <v>141.83000000000001</v>
      </c>
      <c r="K66" s="34">
        <v>40848</v>
      </c>
      <c r="L66" s="1">
        <v>5184.3999999999996</v>
      </c>
      <c r="M66" s="34">
        <v>40848</v>
      </c>
      <c r="N66" s="1">
        <v>778.9</v>
      </c>
    </row>
    <row r="67" spans="1:14" x14ac:dyDescent="0.25">
      <c r="A67" s="34">
        <v>40878</v>
      </c>
      <c r="B67" s="1">
        <v>5142.1000000000004</v>
      </c>
      <c r="C67" s="34">
        <v>40878</v>
      </c>
      <c r="D67" s="1">
        <v>1360</v>
      </c>
      <c r="E67" s="34">
        <v>40878</v>
      </c>
      <c r="F67" s="1">
        <v>7.9</v>
      </c>
      <c r="G67" s="34">
        <v>40878</v>
      </c>
      <c r="H67" s="1">
        <v>2.69</v>
      </c>
      <c r="I67" s="34">
        <v>40878</v>
      </c>
      <c r="J67" s="1">
        <v>142.56</v>
      </c>
      <c r="K67" s="34">
        <v>40878</v>
      </c>
      <c r="L67" s="1">
        <v>5179.2</v>
      </c>
      <c r="M67" s="34">
        <v>40878</v>
      </c>
      <c r="N67" s="1">
        <v>775</v>
      </c>
    </row>
    <row r="68" spans="1:14" x14ac:dyDescent="0.25">
      <c r="A68" s="34">
        <v>40909</v>
      </c>
      <c r="B68" s="1">
        <v>5152.2</v>
      </c>
      <c r="C68" s="34">
        <v>40909</v>
      </c>
      <c r="D68" s="1">
        <v>1081</v>
      </c>
      <c r="E68" s="34">
        <v>40909</v>
      </c>
      <c r="F68" s="1">
        <v>7.7</v>
      </c>
      <c r="G68" s="34">
        <v>40909</v>
      </c>
      <c r="H68" s="1">
        <v>3.27</v>
      </c>
      <c r="I68" s="34">
        <v>40909</v>
      </c>
      <c r="J68" s="1">
        <v>143.44</v>
      </c>
      <c r="K68" s="34">
        <v>40909</v>
      </c>
      <c r="L68" s="1">
        <v>5041.8999999999996</v>
      </c>
      <c r="M68" s="34">
        <v>40909</v>
      </c>
      <c r="N68" s="1">
        <v>751.8</v>
      </c>
    </row>
    <row r="69" spans="1:14" x14ac:dyDescent="0.25">
      <c r="A69" s="34">
        <v>40940</v>
      </c>
      <c r="B69" s="1">
        <v>5167.2</v>
      </c>
      <c r="C69" s="34">
        <v>40940</v>
      </c>
      <c r="D69" s="1">
        <v>779</v>
      </c>
      <c r="E69" s="34">
        <v>40940</v>
      </c>
      <c r="F69" s="1">
        <v>7.5</v>
      </c>
      <c r="G69" s="34">
        <v>40940</v>
      </c>
      <c r="H69" s="1">
        <v>2.4900000000000002</v>
      </c>
      <c r="I69" s="34">
        <v>40940</v>
      </c>
      <c r="J69" s="1">
        <v>144.30000000000001</v>
      </c>
      <c r="K69" s="34">
        <v>40940</v>
      </c>
      <c r="L69" s="1">
        <v>5071.7</v>
      </c>
      <c r="M69" s="34">
        <v>40940</v>
      </c>
      <c r="N69" s="1">
        <v>770.3</v>
      </c>
    </row>
    <row r="70" spans="1:14" x14ac:dyDescent="0.25">
      <c r="A70" s="34">
        <v>40969</v>
      </c>
      <c r="B70" s="1">
        <v>5183.7</v>
      </c>
      <c r="C70" s="34">
        <v>40969</v>
      </c>
      <c r="D70" s="1">
        <v>1309</v>
      </c>
      <c r="E70" s="34">
        <v>40969</v>
      </c>
      <c r="F70" s="1">
        <v>7.4</v>
      </c>
      <c r="G70" s="34">
        <v>40969</v>
      </c>
      <c r="H70" s="1">
        <v>2.1800000000000002</v>
      </c>
      <c r="I70" s="34">
        <v>40969</v>
      </c>
      <c r="J70" s="1">
        <v>145.03</v>
      </c>
      <c r="K70" s="34">
        <v>40969</v>
      </c>
      <c r="L70" s="1">
        <v>5118</v>
      </c>
      <c r="M70" s="34">
        <v>40969</v>
      </c>
      <c r="N70" s="1">
        <v>773</v>
      </c>
    </row>
    <row r="71" spans="1:14" x14ac:dyDescent="0.25">
      <c r="A71" s="34">
        <v>41000</v>
      </c>
      <c r="B71" s="1">
        <v>5180.5</v>
      </c>
      <c r="C71" s="34">
        <v>41000</v>
      </c>
      <c r="D71" s="1">
        <v>1451</v>
      </c>
      <c r="E71" s="34">
        <v>41000</v>
      </c>
      <c r="F71" s="1">
        <v>7.4</v>
      </c>
      <c r="G71" s="34">
        <v>41000</v>
      </c>
      <c r="H71" s="1">
        <v>1.68</v>
      </c>
      <c r="I71" s="34">
        <v>41000</v>
      </c>
      <c r="J71" s="1">
        <v>145.57</v>
      </c>
      <c r="K71" s="34">
        <v>41000</v>
      </c>
      <c r="L71" s="1">
        <v>5175.7</v>
      </c>
      <c r="M71" s="34">
        <v>41000</v>
      </c>
      <c r="N71" s="1">
        <v>774.7</v>
      </c>
    </row>
    <row r="72" spans="1:14" x14ac:dyDescent="0.25">
      <c r="A72" s="34">
        <v>41030</v>
      </c>
      <c r="B72" s="1">
        <v>5185.6000000000004</v>
      </c>
      <c r="C72" s="34">
        <v>41030</v>
      </c>
      <c r="D72" s="1">
        <v>1643</v>
      </c>
      <c r="E72" s="34">
        <v>41030</v>
      </c>
      <c r="F72" s="1">
        <v>7.4</v>
      </c>
      <c r="G72" s="34">
        <v>41030</v>
      </c>
      <c r="H72" s="1">
        <v>1.44</v>
      </c>
      <c r="I72" s="34">
        <v>41030</v>
      </c>
      <c r="J72" s="1">
        <v>145.91</v>
      </c>
      <c r="K72" s="34">
        <v>41030</v>
      </c>
      <c r="L72" s="1">
        <v>5234.3</v>
      </c>
      <c r="M72" s="34">
        <v>41030</v>
      </c>
      <c r="N72" s="1">
        <v>781.8</v>
      </c>
    </row>
    <row r="73" spans="1:14" x14ac:dyDescent="0.25">
      <c r="A73" s="34">
        <v>41061</v>
      </c>
      <c r="B73" s="1">
        <v>5192.6000000000004</v>
      </c>
      <c r="C73" s="34">
        <v>41061</v>
      </c>
      <c r="D73" s="1">
        <v>1377</v>
      </c>
      <c r="E73" s="34">
        <v>41061</v>
      </c>
      <c r="F73" s="1">
        <v>7.4</v>
      </c>
      <c r="G73" s="34">
        <v>41061</v>
      </c>
      <c r="H73" s="1">
        <v>0.99</v>
      </c>
      <c r="I73" s="34">
        <v>41061</v>
      </c>
      <c r="J73" s="1">
        <v>146.02000000000001</v>
      </c>
      <c r="K73" s="34">
        <v>41061</v>
      </c>
      <c r="L73" s="1">
        <v>5244.6</v>
      </c>
      <c r="M73" s="34">
        <v>41061</v>
      </c>
      <c r="N73" s="1">
        <v>758.4</v>
      </c>
    </row>
    <row r="74" spans="1:14" x14ac:dyDescent="0.25">
      <c r="A74" s="34">
        <v>41091</v>
      </c>
      <c r="B74" s="1">
        <v>5188.8999999999996</v>
      </c>
      <c r="C74" s="34">
        <v>41091</v>
      </c>
      <c r="D74" s="1">
        <v>1630</v>
      </c>
      <c r="E74" s="34">
        <v>41091</v>
      </c>
      <c r="F74" s="1">
        <v>7.4</v>
      </c>
      <c r="G74" s="34">
        <v>41091</v>
      </c>
      <c r="H74" s="1">
        <v>1.23</v>
      </c>
      <c r="I74" s="34">
        <v>41091</v>
      </c>
      <c r="J74" s="1">
        <v>146.09</v>
      </c>
      <c r="K74" s="34">
        <v>41091</v>
      </c>
      <c r="L74" s="1">
        <v>5184.5</v>
      </c>
      <c r="M74" s="34">
        <v>41091</v>
      </c>
      <c r="N74" s="1">
        <v>716</v>
      </c>
    </row>
    <row r="75" spans="1:14" x14ac:dyDescent="0.25">
      <c r="A75" s="34">
        <v>41122</v>
      </c>
      <c r="B75" s="1">
        <v>5191.2</v>
      </c>
      <c r="C75" s="34">
        <v>41122</v>
      </c>
      <c r="D75" s="1">
        <v>1565</v>
      </c>
      <c r="E75" s="34">
        <v>41122</v>
      </c>
      <c r="F75" s="1">
        <v>7.4</v>
      </c>
      <c r="G75" s="34">
        <v>41122</v>
      </c>
      <c r="H75" s="1">
        <v>1.89</v>
      </c>
      <c r="I75" s="34">
        <v>41122</v>
      </c>
      <c r="J75" s="1">
        <v>146.32</v>
      </c>
      <c r="K75" s="34">
        <v>41122</v>
      </c>
      <c r="L75" s="1">
        <v>5203.3999999999996</v>
      </c>
      <c r="M75" s="34">
        <v>41122</v>
      </c>
      <c r="N75" s="1">
        <v>720.7</v>
      </c>
    </row>
    <row r="76" spans="1:14" x14ac:dyDescent="0.25">
      <c r="A76" s="34">
        <v>41153</v>
      </c>
      <c r="B76" s="1">
        <v>5197.3</v>
      </c>
      <c r="C76" s="34">
        <v>41153</v>
      </c>
      <c r="D76" s="1">
        <v>1416</v>
      </c>
      <c r="E76" s="34">
        <v>41153</v>
      </c>
      <c r="F76" s="1">
        <v>7.3</v>
      </c>
      <c r="G76" s="34">
        <v>41153</v>
      </c>
      <c r="H76" s="1">
        <v>2.12</v>
      </c>
      <c r="I76" s="34">
        <v>41153</v>
      </c>
      <c r="J76" s="1">
        <v>146.72999999999999</v>
      </c>
      <c r="K76" s="34">
        <v>41153</v>
      </c>
      <c r="L76" s="1">
        <v>5224.8999999999996</v>
      </c>
      <c r="M76" s="34">
        <v>41153</v>
      </c>
      <c r="N76" s="1">
        <v>762.6</v>
      </c>
    </row>
    <row r="77" spans="1:14" x14ac:dyDescent="0.25">
      <c r="A77" s="34">
        <v>41183</v>
      </c>
      <c r="B77" s="1">
        <v>5211.2</v>
      </c>
      <c r="C77" s="34">
        <v>41183</v>
      </c>
      <c r="D77" s="1">
        <v>1672</v>
      </c>
      <c r="E77" s="34">
        <v>41183</v>
      </c>
      <c r="F77" s="1">
        <v>7.3</v>
      </c>
      <c r="G77" s="34">
        <v>41183</v>
      </c>
      <c r="H77" s="1">
        <v>1.94</v>
      </c>
      <c r="I77" s="34">
        <v>41183</v>
      </c>
      <c r="J77" s="1">
        <v>147.19999999999999</v>
      </c>
      <c r="K77" s="34">
        <v>41183</v>
      </c>
      <c r="L77" s="1">
        <v>5256.4</v>
      </c>
      <c r="M77" s="34">
        <v>41183</v>
      </c>
      <c r="N77" s="1">
        <v>776.2</v>
      </c>
    </row>
    <row r="78" spans="1:14" x14ac:dyDescent="0.25">
      <c r="A78" s="34">
        <v>41214</v>
      </c>
      <c r="B78" s="1">
        <v>5212.5</v>
      </c>
      <c r="C78" s="34">
        <v>41214</v>
      </c>
      <c r="D78" s="1">
        <v>1869</v>
      </c>
      <c r="E78" s="34">
        <v>41214</v>
      </c>
      <c r="F78" s="1">
        <v>7.3</v>
      </c>
      <c r="G78" s="34">
        <v>41214</v>
      </c>
      <c r="H78" s="1">
        <v>2</v>
      </c>
      <c r="I78" s="34">
        <v>41214</v>
      </c>
      <c r="J78" s="1">
        <v>147.65</v>
      </c>
      <c r="K78" s="34">
        <v>41214</v>
      </c>
      <c r="L78" s="1">
        <v>5266.2</v>
      </c>
      <c r="M78" s="34">
        <v>41214</v>
      </c>
      <c r="N78" s="1">
        <v>776.8</v>
      </c>
    </row>
    <row r="79" spans="1:14" x14ac:dyDescent="0.25">
      <c r="A79" s="34">
        <v>41244</v>
      </c>
      <c r="B79" s="1">
        <v>5217.8999999999996</v>
      </c>
      <c r="C79" s="34">
        <v>41244</v>
      </c>
      <c r="D79" s="1">
        <v>1285</v>
      </c>
      <c r="E79" s="34">
        <v>41244</v>
      </c>
      <c r="F79" s="1">
        <v>7.3</v>
      </c>
      <c r="G79" s="34">
        <v>41244</v>
      </c>
      <c r="H79" s="1">
        <v>2.52</v>
      </c>
      <c r="I79" s="34">
        <v>41244</v>
      </c>
      <c r="J79" s="1">
        <v>148.13999999999999</v>
      </c>
      <c r="K79" s="34">
        <v>41244</v>
      </c>
      <c r="L79" s="1">
        <v>5253.5</v>
      </c>
      <c r="M79" s="34">
        <v>41244</v>
      </c>
      <c r="N79" s="1">
        <v>770.4</v>
      </c>
    </row>
    <row r="80" spans="1:14" x14ac:dyDescent="0.25">
      <c r="A80" s="34">
        <v>41275</v>
      </c>
      <c r="B80" s="1">
        <v>5218.5</v>
      </c>
      <c r="C80" s="34">
        <v>41275</v>
      </c>
      <c r="D80" s="1">
        <v>1677</v>
      </c>
      <c r="E80" s="34">
        <v>41275</v>
      </c>
      <c r="F80" s="1">
        <v>7.3</v>
      </c>
      <c r="G80" s="34">
        <v>41275</v>
      </c>
      <c r="H80" s="1">
        <v>1.95</v>
      </c>
      <c r="I80" s="34">
        <v>41275</v>
      </c>
      <c r="J80" s="1">
        <v>148.51</v>
      </c>
      <c r="K80" s="34">
        <v>41275</v>
      </c>
      <c r="L80" s="1">
        <v>5107.6000000000004</v>
      </c>
      <c r="M80" s="34">
        <v>41275</v>
      </c>
      <c r="N80" s="1">
        <v>753.6</v>
      </c>
    </row>
    <row r="81" spans="1:14" x14ac:dyDescent="0.25">
      <c r="A81" s="34">
        <v>41306</v>
      </c>
      <c r="B81" s="1">
        <v>5230</v>
      </c>
      <c r="C81" s="34">
        <v>41306</v>
      </c>
      <c r="D81" s="1">
        <v>1191</v>
      </c>
      <c r="E81" s="34">
        <v>41306</v>
      </c>
      <c r="F81" s="1">
        <v>7.3</v>
      </c>
      <c r="G81" s="34">
        <v>41306</v>
      </c>
      <c r="H81" s="1">
        <v>1.82</v>
      </c>
      <c r="I81" s="34">
        <v>41306</v>
      </c>
      <c r="J81" s="1">
        <v>148.79</v>
      </c>
      <c r="K81" s="34">
        <v>41306</v>
      </c>
      <c r="L81" s="1">
        <v>5134.7</v>
      </c>
      <c r="M81" s="34">
        <v>41306</v>
      </c>
      <c r="N81" s="1">
        <v>768.2</v>
      </c>
    </row>
    <row r="82" spans="1:14" x14ac:dyDescent="0.25">
      <c r="A82" s="34">
        <v>41334</v>
      </c>
      <c r="B82" s="1">
        <v>5229.3</v>
      </c>
      <c r="C82" s="34">
        <v>41334</v>
      </c>
      <c r="D82" s="1">
        <v>1316</v>
      </c>
      <c r="E82" s="34">
        <v>41334</v>
      </c>
      <c r="F82" s="1">
        <v>7.3</v>
      </c>
      <c r="G82" s="34">
        <v>41334</v>
      </c>
      <c r="H82" s="1">
        <v>1.8</v>
      </c>
      <c r="I82" s="34">
        <v>41334</v>
      </c>
      <c r="J82" s="1">
        <v>149.12</v>
      </c>
      <c r="K82" s="34">
        <v>41334</v>
      </c>
      <c r="L82" s="1">
        <v>5162.3999999999996</v>
      </c>
      <c r="M82" s="34">
        <v>41334</v>
      </c>
      <c r="N82" s="1">
        <v>766.8</v>
      </c>
    </row>
    <row r="83" spans="1:14" x14ac:dyDescent="0.25">
      <c r="A83" s="34">
        <v>41365</v>
      </c>
      <c r="B83" s="1">
        <v>5242.3</v>
      </c>
      <c r="C83" s="34">
        <v>41365</v>
      </c>
      <c r="D83" s="1">
        <v>2304</v>
      </c>
      <c r="E83" s="34">
        <v>41365</v>
      </c>
      <c r="F83" s="1">
        <v>7.3</v>
      </c>
      <c r="G83" s="34">
        <v>41365</v>
      </c>
      <c r="H83" s="1">
        <v>2.4300000000000002</v>
      </c>
      <c r="I83" s="34">
        <v>41365</v>
      </c>
      <c r="J83" s="1">
        <v>149.66999999999999</v>
      </c>
      <c r="K83" s="34">
        <v>41365</v>
      </c>
      <c r="L83" s="1">
        <v>5238.8999999999996</v>
      </c>
      <c r="M83" s="34">
        <v>41365</v>
      </c>
      <c r="N83" s="1">
        <v>773</v>
      </c>
    </row>
    <row r="84" spans="1:14" x14ac:dyDescent="0.25">
      <c r="A84" s="34">
        <v>41395</v>
      </c>
      <c r="B84" s="1">
        <v>5251.5</v>
      </c>
      <c r="C84" s="34">
        <v>41395</v>
      </c>
      <c r="D84" s="1">
        <v>2161</v>
      </c>
      <c r="E84" s="34">
        <v>41395</v>
      </c>
      <c r="F84" s="1">
        <v>7.4</v>
      </c>
      <c r="G84" s="34">
        <v>41395</v>
      </c>
      <c r="H84" s="1">
        <v>1.53</v>
      </c>
      <c r="I84" s="34">
        <v>41395</v>
      </c>
      <c r="J84" s="1">
        <v>150.19999999999999</v>
      </c>
      <c r="K84" s="34">
        <v>41395</v>
      </c>
      <c r="L84" s="1">
        <v>5305.4</v>
      </c>
      <c r="M84" s="34">
        <v>41395</v>
      </c>
      <c r="N84" s="1">
        <v>776.5</v>
      </c>
    </row>
    <row r="85" spans="1:14" x14ac:dyDescent="0.25">
      <c r="A85" s="34">
        <v>41426</v>
      </c>
      <c r="B85" s="1">
        <v>5255.2</v>
      </c>
      <c r="C85" s="34">
        <v>41426</v>
      </c>
      <c r="D85" s="1">
        <v>1636</v>
      </c>
      <c r="E85" s="34">
        <v>41426</v>
      </c>
      <c r="F85" s="1">
        <v>7.4</v>
      </c>
      <c r="G85" s="34">
        <v>41426</v>
      </c>
      <c r="H85" s="1">
        <v>0.93</v>
      </c>
      <c r="I85" s="34">
        <v>41426</v>
      </c>
      <c r="J85" s="1">
        <v>150.56</v>
      </c>
      <c r="K85" s="34">
        <v>41426</v>
      </c>
      <c r="L85" s="1">
        <v>5305.8</v>
      </c>
      <c r="M85" s="34">
        <v>41426</v>
      </c>
      <c r="N85" s="1">
        <v>750.2</v>
      </c>
    </row>
    <row r="86" spans="1:14" x14ac:dyDescent="0.25">
      <c r="A86" s="34">
        <v>41456</v>
      </c>
      <c r="B86" s="1">
        <v>5264.5</v>
      </c>
      <c r="C86" s="34">
        <v>41456</v>
      </c>
      <c r="D86" s="1">
        <v>2288</v>
      </c>
      <c r="E86" s="34">
        <v>41456</v>
      </c>
      <c r="F86" s="1">
        <v>7.5</v>
      </c>
      <c r="G86" s="34">
        <v>41456</v>
      </c>
      <c r="H86" s="1">
        <v>1.4</v>
      </c>
      <c r="I86" s="34">
        <v>41456</v>
      </c>
      <c r="J86" s="1">
        <v>150.87</v>
      </c>
      <c r="K86" s="34">
        <v>41456</v>
      </c>
      <c r="L86" s="1">
        <v>5260.5</v>
      </c>
      <c r="M86" s="34">
        <v>41456</v>
      </c>
      <c r="N86" s="1">
        <v>714.3</v>
      </c>
    </row>
    <row r="87" spans="1:14" x14ac:dyDescent="0.25">
      <c r="A87" s="34">
        <v>41487</v>
      </c>
      <c r="B87" s="1">
        <v>5274.7</v>
      </c>
      <c r="C87" s="34">
        <v>41487</v>
      </c>
      <c r="D87" s="1">
        <v>2428</v>
      </c>
      <c r="E87" s="34">
        <v>41487</v>
      </c>
      <c r="F87" s="1">
        <v>7.5</v>
      </c>
      <c r="G87" s="34">
        <v>41487</v>
      </c>
      <c r="H87" s="1">
        <v>1.74</v>
      </c>
      <c r="I87" s="34">
        <v>41487</v>
      </c>
      <c r="J87" s="1">
        <v>151.26</v>
      </c>
      <c r="K87" s="34">
        <v>41487</v>
      </c>
      <c r="L87" s="1">
        <v>5287.4</v>
      </c>
      <c r="M87" s="34">
        <v>41487</v>
      </c>
      <c r="N87" s="1">
        <v>722.6</v>
      </c>
    </row>
    <row r="88" spans="1:14" x14ac:dyDescent="0.25">
      <c r="A88" s="34">
        <v>41518</v>
      </c>
      <c r="B88" s="1">
        <v>5270.7</v>
      </c>
      <c r="C88" s="34">
        <v>41518</v>
      </c>
      <c r="D88" s="1">
        <v>2130</v>
      </c>
      <c r="E88" s="34">
        <v>41518</v>
      </c>
      <c r="F88" s="1">
        <v>7.4</v>
      </c>
      <c r="G88" s="34">
        <v>41518</v>
      </c>
      <c r="H88" s="1">
        <v>1.1499999999999999</v>
      </c>
      <c r="I88" s="34">
        <v>41518</v>
      </c>
      <c r="J88" s="1">
        <v>151.54</v>
      </c>
      <c r="K88" s="34">
        <v>41518</v>
      </c>
      <c r="L88" s="1">
        <v>5298.8</v>
      </c>
      <c r="M88" s="34">
        <v>41518</v>
      </c>
      <c r="N88" s="1">
        <v>761.2</v>
      </c>
    </row>
    <row r="89" spans="1:14" x14ac:dyDescent="0.25">
      <c r="A89" s="34">
        <v>41548</v>
      </c>
      <c r="B89" s="1">
        <v>5269.7</v>
      </c>
      <c r="C89" s="34">
        <v>41548</v>
      </c>
      <c r="D89" s="1">
        <v>2146</v>
      </c>
      <c r="E89" s="34">
        <v>41548</v>
      </c>
      <c r="F89" s="1">
        <v>7.4</v>
      </c>
      <c r="G89" s="34">
        <v>41548</v>
      </c>
      <c r="H89" s="1">
        <v>1.48</v>
      </c>
      <c r="I89" s="34">
        <v>41548</v>
      </c>
      <c r="J89" s="1">
        <v>151.76</v>
      </c>
      <c r="K89" s="34">
        <v>41548</v>
      </c>
      <c r="L89" s="1">
        <v>5320.9</v>
      </c>
      <c r="M89" s="34">
        <v>41548</v>
      </c>
      <c r="N89" s="1">
        <v>772.8</v>
      </c>
    </row>
    <row r="90" spans="1:14" x14ac:dyDescent="0.25">
      <c r="A90" s="34">
        <v>41579</v>
      </c>
      <c r="B90" s="1">
        <v>5264</v>
      </c>
      <c r="C90" s="34">
        <v>41579</v>
      </c>
      <c r="D90" s="1">
        <v>1266</v>
      </c>
      <c r="E90" s="34">
        <v>41579</v>
      </c>
      <c r="F90" s="1">
        <v>7.2</v>
      </c>
      <c r="G90" s="34">
        <v>41579</v>
      </c>
      <c r="H90" s="1">
        <v>2.17</v>
      </c>
      <c r="I90" s="34">
        <v>41579</v>
      </c>
      <c r="J90" s="1">
        <v>152.16</v>
      </c>
      <c r="K90" s="34">
        <v>41579</v>
      </c>
      <c r="L90" s="1">
        <v>5314.1</v>
      </c>
      <c r="M90" s="34">
        <v>41579</v>
      </c>
      <c r="N90" s="1">
        <v>774.6</v>
      </c>
    </row>
    <row r="91" spans="1:14" x14ac:dyDescent="0.25">
      <c r="A91" s="34">
        <v>41609</v>
      </c>
      <c r="B91" s="1">
        <v>5268.9</v>
      </c>
      <c r="C91" s="34">
        <v>41609</v>
      </c>
      <c r="D91" s="1">
        <v>1306</v>
      </c>
      <c r="E91" s="34">
        <v>41609</v>
      </c>
      <c r="F91" s="1">
        <v>7.1</v>
      </c>
      <c r="G91" s="34">
        <v>41609</v>
      </c>
      <c r="H91" s="1">
        <v>2.34</v>
      </c>
      <c r="I91" s="34">
        <v>41609</v>
      </c>
      <c r="J91" s="1">
        <v>152.78</v>
      </c>
      <c r="K91" s="34">
        <v>41609</v>
      </c>
      <c r="L91" s="1">
        <v>5292.4</v>
      </c>
      <c r="M91" s="34">
        <v>41609</v>
      </c>
      <c r="N91" s="1">
        <v>767.6</v>
      </c>
    </row>
    <row r="92" spans="1:14" x14ac:dyDescent="0.25">
      <c r="A92" s="34">
        <v>41640</v>
      </c>
      <c r="B92" s="1">
        <v>5284.6</v>
      </c>
      <c r="C92" s="34">
        <v>41640</v>
      </c>
      <c r="D92" s="1">
        <v>920</v>
      </c>
      <c r="E92" s="34">
        <v>41640</v>
      </c>
      <c r="F92" s="1">
        <v>6.9</v>
      </c>
      <c r="G92" s="34">
        <v>41640</v>
      </c>
      <c r="H92" s="1">
        <v>2.35</v>
      </c>
      <c r="I92" s="34">
        <v>41640</v>
      </c>
      <c r="J92" s="1">
        <v>153.54</v>
      </c>
      <c r="K92" s="34">
        <v>41640</v>
      </c>
      <c r="L92" s="1">
        <v>5165.3999999999996</v>
      </c>
      <c r="M92" s="34">
        <v>41640</v>
      </c>
      <c r="N92" s="1">
        <v>749.4</v>
      </c>
    </row>
    <row r="93" spans="1:14" x14ac:dyDescent="0.25">
      <c r="A93" s="34">
        <v>41671</v>
      </c>
      <c r="B93" s="1">
        <v>5282.3</v>
      </c>
      <c r="C93" s="34">
        <v>41671</v>
      </c>
      <c r="D93" s="1">
        <v>903</v>
      </c>
      <c r="E93" s="34">
        <v>41671</v>
      </c>
      <c r="F93" s="1">
        <v>6.5</v>
      </c>
      <c r="G93" s="34">
        <v>41671</v>
      </c>
      <c r="H93" s="1">
        <v>1.83</v>
      </c>
      <c r="I93" s="34">
        <v>41671</v>
      </c>
      <c r="J93" s="1">
        <v>154.18</v>
      </c>
      <c r="K93" s="34">
        <v>41671</v>
      </c>
      <c r="L93" s="1">
        <v>5187.8999999999996</v>
      </c>
      <c r="M93" s="34">
        <v>41671</v>
      </c>
      <c r="N93" s="1">
        <v>764</v>
      </c>
    </row>
    <row r="94" spans="1:14" x14ac:dyDescent="0.25">
      <c r="A94" s="34">
        <v>41699</v>
      </c>
      <c r="B94" s="1">
        <v>5285</v>
      </c>
      <c r="C94" s="34">
        <v>41699</v>
      </c>
      <c r="D94" s="1">
        <v>1785</v>
      </c>
      <c r="E94" s="34">
        <v>41699</v>
      </c>
      <c r="F94" s="1">
        <v>6.1</v>
      </c>
      <c r="G94" s="34">
        <v>41699</v>
      </c>
      <c r="H94" s="1">
        <v>1.75</v>
      </c>
      <c r="I94" s="34">
        <v>41699</v>
      </c>
      <c r="J94" s="1">
        <v>154.69999999999999</v>
      </c>
      <c r="K94" s="34">
        <v>41699</v>
      </c>
      <c r="L94" s="1">
        <v>5215.5</v>
      </c>
      <c r="M94" s="34">
        <v>41699</v>
      </c>
      <c r="N94" s="1">
        <v>764</v>
      </c>
    </row>
    <row r="95" spans="1:14" x14ac:dyDescent="0.25">
      <c r="A95" s="34">
        <v>41730</v>
      </c>
      <c r="B95" s="1">
        <v>5295.4</v>
      </c>
      <c r="C95" s="34">
        <v>41730</v>
      </c>
      <c r="D95" s="1">
        <v>1653</v>
      </c>
      <c r="E95" s="34">
        <v>41730</v>
      </c>
      <c r="F95" s="1">
        <v>5.7</v>
      </c>
      <c r="G95" s="34">
        <v>41730</v>
      </c>
      <c r="H95" s="1">
        <v>2</v>
      </c>
      <c r="I95" s="34">
        <v>41730</v>
      </c>
      <c r="J95" s="1">
        <v>155.26</v>
      </c>
      <c r="K95" s="34">
        <v>41730</v>
      </c>
      <c r="L95" s="1">
        <v>5280.4</v>
      </c>
      <c r="M95" s="34">
        <v>41730</v>
      </c>
      <c r="N95" s="1">
        <v>768.9</v>
      </c>
    </row>
    <row r="96" spans="1:14" x14ac:dyDescent="0.25">
      <c r="A96" s="34">
        <v>41760</v>
      </c>
      <c r="B96" s="1">
        <v>5292.7</v>
      </c>
      <c r="C96" s="34">
        <v>41760</v>
      </c>
      <c r="D96" s="1">
        <v>1914</v>
      </c>
      <c r="E96" s="34">
        <v>41760</v>
      </c>
      <c r="F96" s="1">
        <v>5.5</v>
      </c>
      <c r="G96" s="34">
        <v>41760</v>
      </c>
      <c r="H96" s="1">
        <v>2.2200000000000002</v>
      </c>
      <c r="I96" s="34">
        <v>41760</v>
      </c>
      <c r="J96" s="1">
        <v>155.94999999999999</v>
      </c>
      <c r="K96" s="34">
        <v>41760</v>
      </c>
      <c r="L96" s="1">
        <v>5340.5</v>
      </c>
      <c r="M96" s="34">
        <v>41760</v>
      </c>
      <c r="N96" s="1">
        <v>773.2</v>
      </c>
    </row>
    <row r="97" spans="1:14" x14ac:dyDescent="0.25">
      <c r="A97" s="34">
        <v>41791</v>
      </c>
      <c r="B97" s="1">
        <v>5301.3</v>
      </c>
      <c r="C97" s="34">
        <v>41791</v>
      </c>
      <c r="D97" s="1">
        <v>1873</v>
      </c>
      <c r="E97" s="34">
        <v>41791</v>
      </c>
      <c r="F97" s="1">
        <v>5.5</v>
      </c>
      <c r="G97" s="34">
        <v>41791</v>
      </c>
      <c r="H97" s="1">
        <v>2.1</v>
      </c>
      <c r="I97" s="34">
        <v>41791</v>
      </c>
      <c r="J97" s="1">
        <v>156.66999999999999</v>
      </c>
      <c r="K97" s="34">
        <v>41791</v>
      </c>
      <c r="L97" s="1">
        <v>5362</v>
      </c>
      <c r="M97" s="34">
        <v>41791</v>
      </c>
      <c r="N97" s="1">
        <v>747.1</v>
      </c>
    </row>
    <row r="98" spans="1:14" x14ac:dyDescent="0.25">
      <c r="A98" s="34">
        <v>41821</v>
      </c>
      <c r="B98" s="1">
        <v>5292.7</v>
      </c>
      <c r="C98" s="34">
        <v>41821</v>
      </c>
      <c r="D98" s="1">
        <v>2431</v>
      </c>
      <c r="E98" s="34">
        <v>41821</v>
      </c>
      <c r="F98" s="1">
        <v>5.7</v>
      </c>
      <c r="G98" s="34">
        <v>41821</v>
      </c>
      <c r="H98" s="1">
        <v>1.86</v>
      </c>
      <c r="I98" s="34">
        <v>41821</v>
      </c>
      <c r="J98" s="1">
        <v>157.24</v>
      </c>
      <c r="K98" s="34">
        <v>41821</v>
      </c>
      <c r="L98" s="1">
        <v>5316.9</v>
      </c>
      <c r="M98" s="34">
        <v>41821</v>
      </c>
      <c r="N98" s="1">
        <v>710.1</v>
      </c>
    </row>
    <row r="99" spans="1:14" x14ac:dyDescent="0.25">
      <c r="A99" s="34">
        <v>41852</v>
      </c>
      <c r="B99" s="1">
        <v>5297.4</v>
      </c>
      <c r="C99" s="34">
        <v>41852</v>
      </c>
      <c r="D99" s="1">
        <v>2460</v>
      </c>
      <c r="E99" s="34">
        <v>41852</v>
      </c>
      <c r="F99" s="1">
        <v>5.7</v>
      </c>
      <c r="G99" s="34">
        <v>41852</v>
      </c>
      <c r="H99" s="1">
        <v>1.99</v>
      </c>
      <c r="I99" s="34">
        <v>41852</v>
      </c>
      <c r="J99" s="1">
        <v>157.69999999999999</v>
      </c>
      <c r="K99" s="34">
        <v>41852</v>
      </c>
      <c r="L99" s="1">
        <v>5322.7</v>
      </c>
      <c r="M99" s="34">
        <v>41852</v>
      </c>
      <c r="N99" s="1">
        <v>717.9</v>
      </c>
    </row>
    <row r="100" spans="1:14" x14ac:dyDescent="0.25">
      <c r="A100" s="34">
        <v>41883</v>
      </c>
      <c r="B100" s="1">
        <v>5306.3</v>
      </c>
      <c r="C100" s="34">
        <v>41883</v>
      </c>
      <c r="D100" s="1">
        <v>1621</v>
      </c>
      <c r="E100" s="34">
        <v>41883</v>
      </c>
      <c r="F100" s="1">
        <v>5.6</v>
      </c>
      <c r="G100" s="34">
        <v>41883</v>
      </c>
      <c r="H100" s="1">
        <v>1.88</v>
      </c>
      <c r="I100" s="34">
        <v>41883</v>
      </c>
      <c r="J100" s="1">
        <v>158.13</v>
      </c>
      <c r="K100" s="34">
        <v>41883</v>
      </c>
      <c r="L100" s="1">
        <v>5333.4</v>
      </c>
      <c r="M100" s="34">
        <v>41883</v>
      </c>
      <c r="N100" s="1">
        <v>757.2</v>
      </c>
    </row>
    <row r="101" spans="1:14" x14ac:dyDescent="0.25">
      <c r="A101" s="34">
        <v>41913</v>
      </c>
      <c r="B101" s="1">
        <v>5311.3</v>
      </c>
      <c r="C101" s="34">
        <v>41913</v>
      </c>
      <c r="D101" s="1">
        <v>1887</v>
      </c>
      <c r="E101" s="34">
        <v>41913</v>
      </c>
      <c r="F101" s="1">
        <v>5.3</v>
      </c>
      <c r="G101" s="34">
        <v>41913</v>
      </c>
      <c r="H101" s="1">
        <v>2.74</v>
      </c>
      <c r="I101" s="34">
        <v>41913</v>
      </c>
      <c r="J101" s="1">
        <v>158.72999999999999</v>
      </c>
      <c r="K101" s="34">
        <v>41913</v>
      </c>
      <c r="L101" s="1">
        <v>5361.3</v>
      </c>
      <c r="M101" s="34">
        <v>41913</v>
      </c>
      <c r="N101" s="1">
        <v>770.7</v>
      </c>
    </row>
    <row r="102" spans="1:14" x14ac:dyDescent="0.25">
      <c r="A102" s="34">
        <v>41944</v>
      </c>
      <c r="B102" s="1">
        <v>5325.3</v>
      </c>
      <c r="C102" s="34">
        <v>41944</v>
      </c>
      <c r="D102" s="1">
        <v>1470</v>
      </c>
      <c r="E102" s="34">
        <v>41944</v>
      </c>
      <c r="F102" s="1">
        <v>5</v>
      </c>
      <c r="G102" s="34">
        <v>41944</v>
      </c>
      <c r="H102" s="1">
        <v>2.6</v>
      </c>
      <c r="I102" s="34">
        <v>41944</v>
      </c>
      <c r="J102" s="1">
        <v>159.44999999999999</v>
      </c>
      <c r="K102" s="34">
        <v>41944</v>
      </c>
      <c r="L102" s="1">
        <v>5369.2</v>
      </c>
      <c r="M102" s="34">
        <v>41944</v>
      </c>
      <c r="N102" s="1">
        <v>773.1</v>
      </c>
    </row>
    <row r="103" spans="1:14" x14ac:dyDescent="0.25">
      <c r="A103" s="34">
        <v>41974</v>
      </c>
      <c r="B103" s="1">
        <v>5330.4</v>
      </c>
      <c r="E103" s="34">
        <v>41974</v>
      </c>
      <c r="F103" s="1">
        <v>4.8</v>
      </c>
      <c r="K103" s="34">
        <v>41974</v>
      </c>
      <c r="L103" s="1">
        <v>5352.7</v>
      </c>
      <c r="M103" s="34">
        <v>41974</v>
      </c>
      <c r="N103" s="1">
        <v>767.7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P103"/>
  <sheetViews>
    <sheetView topLeftCell="A77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253</v>
      </c>
      <c r="C1" s="34" t="s">
        <v>254</v>
      </c>
      <c r="E1" s="34" t="s">
        <v>255</v>
      </c>
      <c r="G1" s="34" t="s">
        <v>256</v>
      </c>
      <c r="I1" s="34" t="s">
        <v>257</v>
      </c>
      <c r="K1" s="34" t="str">
        <f>CONCATENATE(LEFT(A1,2), "NAN")</f>
        <v>OKNAN</v>
      </c>
      <c r="M1" s="34" t="str">
        <f>CONCATENATE(LEFT(A1,2), "GOVTN")</f>
        <v>OKGOVTN</v>
      </c>
      <c r="O1" s="34" t="str">
        <f>CONCATENATE(LEFT($A$1,2), "RGSP")</f>
        <v>OKRGSP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961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916</v>
      </c>
      <c r="C5" s="35" t="s">
        <v>375</v>
      </c>
      <c r="E5" s="35" t="s">
        <v>376</v>
      </c>
      <c r="G5" s="35" t="s">
        <v>377</v>
      </c>
      <c r="I5" s="35" t="s">
        <v>378</v>
      </c>
      <c r="K5" s="35" t="s">
        <v>916</v>
      </c>
      <c r="M5" s="35" t="s">
        <v>917</v>
      </c>
      <c r="O5" s="35" t="s">
        <v>784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1577.1</v>
      </c>
      <c r="C8" s="34">
        <v>39083</v>
      </c>
      <c r="D8" s="1">
        <v>940</v>
      </c>
      <c r="E8" s="34">
        <v>39083</v>
      </c>
      <c r="F8" s="1">
        <v>4.0999999999999996</v>
      </c>
      <c r="G8" s="34">
        <v>39083</v>
      </c>
      <c r="H8" s="1">
        <v>1.84</v>
      </c>
      <c r="I8" s="34">
        <v>39083</v>
      </c>
      <c r="J8" s="1">
        <v>142.75</v>
      </c>
      <c r="K8" s="34">
        <v>39083</v>
      </c>
      <c r="L8" s="1">
        <v>1554.5</v>
      </c>
      <c r="M8" s="34">
        <v>39083</v>
      </c>
      <c r="N8" s="1">
        <v>330.5</v>
      </c>
      <c r="O8" s="34">
        <v>39083</v>
      </c>
      <c r="P8" s="1">
        <v>145822</v>
      </c>
    </row>
    <row r="9" spans="1:16" x14ac:dyDescent="0.25">
      <c r="A9" s="34">
        <v>39114</v>
      </c>
      <c r="B9" s="1">
        <v>1581.8</v>
      </c>
      <c r="C9" s="34">
        <v>39114</v>
      </c>
      <c r="D9" s="1">
        <v>1369</v>
      </c>
      <c r="E9" s="34">
        <v>39114</v>
      </c>
      <c r="F9" s="1">
        <v>4.0999999999999996</v>
      </c>
      <c r="G9" s="34">
        <v>39114</v>
      </c>
      <c r="H9" s="1">
        <v>1.99</v>
      </c>
      <c r="I9" s="34">
        <v>39114</v>
      </c>
      <c r="J9" s="1">
        <v>143.33000000000001</v>
      </c>
      <c r="K9" s="34">
        <v>39114</v>
      </c>
      <c r="L9" s="1">
        <v>1569.5</v>
      </c>
      <c r="M9" s="34">
        <v>39114</v>
      </c>
      <c r="N9" s="1">
        <v>337.2</v>
      </c>
      <c r="O9" s="34">
        <v>39448</v>
      </c>
      <c r="P9" s="1">
        <v>150225</v>
      </c>
    </row>
    <row r="10" spans="1:16" x14ac:dyDescent="0.25">
      <c r="A10" s="34">
        <v>39142</v>
      </c>
      <c r="B10" s="1">
        <v>1592.1</v>
      </c>
      <c r="C10" s="34">
        <v>39142</v>
      </c>
      <c r="D10" s="1">
        <v>1599</v>
      </c>
      <c r="E10" s="34">
        <v>39142</v>
      </c>
      <c r="F10" s="1">
        <v>4.2</v>
      </c>
      <c r="G10" s="34">
        <v>39142</v>
      </c>
      <c r="H10" s="1">
        <v>1.49</v>
      </c>
      <c r="I10" s="34">
        <v>39142</v>
      </c>
      <c r="J10" s="1">
        <v>143.63</v>
      </c>
      <c r="K10" s="34">
        <v>39142</v>
      </c>
      <c r="L10" s="1">
        <v>1590.7</v>
      </c>
      <c r="M10" s="34">
        <v>39142</v>
      </c>
      <c r="N10" s="1">
        <v>339</v>
      </c>
      <c r="O10" s="34">
        <v>39814</v>
      </c>
      <c r="P10" s="1">
        <v>146987</v>
      </c>
    </row>
    <row r="11" spans="1:16" x14ac:dyDescent="0.25">
      <c r="A11" s="34">
        <v>39173</v>
      </c>
      <c r="B11" s="1">
        <v>1586.9</v>
      </c>
      <c r="C11" s="34">
        <v>39173</v>
      </c>
      <c r="D11" s="1">
        <v>1398</v>
      </c>
      <c r="E11" s="34">
        <v>39173</v>
      </c>
      <c r="F11" s="1">
        <v>4.3</v>
      </c>
      <c r="G11" s="34">
        <v>39173</v>
      </c>
      <c r="H11" s="1">
        <v>0.83</v>
      </c>
      <c r="I11" s="34">
        <v>39173</v>
      </c>
      <c r="J11" s="1">
        <v>143.79</v>
      </c>
      <c r="K11" s="34">
        <v>39173</v>
      </c>
      <c r="L11" s="1">
        <v>1589</v>
      </c>
      <c r="M11" s="34">
        <v>39173</v>
      </c>
      <c r="N11" s="1">
        <v>337.6</v>
      </c>
      <c r="O11" s="34">
        <v>40179</v>
      </c>
      <c r="P11" s="1">
        <v>148038</v>
      </c>
    </row>
    <row r="12" spans="1:16" x14ac:dyDescent="0.25">
      <c r="A12" s="34">
        <v>39203</v>
      </c>
      <c r="B12" s="1">
        <v>1589.5</v>
      </c>
      <c r="C12" s="34">
        <v>39203</v>
      </c>
      <c r="D12" s="1">
        <v>1360</v>
      </c>
      <c r="E12" s="34">
        <v>39203</v>
      </c>
      <c r="F12" s="1">
        <v>4.3</v>
      </c>
      <c r="G12" s="34">
        <v>39203</v>
      </c>
      <c r="H12" s="1">
        <v>1.27</v>
      </c>
      <c r="I12" s="34">
        <v>39203</v>
      </c>
      <c r="J12" s="1">
        <v>144.19999999999999</v>
      </c>
      <c r="K12" s="34">
        <v>39203</v>
      </c>
      <c r="L12" s="1">
        <v>1599.9</v>
      </c>
      <c r="M12" s="34">
        <v>39203</v>
      </c>
      <c r="N12" s="1">
        <v>339.6</v>
      </c>
      <c r="O12" s="34">
        <v>40544</v>
      </c>
      <c r="P12" s="1">
        <v>153104</v>
      </c>
    </row>
    <row r="13" spans="1:16" x14ac:dyDescent="0.25">
      <c r="A13" s="34">
        <v>39234</v>
      </c>
      <c r="B13" s="1">
        <v>1594.4</v>
      </c>
      <c r="C13" s="34">
        <v>39234</v>
      </c>
      <c r="D13" s="1">
        <v>1257</v>
      </c>
      <c r="E13" s="34">
        <v>39234</v>
      </c>
      <c r="F13" s="1">
        <v>4.3</v>
      </c>
      <c r="G13" s="34">
        <v>39234</v>
      </c>
      <c r="H13" s="1">
        <v>1.34</v>
      </c>
      <c r="I13" s="34">
        <v>39234</v>
      </c>
      <c r="J13" s="1">
        <v>144.62</v>
      </c>
      <c r="K13" s="34">
        <v>39234</v>
      </c>
      <c r="L13" s="1">
        <v>1598.9</v>
      </c>
      <c r="M13" s="34">
        <v>39234</v>
      </c>
      <c r="N13" s="1">
        <v>327.8</v>
      </c>
      <c r="O13" s="34">
        <v>40909</v>
      </c>
      <c r="P13" s="1">
        <v>157737</v>
      </c>
    </row>
    <row r="14" spans="1:16" x14ac:dyDescent="0.25">
      <c r="A14" s="34">
        <v>39264</v>
      </c>
      <c r="B14" s="1">
        <v>1595</v>
      </c>
      <c r="C14" s="34">
        <v>39264</v>
      </c>
      <c r="D14" s="1">
        <v>1097</v>
      </c>
      <c r="E14" s="34">
        <v>39264</v>
      </c>
      <c r="F14" s="1">
        <v>4.3</v>
      </c>
      <c r="G14" s="34">
        <v>39264</v>
      </c>
      <c r="H14" s="1">
        <v>1.06</v>
      </c>
      <c r="I14" s="34">
        <v>39264</v>
      </c>
      <c r="J14" s="1">
        <v>144.88999999999999</v>
      </c>
      <c r="K14" s="34">
        <v>39264</v>
      </c>
      <c r="L14" s="1">
        <v>1579</v>
      </c>
      <c r="M14" s="34">
        <v>39264</v>
      </c>
      <c r="N14" s="1">
        <v>312.39999999999998</v>
      </c>
      <c r="O14" s="34">
        <v>41275</v>
      </c>
      <c r="P14" s="1">
        <v>164303</v>
      </c>
    </row>
    <row r="15" spans="1:16" x14ac:dyDescent="0.25">
      <c r="A15" s="34">
        <v>39295</v>
      </c>
      <c r="B15" s="1">
        <v>1600</v>
      </c>
      <c r="C15" s="34">
        <v>39295</v>
      </c>
      <c r="D15" s="1">
        <v>1164</v>
      </c>
      <c r="E15" s="34">
        <v>39295</v>
      </c>
      <c r="F15" s="1">
        <v>4.2</v>
      </c>
      <c r="G15" s="34">
        <v>39295</v>
      </c>
      <c r="H15" s="1">
        <v>1.19</v>
      </c>
      <c r="I15" s="34">
        <v>39295</v>
      </c>
      <c r="J15" s="1">
        <v>145.25</v>
      </c>
      <c r="K15" s="34">
        <v>39295</v>
      </c>
      <c r="L15" s="1">
        <v>1594.9</v>
      </c>
      <c r="M15" s="34">
        <v>39295</v>
      </c>
      <c r="N15" s="1">
        <v>319.8</v>
      </c>
    </row>
    <row r="16" spans="1:16" x14ac:dyDescent="0.25">
      <c r="A16" s="34">
        <v>39326</v>
      </c>
      <c r="B16" s="1">
        <v>1600.9</v>
      </c>
      <c r="C16" s="34">
        <v>39326</v>
      </c>
      <c r="D16" s="1">
        <v>1476</v>
      </c>
      <c r="E16" s="34">
        <v>39326</v>
      </c>
      <c r="F16" s="1">
        <v>4.0999999999999996</v>
      </c>
      <c r="G16" s="34">
        <v>39326</v>
      </c>
      <c r="H16" s="1">
        <v>0.98</v>
      </c>
      <c r="I16" s="34">
        <v>39326</v>
      </c>
      <c r="J16" s="1">
        <v>145.53</v>
      </c>
      <c r="K16" s="34">
        <v>39326</v>
      </c>
      <c r="L16" s="1">
        <v>1607.9</v>
      </c>
      <c r="M16" s="34">
        <v>39326</v>
      </c>
      <c r="N16" s="1">
        <v>337.1</v>
      </c>
    </row>
    <row r="17" spans="1:14" x14ac:dyDescent="0.25">
      <c r="A17" s="34">
        <v>39356</v>
      </c>
      <c r="B17" s="1">
        <v>1605.5</v>
      </c>
      <c r="C17" s="34">
        <v>39356</v>
      </c>
      <c r="D17" s="1">
        <v>1153</v>
      </c>
      <c r="E17" s="34">
        <v>39356</v>
      </c>
      <c r="F17" s="1">
        <v>3.9</v>
      </c>
      <c r="G17" s="34">
        <v>39356</v>
      </c>
      <c r="H17" s="1">
        <v>1.6</v>
      </c>
      <c r="I17" s="34">
        <v>39356</v>
      </c>
      <c r="J17" s="1">
        <v>145.96</v>
      </c>
      <c r="K17" s="34">
        <v>39356</v>
      </c>
      <c r="L17" s="1">
        <v>1613.9</v>
      </c>
      <c r="M17" s="34">
        <v>39356</v>
      </c>
      <c r="N17" s="1">
        <v>341.6</v>
      </c>
    </row>
    <row r="18" spans="1:14" x14ac:dyDescent="0.25">
      <c r="A18" s="34">
        <v>39387</v>
      </c>
      <c r="B18" s="1">
        <v>1608.2</v>
      </c>
      <c r="C18" s="34">
        <v>39387</v>
      </c>
      <c r="D18" s="1">
        <v>915</v>
      </c>
      <c r="E18" s="34">
        <v>39387</v>
      </c>
      <c r="F18" s="1">
        <v>3.7</v>
      </c>
      <c r="G18" s="34">
        <v>39387</v>
      </c>
      <c r="H18" s="1">
        <v>1.5</v>
      </c>
      <c r="I18" s="34">
        <v>39387</v>
      </c>
      <c r="J18" s="1">
        <v>146.38999999999999</v>
      </c>
      <c r="K18" s="34">
        <v>39387</v>
      </c>
      <c r="L18" s="1">
        <v>1622.4</v>
      </c>
      <c r="M18" s="34">
        <v>39387</v>
      </c>
      <c r="N18" s="1">
        <v>342.7</v>
      </c>
    </row>
    <row r="19" spans="1:14" x14ac:dyDescent="0.25">
      <c r="A19" s="34">
        <v>39417</v>
      </c>
      <c r="B19" s="1">
        <v>1606.6</v>
      </c>
      <c r="C19" s="34">
        <v>39417</v>
      </c>
      <c r="D19" s="1">
        <v>661</v>
      </c>
      <c r="E19" s="34">
        <v>39417</v>
      </c>
      <c r="F19" s="1">
        <v>3.6</v>
      </c>
      <c r="G19" s="34">
        <v>39417</v>
      </c>
      <c r="H19" s="1">
        <v>1.1000000000000001</v>
      </c>
      <c r="I19" s="34">
        <v>39417</v>
      </c>
      <c r="J19" s="1">
        <v>146.59</v>
      </c>
      <c r="K19" s="34">
        <v>39417</v>
      </c>
      <c r="L19" s="1">
        <v>1617.9</v>
      </c>
      <c r="M19" s="34">
        <v>39417</v>
      </c>
      <c r="N19" s="1">
        <v>340.9</v>
      </c>
    </row>
    <row r="20" spans="1:14" x14ac:dyDescent="0.25">
      <c r="A20" s="34">
        <v>39448</v>
      </c>
      <c r="B20" s="1">
        <v>1615.3</v>
      </c>
      <c r="C20" s="34">
        <v>39448</v>
      </c>
      <c r="D20" s="1">
        <v>887</v>
      </c>
      <c r="E20" s="34">
        <v>39448</v>
      </c>
      <c r="F20" s="1">
        <v>3.4</v>
      </c>
      <c r="G20" s="34">
        <v>39448</v>
      </c>
      <c r="H20" s="1">
        <v>1.66</v>
      </c>
      <c r="I20" s="34">
        <v>39448</v>
      </c>
      <c r="J20" s="1">
        <v>147.11000000000001</v>
      </c>
      <c r="K20" s="34">
        <v>39448</v>
      </c>
      <c r="L20" s="1">
        <v>1592</v>
      </c>
      <c r="M20" s="34">
        <v>39448</v>
      </c>
      <c r="N20" s="1">
        <v>329.6</v>
      </c>
    </row>
    <row r="21" spans="1:14" x14ac:dyDescent="0.25">
      <c r="A21" s="34">
        <v>39479</v>
      </c>
      <c r="B21" s="1">
        <v>1619.2</v>
      </c>
      <c r="C21" s="34">
        <v>39479</v>
      </c>
      <c r="D21" s="1">
        <v>808</v>
      </c>
      <c r="E21" s="34">
        <v>39479</v>
      </c>
      <c r="F21" s="1">
        <v>3.3</v>
      </c>
      <c r="G21" s="34">
        <v>39479</v>
      </c>
      <c r="H21" s="1">
        <v>1.22</v>
      </c>
      <c r="I21" s="34">
        <v>39479</v>
      </c>
      <c r="J21" s="1">
        <v>147.55000000000001</v>
      </c>
      <c r="K21" s="34">
        <v>39479</v>
      </c>
      <c r="L21" s="1">
        <v>1606.9</v>
      </c>
      <c r="M21" s="34">
        <v>39479</v>
      </c>
      <c r="N21" s="1">
        <v>337.1</v>
      </c>
    </row>
    <row r="22" spans="1:14" x14ac:dyDescent="0.25">
      <c r="A22" s="34">
        <v>39508</v>
      </c>
      <c r="B22" s="1">
        <v>1619.7</v>
      </c>
      <c r="C22" s="34">
        <v>39508</v>
      </c>
      <c r="D22" s="1">
        <v>1177</v>
      </c>
      <c r="E22" s="34">
        <v>39508</v>
      </c>
      <c r="F22" s="1">
        <v>3.3</v>
      </c>
      <c r="G22" s="34">
        <v>39508</v>
      </c>
      <c r="H22" s="1">
        <v>0.83</v>
      </c>
      <c r="I22" s="34">
        <v>39508</v>
      </c>
      <c r="J22" s="1">
        <v>147.81</v>
      </c>
      <c r="K22" s="34">
        <v>39508</v>
      </c>
      <c r="L22" s="1">
        <v>1618.2</v>
      </c>
      <c r="M22" s="34">
        <v>39508</v>
      </c>
      <c r="N22" s="1">
        <v>338.8</v>
      </c>
    </row>
    <row r="23" spans="1:14" x14ac:dyDescent="0.25">
      <c r="A23" s="34">
        <v>39539</v>
      </c>
      <c r="B23" s="1">
        <v>1619.4</v>
      </c>
      <c r="C23" s="34">
        <v>39539</v>
      </c>
      <c r="D23" s="1">
        <v>871</v>
      </c>
      <c r="E23" s="34">
        <v>39539</v>
      </c>
      <c r="F23" s="1">
        <v>3.3</v>
      </c>
      <c r="G23" s="34">
        <v>39539</v>
      </c>
      <c r="H23" s="1">
        <v>0.54</v>
      </c>
      <c r="I23" s="34">
        <v>39539</v>
      </c>
      <c r="J23" s="1">
        <v>148.03</v>
      </c>
      <c r="K23" s="34">
        <v>39539</v>
      </c>
      <c r="L23" s="1">
        <v>1622.2</v>
      </c>
      <c r="M23" s="34">
        <v>39539</v>
      </c>
      <c r="N23" s="1">
        <v>341.6</v>
      </c>
    </row>
    <row r="24" spans="1:14" x14ac:dyDescent="0.25">
      <c r="A24" s="34">
        <v>39569</v>
      </c>
      <c r="B24" s="1">
        <v>1617.7</v>
      </c>
      <c r="C24" s="34">
        <v>39569</v>
      </c>
      <c r="D24" s="1">
        <v>826</v>
      </c>
      <c r="E24" s="34">
        <v>39569</v>
      </c>
      <c r="F24" s="1">
        <v>3.6</v>
      </c>
      <c r="G24" s="34">
        <v>39569</v>
      </c>
      <c r="H24" s="1">
        <v>-1.0900000000000001</v>
      </c>
      <c r="I24" s="34">
        <v>39569</v>
      </c>
      <c r="J24" s="1">
        <v>147.68</v>
      </c>
      <c r="K24" s="34">
        <v>39569</v>
      </c>
      <c r="L24" s="1">
        <v>1632.2</v>
      </c>
      <c r="M24" s="34">
        <v>39569</v>
      </c>
      <c r="N24" s="1">
        <v>344.9</v>
      </c>
    </row>
    <row r="25" spans="1:14" x14ac:dyDescent="0.25">
      <c r="A25" s="34">
        <v>39600</v>
      </c>
      <c r="B25" s="1">
        <v>1615.5</v>
      </c>
      <c r="C25" s="34">
        <v>39600</v>
      </c>
      <c r="D25" s="1">
        <v>829</v>
      </c>
      <c r="E25" s="34">
        <v>39600</v>
      </c>
      <c r="F25" s="1">
        <v>3.7</v>
      </c>
      <c r="G25" s="34">
        <v>39600</v>
      </c>
      <c r="H25" s="1">
        <v>-1</v>
      </c>
      <c r="I25" s="34">
        <v>39600</v>
      </c>
      <c r="J25" s="1">
        <v>147.49</v>
      </c>
      <c r="K25" s="34">
        <v>39600</v>
      </c>
      <c r="L25" s="1">
        <v>1618</v>
      </c>
      <c r="M25" s="34">
        <v>39600</v>
      </c>
      <c r="N25" s="1">
        <v>328.2</v>
      </c>
    </row>
    <row r="26" spans="1:14" x14ac:dyDescent="0.25">
      <c r="A26" s="34">
        <v>39630</v>
      </c>
      <c r="B26" s="1">
        <v>1619.2</v>
      </c>
      <c r="C26" s="34">
        <v>39630</v>
      </c>
      <c r="D26" s="1">
        <v>766</v>
      </c>
      <c r="E26" s="34">
        <v>39630</v>
      </c>
      <c r="F26" s="1">
        <v>3.8</v>
      </c>
      <c r="G26" s="34">
        <v>39630</v>
      </c>
      <c r="H26" s="1">
        <v>-0.54</v>
      </c>
      <c r="I26" s="34">
        <v>39630</v>
      </c>
      <c r="J26" s="1">
        <v>147.5</v>
      </c>
      <c r="K26" s="34">
        <v>39630</v>
      </c>
      <c r="L26" s="1">
        <v>1603.7</v>
      </c>
      <c r="M26" s="34">
        <v>39630</v>
      </c>
      <c r="N26" s="1">
        <v>316.89999999999998</v>
      </c>
    </row>
    <row r="27" spans="1:14" x14ac:dyDescent="0.25">
      <c r="A27" s="34">
        <v>39661</v>
      </c>
      <c r="B27" s="1">
        <v>1620.1</v>
      </c>
      <c r="C27" s="34">
        <v>39661</v>
      </c>
      <c r="D27" s="1">
        <v>1097</v>
      </c>
      <c r="E27" s="34">
        <v>39661</v>
      </c>
      <c r="F27" s="1">
        <v>3.9</v>
      </c>
      <c r="G27" s="34">
        <v>39661</v>
      </c>
      <c r="H27" s="1">
        <v>-0.6</v>
      </c>
      <c r="I27" s="34">
        <v>39661</v>
      </c>
      <c r="J27" s="1">
        <v>147.44</v>
      </c>
      <c r="K27" s="34">
        <v>39661</v>
      </c>
      <c r="L27" s="1">
        <v>1615.2</v>
      </c>
      <c r="M27" s="34">
        <v>39661</v>
      </c>
      <c r="N27" s="1">
        <v>324.3</v>
      </c>
    </row>
    <row r="28" spans="1:14" x14ac:dyDescent="0.25">
      <c r="A28" s="34">
        <v>39692</v>
      </c>
      <c r="B28" s="1">
        <v>1620.4</v>
      </c>
      <c r="C28" s="34">
        <v>39692</v>
      </c>
      <c r="D28" s="1">
        <v>681</v>
      </c>
      <c r="E28" s="34">
        <v>39692</v>
      </c>
      <c r="F28" s="1">
        <v>3.9</v>
      </c>
      <c r="G28" s="34">
        <v>39692</v>
      </c>
      <c r="H28" s="1">
        <v>-0.14000000000000001</v>
      </c>
      <c r="I28" s="34">
        <v>39692</v>
      </c>
      <c r="J28" s="1">
        <v>147.56</v>
      </c>
      <c r="K28" s="34">
        <v>39692</v>
      </c>
      <c r="L28" s="1">
        <v>1627</v>
      </c>
      <c r="M28" s="34">
        <v>39692</v>
      </c>
      <c r="N28" s="1">
        <v>340.2</v>
      </c>
    </row>
    <row r="29" spans="1:14" x14ac:dyDescent="0.25">
      <c r="A29" s="34">
        <v>39722</v>
      </c>
      <c r="B29" s="1">
        <v>1619.5</v>
      </c>
      <c r="C29" s="34">
        <v>39722</v>
      </c>
      <c r="D29" s="1">
        <v>566</v>
      </c>
      <c r="E29" s="34">
        <v>39722</v>
      </c>
      <c r="F29" s="1">
        <v>4.0999999999999996</v>
      </c>
      <c r="G29" s="34">
        <v>39722</v>
      </c>
      <c r="H29" s="1">
        <v>-1.1100000000000001</v>
      </c>
      <c r="I29" s="34">
        <v>39722</v>
      </c>
      <c r="J29" s="1">
        <v>147.36000000000001</v>
      </c>
      <c r="K29" s="34">
        <v>39722</v>
      </c>
      <c r="L29" s="1">
        <v>1629.3</v>
      </c>
      <c r="M29" s="34">
        <v>39722</v>
      </c>
      <c r="N29" s="1">
        <v>347.8</v>
      </c>
    </row>
    <row r="30" spans="1:14" x14ac:dyDescent="0.25">
      <c r="A30" s="34">
        <v>39753</v>
      </c>
      <c r="B30" s="1">
        <v>1617</v>
      </c>
      <c r="C30" s="34">
        <v>39753</v>
      </c>
      <c r="D30" s="1">
        <v>445</v>
      </c>
      <c r="E30" s="34">
        <v>39753</v>
      </c>
      <c r="F30" s="1">
        <v>4.3</v>
      </c>
      <c r="G30" s="34">
        <v>39753</v>
      </c>
      <c r="H30" s="1">
        <v>-1.93</v>
      </c>
      <c r="I30" s="34">
        <v>39753</v>
      </c>
      <c r="J30" s="1">
        <v>146.97999999999999</v>
      </c>
      <c r="K30" s="34">
        <v>39753</v>
      </c>
      <c r="L30" s="1">
        <v>1629.1</v>
      </c>
      <c r="M30" s="34">
        <v>39753</v>
      </c>
      <c r="N30" s="1">
        <v>348.8</v>
      </c>
    </row>
    <row r="31" spans="1:14" x14ac:dyDescent="0.25">
      <c r="A31" s="34">
        <v>39783</v>
      </c>
      <c r="B31" s="1">
        <v>1616.6</v>
      </c>
      <c r="C31" s="34">
        <v>39783</v>
      </c>
      <c r="D31" s="1">
        <v>595</v>
      </c>
      <c r="E31" s="34">
        <v>39783</v>
      </c>
      <c r="F31" s="1">
        <v>4.8</v>
      </c>
      <c r="G31" s="34">
        <v>39783</v>
      </c>
      <c r="H31" s="1">
        <v>-3.55</v>
      </c>
      <c r="I31" s="34">
        <v>39783</v>
      </c>
      <c r="J31" s="1">
        <v>145.97</v>
      </c>
      <c r="K31" s="34">
        <v>39783</v>
      </c>
      <c r="L31" s="1">
        <v>1627.2</v>
      </c>
      <c r="M31" s="34">
        <v>39783</v>
      </c>
      <c r="N31" s="1">
        <v>348.9</v>
      </c>
    </row>
    <row r="32" spans="1:14" x14ac:dyDescent="0.25">
      <c r="A32" s="34">
        <v>39814</v>
      </c>
      <c r="B32" s="1">
        <v>1603.6</v>
      </c>
      <c r="C32" s="34">
        <v>39814</v>
      </c>
      <c r="D32" s="1">
        <v>443</v>
      </c>
      <c r="E32" s="34">
        <v>39814</v>
      </c>
      <c r="F32" s="1">
        <v>5.2</v>
      </c>
      <c r="G32" s="34">
        <v>39814</v>
      </c>
      <c r="H32" s="1">
        <v>-4.25</v>
      </c>
      <c r="I32" s="34">
        <v>39814</v>
      </c>
      <c r="J32" s="1">
        <v>144.94999999999999</v>
      </c>
      <c r="K32" s="34">
        <v>39814</v>
      </c>
      <c r="L32" s="1">
        <v>1581.3</v>
      </c>
      <c r="M32" s="34">
        <v>39814</v>
      </c>
      <c r="N32" s="1">
        <v>340.2</v>
      </c>
    </row>
    <row r="33" spans="1:14" x14ac:dyDescent="0.25">
      <c r="A33" s="34">
        <v>39845</v>
      </c>
      <c r="B33" s="1">
        <v>1597.4</v>
      </c>
      <c r="C33" s="34">
        <v>39845</v>
      </c>
      <c r="D33" s="1">
        <v>577</v>
      </c>
      <c r="E33" s="34">
        <v>39845</v>
      </c>
      <c r="F33" s="1">
        <v>5.7</v>
      </c>
      <c r="G33" s="34">
        <v>39845</v>
      </c>
      <c r="H33" s="1">
        <v>-4.5999999999999996</v>
      </c>
      <c r="I33" s="34">
        <v>39845</v>
      </c>
      <c r="J33" s="1">
        <v>143.66999999999999</v>
      </c>
      <c r="K33" s="34">
        <v>39845</v>
      </c>
      <c r="L33" s="1">
        <v>1582.2</v>
      </c>
      <c r="M33" s="34">
        <v>39845</v>
      </c>
      <c r="N33" s="1">
        <v>347.1</v>
      </c>
    </row>
    <row r="34" spans="1:14" x14ac:dyDescent="0.25">
      <c r="A34" s="34">
        <v>39873</v>
      </c>
      <c r="B34" s="1">
        <v>1586.5</v>
      </c>
      <c r="C34" s="34">
        <v>39873</v>
      </c>
      <c r="D34" s="1">
        <v>636</v>
      </c>
      <c r="E34" s="34">
        <v>39873</v>
      </c>
      <c r="F34" s="1">
        <v>6.2</v>
      </c>
      <c r="G34" s="34">
        <v>39873</v>
      </c>
      <c r="H34" s="1">
        <v>-5.09</v>
      </c>
      <c r="I34" s="34">
        <v>39873</v>
      </c>
      <c r="J34" s="1">
        <v>142.27000000000001</v>
      </c>
      <c r="K34" s="34">
        <v>39873</v>
      </c>
      <c r="L34" s="1">
        <v>1585.1</v>
      </c>
      <c r="M34" s="34">
        <v>39873</v>
      </c>
      <c r="N34" s="1">
        <v>350.1</v>
      </c>
    </row>
    <row r="35" spans="1:14" x14ac:dyDescent="0.25">
      <c r="A35" s="34">
        <v>39904</v>
      </c>
      <c r="B35" s="1">
        <v>1573.4</v>
      </c>
      <c r="C35" s="34">
        <v>39904</v>
      </c>
      <c r="D35" s="1">
        <v>626</v>
      </c>
      <c r="E35" s="34">
        <v>39904</v>
      </c>
      <c r="F35" s="1">
        <v>6.5</v>
      </c>
      <c r="G35" s="34">
        <v>39904</v>
      </c>
      <c r="H35" s="1">
        <v>-4.3899999999999997</v>
      </c>
      <c r="I35" s="34">
        <v>39904</v>
      </c>
      <c r="J35" s="1">
        <v>141.13</v>
      </c>
      <c r="K35" s="34">
        <v>39904</v>
      </c>
      <c r="L35" s="1">
        <v>1579.9</v>
      </c>
      <c r="M35" s="34">
        <v>39904</v>
      </c>
      <c r="N35" s="1">
        <v>352.2</v>
      </c>
    </row>
    <row r="36" spans="1:14" x14ac:dyDescent="0.25">
      <c r="A36" s="34">
        <v>39934</v>
      </c>
      <c r="B36" s="1">
        <v>1570.1</v>
      </c>
      <c r="C36" s="34">
        <v>39934</v>
      </c>
      <c r="D36" s="1">
        <v>954</v>
      </c>
      <c r="E36" s="34">
        <v>39934</v>
      </c>
      <c r="F36" s="1">
        <v>6.8</v>
      </c>
      <c r="G36" s="34">
        <v>39934</v>
      </c>
      <c r="H36" s="1">
        <v>-3.35</v>
      </c>
      <c r="I36" s="34">
        <v>39934</v>
      </c>
      <c r="J36" s="1">
        <v>140.01</v>
      </c>
      <c r="K36" s="34">
        <v>39934</v>
      </c>
      <c r="L36" s="1">
        <v>1579.8</v>
      </c>
      <c r="M36" s="34">
        <v>39934</v>
      </c>
      <c r="N36" s="1">
        <v>354.3</v>
      </c>
    </row>
    <row r="37" spans="1:14" x14ac:dyDescent="0.25">
      <c r="A37" s="34">
        <v>39965</v>
      </c>
      <c r="B37" s="1">
        <v>1565.9</v>
      </c>
      <c r="C37" s="34">
        <v>39965</v>
      </c>
      <c r="D37" s="1">
        <v>1063</v>
      </c>
      <c r="E37" s="34">
        <v>39965</v>
      </c>
      <c r="F37" s="1">
        <v>7</v>
      </c>
      <c r="G37" s="34">
        <v>39965</v>
      </c>
      <c r="H37" s="1">
        <v>-2.98</v>
      </c>
      <c r="I37" s="34">
        <v>39965</v>
      </c>
      <c r="J37" s="1">
        <v>138.96</v>
      </c>
      <c r="K37" s="34">
        <v>39965</v>
      </c>
      <c r="L37" s="1">
        <v>1568.2</v>
      </c>
      <c r="M37" s="34">
        <v>39965</v>
      </c>
      <c r="N37" s="1">
        <v>341</v>
      </c>
    </row>
    <row r="38" spans="1:14" x14ac:dyDescent="0.25">
      <c r="A38" s="34">
        <v>39995</v>
      </c>
      <c r="B38" s="1">
        <v>1563.9</v>
      </c>
      <c r="C38" s="34">
        <v>39995</v>
      </c>
      <c r="D38" s="1">
        <v>690</v>
      </c>
      <c r="E38" s="34">
        <v>39995</v>
      </c>
      <c r="F38" s="1">
        <v>7.1</v>
      </c>
      <c r="G38" s="34">
        <v>39995</v>
      </c>
      <c r="H38" s="1">
        <v>-2.14</v>
      </c>
      <c r="I38" s="34">
        <v>39995</v>
      </c>
      <c r="J38" s="1">
        <v>138.12</v>
      </c>
      <c r="K38" s="34">
        <v>39995</v>
      </c>
      <c r="L38" s="1">
        <v>1550.5</v>
      </c>
      <c r="M38" s="34">
        <v>39995</v>
      </c>
      <c r="N38" s="1">
        <v>334.1</v>
      </c>
    </row>
    <row r="39" spans="1:14" x14ac:dyDescent="0.25">
      <c r="A39" s="34">
        <v>40026</v>
      </c>
      <c r="B39" s="1">
        <v>1557.4</v>
      </c>
      <c r="C39" s="34">
        <v>40026</v>
      </c>
      <c r="D39" s="1">
        <v>863</v>
      </c>
      <c r="E39" s="34">
        <v>40026</v>
      </c>
      <c r="F39" s="1">
        <v>7.1</v>
      </c>
      <c r="G39" s="34">
        <v>40026</v>
      </c>
      <c r="H39" s="1">
        <v>-1.53</v>
      </c>
      <c r="I39" s="34">
        <v>40026</v>
      </c>
      <c r="J39" s="1">
        <v>137.4</v>
      </c>
      <c r="K39" s="34">
        <v>40026</v>
      </c>
      <c r="L39" s="1">
        <v>1550.6</v>
      </c>
      <c r="M39" s="34">
        <v>40026</v>
      </c>
      <c r="N39" s="1">
        <v>337.7</v>
      </c>
    </row>
    <row r="40" spans="1:14" x14ac:dyDescent="0.25">
      <c r="A40" s="34">
        <v>40057</v>
      </c>
      <c r="B40" s="1">
        <v>1552.7</v>
      </c>
      <c r="C40" s="34">
        <v>40057</v>
      </c>
      <c r="D40" s="1">
        <v>578</v>
      </c>
      <c r="E40" s="34">
        <v>40057</v>
      </c>
      <c r="F40" s="1">
        <v>7.1</v>
      </c>
      <c r="G40" s="34">
        <v>40057</v>
      </c>
      <c r="H40" s="1">
        <v>-1.1499999999999999</v>
      </c>
      <c r="I40" s="34">
        <v>40057</v>
      </c>
      <c r="J40" s="1">
        <v>136.75</v>
      </c>
      <c r="K40" s="34">
        <v>40057</v>
      </c>
      <c r="L40" s="1">
        <v>1557.5</v>
      </c>
      <c r="M40" s="34">
        <v>40057</v>
      </c>
      <c r="N40" s="1">
        <v>350.4</v>
      </c>
    </row>
    <row r="41" spans="1:14" x14ac:dyDescent="0.25">
      <c r="A41" s="34">
        <v>40087</v>
      </c>
      <c r="B41" s="1">
        <v>1548.8</v>
      </c>
      <c r="C41" s="34">
        <v>40087</v>
      </c>
      <c r="D41" s="1">
        <v>724</v>
      </c>
      <c r="E41" s="34">
        <v>40087</v>
      </c>
      <c r="F41" s="1">
        <v>7.1</v>
      </c>
      <c r="G41" s="34">
        <v>40087</v>
      </c>
      <c r="H41" s="1">
        <v>-0.77</v>
      </c>
      <c r="I41" s="34">
        <v>40087</v>
      </c>
      <c r="J41" s="1">
        <v>136.19999999999999</v>
      </c>
      <c r="K41" s="34">
        <v>40087</v>
      </c>
      <c r="L41" s="1">
        <v>1558.1</v>
      </c>
      <c r="M41" s="34">
        <v>40087</v>
      </c>
      <c r="N41" s="1">
        <v>357.6</v>
      </c>
    </row>
    <row r="42" spans="1:14" x14ac:dyDescent="0.25">
      <c r="A42" s="34">
        <v>40118</v>
      </c>
      <c r="B42" s="1">
        <v>1546.9</v>
      </c>
      <c r="C42" s="34">
        <v>40118</v>
      </c>
      <c r="D42" s="1">
        <v>587</v>
      </c>
      <c r="E42" s="34">
        <v>40118</v>
      </c>
      <c r="F42" s="1">
        <v>7.1</v>
      </c>
      <c r="G42" s="34">
        <v>40118</v>
      </c>
      <c r="H42" s="1">
        <v>-0.53</v>
      </c>
      <c r="I42" s="34">
        <v>40118</v>
      </c>
      <c r="J42" s="1">
        <v>135.82</v>
      </c>
      <c r="K42" s="34">
        <v>40118</v>
      </c>
      <c r="L42" s="1">
        <v>1559.6</v>
      </c>
      <c r="M42" s="34">
        <v>40118</v>
      </c>
      <c r="N42" s="1">
        <v>357.9</v>
      </c>
    </row>
    <row r="43" spans="1:14" x14ac:dyDescent="0.25">
      <c r="A43" s="34">
        <v>40148</v>
      </c>
      <c r="B43" s="1">
        <v>1544.8</v>
      </c>
      <c r="C43" s="34">
        <v>40148</v>
      </c>
      <c r="D43" s="1">
        <v>913</v>
      </c>
      <c r="E43" s="34">
        <v>40148</v>
      </c>
      <c r="F43" s="1">
        <v>7.2</v>
      </c>
      <c r="G43" s="34">
        <v>40148</v>
      </c>
      <c r="H43" s="1">
        <v>-0.23</v>
      </c>
      <c r="I43" s="34">
        <v>40148</v>
      </c>
      <c r="J43" s="1">
        <v>135.41</v>
      </c>
      <c r="K43" s="34">
        <v>40148</v>
      </c>
      <c r="L43" s="1">
        <v>1557.9</v>
      </c>
      <c r="M43" s="34">
        <v>40148</v>
      </c>
      <c r="N43" s="1">
        <v>357.1</v>
      </c>
    </row>
    <row r="44" spans="1:14" x14ac:dyDescent="0.25">
      <c r="A44" s="34">
        <v>40179</v>
      </c>
      <c r="B44" s="1">
        <v>1542.9</v>
      </c>
      <c r="C44" s="34">
        <v>40179</v>
      </c>
      <c r="D44" s="1">
        <v>545</v>
      </c>
      <c r="E44" s="34">
        <v>40179</v>
      </c>
      <c r="F44" s="1">
        <v>7.2</v>
      </c>
      <c r="G44" s="34">
        <v>40179</v>
      </c>
      <c r="H44" s="1">
        <v>0.35</v>
      </c>
      <c r="I44" s="34">
        <v>40179</v>
      </c>
      <c r="J44" s="1">
        <v>135.31</v>
      </c>
      <c r="K44" s="34">
        <v>40179</v>
      </c>
      <c r="L44" s="1">
        <v>1521.7</v>
      </c>
      <c r="M44" s="34">
        <v>40179</v>
      </c>
      <c r="N44" s="1">
        <v>346.3</v>
      </c>
    </row>
    <row r="45" spans="1:14" x14ac:dyDescent="0.25">
      <c r="A45" s="34">
        <v>40210</v>
      </c>
      <c r="B45" s="1">
        <v>1543.3</v>
      </c>
      <c r="C45" s="34">
        <v>40210</v>
      </c>
      <c r="D45" s="1">
        <v>847</v>
      </c>
      <c r="E45" s="34">
        <v>40210</v>
      </c>
      <c r="F45" s="1">
        <v>7.2</v>
      </c>
      <c r="G45" s="34">
        <v>40210</v>
      </c>
      <c r="H45" s="1">
        <v>1.02</v>
      </c>
      <c r="I45" s="34">
        <v>40210</v>
      </c>
      <c r="J45" s="1">
        <v>135.41</v>
      </c>
      <c r="K45" s="34">
        <v>40210</v>
      </c>
      <c r="L45" s="1">
        <v>1528.6</v>
      </c>
      <c r="M45" s="34">
        <v>40210</v>
      </c>
      <c r="N45" s="1">
        <v>351.9</v>
      </c>
    </row>
    <row r="46" spans="1:14" x14ac:dyDescent="0.25">
      <c r="A46" s="34">
        <v>40238</v>
      </c>
      <c r="B46" s="1">
        <v>1545.8</v>
      </c>
      <c r="C46" s="34">
        <v>40238</v>
      </c>
      <c r="D46" s="1">
        <v>931</v>
      </c>
      <c r="E46" s="34">
        <v>40238</v>
      </c>
      <c r="F46" s="1">
        <v>7.1</v>
      </c>
      <c r="G46" s="34">
        <v>40238</v>
      </c>
      <c r="H46" s="1">
        <v>2.35</v>
      </c>
      <c r="I46" s="34">
        <v>40238</v>
      </c>
      <c r="J46" s="1">
        <v>135.87</v>
      </c>
      <c r="K46" s="34">
        <v>40238</v>
      </c>
      <c r="L46" s="1">
        <v>1543.8</v>
      </c>
      <c r="M46" s="34">
        <v>40238</v>
      </c>
      <c r="N46" s="1">
        <v>354.8</v>
      </c>
    </row>
    <row r="47" spans="1:14" x14ac:dyDescent="0.25">
      <c r="A47" s="34">
        <v>40269</v>
      </c>
      <c r="B47" s="1">
        <v>1550.4</v>
      </c>
      <c r="C47" s="34">
        <v>40269</v>
      </c>
      <c r="D47" s="1">
        <v>838</v>
      </c>
      <c r="E47" s="34">
        <v>40269</v>
      </c>
      <c r="F47" s="1">
        <v>7</v>
      </c>
      <c r="G47" s="34">
        <v>40269</v>
      </c>
      <c r="H47" s="1">
        <v>2.19</v>
      </c>
      <c r="I47" s="34">
        <v>40269</v>
      </c>
      <c r="J47" s="1">
        <v>136.46</v>
      </c>
      <c r="K47" s="34">
        <v>40269</v>
      </c>
      <c r="L47" s="1">
        <v>1557.2</v>
      </c>
      <c r="M47" s="34">
        <v>40269</v>
      </c>
      <c r="N47" s="1">
        <v>355</v>
      </c>
    </row>
    <row r="48" spans="1:14" x14ac:dyDescent="0.25">
      <c r="A48" s="34">
        <v>40299</v>
      </c>
      <c r="B48" s="1">
        <v>1559.9</v>
      </c>
      <c r="C48" s="34">
        <v>40299</v>
      </c>
      <c r="D48" s="1">
        <v>765</v>
      </c>
      <c r="E48" s="34">
        <v>40299</v>
      </c>
      <c r="F48" s="1">
        <v>7</v>
      </c>
      <c r="G48" s="34">
        <v>40299</v>
      </c>
      <c r="H48" s="1">
        <v>1.86</v>
      </c>
      <c r="I48" s="34">
        <v>40299</v>
      </c>
      <c r="J48" s="1">
        <v>136.83000000000001</v>
      </c>
      <c r="K48" s="34">
        <v>40299</v>
      </c>
      <c r="L48" s="1">
        <v>1569.6</v>
      </c>
      <c r="M48" s="34">
        <v>40299</v>
      </c>
      <c r="N48" s="1">
        <v>360.9</v>
      </c>
    </row>
    <row r="49" spans="1:14" x14ac:dyDescent="0.25">
      <c r="A49" s="34">
        <v>40330</v>
      </c>
      <c r="B49" s="1">
        <v>1562.3</v>
      </c>
      <c r="C49" s="34">
        <v>40330</v>
      </c>
      <c r="D49" s="1">
        <v>719</v>
      </c>
      <c r="E49" s="34">
        <v>40330</v>
      </c>
      <c r="F49" s="1">
        <v>6.9</v>
      </c>
      <c r="G49" s="34">
        <v>40330</v>
      </c>
      <c r="H49" s="1">
        <v>1.43</v>
      </c>
      <c r="I49" s="34">
        <v>40330</v>
      </c>
      <c r="J49" s="1">
        <v>137.26</v>
      </c>
      <c r="K49" s="34">
        <v>40330</v>
      </c>
      <c r="L49" s="1">
        <v>1564</v>
      </c>
      <c r="M49" s="34">
        <v>40330</v>
      </c>
      <c r="N49" s="1">
        <v>348.5</v>
      </c>
    </row>
    <row r="50" spans="1:14" x14ac:dyDescent="0.25">
      <c r="A50" s="34">
        <v>40360</v>
      </c>
      <c r="B50" s="1">
        <v>1563.5</v>
      </c>
      <c r="C50" s="34">
        <v>40360</v>
      </c>
      <c r="D50" s="1">
        <v>698</v>
      </c>
      <c r="E50" s="34">
        <v>40360</v>
      </c>
      <c r="F50" s="1">
        <v>6.9</v>
      </c>
      <c r="G50" s="34">
        <v>40360</v>
      </c>
      <c r="H50" s="1">
        <v>0.96</v>
      </c>
      <c r="I50" s="34">
        <v>40360</v>
      </c>
      <c r="J50" s="1">
        <v>137.49</v>
      </c>
      <c r="K50" s="34">
        <v>40360</v>
      </c>
      <c r="L50" s="1">
        <v>1549.8</v>
      </c>
      <c r="M50" s="34">
        <v>40360</v>
      </c>
      <c r="N50" s="1">
        <v>336.4</v>
      </c>
    </row>
    <row r="51" spans="1:14" x14ac:dyDescent="0.25">
      <c r="A51" s="34">
        <v>40391</v>
      </c>
      <c r="B51" s="1">
        <v>1557.7</v>
      </c>
      <c r="C51" s="34">
        <v>40391</v>
      </c>
      <c r="D51" s="1">
        <v>656</v>
      </c>
      <c r="E51" s="34">
        <v>40391</v>
      </c>
      <c r="F51" s="1">
        <v>6.8</v>
      </c>
      <c r="G51" s="34">
        <v>40391</v>
      </c>
      <c r="H51" s="1">
        <v>0.65</v>
      </c>
      <c r="I51" s="34">
        <v>40391</v>
      </c>
      <c r="J51" s="1">
        <v>137.69999999999999</v>
      </c>
      <c r="K51" s="34">
        <v>40391</v>
      </c>
      <c r="L51" s="1">
        <v>1550.8</v>
      </c>
      <c r="M51" s="34">
        <v>40391</v>
      </c>
      <c r="N51" s="1">
        <v>333.7</v>
      </c>
    </row>
    <row r="52" spans="1:14" x14ac:dyDescent="0.25">
      <c r="A52" s="34">
        <v>40422</v>
      </c>
      <c r="B52" s="1">
        <v>1552.3</v>
      </c>
      <c r="C52" s="34">
        <v>40422</v>
      </c>
      <c r="D52" s="1">
        <v>617</v>
      </c>
      <c r="E52" s="34">
        <v>40422</v>
      </c>
      <c r="F52" s="1">
        <v>6.8</v>
      </c>
      <c r="G52" s="34">
        <v>40422</v>
      </c>
      <c r="H52" s="1">
        <v>-0.34</v>
      </c>
      <c r="I52" s="34">
        <v>40422</v>
      </c>
      <c r="J52" s="1">
        <v>137.66999999999999</v>
      </c>
      <c r="K52" s="34">
        <v>40422</v>
      </c>
      <c r="L52" s="1">
        <v>1558.4</v>
      </c>
      <c r="M52" s="34">
        <v>40422</v>
      </c>
      <c r="N52" s="1">
        <v>342.9</v>
      </c>
    </row>
    <row r="53" spans="1:14" x14ac:dyDescent="0.25">
      <c r="A53" s="34">
        <v>40452</v>
      </c>
      <c r="B53" s="1">
        <v>1561.1</v>
      </c>
      <c r="C53" s="34">
        <v>40452</v>
      </c>
      <c r="D53" s="1">
        <v>476</v>
      </c>
      <c r="E53" s="34">
        <v>40452</v>
      </c>
      <c r="F53" s="1">
        <v>6.7</v>
      </c>
      <c r="G53" s="34">
        <v>40452</v>
      </c>
      <c r="H53" s="1">
        <v>0.17</v>
      </c>
      <c r="I53" s="34">
        <v>40452</v>
      </c>
      <c r="J53" s="1">
        <v>137.82</v>
      </c>
      <c r="K53" s="34">
        <v>40452</v>
      </c>
      <c r="L53" s="1">
        <v>1571.9</v>
      </c>
      <c r="M53" s="34">
        <v>40452</v>
      </c>
      <c r="N53" s="1">
        <v>350.2</v>
      </c>
    </row>
    <row r="54" spans="1:14" x14ac:dyDescent="0.25">
      <c r="A54" s="34">
        <v>40483</v>
      </c>
      <c r="B54" s="1">
        <v>1563.1</v>
      </c>
      <c r="C54" s="34">
        <v>40483</v>
      </c>
      <c r="D54" s="1">
        <v>468</v>
      </c>
      <c r="E54" s="34">
        <v>40483</v>
      </c>
      <c r="F54" s="1">
        <v>6.6</v>
      </c>
      <c r="G54" s="34">
        <v>40483</v>
      </c>
      <c r="H54" s="1">
        <v>0.73</v>
      </c>
      <c r="I54" s="34">
        <v>40483</v>
      </c>
      <c r="J54" s="1">
        <v>137.86000000000001</v>
      </c>
      <c r="K54" s="34">
        <v>40483</v>
      </c>
      <c r="L54" s="1">
        <v>1576.1</v>
      </c>
      <c r="M54" s="34">
        <v>40483</v>
      </c>
      <c r="N54" s="1">
        <v>350.6</v>
      </c>
    </row>
    <row r="55" spans="1:14" x14ac:dyDescent="0.25">
      <c r="A55" s="34">
        <v>40513</v>
      </c>
      <c r="B55" s="1">
        <v>1566.6</v>
      </c>
      <c r="C55" s="34">
        <v>40513</v>
      </c>
      <c r="D55" s="1">
        <v>669</v>
      </c>
      <c r="E55" s="34">
        <v>40513</v>
      </c>
      <c r="F55" s="1">
        <v>6.4</v>
      </c>
      <c r="G55" s="34">
        <v>40513</v>
      </c>
      <c r="H55" s="1">
        <v>1.1299999999999999</v>
      </c>
      <c r="I55" s="34">
        <v>40513</v>
      </c>
      <c r="J55" s="1">
        <v>138.1</v>
      </c>
      <c r="K55" s="34">
        <v>40513</v>
      </c>
      <c r="L55" s="1">
        <v>1580.2</v>
      </c>
      <c r="M55" s="34">
        <v>40513</v>
      </c>
      <c r="N55" s="1">
        <v>351</v>
      </c>
    </row>
    <row r="56" spans="1:14" x14ac:dyDescent="0.25">
      <c r="A56" s="34">
        <v>40544</v>
      </c>
      <c r="B56" s="1">
        <v>1563.5</v>
      </c>
      <c r="C56" s="34">
        <v>40544</v>
      </c>
      <c r="D56" s="1">
        <v>526</v>
      </c>
      <c r="E56" s="34">
        <v>40544</v>
      </c>
      <c r="F56" s="1">
        <v>6.2</v>
      </c>
      <c r="G56" s="34">
        <v>40544</v>
      </c>
      <c r="H56" s="1">
        <v>1.07</v>
      </c>
      <c r="I56" s="34">
        <v>40544</v>
      </c>
      <c r="J56" s="1">
        <v>138.34</v>
      </c>
      <c r="K56" s="34">
        <v>40544</v>
      </c>
      <c r="L56" s="1">
        <v>1541.8</v>
      </c>
      <c r="M56" s="34">
        <v>40544</v>
      </c>
      <c r="N56" s="1">
        <v>341.3</v>
      </c>
    </row>
    <row r="57" spans="1:14" x14ac:dyDescent="0.25">
      <c r="A57" s="34">
        <v>40575</v>
      </c>
      <c r="B57" s="1">
        <v>1556.5</v>
      </c>
      <c r="C57" s="34">
        <v>40575</v>
      </c>
      <c r="D57" s="1">
        <v>515</v>
      </c>
      <c r="E57" s="34">
        <v>40575</v>
      </c>
      <c r="F57" s="1">
        <v>6</v>
      </c>
      <c r="G57" s="34">
        <v>40575</v>
      </c>
      <c r="H57" s="1">
        <v>1.45</v>
      </c>
      <c r="I57" s="34">
        <v>40575</v>
      </c>
      <c r="J57" s="1">
        <v>138.63</v>
      </c>
      <c r="K57" s="34">
        <v>40575</v>
      </c>
      <c r="L57" s="1">
        <v>1541.5</v>
      </c>
      <c r="M57" s="34">
        <v>40575</v>
      </c>
      <c r="N57" s="1">
        <v>346.2</v>
      </c>
    </row>
    <row r="58" spans="1:14" x14ac:dyDescent="0.25">
      <c r="A58" s="34">
        <v>40603</v>
      </c>
      <c r="B58" s="1">
        <v>1567.3</v>
      </c>
      <c r="C58" s="34">
        <v>40603</v>
      </c>
      <c r="D58" s="1">
        <v>693</v>
      </c>
      <c r="E58" s="34">
        <v>40603</v>
      </c>
      <c r="F58" s="1">
        <v>5.9</v>
      </c>
      <c r="G58" s="34">
        <v>40603</v>
      </c>
      <c r="H58" s="1">
        <v>1.61</v>
      </c>
      <c r="I58" s="34">
        <v>40603</v>
      </c>
      <c r="J58" s="1">
        <v>139.04</v>
      </c>
      <c r="K58" s="34">
        <v>40603</v>
      </c>
      <c r="L58" s="1">
        <v>1565</v>
      </c>
      <c r="M58" s="34">
        <v>40603</v>
      </c>
      <c r="N58" s="1">
        <v>348.2</v>
      </c>
    </row>
    <row r="59" spans="1:14" x14ac:dyDescent="0.25">
      <c r="A59" s="34">
        <v>40634</v>
      </c>
      <c r="B59" s="1">
        <v>1573.7</v>
      </c>
      <c r="C59" s="34">
        <v>40634</v>
      </c>
      <c r="D59" s="1">
        <v>995</v>
      </c>
      <c r="E59" s="34">
        <v>40634</v>
      </c>
      <c r="F59" s="1">
        <v>5.8</v>
      </c>
      <c r="G59" s="34">
        <v>40634</v>
      </c>
      <c r="H59" s="1">
        <v>2.19</v>
      </c>
      <c r="I59" s="34">
        <v>40634</v>
      </c>
      <c r="J59" s="1">
        <v>139.61000000000001</v>
      </c>
      <c r="K59" s="34">
        <v>40634</v>
      </c>
      <c r="L59" s="1">
        <v>1580.7</v>
      </c>
      <c r="M59" s="34">
        <v>40634</v>
      </c>
      <c r="N59" s="1">
        <v>349.9</v>
      </c>
    </row>
    <row r="60" spans="1:14" x14ac:dyDescent="0.25">
      <c r="A60" s="34">
        <v>40664</v>
      </c>
      <c r="B60" s="1">
        <v>1574.3</v>
      </c>
      <c r="C60" s="34">
        <v>40664</v>
      </c>
      <c r="D60" s="1">
        <v>972</v>
      </c>
      <c r="E60" s="34">
        <v>40664</v>
      </c>
      <c r="F60" s="1">
        <v>5.8</v>
      </c>
      <c r="G60" s="34">
        <v>40664</v>
      </c>
      <c r="H60" s="1">
        <v>1.72</v>
      </c>
      <c r="I60" s="34">
        <v>40664</v>
      </c>
      <c r="J60" s="1">
        <v>140.08000000000001</v>
      </c>
      <c r="K60" s="34">
        <v>40664</v>
      </c>
      <c r="L60" s="1">
        <v>1584.5</v>
      </c>
      <c r="M60" s="34">
        <v>40664</v>
      </c>
      <c r="N60" s="1">
        <v>350</v>
      </c>
    </row>
    <row r="61" spans="1:14" x14ac:dyDescent="0.25">
      <c r="A61" s="34">
        <v>40695</v>
      </c>
      <c r="B61" s="1">
        <v>1576.2</v>
      </c>
      <c r="C61" s="34">
        <v>40695</v>
      </c>
      <c r="D61" s="1">
        <v>944</v>
      </c>
      <c r="E61" s="34">
        <v>40695</v>
      </c>
      <c r="F61" s="1">
        <v>5.9</v>
      </c>
      <c r="G61" s="34">
        <v>40695</v>
      </c>
      <c r="H61" s="1">
        <v>1.42</v>
      </c>
      <c r="I61" s="34">
        <v>40695</v>
      </c>
      <c r="J61" s="1">
        <v>140.47999999999999</v>
      </c>
      <c r="K61" s="34">
        <v>40695</v>
      </c>
      <c r="L61" s="1">
        <v>1578.4</v>
      </c>
      <c r="M61" s="34">
        <v>40695</v>
      </c>
      <c r="N61" s="1">
        <v>338.1</v>
      </c>
    </row>
    <row r="62" spans="1:14" x14ac:dyDescent="0.25">
      <c r="A62" s="34">
        <v>40725</v>
      </c>
      <c r="B62" s="1">
        <v>1582.5</v>
      </c>
      <c r="C62" s="34">
        <v>40725</v>
      </c>
      <c r="D62" s="1">
        <v>589</v>
      </c>
      <c r="E62" s="34">
        <v>40725</v>
      </c>
      <c r="F62" s="1">
        <v>6</v>
      </c>
      <c r="G62" s="34">
        <v>40725</v>
      </c>
      <c r="H62" s="1">
        <v>1.1499999999999999</v>
      </c>
      <c r="I62" s="34">
        <v>40725</v>
      </c>
      <c r="J62" s="1">
        <v>140.91</v>
      </c>
      <c r="K62" s="34">
        <v>40725</v>
      </c>
      <c r="L62" s="1">
        <v>1565</v>
      </c>
      <c r="M62" s="34">
        <v>40725</v>
      </c>
      <c r="N62" s="1">
        <v>323.8</v>
      </c>
    </row>
    <row r="63" spans="1:14" x14ac:dyDescent="0.25">
      <c r="A63" s="34">
        <v>40756</v>
      </c>
      <c r="B63" s="1">
        <v>1580.1</v>
      </c>
      <c r="C63" s="34">
        <v>40756</v>
      </c>
      <c r="D63" s="1">
        <v>572</v>
      </c>
      <c r="E63" s="34">
        <v>40756</v>
      </c>
      <c r="F63" s="1">
        <v>6.1</v>
      </c>
      <c r="G63" s="34">
        <v>40756</v>
      </c>
      <c r="H63" s="1">
        <v>0.86</v>
      </c>
      <c r="I63" s="34">
        <v>40756</v>
      </c>
      <c r="J63" s="1">
        <v>141.22999999999999</v>
      </c>
      <c r="K63" s="34">
        <v>40756</v>
      </c>
      <c r="L63" s="1">
        <v>1573.1</v>
      </c>
      <c r="M63" s="34">
        <v>40756</v>
      </c>
      <c r="N63" s="1">
        <v>327.3</v>
      </c>
    </row>
    <row r="64" spans="1:14" x14ac:dyDescent="0.25">
      <c r="A64" s="34">
        <v>40787</v>
      </c>
      <c r="B64" s="1">
        <v>1588.8</v>
      </c>
      <c r="C64" s="34">
        <v>40787</v>
      </c>
      <c r="D64" s="1">
        <v>562</v>
      </c>
      <c r="E64" s="34">
        <v>40787</v>
      </c>
      <c r="F64" s="1">
        <v>6.1</v>
      </c>
      <c r="G64" s="34">
        <v>40787</v>
      </c>
      <c r="H64" s="1">
        <v>1.22</v>
      </c>
      <c r="I64" s="34">
        <v>40787</v>
      </c>
      <c r="J64" s="1">
        <v>141.69999999999999</v>
      </c>
      <c r="K64" s="34">
        <v>40787</v>
      </c>
      <c r="L64" s="1">
        <v>1594.6</v>
      </c>
      <c r="M64" s="34">
        <v>40787</v>
      </c>
      <c r="N64" s="1">
        <v>346.3</v>
      </c>
    </row>
    <row r="65" spans="1:14" x14ac:dyDescent="0.25">
      <c r="A65" s="34">
        <v>40817</v>
      </c>
      <c r="B65" s="1">
        <v>1587</v>
      </c>
      <c r="C65" s="34">
        <v>40817</v>
      </c>
      <c r="D65" s="1">
        <v>575</v>
      </c>
      <c r="E65" s="34">
        <v>40817</v>
      </c>
      <c r="F65" s="1">
        <v>6</v>
      </c>
      <c r="G65" s="34">
        <v>40817</v>
      </c>
      <c r="H65" s="1">
        <v>1.26</v>
      </c>
      <c r="I65" s="34">
        <v>40817</v>
      </c>
      <c r="J65" s="1">
        <v>142.19</v>
      </c>
      <c r="K65" s="34">
        <v>40817</v>
      </c>
      <c r="L65" s="1">
        <v>1597.7</v>
      </c>
      <c r="M65" s="34">
        <v>40817</v>
      </c>
      <c r="N65" s="1">
        <v>350.5</v>
      </c>
    </row>
    <row r="66" spans="1:14" x14ac:dyDescent="0.25">
      <c r="A66" s="34">
        <v>40848</v>
      </c>
      <c r="B66" s="1">
        <v>1589.1</v>
      </c>
      <c r="C66" s="34">
        <v>40848</v>
      </c>
      <c r="D66" s="1">
        <v>897</v>
      </c>
      <c r="E66" s="34">
        <v>40848</v>
      </c>
      <c r="F66" s="1">
        <v>5.8</v>
      </c>
      <c r="G66" s="34">
        <v>40848</v>
      </c>
      <c r="H66" s="1">
        <v>1.75</v>
      </c>
      <c r="I66" s="34">
        <v>40848</v>
      </c>
      <c r="J66" s="1">
        <v>142.83000000000001</v>
      </c>
      <c r="K66" s="34">
        <v>40848</v>
      </c>
      <c r="L66" s="1">
        <v>1602.3</v>
      </c>
      <c r="M66" s="34">
        <v>40848</v>
      </c>
      <c r="N66" s="1">
        <v>351.4</v>
      </c>
    </row>
    <row r="67" spans="1:14" x14ac:dyDescent="0.25">
      <c r="A67" s="34">
        <v>40878</v>
      </c>
      <c r="B67" s="1">
        <v>1593.1</v>
      </c>
      <c r="C67" s="34">
        <v>40878</v>
      </c>
      <c r="D67" s="1">
        <v>592</v>
      </c>
      <c r="E67" s="34">
        <v>40878</v>
      </c>
      <c r="F67" s="1">
        <v>5.7</v>
      </c>
      <c r="G67" s="34">
        <v>40878</v>
      </c>
      <c r="H67" s="1">
        <v>1.1000000000000001</v>
      </c>
      <c r="I67" s="34">
        <v>40878</v>
      </c>
      <c r="J67" s="1">
        <v>143.24</v>
      </c>
      <c r="K67" s="34">
        <v>40878</v>
      </c>
      <c r="L67" s="1">
        <v>1607.4</v>
      </c>
      <c r="M67" s="34">
        <v>40878</v>
      </c>
      <c r="N67" s="1">
        <v>353.4</v>
      </c>
    </row>
    <row r="68" spans="1:14" x14ac:dyDescent="0.25">
      <c r="A68" s="34">
        <v>40909</v>
      </c>
      <c r="B68" s="1">
        <v>1596.9</v>
      </c>
      <c r="C68" s="34">
        <v>40909</v>
      </c>
      <c r="D68" s="1">
        <v>756</v>
      </c>
      <c r="E68" s="34">
        <v>40909</v>
      </c>
      <c r="F68" s="1">
        <v>5.5</v>
      </c>
      <c r="G68" s="34">
        <v>40909</v>
      </c>
      <c r="H68" s="1">
        <v>1.38</v>
      </c>
      <c r="I68" s="34">
        <v>40909</v>
      </c>
      <c r="J68" s="1">
        <v>143.78</v>
      </c>
      <c r="K68" s="34">
        <v>40909</v>
      </c>
      <c r="L68" s="1">
        <v>1575</v>
      </c>
      <c r="M68" s="34">
        <v>40909</v>
      </c>
      <c r="N68" s="1">
        <v>342.8</v>
      </c>
    </row>
    <row r="69" spans="1:14" x14ac:dyDescent="0.25">
      <c r="A69" s="34">
        <v>40940</v>
      </c>
      <c r="B69" s="1">
        <v>1601.9</v>
      </c>
      <c r="C69" s="34">
        <v>40940</v>
      </c>
      <c r="D69" s="1">
        <v>634</v>
      </c>
      <c r="E69" s="34">
        <v>40940</v>
      </c>
      <c r="F69" s="1">
        <v>5.3</v>
      </c>
      <c r="G69" s="34">
        <v>40940</v>
      </c>
      <c r="H69" s="1">
        <v>1.82</v>
      </c>
      <c r="I69" s="34">
        <v>40940</v>
      </c>
      <c r="J69" s="1">
        <v>144.41999999999999</v>
      </c>
      <c r="K69" s="34">
        <v>40940</v>
      </c>
      <c r="L69" s="1">
        <v>1590</v>
      </c>
      <c r="M69" s="34">
        <v>40940</v>
      </c>
      <c r="N69" s="1">
        <v>350.4</v>
      </c>
    </row>
    <row r="70" spans="1:14" x14ac:dyDescent="0.25">
      <c r="A70" s="34">
        <v>40969</v>
      </c>
      <c r="B70" s="1">
        <v>1605.3</v>
      </c>
      <c r="C70" s="34">
        <v>40969</v>
      </c>
      <c r="D70" s="1">
        <v>686</v>
      </c>
      <c r="E70" s="34">
        <v>40969</v>
      </c>
      <c r="F70" s="1">
        <v>5.2</v>
      </c>
      <c r="G70" s="34">
        <v>40969</v>
      </c>
      <c r="H70" s="1">
        <v>1.46</v>
      </c>
      <c r="I70" s="34">
        <v>40969</v>
      </c>
      <c r="J70" s="1">
        <v>144.91999999999999</v>
      </c>
      <c r="K70" s="34">
        <v>40969</v>
      </c>
      <c r="L70" s="1">
        <v>1602.8</v>
      </c>
      <c r="M70" s="34">
        <v>40969</v>
      </c>
      <c r="N70" s="1">
        <v>352</v>
      </c>
    </row>
    <row r="71" spans="1:14" x14ac:dyDescent="0.25">
      <c r="A71" s="34">
        <v>41000</v>
      </c>
      <c r="B71" s="1">
        <v>1610.5</v>
      </c>
      <c r="C71" s="34">
        <v>41000</v>
      </c>
      <c r="D71" s="1">
        <v>872</v>
      </c>
      <c r="E71" s="34">
        <v>41000</v>
      </c>
      <c r="F71" s="1">
        <v>5.0999999999999996</v>
      </c>
      <c r="G71" s="34">
        <v>41000</v>
      </c>
      <c r="H71" s="1">
        <v>1.66</v>
      </c>
      <c r="I71" s="34">
        <v>41000</v>
      </c>
      <c r="J71" s="1">
        <v>145.47999999999999</v>
      </c>
      <c r="K71" s="34">
        <v>41000</v>
      </c>
      <c r="L71" s="1">
        <v>1614.6</v>
      </c>
      <c r="M71" s="34">
        <v>41000</v>
      </c>
      <c r="N71" s="1">
        <v>352.1</v>
      </c>
    </row>
    <row r="72" spans="1:14" x14ac:dyDescent="0.25">
      <c r="A72" s="34">
        <v>41030</v>
      </c>
      <c r="B72" s="1">
        <v>1612.6</v>
      </c>
      <c r="C72" s="34">
        <v>41030</v>
      </c>
      <c r="D72" s="1">
        <v>1488</v>
      </c>
      <c r="E72" s="34">
        <v>41030</v>
      </c>
      <c r="F72" s="1">
        <v>5.2</v>
      </c>
      <c r="G72" s="34">
        <v>41030</v>
      </c>
      <c r="H72" s="1">
        <v>0.91</v>
      </c>
      <c r="I72" s="34">
        <v>41030</v>
      </c>
      <c r="J72" s="1">
        <v>145.72999999999999</v>
      </c>
      <c r="K72" s="34">
        <v>41030</v>
      </c>
      <c r="L72" s="1">
        <v>1622.8</v>
      </c>
      <c r="M72" s="34">
        <v>41030</v>
      </c>
      <c r="N72" s="1">
        <v>352.9</v>
      </c>
    </row>
    <row r="73" spans="1:14" x14ac:dyDescent="0.25">
      <c r="A73" s="34">
        <v>41061</v>
      </c>
      <c r="B73" s="1">
        <v>1615.4</v>
      </c>
      <c r="C73" s="34">
        <v>41061</v>
      </c>
      <c r="D73" s="1">
        <v>736</v>
      </c>
      <c r="E73" s="34">
        <v>41061</v>
      </c>
      <c r="F73" s="1">
        <v>5.3</v>
      </c>
      <c r="G73" s="34">
        <v>41061</v>
      </c>
      <c r="H73" s="1">
        <v>0.56000000000000005</v>
      </c>
      <c r="I73" s="34">
        <v>41061</v>
      </c>
      <c r="J73" s="1">
        <v>145.93</v>
      </c>
      <c r="K73" s="34">
        <v>41061</v>
      </c>
      <c r="L73" s="1">
        <v>1617.3</v>
      </c>
      <c r="M73" s="34">
        <v>41061</v>
      </c>
      <c r="N73" s="1">
        <v>339.8</v>
      </c>
    </row>
    <row r="74" spans="1:14" x14ac:dyDescent="0.25">
      <c r="A74" s="34">
        <v>41091</v>
      </c>
      <c r="B74" s="1">
        <v>1613.6</v>
      </c>
      <c r="C74" s="34">
        <v>41091</v>
      </c>
      <c r="D74" s="1">
        <v>729</v>
      </c>
      <c r="E74" s="34">
        <v>41091</v>
      </c>
      <c r="F74" s="1">
        <v>5.5</v>
      </c>
      <c r="G74" s="34">
        <v>41091</v>
      </c>
      <c r="H74" s="1">
        <v>0.15</v>
      </c>
      <c r="I74" s="34">
        <v>41091</v>
      </c>
      <c r="J74" s="1">
        <v>145.94</v>
      </c>
      <c r="K74" s="34">
        <v>41091</v>
      </c>
      <c r="L74" s="1">
        <v>1596</v>
      </c>
      <c r="M74" s="34">
        <v>41091</v>
      </c>
      <c r="N74" s="1">
        <v>327.39999999999998</v>
      </c>
    </row>
    <row r="75" spans="1:14" x14ac:dyDescent="0.25">
      <c r="A75" s="34">
        <v>41122</v>
      </c>
      <c r="B75" s="1">
        <v>1615.4</v>
      </c>
      <c r="C75" s="34">
        <v>41122</v>
      </c>
      <c r="D75" s="1">
        <v>960</v>
      </c>
      <c r="E75" s="34">
        <v>41122</v>
      </c>
      <c r="F75" s="1">
        <v>5.5</v>
      </c>
      <c r="G75" s="34">
        <v>41122</v>
      </c>
      <c r="H75" s="1">
        <v>1.33</v>
      </c>
      <c r="I75" s="34">
        <v>41122</v>
      </c>
      <c r="J75" s="1">
        <v>146.38</v>
      </c>
      <c r="K75" s="34">
        <v>41122</v>
      </c>
      <c r="L75" s="1">
        <v>1608.3</v>
      </c>
      <c r="M75" s="34">
        <v>41122</v>
      </c>
      <c r="N75" s="1">
        <v>334</v>
      </c>
    </row>
    <row r="76" spans="1:14" x14ac:dyDescent="0.25">
      <c r="A76" s="34">
        <v>41153</v>
      </c>
      <c r="B76" s="1">
        <v>1616.8</v>
      </c>
      <c r="C76" s="34">
        <v>41153</v>
      </c>
      <c r="D76" s="1">
        <v>1253</v>
      </c>
      <c r="E76" s="34">
        <v>41153</v>
      </c>
      <c r="F76" s="1">
        <v>5.5</v>
      </c>
      <c r="G76" s="34">
        <v>41153</v>
      </c>
      <c r="H76" s="1">
        <v>1.66</v>
      </c>
      <c r="I76" s="34">
        <v>41153</v>
      </c>
      <c r="J76" s="1">
        <v>146.85</v>
      </c>
      <c r="K76" s="34">
        <v>41153</v>
      </c>
      <c r="L76" s="1">
        <v>1621</v>
      </c>
      <c r="M76" s="34">
        <v>41153</v>
      </c>
      <c r="N76" s="1">
        <v>348.3</v>
      </c>
    </row>
    <row r="77" spans="1:14" x14ac:dyDescent="0.25">
      <c r="A77" s="34">
        <v>41183</v>
      </c>
      <c r="B77" s="1">
        <v>1623.7</v>
      </c>
      <c r="C77" s="34">
        <v>41183</v>
      </c>
      <c r="D77" s="1">
        <v>971</v>
      </c>
      <c r="E77" s="34">
        <v>41183</v>
      </c>
      <c r="F77" s="1">
        <v>5.5</v>
      </c>
      <c r="G77" s="34">
        <v>41183</v>
      </c>
      <c r="H77" s="1">
        <v>1.73</v>
      </c>
      <c r="I77" s="34">
        <v>41183</v>
      </c>
      <c r="J77" s="1">
        <v>147.31</v>
      </c>
      <c r="K77" s="34">
        <v>41183</v>
      </c>
      <c r="L77" s="1">
        <v>1634.2</v>
      </c>
      <c r="M77" s="34">
        <v>41183</v>
      </c>
      <c r="N77" s="1">
        <v>354.3</v>
      </c>
    </row>
    <row r="78" spans="1:14" x14ac:dyDescent="0.25">
      <c r="A78" s="34">
        <v>41214</v>
      </c>
      <c r="B78" s="1">
        <v>1626.6</v>
      </c>
      <c r="C78" s="34">
        <v>41214</v>
      </c>
      <c r="D78" s="1">
        <v>957</v>
      </c>
      <c r="E78" s="34">
        <v>41214</v>
      </c>
      <c r="F78" s="1">
        <v>5.4</v>
      </c>
      <c r="G78" s="34">
        <v>41214</v>
      </c>
      <c r="H78" s="1">
        <v>1.76</v>
      </c>
      <c r="I78" s="34">
        <v>41214</v>
      </c>
      <c r="J78" s="1">
        <v>147.82</v>
      </c>
      <c r="K78" s="34">
        <v>41214</v>
      </c>
      <c r="L78" s="1">
        <v>1642.3</v>
      </c>
      <c r="M78" s="34">
        <v>41214</v>
      </c>
      <c r="N78" s="1">
        <v>356.1</v>
      </c>
    </row>
    <row r="79" spans="1:14" x14ac:dyDescent="0.25">
      <c r="A79" s="34">
        <v>41244</v>
      </c>
      <c r="B79" s="1">
        <v>1630</v>
      </c>
      <c r="C79" s="34">
        <v>41244</v>
      </c>
      <c r="D79" s="1">
        <v>643</v>
      </c>
      <c r="E79" s="34">
        <v>41244</v>
      </c>
      <c r="F79" s="1">
        <v>5.4</v>
      </c>
      <c r="G79" s="34">
        <v>41244</v>
      </c>
      <c r="H79" s="1">
        <v>1.24</v>
      </c>
      <c r="I79" s="34">
        <v>41244</v>
      </c>
      <c r="J79" s="1">
        <v>148.02000000000001</v>
      </c>
      <c r="K79" s="34">
        <v>41244</v>
      </c>
      <c r="L79" s="1">
        <v>1644.5</v>
      </c>
      <c r="M79" s="34">
        <v>41244</v>
      </c>
      <c r="N79" s="1">
        <v>355.4</v>
      </c>
    </row>
    <row r="80" spans="1:14" x14ac:dyDescent="0.25">
      <c r="A80" s="34">
        <v>41275</v>
      </c>
      <c r="B80" s="1">
        <v>1623.3</v>
      </c>
      <c r="C80" s="34">
        <v>41275</v>
      </c>
      <c r="D80" s="1">
        <v>1354</v>
      </c>
      <c r="E80" s="34">
        <v>41275</v>
      </c>
      <c r="F80" s="1">
        <v>5.4</v>
      </c>
      <c r="G80" s="34">
        <v>41275</v>
      </c>
      <c r="H80" s="1">
        <v>0.45</v>
      </c>
      <c r="I80" s="34">
        <v>41275</v>
      </c>
      <c r="J80" s="1">
        <v>147.96</v>
      </c>
      <c r="K80" s="34">
        <v>41275</v>
      </c>
      <c r="L80" s="1">
        <v>1600.9</v>
      </c>
      <c r="M80" s="34">
        <v>41275</v>
      </c>
      <c r="N80" s="1">
        <v>345.5</v>
      </c>
    </row>
    <row r="81" spans="1:14" x14ac:dyDescent="0.25">
      <c r="A81" s="34">
        <v>41306</v>
      </c>
      <c r="B81" s="1">
        <v>1626.6</v>
      </c>
      <c r="C81" s="34">
        <v>41306</v>
      </c>
      <c r="D81" s="1">
        <v>1101</v>
      </c>
      <c r="E81" s="34">
        <v>41306</v>
      </c>
      <c r="F81" s="1">
        <v>5.3</v>
      </c>
      <c r="G81" s="34">
        <v>41306</v>
      </c>
      <c r="H81" s="1">
        <v>0.66</v>
      </c>
      <c r="I81" s="34">
        <v>41306</v>
      </c>
      <c r="J81" s="1">
        <v>148.18</v>
      </c>
      <c r="K81" s="34">
        <v>41306</v>
      </c>
      <c r="L81" s="1">
        <v>1614.5</v>
      </c>
      <c r="M81" s="34">
        <v>41306</v>
      </c>
      <c r="N81" s="1">
        <v>353.5</v>
      </c>
    </row>
    <row r="82" spans="1:14" x14ac:dyDescent="0.25">
      <c r="A82" s="34">
        <v>41334</v>
      </c>
      <c r="B82" s="1">
        <v>1628.7</v>
      </c>
      <c r="C82" s="34">
        <v>41334</v>
      </c>
      <c r="D82" s="1">
        <v>1137</v>
      </c>
      <c r="E82" s="34">
        <v>41334</v>
      </c>
      <c r="F82" s="1">
        <v>5.2</v>
      </c>
      <c r="G82" s="34">
        <v>41334</v>
      </c>
      <c r="H82" s="1">
        <v>1.25</v>
      </c>
      <c r="I82" s="34">
        <v>41334</v>
      </c>
      <c r="J82" s="1">
        <v>148.51</v>
      </c>
      <c r="K82" s="34">
        <v>41334</v>
      </c>
      <c r="L82" s="1">
        <v>1626.3</v>
      </c>
      <c r="M82" s="34">
        <v>41334</v>
      </c>
      <c r="N82" s="1">
        <v>354.7</v>
      </c>
    </row>
    <row r="83" spans="1:14" x14ac:dyDescent="0.25">
      <c r="A83" s="34">
        <v>41365</v>
      </c>
      <c r="B83" s="1">
        <v>1628.4</v>
      </c>
      <c r="C83" s="34">
        <v>41365</v>
      </c>
      <c r="D83" s="1">
        <v>1204</v>
      </c>
      <c r="E83" s="34">
        <v>41365</v>
      </c>
      <c r="F83" s="1">
        <v>5.3</v>
      </c>
      <c r="G83" s="34">
        <v>41365</v>
      </c>
      <c r="H83" s="1">
        <v>0.35</v>
      </c>
      <c r="I83" s="34">
        <v>41365</v>
      </c>
      <c r="J83" s="1">
        <v>148.46</v>
      </c>
      <c r="K83" s="34">
        <v>41365</v>
      </c>
      <c r="L83" s="1">
        <v>1632.6</v>
      </c>
      <c r="M83" s="34">
        <v>41365</v>
      </c>
      <c r="N83" s="1">
        <v>354.8</v>
      </c>
    </row>
    <row r="84" spans="1:14" x14ac:dyDescent="0.25">
      <c r="A84" s="34">
        <v>41395</v>
      </c>
      <c r="B84" s="1">
        <v>1630.2</v>
      </c>
      <c r="C84" s="34">
        <v>41395</v>
      </c>
      <c r="D84" s="1">
        <v>1201</v>
      </c>
      <c r="E84" s="34">
        <v>41395</v>
      </c>
      <c r="F84" s="1">
        <v>5.4</v>
      </c>
      <c r="G84" s="34">
        <v>41395</v>
      </c>
      <c r="H84" s="1">
        <v>-0.25</v>
      </c>
      <c r="I84" s="34">
        <v>41395</v>
      </c>
      <c r="J84" s="1">
        <v>148.38999999999999</v>
      </c>
      <c r="K84" s="34">
        <v>41395</v>
      </c>
      <c r="L84" s="1">
        <v>1643.2</v>
      </c>
      <c r="M84" s="34">
        <v>41395</v>
      </c>
      <c r="N84" s="1">
        <v>356.5</v>
      </c>
    </row>
    <row r="85" spans="1:14" x14ac:dyDescent="0.25">
      <c r="A85" s="34">
        <v>41426</v>
      </c>
      <c r="B85" s="1">
        <v>1631.9</v>
      </c>
      <c r="C85" s="34">
        <v>41426</v>
      </c>
      <c r="D85" s="1">
        <v>926</v>
      </c>
      <c r="E85" s="34">
        <v>41426</v>
      </c>
      <c r="F85" s="1">
        <v>5.5</v>
      </c>
      <c r="G85" s="34">
        <v>41426</v>
      </c>
      <c r="H85" s="1">
        <v>-0.12</v>
      </c>
      <c r="I85" s="34">
        <v>41426</v>
      </c>
      <c r="J85" s="1">
        <v>148.34</v>
      </c>
      <c r="K85" s="34">
        <v>41426</v>
      </c>
      <c r="L85" s="1">
        <v>1633.2</v>
      </c>
      <c r="M85" s="34">
        <v>41426</v>
      </c>
      <c r="N85" s="1">
        <v>341.7</v>
      </c>
    </row>
    <row r="86" spans="1:14" x14ac:dyDescent="0.25">
      <c r="A86" s="34">
        <v>41456</v>
      </c>
      <c r="B86" s="1">
        <v>1633.5</v>
      </c>
      <c r="C86" s="34">
        <v>41456</v>
      </c>
      <c r="D86" s="1">
        <v>1200</v>
      </c>
      <c r="E86" s="34">
        <v>41456</v>
      </c>
      <c r="F86" s="1">
        <v>5.6</v>
      </c>
      <c r="G86" s="34">
        <v>41456</v>
      </c>
      <c r="H86" s="1">
        <v>0.26</v>
      </c>
      <c r="I86" s="34">
        <v>41456</v>
      </c>
      <c r="J86" s="1">
        <v>148.35</v>
      </c>
      <c r="K86" s="34">
        <v>41456</v>
      </c>
      <c r="L86" s="1">
        <v>1615.6</v>
      </c>
      <c r="M86" s="34">
        <v>41456</v>
      </c>
      <c r="N86" s="1">
        <v>328.3</v>
      </c>
    </row>
    <row r="87" spans="1:14" x14ac:dyDescent="0.25">
      <c r="A87" s="34">
        <v>41487</v>
      </c>
      <c r="B87" s="1">
        <v>1635.2</v>
      </c>
      <c r="C87" s="34">
        <v>41487</v>
      </c>
      <c r="D87" s="1">
        <v>1226</v>
      </c>
      <c r="E87" s="34">
        <v>41487</v>
      </c>
      <c r="F87" s="1">
        <v>5.6</v>
      </c>
      <c r="G87" s="34">
        <v>41487</v>
      </c>
      <c r="H87" s="1">
        <v>0.78</v>
      </c>
      <c r="I87" s="34">
        <v>41487</v>
      </c>
      <c r="J87" s="1">
        <v>148.56</v>
      </c>
      <c r="K87" s="34">
        <v>41487</v>
      </c>
      <c r="L87" s="1">
        <v>1628.2</v>
      </c>
      <c r="M87" s="34">
        <v>41487</v>
      </c>
      <c r="N87" s="1">
        <v>333.8</v>
      </c>
    </row>
    <row r="88" spans="1:14" x14ac:dyDescent="0.25">
      <c r="A88" s="34">
        <v>41518</v>
      </c>
      <c r="B88" s="1">
        <v>1636.6</v>
      </c>
      <c r="C88" s="34">
        <v>41518</v>
      </c>
      <c r="D88" s="1">
        <v>1098</v>
      </c>
      <c r="E88" s="34">
        <v>41518</v>
      </c>
      <c r="F88" s="1">
        <v>5.6</v>
      </c>
      <c r="G88" s="34">
        <v>41518</v>
      </c>
      <c r="H88" s="1">
        <v>0.77</v>
      </c>
      <c r="I88" s="34">
        <v>41518</v>
      </c>
      <c r="J88" s="1">
        <v>148.76</v>
      </c>
      <c r="K88" s="34">
        <v>41518</v>
      </c>
      <c r="L88" s="1">
        <v>1640.8</v>
      </c>
      <c r="M88" s="34">
        <v>41518</v>
      </c>
      <c r="N88" s="1">
        <v>347.6</v>
      </c>
    </row>
    <row r="89" spans="1:14" x14ac:dyDescent="0.25">
      <c r="A89" s="34">
        <v>41548</v>
      </c>
      <c r="B89" s="1">
        <v>1637.1</v>
      </c>
      <c r="C89" s="34">
        <v>41548</v>
      </c>
      <c r="D89" s="1">
        <v>976</v>
      </c>
      <c r="E89" s="34">
        <v>41548</v>
      </c>
      <c r="F89" s="1">
        <v>5.6</v>
      </c>
      <c r="G89" s="34">
        <v>41548</v>
      </c>
      <c r="H89" s="1">
        <v>0.65</v>
      </c>
      <c r="I89" s="34">
        <v>41548</v>
      </c>
      <c r="J89" s="1">
        <v>148.91999999999999</v>
      </c>
      <c r="K89" s="34">
        <v>41548</v>
      </c>
      <c r="L89" s="1">
        <v>1648.3</v>
      </c>
      <c r="M89" s="34">
        <v>41548</v>
      </c>
      <c r="N89" s="1">
        <v>353.7</v>
      </c>
    </row>
    <row r="90" spans="1:14" x14ac:dyDescent="0.25">
      <c r="A90" s="34">
        <v>41579</v>
      </c>
      <c r="B90" s="1">
        <v>1643.5</v>
      </c>
      <c r="C90" s="34">
        <v>41579</v>
      </c>
      <c r="D90" s="1">
        <v>1041</v>
      </c>
      <c r="E90" s="34">
        <v>41579</v>
      </c>
      <c r="F90" s="1">
        <v>5.5</v>
      </c>
      <c r="G90" s="34">
        <v>41579</v>
      </c>
      <c r="H90" s="1">
        <v>0.98</v>
      </c>
      <c r="I90" s="34">
        <v>41579</v>
      </c>
      <c r="J90" s="1">
        <v>149.24</v>
      </c>
      <c r="K90" s="34">
        <v>41579</v>
      </c>
      <c r="L90" s="1">
        <v>1658.1</v>
      </c>
      <c r="M90" s="34">
        <v>41579</v>
      </c>
      <c r="N90" s="1">
        <v>355.1</v>
      </c>
    </row>
    <row r="91" spans="1:14" x14ac:dyDescent="0.25">
      <c r="A91" s="34">
        <v>41609</v>
      </c>
      <c r="B91" s="1">
        <v>1645.2</v>
      </c>
      <c r="C91" s="34">
        <v>41609</v>
      </c>
      <c r="D91" s="1">
        <v>850</v>
      </c>
      <c r="E91" s="34">
        <v>41609</v>
      </c>
      <c r="F91" s="1">
        <v>5.4</v>
      </c>
      <c r="G91" s="34">
        <v>41609</v>
      </c>
      <c r="H91" s="1">
        <v>1.1299999999999999</v>
      </c>
      <c r="I91" s="34">
        <v>41609</v>
      </c>
      <c r="J91" s="1">
        <v>149.6</v>
      </c>
      <c r="K91" s="34">
        <v>41609</v>
      </c>
      <c r="L91" s="1">
        <v>1655.3</v>
      </c>
      <c r="M91" s="34">
        <v>41609</v>
      </c>
      <c r="N91" s="1">
        <v>354.6</v>
      </c>
    </row>
    <row r="92" spans="1:14" x14ac:dyDescent="0.25">
      <c r="A92" s="34">
        <v>41640</v>
      </c>
      <c r="B92" s="1">
        <v>1650.9</v>
      </c>
      <c r="C92" s="34">
        <v>41640</v>
      </c>
      <c r="D92" s="1">
        <v>1159</v>
      </c>
      <c r="E92" s="34">
        <v>41640</v>
      </c>
      <c r="F92" s="1">
        <v>5.2</v>
      </c>
      <c r="G92" s="34">
        <v>41640</v>
      </c>
      <c r="H92" s="1">
        <v>1.67</v>
      </c>
      <c r="I92" s="34">
        <v>41640</v>
      </c>
      <c r="J92" s="1">
        <v>150.18</v>
      </c>
      <c r="K92" s="34">
        <v>41640</v>
      </c>
      <c r="L92" s="1">
        <v>1627.2</v>
      </c>
      <c r="M92" s="34">
        <v>41640</v>
      </c>
      <c r="N92" s="1">
        <v>344.3</v>
      </c>
    </row>
    <row r="93" spans="1:14" x14ac:dyDescent="0.25">
      <c r="A93" s="34">
        <v>41671</v>
      </c>
      <c r="B93" s="1">
        <v>1649.5</v>
      </c>
      <c r="C93" s="34">
        <v>41671</v>
      </c>
      <c r="D93" s="1">
        <v>803</v>
      </c>
      <c r="E93" s="34">
        <v>41671</v>
      </c>
      <c r="F93" s="1">
        <v>5</v>
      </c>
      <c r="G93" s="34">
        <v>41671</v>
      </c>
      <c r="H93" s="1">
        <v>1.79</v>
      </c>
      <c r="I93" s="34">
        <v>41671</v>
      </c>
      <c r="J93" s="1">
        <v>150.63999999999999</v>
      </c>
      <c r="K93" s="34">
        <v>41671</v>
      </c>
      <c r="L93" s="1">
        <v>1633</v>
      </c>
      <c r="M93" s="34">
        <v>41671</v>
      </c>
      <c r="N93" s="1">
        <v>351.7</v>
      </c>
    </row>
    <row r="94" spans="1:14" x14ac:dyDescent="0.25">
      <c r="A94" s="34">
        <v>41699</v>
      </c>
      <c r="B94" s="1">
        <v>1649.9</v>
      </c>
      <c r="C94" s="34">
        <v>41699</v>
      </c>
      <c r="D94" s="1">
        <v>1341</v>
      </c>
      <c r="E94" s="34">
        <v>41699</v>
      </c>
      <c r="F94" s="1">
        <v>4.9000000000000004</v>
      </c>
      <c r="G94" s="34">
        <v>41699</v>
      </c>
      <c r="H94" s="1">
        <v>1.05</v>
      </c>
      <c r="I94" s="34">
        <v>41699</v>
      </c>
      <c r="J94" s="1">
        <v>150.96</v>
      </c>
      <c r="K94" s="34">
        <v>41699</v>
      </c>
      <c r="L94" s="1">
        <v>1647.6</v>
      </c>
      <c r="M94" s="34">
        <v>41699</v>
      </c>
      <c r="N94" s="1">
        <v>353.4</v>
      </c>
    </row>
    <row r="95" spans="1:14" x14ac:dyDescent="0.25">
      <c r="A95" s="34">
        <v>41730</v>
      </c>
      <c r="B95" s="1">
        <v>1655.1</v>
      </c>
      <c r="C95" s="34">
        <v>41730</v>
      </c>
      <c r="D95" s="1">
        <v>1173</v>
      </c>
      <c r="E95" s="34">
        <v>41730</v>
      </c>
      <c r="F95" s="1">
        <v>4.5999999999999996</v>
      </c>
      <c r="G95" s="34">
        <v>41730</v>
      </c>
      <c r="H95" s="1">
        <v>1.93</v>
      </c>
      <c r="I95" s="34">
        <v>41730</v>
      </c>
      <c r="J95" s="1">
        <v>151.74</v>
      </c>
      <c r="K95" s="34">
        <v>41730</v>
      </c>
      <c r="L95" s="1">
        <v>1661.9</v>
      </c>
      <c r="M95" s="34">
        <v>41730</v>
      </c>
      <c r="N95" s="1">
        <v>353.8</v>
      </c>
    </row>
    <row r="96" spans="1:14" x14ac:dyDescent="0.25">
      <c r="A96" s="34">
        <v>41760</v>
      </c>
      <c r="B96" s="1">
        <v>1656.2</v>
      </c>
      <c r="C96" s="34">
        <v>41760</v>
      </c>
      <c r="D96" s="1">
        <v>1397</v>
      </c>
      <c r="E96" s="34">
        <v>41760</v>
      </c>
      <c r="F96" s="1">
        <v>4.5999999999999996</v>
      </c>
      <c r="G96" s="34">
        <v>41760</v>
      </c>
      <c r="H96" s="1">
        <v>1.33</v>
      </c>
      <c r="I96" s="34">
        <v>41760</v>
      </c>
      <c r="J96" s="1">
        <v>152.11000000000001</v>
      </c>
      <c r="K96" s="34">
        <v>41760</v>
      </c>
      <c r="L96" s="1">
        <v>1671.9</v>
      </c>
      <c r="M96" s="34">
        <v>41760</v>
      </c>
      <c r="N96" s="1">
        <v>355.6</v>
      </c>
    </row>
    <row r="97" spans="1:14" x14ac:dyDescent="0.25">
      <c r="A97" s="34">
        <v>41791</v>
      </c>
      <c r="B97" s="1">
        <v>1664.8</v>
      </c>
      <c r="C97" s="34">
        <v>41791</v>
      </c>
      <c r="D97" s="1">
        <v>1342</v>
      </c>
      <c r="E97" s="34">
        <v>41791</v>
      </c>
      <c r="F97" s="1">
        <v>4.5</v>
      </c>
      <c r="G97" s="34">
        <v>41791</v>
      </c>
      <c r="H97" s="1">
        <v>1.35</v>
      </c>
      <c r="I97" s="34">
        <v>41791</v>
      </c>
      <c r="J97" s="1">
        <v>152.71</v>
      </c>
      <c r="K97" s="34">
        <v>41791</v>
      </c>
      <c r="L97" s="1">
        <v>1668.6</v>
      </c>
      <c r="M97" s="34">
        <v>41791</v>
      </c>
      <c r="N97" s="1">
        <v>341.7</v>
      </c>
    </row>
    <row r="98" spans="1:14" x14ac:dyDescent="0.25">
      <c r="A98" s="34">
        <v>41821</v>
      </c>
      <c r="B98" s="1">
        <v>1665.6</v>
      </c>
      <c r="C98" s="34">
        <v>41821</v>
      </c>
      <c r="D98" s="1">
        <v>976</v>
      </c>
      <c r="E98" s="34">
        <v>41821</v>
      </c>
      <c r="F98" s="1">
        <v>4.5999999999999996</v>
      </c>
      <c r="G98" s="34">
        <v>41821</v>
      </c>
      <c r="H98" s="1">
        <v>0.71</v>
      </c>
      <c r="I98" s="34">
        <v>41821</v>
      </c>
      <c r="J98" s="1">
        <v>152.91</v>
      </c>
      <c r="K98" s="34">
        <v>41821</v>
      </c>
      <c r="L98" s="1">
        <v>1651.9</v>
      </c>
      <c r="M98" s="34">
        <v>41821</v>
      </c>
      <c r="N98" s="1">
        <v>328.1</v>
      </c>
    </row>
    <row r="99" spans="1:14" x14ac:dyDescent="0.25">
      <c r="A99" s="34">
        <v>41852</v>
      </c>
      <c r="B99" s="1">
        <v>1667.2</v>
      </c>
      <c r="C99" s="34">
        <v>41852</v>
      </c>
      <c r="D99" s="1">
        <v>938</v>
      </c>
      <c r="E99" s="34">
        <v>41852</v>
      </c>
      <c r="F99" s="1">
        <v>4.7</v>
      </c>
      <c r="G99" s="34">
        <v>41852</v>
      </c>
      <c r="H99" s="1">
        <v>0.38</v>
      </c>
      <c r="I99" s="34">
        <v>41852</v>
      </c>
      <c r="J99" s="1">
        <v>152.96</v>
      </c>
      <c r="K99" s="34">
        <v>41852</v>
      </c>
      <c r="L99" s="1">
        <v>1658.3</v>
      </c>
      <c r="M99" s="34">
        <v>41852</v>
      </c>
      <c r="N99" s="1">
        <v>334.5</v>
      </c>
    </row>
    <row r="100" spans="1:14" x14ac:dyDescent="0.25">
      <c r="A100" s="34">
        <v>41883</v>
      </c>
      <c r="B100" s="1">
        <v>1670.1</v>
      </c>
      <c r="C100" s="34">
        <v>41883</v>
      </c>
      <c r="D100" s="1">
        <v>1214</v>
      </c>
      <c r="E100" s="34">
        <v>41883</v>
      </c>
      <c r="F100" s="1">
        <v>4.7</v>
      </c>
      <c r="G100" s="34">
        <v>41883</v>
      </c>
      <c r="H100" s="1">
        <v>0.39</v>
      </c>
      <c r="I100" s="34">
        <v>41883</v>
      </c>
      <c r="J100" s="1">
        <v>153.16999999999999</v>
      </c>
      <c r="K100" s="34">
        <v>41883</v>
      </c>
      <c r="L100" s="1">
        <v>1674.6</v>
      </c>
      <c r="M100" s="34">
        <v>41883</v>
      </c>
      <c r="N100" s="1">
        <v>349.2</v>
      </c>
    </row>
    <row r="101" spans="1:14" x14ac:dyDescent="0.25">
      <c r="A101" s="34">
        <v>41913</v>
      </c>
      <c r="B101" s="1">
        <v>1673.6</v>
      </c>
      <c r="C101" s="34">
        <v>41913</v>
      </c>
      <c r="D101" s="1">
        <v>1260</v>
      </c>
      <c r="E101" s="34">
        <v>41913</v>
      </c>
      <c r="F101" s="1">
        <v>4.5</v>
      </c>
      <c r="G101" s="34">
        <v>41913</v>
      </c>
      <c r="H101" s="1">
        <v>2.0099999999999998</v>
      </c>
      <c r="I101" s="34">
        <v>41913</v>
      </c>
      <c r="J101" s="1">
        <v>153.81</v>
      </c>
      <c r="K101" s="34">
        <v>41913</v>
      </c>
      <c r="L101" s="1">
        <v>1685.1</v>
      </c>
      <c r="M101" s="34">
        <v>41913</v>
      </c>
      <c r="N101" s="1">
        <v>355.4</v>
      </c>
    </row>
    <row r="102" spans="1:14" x14ac:dyDescent="0.25">
      <c r="A102" s="34">
        <v>41944</v>
      </c>
      <c r="B102" s="1">
        <v>1676.2</v>
      </c>
      <c r="C102" s="34">
        <v>41944</v>
      </c>
      <c r="D102" s="1">
        <v>847</v>
      </c>
      <c r="E102" s="34">
        <v>41944</v>
      </c>
      <c r="F102" s="1">
        <v>4.4000000000000004</v>
      </c>
      <c r="G102" s="34">
        <v>41944</v>
      </c>
      <c r="H102" s="1">
        <v>1.71</v>
      </c>
      <c r="I102" s="34">
        <v>41944</v>
      </c>
      <c r="J102" s="1">
        <v>154.19999999999999</v>
      </c>
      <c r="K102" s="34">
        <v>41944</v>
      </c>
      <c r="L102" s="1">
        <v>1689.4</v>
      </c>
      <c r="M102" s="34">
        <v>41944</v>
      </c>
      <c r="N102" s="1">
        <v>356.6</v>
      </c>
    </row>
    <row r="103" spans="1:14" x14ac:dyDescent="0.25">
      <c r="A103" s="34">
        <v>41974</v>
      </c>
      <c r="B103" s="1">
        <v>1681.9</v>
      </c>
      <c r="E103" s="34">
        <v>41974</v>
      </c>
      <c r="F103" s="1">
        <v>4.2</v>
      </c>
      <c r="K103" s="34">
        <v>41974</v>
      </c>
      <c r="L103" s="1">
        <v>1692.1</v>
      </c>
      <c r="M103" s="34">
        <v>41974</v>
      </c>
      <c r="N103" s="1">
        <v>357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P103"/>
  <sheetViews>
    <sheetView topLeftCell="A77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258</v>
      </c>
      <c r="C1" s="34" t="s">
        <v>259</v>
      </c>
      <c r="E1" s="34" t="s">
        <v>260</v>
      </c>
      <c r="G1" s="34" t="s">
        <v>261</v>
      </c>
      <c r="I1" s="34" t="s">
        <v>262</v>
      </c>
      <c r="K1" s="34" t="str">
        <f>CONCATENATE(LEFT(A1,2), "NAN")</f>
        <v>ORNAN</v>
      </c>
      <c r="M1" s="34" t="str">
        <f>CONCATENATE(LEFT(A1,2), "GOVTN")</f>
        <v>ORGOVTN</v>
      </c>
      <c r="O1" s="34" t="str">
        <f>CONCATENATE(LEFT($A$1,2), "RGSP")</f>
        <v>ORRGSP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918</v>
      </c>
      <c r="C5" s="35" t="s">
        <v>371</v>
      </c>
      <c r="E5" s="35" t="s">
        <v>372</v>
      </c>
      <c r="G5" s="35" t="s">
        <v>373</v>
      </c>
      <c r="I5" s="35" t="s">
        <v>374</v>
      </c>
      <c r="K5" s="35" t="s">
        <v>918</v>
      </c>
      <c r="M5" s="35" t="s">
        <v>919</v>
      </c>
      <c r="O5" s="35" t="s">
        <v>783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1722.4</v>
      </c>
      <c r="C8" s="34">
        <v>39083</v>
      </c>
      <c r="D8" s="1">
        <v>2017</v>
      </c>
      <c r="E8" s="34">
        <v>39083</v>
      </c>
      <c r="F8" s="1">
        <v>5.0999999999999996</v>
      </c>
      <c r="G8" s="34">
        <v>39083</v>
      </c>
      <c r="H8" s="1">
        <v>1.87</v>
      </c>
      <c r="I8" s="34">
        <v>39083</v>
      </c>
      <c r="J8" s="1">
        <v>187.98</v>
      </c>
      <c r="K8" s="34">
        <v>39083</v>
      </c>
      <c r="L8" s="1">
        <v>1687.9</v>
      </c>
      <c r="M8" s="34">
        <v>39083</v>
      </c>
      <c r="N8" s="1">
        <v>286.60000000000002</v>
      </c>
      <c r="O8" s="34">
        <v>39083</v>
      </c>
      <c r="P8" s="1">
        <v>173064</v>
      </c>
    </row>
    <row r="9" spans="1:16" x14ac:dyDescent="0.25">
      <c r="A9" s="34">
        <v>39114</v>
      </c>
      <c r="B9" s="1">
        <v>1727.9</v>
      </c>
      <c r="C9" s="34">
        <v>39114</v>
      </c>
      <c r="D9" s="1">
        <v>2384</v>
      </c>
      <c r="E9" s="34">
        <v>39114</v>
      </c>
      <c r="F9" s="1">
        <v>5</v>
      </c>
      <c r="G9" s="34">
        <v>39114</v>
      </c>
      <c r="H9" s="1">
        <v>0.88</v>
      </c>
      <c r="I9" s="34">
        <v>39114</v>
      </c>
      <c r="J9" s="1">
        <v>188.73</v>
      </c>
      <c r="K9" s="34">
        <v>39114</v>
      </c>
      <c r="L9" s="1">
        <v>1704.2</v>
      </c>
      <c r="M9" s="34">
        <v>39114</v>
      </c>
      <c r="N9" s="1">
        <v>292.10000000000002</v>
      </c>
      <c r="O9" s="34">
        <v>39448</v>
      </c>
      <c r="P9" s="1">
        <v>181333</v>
      </c>
    </row>
    <row r="10" spans="1:16" x14ac:dyDescent="0.25">
      <c r="A10" s="34">
        <v>39142</v>
      </c>
      <c r="B10" s="1">
        <v>1732.6</v>
      </c>
      <c r="C10" s="34">
        <v>39142</v>
      </c>
      <c r="D10" s="1">
        <v>2142</v>
      </c>
      <c r="E10" s="34">
        <v>39142</v>
      </c>
      <c r="F10" s="1">
        <v>5</v>
      </c>
      <c r="G10" s="34">
        <v>39142</v>
      </c>
      <c r="H10" s="1">
        <v>0.3</v>
      </c>
      <c r="I10" s="34">
        <v>39142</v>
      </c>
      <c r="J10" s="1">
        <v>189.23</v>
      </c>
      <c r="K10" s="34">
        <v>39142</v>
      </c>
      <c r="L10" s="1">
        <v>1717.4</v>
      </c>
      <c r="M10" s="34">
        <v>39142</v>
      </c>
      <c r="N10" s="1">
        <v>294.2</v>
      </c>
      <c r="O10" s="34">
        <v>39814</v>
      </c>
      <c r="P10" s="1">
        <v>180155</v>
      </c>
    </row>
    <row r="11" spans="1:16" x14ac:dyDescent="0.25">
      <c r="A11" s="34">
        <v>39173</v>
      </c>
      <c r="B11" s="1">
        <v>1728.1</v>
      </c>
      <c r="C11" s="34">
        <v>39173</v>
      </c>
      <c r="D11" s="1">
        <v>1948</v>
      </c>
      <c r="E11" s="34">
        <v>39173</v>
      </c>
      <c r="F11" s="1">
        <v>5</v>
      </c>
      <c r="G11" s="34">
        <v>39173</v>
      </c>
      <c r="H11" s="1">
        <v>0.5</v>
      </c>
      <c r="I11" s="34">
        <v>39173</v>
      </c>
      <c r="J11" s="1">
        <v>189.53</v>
      </c>
      <c r="K11" s="34">
        <v>39173</v>
      </c>
      <c r="L11" s="1">
        <v>1720.7</v>
      </c>
      <c r="M11" s="34">
        <v>39173</v>
      </c>
      <c r="N11" s="1">
        <v>294.3</v>
      </c>
      <c r="O11" s="34">
        <v>40179</v>
      </c>
      <c r="P11" s="1">
        <v>190136</v>
      </c>
    </row>
    <row r="12" spans="1:16" x14ac:dyDescent="0.25">
      <c r="A12" s="34">
        <v>39203</v>
      </c>
      <c r="B12" s="1">
        <v>1730.5</v>
      </c>
      <c r="C12" s="34">
        <v>39203</v>
      </c>
      <c r="D12" s="1">
        <v>2349</v>
      </c>
      <c r="E12" s="34">
        <v>39203</v>
      </c>
      <c r="F12" s="1">
        <v>5.0999999999999996</v>
      </c>
      <c r="G12" s="34">
        <v>39203</v>
      </c>
      <c r="H12" s="1">
        <v>0.65</v>
      </c>
      <c r="I12" s="34">
        <v>39203</v>
      </c>
      <c r="J12" s="1">
        <v>189.71</v>
      </c>
      <c r="K12" s="34">
        <v>39203</v>
      </c>
      <c r="L12" s="1">
        <v>1736</v>
      </c>
      <c r="M12" s="34">
        <v>39203</v>
      </c>
      <c r="N12" s="1">
        <v>299.2</v>
      </c>
      <c r="O12" s="34">
        <v>40544</v>
      </c>
      <c r="P12" s="1">
        <v>197832</v>
      </c>
    </row>
    <row r="13" spans="1:16" x14ac:dyDescent="0.25">
      <c r="A13" s="34">
        <v>39234</v>
      </c>
      <c r="B13" s="1">
        <v>1731.2</v>
      </c>
      <c r="C13" s="34">
        <v>39234</v>
      </c>
      <c r="D13" s="1">
        <v>1816</v>
      </c>
      <c r="E13" s="34">
        <v>39234</v>
      </c>
      <c r="F13" s="1">
        <v>5.0999999999999996</v>
      </c>
      <c r="G13" s="34">
        <v>39234</v>
      </c>
      <c r="H13" s="1">
        <v>0.53</v>
      </c>
      <c r="I13" s="34">
        <v>39234</v>
      </c>
      <c r="J13" s="1">
        <v>189.85</v>
      </c>
      <c r="K13" s="34">
        <v>39234</v>
      </c>
      <c r="L13" s="1">
        <v>1748.6</v>
      </c>
      <c r="M13" s="34">
        <v>39234</v>
      </c>
      <c r="N13" s="1">
        <v>300.5</v>
      </c>
      <c r="O13" s="34">
        <v>40909</v>
      </c>
      <c r="P13" s="1">
        <v>205723</v>
      </c>
    </row>
    <row r="14" spans="1:16" x14ac:dyDescent="0.25">
      <c r="A14" s="34">
        <v>39264</v>
      </c>
      <c r="B14" s="1">
        <v>1729.7</v>
      </c>
      <c r="C14" s="34">
        <v>39264</v>
      </c>
      <c r="D14" s="1">
        <v>1997</v>
      </c>
      <c r="E14" s="34">
        <v>39264</v>
      </c>
      <c r="F14" s="1">
        <v>5.2</v>
      </c>
      <c r="G14" s="34">
        <v>39264</v>
      </c>
      <c r="H14" s="1">
        <v>-0.17</v>
      </c>
      <c r="I14" s="34">
        <v>39264</v>
      </c>
      <c r="J14" s="1">
        <v>189.89</v>
      </c>
      <c r="K14" s="34">
        <v>39264</v>
      </c>
      <c r="L14" s="1">
        <v>1722.9</v>
      </c>
      <c r="M14" s="34">
        <v>39264</v>
      </c>
      <c r="N14" s="1">
        <v>268.8</v>
      </c>
      <c r="O14" s="34">
        <v>41275</v>
      </c>
      <c r="P14" s="1">
        <v>211241</v>
      </c>
    </row>
    <row r="15" spans="1:16" x14ac:dyDescent="0.25">
      <c r="A15" s="34">
        <v>39295</v>
      </c>
      <c r="B15" s="1">
        <v>1732</v>
      </c>
      <c r="C15" s="34">
        <v>39295</v>
      </c>
      <c r="D15" s="1">
        <v>1931</v>
      </c>
      <c r="E15" s="34">
        <v>39295</v>
      </c>
      <c r="F15" s="1">
        <v>5.3</v>
      </c>
      <c r="G15" s="34">
        <v>39295</v>
      </c>
      <c r="H15" s="1">
        <v>0.72</v>
      </c>
      <c r="I15" s="34">
        <v>39295</v>
      </c>
      <c r="J15" s="1">
        <v>189.94</v>
      </c>
      <c r="K15" s="34">
        <v>39295</v>
      </c>
      <c r="L15" s="1">
        <v>1732.1</v>
      </c>
      <c r="M15" s="34">
        <v>39295</v>
      </c>
      <c r="N15" s="1">
        <v>268.10000000000002</v>
      </c>
    </row>
    <row r="16" spans="1:16" x14ac:dyDescent="0.25">
      <c r="A16" s="34">
        <v>39326</v>
      </c>
      <c r="B16" s="1">
        <v>1730.5</v>
      </c>
      <c r="C16" s="34">
        <v>39326</v>
      </c>
      <c r="D16" s="1">
        <v>1628</v>
      </c>
      <c r="E16" s="34">
        <v>39326</v>
      </c>
      <c r="F16" s="1">
        <v>5.3</v>
      </c>
      <c r="G16" s="34">
        <v>39326</v>
      </c>
      <c r="H16" s="1">
        <v>1.24</v>
      </c>
      <c r="I16" s="34">
        <v>39326</v>
      </c>
      <c r="J16" s="1">
        <v>190.12</v>
      </c>
      <c r="K16" s="34">
        <v>39326</v>
      </c>
      <c r="L16" s="1">
        <v>1740.5</v>
      </c>
      <c r="M16" s="34">
        <v>39326</v>
      </c>
      <c r="N16" s="1">
        <v>278.5</v>
      </c>
    </row>
    <row r="17" spans="1:14" x14ac:dyDescent="0.25">
      <c r="A17" s="34">
        <v>39356</v>
      </c>
      <c r="B17" s="1">
        <v>1734.7</v>
      </c>
      <c r="C17" s="34">
        <v>39356</v>
      </c>
      <c r="D17" s="1">
        <v>1342</v>
      </c>
      <c r="E17" s="34">
        <v>39356</v>
      </c>
      <c r="F17" s="1">
        <v>5.3</v>
      </c>
      <c r="G17" s="34">
        <v>39356</v>
      </c>
      <c r="H17" s="1">
        <v>0.87</v>
      </c>
      <c r="I17" s="34">
        <v>39356</v>
      </c>
      <c r="J17" s="1">
        <v>190.41</v>
      </c>
      <c r="K17" s="34">
        <v>39356</v>
      </c>
      <c r="L17" s="1">
        <v>1754.7</v>
      </c>
      <c r="M17" s="34">
        <v>39356</v>
      </c>
      <c r="N17" s="1">
        <v>296.60000000000002</v>
      </c>
    </row>
    <row r="18" spans="1:14" x14ac:dyDescent="0.25">
      <c r="A18" s="34">
        <v>39387</v>
      </c>
      <c r="B18" s="1">
        <v>1735.8</v>
      </c>
      <c r="C18" s="34">
        <v>39387</v>
      </c>
      <c r="D18" s="1">
        <v>995</v>
      </c>
      <c r="E18" s="34">
        <v>39387</v>
      </c>
      <c r="F18" s="1">
        <v>5.3</v>
      </c>
      <c r="G18" s="34">
        <v>39387</v>
      </c>
      <c r="H18" s="1">
        <v>0.85</v>
      </c>
      <c r="I18" s="34">
        <v>39387</v>
      </c>
      <c r="J18" s="1">
        <v>190.78</v>
      </c>
      <c r="K18" s="34">
        <v>39387</v>
      </c>
      <c r="L18" s="1">
        <v>1755.6</v>
      </c>
      <c r="M18" s="34">
        <v>39387</v>
      </c>
      <c r="N18" s="1">
        <v>300</v>
      </c>
    </row>
    <row r="19" spans="1:14" x14ac:dyDescent="0.25">
      <c r="A19" s="34">
        <v>39417</v>
      </c>
      <c r="B19" s="1">
        <v>1737.8</v>
      </c>
      <c r="C19" s="34">
        <v>39417</v>
      </c>
      <c r="D19" s="1">
        <v>1093</v>
      </c>
      <c r="E19" s="34">
        <v>39417</v>
      </c>
      <c r="F19" s="1">
        <v>5.2</v>
      </c>
      <c r="G19" s="34">
        <v>39417</v>
      </c>
      <c r="H19" s="1">
        <v>0.51</v>
      </c>
      <c r="I19" s="34">
        <v>39417</v>
      </c>
      <c r="J19" s="1">
        <v>191.19</v>
      </c>
      <c r="K19" s="34">
        <v>39417</v>
      </c>
      <c r="L19" s="1">
        <v>1751.4</v>
      </c>
      <c r="M19" s="34">
        <v>39417</v>
      </c>
      <c r="N19" s="1">
        <v>298.10000000000002</v>
      </c>
    </row>
    <row r="20" spans="1:14" x14ac:dyDescent="0.25">
      <c r="A20" s="34">
        <v>39448</v>
      </c>
      <c r="B20" s="1">
        <v>1736.6</v>
      </c>
      <c r="C20" s="34">
        <v>39448</v>
      </c>
      <c r="D20" s="1">
        <v>656</v>
      </c>
      <c r="E20" s="34">
        <v>39448</v>
      </c>
      <c r="F20" s="1">
        <v>5.2</v>
      </c>
      <c r="G20" s="34">
        <v>39448</v>
      </c>
      <c r="H20" s="1">
        <v>-0.44</v>
      </c>
      <c r="I20" s="34">
        <v>39448</v>
      </c>
      <c r="J20" s="1">
        <v>191.45</v>
      </c>
      <c r="K20" s="34">
        <v>39448</v>
      </c>
      <c r="L20" s="1">
        <v>1702.6</v>
      </c>
      <c r="M20" s="34">
        <v>39448</v>
      </c>
      <c r="N20" s="1">
        <v>294.8</v>
      </c>
    </row>
    <row r="21" spans="1:14" x14ac:dyDescent="0.25">
      <c r="A21" s="34">
        <v>39479</v>
      </c>
      <c r="B21" s="1">
        <v>1737.7</v>
      </c>
      <c r="C21" s="34">
        <v>39479</v>
      </c>
      <c r="D21" s="1">
        <v>1459</v>
      </c>
      <c r="E21" s="34">
        <v>39479</v>
      </c>
      <c r="F21" s="1">
        <v>5.2</v>
      </c>
      <c r="G21" s="34">
        <v>39479</v>
      </c>
      <c r="H21" s="1">
        <v>-0.88</v>
      </c>
      <c r="I21" s="34">
        <v>39479</v>
      </c>
      <c r="J21" s="1">
        <v>191.5</v>
      </c>
      <c r="K21" s="34">
        <v>39479</v>
      </c>
      <c r="L21" s="1">
        <v>1714.5</v>
      </c>
      <c r="M21" s="34">
        <v>39479</v>
      </c>
      <c r="N21" s="1">
        <v>300.10000000000002</v>
      </c>
    </row>
    <row r="22" spans="1:14" x14ac:dyDescent="0.25">
      <c r="A22" s="34">
        <v>39508</v>
      </c>
      <c r="B22" s="1">
        <v>1737.1</v>
      </c>
      <c r="C22" s="34">
        <v>39508</v>
      </c>
      <c r="D22" s="1">
        <v>1170</v>
      </c>
      <c r="E22" s="34">
        <v>39508</v>
      </c>
      <c r="F22" s="1">
        <v>5.3</v>
      </c>
      <c r="G22" s="34">
        <v>39508</v>
      </c>
      <c r="H22" s="1">
        <v>-1.62</v>
      </c>
      <c r="I22" s="34">
        <v>39508</v>
      </c>
      <c r="J22" s="1">
        <v>191.24</v>
      </c>
      <c r="K22" s="34">
        <v>39508</v>
      </c>
      <c r="L22" s="1">
        <v>1721.4</v>
      </c>
      <c r="M22" s="34">
        <v>39508</v>
      </c>
      <c r="N22" s="1">
        <v>302</v>
      </c>
    </row>
    <row r="23" spans="1:14" x14ac:dyDescent="0.25">
      <c r="A23" s="34">
        <v>39539</v>
      </c>
      <c r="B23" s="1">
        <v>1735</v>
      </c>
      <c r="C23" s="34">
        <v>39539</v>
      </c>
      <c r="D23" s="1">
        <v>1049</v>
      </c>
      <c r="E23" s="34">
        <v>39539</v>
      </c>
      <c r="F23" s="1">
        <v>5.5</v>
      </c>
      <c r="G23" s="34">
        <v>39539</v>
      </c>
      <c r="H23" s="1">
        <v>-1.84</v>
      </c>
      <c r="I23" s="34">
        <v>39539</v>
      </c>
      <c r="J23" s="1">
        <v>190.68</v>
      </c>
      <c r="K23" s="34">
        <v>39539</v>
      </c>
      <c r="L23" s="1">
        <v>1727.9</v>
      </c>
      <c r="M23" s="34">
        <v>39539</v>
      </c>
      <c r="N23" s="1">
        <v>302.39999999999998</v>
      </c>
    </row>
    <row r="24" spans="1:14" x14ac:dyDescent="0.25">
      <c r="A24" s="34">
        <v>39569</v>
      </c>
      <c r="B24" s="1">
        <v>1733</v>
      </c>
      <c r="C24" s="34">
        <v>39569</v>
      </c>
      <c r="D24" s="1">
        <v>1354</v>
      </c>
      <c r="E24" s="34">
        <v>39569</v>
      </c>
      <c r="F24" s="1">
        <v>5.7</v>
      </c>
      <c r="G24" s="34">
        <v>39569</v>
      </c>
      <c r="H24" s="1">
        <v>-1.38</v>
      </c>
      <c r="I24" s="34">
        <v>39569</v>
      </c>
      <c r="J24" s="1">
        <v>189.92</v>
      </c>
      <c r="K24" s="34">
        <v>39569</v>
      </c>
      <c r="L24" s="1">
        <v>1735.3</v>
      </c>
      <c r="M24" s="34">
        <v>39569</v>
      </c>
      <c r="N24" s="1">
        <v>305.7</v>
      </c>
    </row>
    <row r="25" spans="1:14" x14ac:dyDescent="0.25">
      <c r="A25" s="34">
        <v>39600</v>
      </c>
      <c r="B25" s="1">
        <v>1725.9</v>
      </c>
      <c r="C25" s="34">
        <v>39600</v>
      </c>
      <c r="D25" s="1">
        <v>1289</v>
      </c>
      <c r="E25" s="34">
        <v>39600</v>
      </c>
      <c r="F25" s="1">
        <v>6</v>
      </c>
      <c r="G25" s="34">
        <v>39600</v>
      </c>
      <c r="H25" s="1">
        <v>-1.9</v>
      </c>
      <c r="I25" s="34">
        <v>39600</v>
      </c>
      <c r="J25" s="1">
        <v>189.02</v>
      </c>
      <c r="K25" s="34">
        <v>39600</v>
      </c>
      <c r="L25" s="1">
        <v>1740.2</v>
      </c>
      <c r="M25" s="34">
        <v>39600</v>
      </c>
      <c r="N25" s="1">
        <v>306.8</v>
      </c>
    </row>
    <row r="26" spans="1:14" x14ac:dyDescent="0.25">
      <c r="A26" s="34">
        <v>39630</v>
      </c>
      <c r="B26" s="1">
        <v>1723.6</v>
      </c>
      <c r="C26" s="34">
        <v>39630</v>
      </c>
      <c r="D26" s="1">
        <v>1446</v>
      </c>
      <c r="E26" s="34">
        <v>39630</v>
      </c>
      <c r="F26" s="1">
        <v>6.3</v>
      </c>
      <c r="G26" s="34">
        <v>39630</v>
      </c>
      <c r="H26" s="1">
        <v>-2.2400000000000002</v>
      </c>
      <c r="I26" s="34">
        <v>39630</v>
      </c>
      <c r="J26" s="1">
        <v>188.01</v>
      </c>
      <c r="K26" s="34">
        <v>39630</v>
      </c>
      <c r="L26" s="1">
        <v>1717.9</v>
      </c>
      <c r="M26" s="34">
        <v>39630</v>
      </c>
      <c r="N26" s="1">
        <v>279.8</v>
      </c>
    </row>
    <row r="27" spans="1:14" x14ac:dyDescent="0.25">
      <c r="A27" s="34">
        <v>39661</v>
      </c>
      <c r="B27" s="1">
        <v>1717.2</v>
      </c>
      <c r="C27" s="34">
        <v>39661</v>
      </c>
      <c r="D27" s="1">
        <v>1181</v>
      </c>
      <c r="E27" s="34">
        <v>39661</v>
      </c>
      <c r="F27" s="1">
        <v>6.7</v>
      </c>
      <c r="G27" s="34">
        <v>39661</v>
      </c>
      <c r="H27" s="1">
        <v>-3.98</v>
      </c>
      <c r="I27" s="34">
        <v>39661</v>
      </c>
      <c r="J27" s="1">
        <v>186.74</v>
      </c>
      <c r="K27" s="34">
        <v>39661</v>
      </c>
      <c r="L27" s="1">
        <v>1718.5</v>
      </c>
      <c r="M27" s="34">
        <v>39661</v>
      </c>
      <c r="N27" s="1">
        <v>278.3</v>
      </c>
    </row>
    <row r="28" spans="1:14" x14ac:dyDescent="0.25">
      <c r="A28" s="34">
        <v>39692</v>
      </c>
      <c r="B28" s="1">
        <v>1713.2</v>
      </c>
      <c r="C28" s="34">
        <v>39692</v>
      </c>
      <c r="D28" s="1">
        <v>924</v>
      </c>
      <c r="E28" s="34">
        <v>39692</v>
      </c>
      <c r="F28" s="1">
        <v>7.2</v>
      </c>
      <c r="G28" s="34">
        <v>39692</v>
      </c>
      <c r="H28" s="1">
        <v>-5.16</v>
      </c>
      <c r="I28" s="34">
        <v>39692</v>
      </c>
      <c r="J28" s="1">
        <v>185.1</v>
      </c>
      <c r="K28" s="34">
        <v>39692</v>
      </c>
      <c r="L28" s="1">
        <v>1724.3</v>
      </c>
      <c r="M28" s="34">
        <v>39692</v>
      </c>
      <c r="N28" s="1">
        <v>288.3</v>
      </c>
    </row>
    <row r="29" spans="1:14" x14ac:dyDescent="0.25">
      <c r="A29" s="34">
        <v>39722</v>
      </c>
      <c r="B29" s="1">
        <v>1701.8</v>
      </c>
      <c r="C29" s="34">
        <v>39722</v>
      </c>
      <c r="D29" s="1">
        <v>763</v>
      </c>
      <c r="E29" s="34">
        <v>39722</v>
      </c>
      <c r="F29" s="1">
        <v>7.7</v>
      </c>
      <c r="G29" s="34">
        <v>39722</v>
      </c>
      <c r="H29" s="1">
        <v>-6.18</v>
      </c>
      <c r="I29" s="34">
        <v>39722</v>
      </c>
      <c r="J29" s="1">
        <v>183.03</v>
      </c>
      <c r="K29" s="34">
        <v>39722</v>
      </c>
      <c r="L29" s="1">
        <v>1724.3</v>
      </c>
      <c r="M29" s="34">
        <v>39722</v>
      </c>
      <c r="N29" s="1">
        <v>304.3</v>
      </c>
    </row>
    <row r="30" spans="1:14" x14ac:dyDescent="0.25">
      <c r="A30" s="34">
        <v>39753</v>
      </c>
      <c r="B30" s="1">
        <v>1688.6</v>
      </c>
      <c r="C30" s="34">
        <v>39753</v>
      </c>
      <c r="D30" s="1">
        <v>515</v>
      </c>
      <c r="E30" s="34">
        <v>39753</v>
      </c>
      <c r="F30" s="1">
        <v>8.4</v>
      </c>
      <c r="G30" s="34">
        <v>39753</v>
      </c>
      <c r="H30" s="1">
        <v>-7.78</v>
      </c>
      <c r="I30" s="34">
        <v>39753</v>
      </c>
      <c r="J30" s="1">
        <v>180.45</v>
      </c>
      <c r="K30" s="34">
        <v>39753</v>
      </c>
      <c r="L30" s="1">
        <v>1705.9</v>
      </c>
      <c r="M30" s="34">
        <v>39753</v>
      </c>
      <c r="N30" s="1">
        <v>308</v>
      </c>
    </row>
    <row r="31" spans="1:14" x14ac:dyDescent="0.25">
      <c r="A31" s="34">
        <v>39783</v>
      </c>
      <c r="B31" s="1">
        <v>1671.9</v>
      </c>
      <c r="C31" s="34">
        <v>39783</v>
      </c>
      <c r="D31" s="1">
        <v>460</v>
      </c>
      <c r="E31" s="34">
        <v>39783</v>
      </c>
      <c r="F31" s="1">
        <v>9.1999999999999993</v>
      </c>
      <c r="G31" s="34">
        <v>39783</v>
      </c>
      <c r="H31" s="1">
        <v>-6.84</v>
      </c>
      <c r="I31" s="34">
        <v>39783</v>
      </c>
      <c r="J31" s="1">
        <v>177.58</v>
      </c>
      <c r="K31" s="34">
        <v>39783</v>
      </c>
      <c r="L31" s="1">
        <v>1684.2</v>
      </c>
      <c r="M31" s="34">
        <v>39783</v>
      </c>
      <c r="N31" s="1">
        <v>305.2</v>
      </c>
    </row>
    <row r="32" spans="1:14" x14ac:dyDescent="0.25">
      <c r="A32" s="34">
        <v>39814</v>
      </c>
      <c r="B32" s="1">
        <v>1656.2</v>
      </c>
      <c r="C32" s="34">
        <v>39814</v>
      </c>
      <c r="D32" s="1">
        <v>994</v>
      </c>
      <c r="E32" s="34">
        <v>39814</v>
      </c>
      <c r="F32" s="1">
        <v>9.9</v>
      </c>
      <c r="G32" s="34">
        <v>39814</v>
      </c>
      <c r="H32" s="1">
        <v>-5.53</v>
      </c>
      <c r="I32" s="34">
        <v>39814</v>
      </c>
      <c r="J32" s="1">
        <v>174.75</v>
      </c>
      <c r="K32" s="34">
        <v>39814</v>
      </c>
      <c r="L32" s="1">
        <v>1625.6</v>
      </c>
      <c r="M32" s="34">
        <v>39814</v>
      </c>
      <c r="N32" s="1">
        <v>301</v>
      </c>
    </row>
    <row r="33" spans="1:14" x14ac:dyDescent="0.25">
      <c r="A33" s="34">
        <v>39845</v>
      </c>
      <c r="B33" s="1">
        <v>1642</v>
      </c>
      <c r="C33" s="34">
        <v>39845</v>
      </c>
      <c r="D33" s="1">
        <v>407</v>
      </c>
      <c r="E33" s="34">
        <v>39845</v>
      </c>
      <c r="F33" s="1">
        <v>10.6</v>
      </c>
      <c r="G33" s="34">
        <v>39845</v>
      </c>
      <c r="H33" s="1">
        <v>-5.57</v>
      </c>
      <c r="I33" s="34">
        <v>39845</v>
      </c>
      <c r="J33" s="1">
        <v>172.1</v>
      </c>
      <c r="K33" s="34">
        <v>39845</v>
      </c>
      <c r="L33" s="1">
        <v>1620.9</v>
      </c>
      <c r="M33" s="34">
        <v>39845</v>
      </c>
      <c r="N33" s="1">
        <v>305.89999999999998</v>
      </c>
    </row>
    <row r="34" spans="1:14" x14ac:dyDescent="0.25">
      <c r="A34" s="34">
        <v>39873</v>
      </c>
      <c r="B34" s="1">
        <v>1626.7</v>
      </c>
      <c r="C34" s="34">
        <v>39873</v>
      </c>
      <c r="D34" s="1">
        <v>559</v>
      </c>
      <c r="E34" s="34">
        <v>39873</v>
      </c>
      <c r="F34" s="1">
        <v>11.2</v>
      </c>
      <c r="G34" s="34">
        <v>39873</v>
      </c>
      <c r="H34" s="1">
        <v>-3.12</v>
      </c>
      <c r="I34" s="34">
        <v>39873</v>
      </c>
      <c r="J34" s="1">
        <v>169.92</v>
      </c>
      <c r="K34" s="34">
        <v>39873</v>
      </c>
      <c r="L34" s="1">
        <v>1612.8</v>
      </c>
      <c r="M34" s="34">
        <v>39873</v>
      </c>
      <c r="N34" s="1">
        <v>306.7</v>
      </c>
    </row>
    <row r="35" spans="1:14" x14ac:dyDescent="0.25">
      <c r="A35" s="34">
        <v>39904</v>
      </c>
      <c r="B35" s="1">
        <v>1616.1</v>
      </c>
      <c r="C35" s="34">
        <v>39904</v>
      </c>
      <c r="D35" s="1">
        <v>672</v>
      </c>
      <c r="E35" s="34">
        <v>39904</v>
      </c>
      <c r="F35" s="1">
        <v>11.5</v>
      </c>
      <c r="G35" s="34">
        <v>39904</v>
      </c>
      <c r="H35" s="1">
        <v>-0.56999999999999995</v>
      </c>
      <c r="I35" s="34">
        <v>39904</v>
      </c>
      <c r="J35" s="1">
        <v>168.48</v>
      </c>
      <c r="K35" s="34">
        <v>39904</v>
      </c>
      <c r="L35" s="1">
        <v>1614.8</v>
      </c>
      <c r="M35" s="34">
        <v>39904</v>
      </c>
      <c r="N35" s="1">
        <v>307.7</v>
      </c>
    </row>
    <row r="36" spans="1:14" x14ac:dyDescent="0.25">
      <c r="A36" s="34">
        <v>39934</v>
      </c>
      <c r="B36" s="1">
        <v>1613.4</v>
      </c>
      <c r="C36" s="34">
        <v>39934</v>
      </c>
      <c r="D36" s="1">
        <v>734</v>
      </c>
      <c r="E36" s="34">
        <v>39934</v>
      </c>
      <c r="F36" s="1">
        <v>11.6</v>
      </c>
      <c r="G36" s="34">
        <v>39934</v>
      </c>
      <c r="H36" s="1">
        <v>-0.35</v>
      </c>
      <c r="I36" s="34">
        <v>39934</v>
      </c>
      <c r="J36" s="1">
        <v>167.71</v>
      </c>
      <c r="K36" s="34">
        <v>39934</v>
      </c>
      <c r="L36" s="1">
        <v>1619.9</v>
      </c>
      <c r="M36" s="34">
        <v>39934</v>
      </c>
      <c r="N36" s="1">
        <v>310.2</v>
      </c>
    </row>
    <row r="37" spans="1:14" x14ac:dyDescent="0.25">
      <c r="A37" s="34">
        <v>39965</v>
      </c>
      <c r="B37" s="1">
        <v>1608.1</v>
      </c>
      <c r="C37" s="34">
        <v>39965</v>
      </c>
      <c r="D37" s="1">
        <v>625</v>
      </c>
      <c r="E37" s="34">
        <v>39965</v>
      </c>
      <c r="F37" s="1">
        <v>11.6</v>
      </c>
      <c r="G37" s="34">
        <v>39965</v>
      </c>
      <c r="H37" s="1">
        <v>-0.38</v>
      </c>
      <c r="I37" s="34">
        <v>39965</v>
      </c>
      <c r="J37" s="1">
        <v>167.38</v>
      </c>
      <c r="K37" s="34">
        <v>39965</v>
      </c>
      <c r="L37" s="1">
        <v>1623.3</v>
      </c>
      <c r="M37" s="34">
        <v>39965</v>
      </c>
      <c r="N37" s="1">
        <v>308.89999999999998</v>
      </c>
    </row>
    <row r="38" spans="1:14" x14ac:dyDescent="0.25">
      <c r="A38" s="34">
        <v>39995</v>
      </c>
      <c r="B38" s="1">
        <v>1607.4</v>
      </c>
      <c r="C38" s="34">
        <v>39995</v>
      </c>
      <c r="D38" s="1">
        <v>705</v>
      </c>
      <c r="E38" s="34">
        <v>39995</v>
      </c>
      <c r="F38" s="1">
        <v>11.5</v>
      </c>
      <c r="G38" s="34">
        <v>39995</v>
      </c>
      <c r="H38" s="1">
        <v>0.76</v>
      </c>
      <c r="I38" s="34">
        <v>39995</v>
      </c>
      <c r="J38" s="1">
        <v>167.37</v>
      </c>
      <c r="K38" s="34">
        <v>39995</v>
      </c>
      <c r="L38" s="1">
        <v>1600.5</v>
      </c>
      <c r="M38" s="34">
        <v>39995</v>
      </c>
      <c r="N38" s="1">
        <v>280.89999999999998</v>
      </c>
    </row>
    <row r="39" spans="1:14" x14ac:dyDescent="0.25">
      <c r="A39" s="34">
        <v>40026</v>
      </c>
      <c r="B39" s="1">
        <v>1600.7</v>
      </c>
      <c r="C39" s="34">
        <v>40026</v>
      </c>
      <c r="D39" s="1">
        <v>580</v>
      </c>
      <c r="E39" s="34">
        <v>40026</v>
      </c>
      <c r="F39" s="1">
        <v>11.3</v>
      </c>
      <c r="G39" s="34">
        <v>40026</v>
      </c>
      <c r="H39" s="1">
        <v>1.1200000000000001</v>
      </c>
      <c r="I39" s="34">
        <v>40026</v>
      </c>
      <c r="J39" s="1">
        <v>167.57</v>
      </c>
      <c r="K39" s="34">
        <v>40026</v>
      </c>
      <c r="L39" s="1">
        <v>1594.9</v>
      </c>
      <c r="M39" s="34">
        <v>40026</v>
      </c>
      <c r="N39" s="1">
        <v>277.7</v>
      </c>
    </row>
    <row r="40" spans="1:14" x14ac:dyDescent="0.25">
      <c r="A40" s="34">
        <v>40057</v>
      </c>
      <c r="B40" s="1">
        <v>1598.4</v>
      </c>
      <c r="C40" s="34">
        <v>40057</v>
      </c>
      <c r="D40" s="1">
        <v>531</v>
      </c>
      <c r="E40" s="34">
        <v>40057</v>
      </c>
      <c r="F40" s="1">
        <v>11.1</v>
      </c>
      <c r="G40" s="34">
        <v>40057</v>
      </c>
      <c r="H40" s="1">
        <v>0.85</v>
      </c>
      <c r="I40" s="34">
        <v>40057</v>
      </c>
      <c r="J40" s="1">
        <v>167.82</v>
      </c>
      <c r="K40" s="34">
        <v>40057</v>
      </c>
      <c r="L40" s="1">
        <v>1605.6</v>
      </c>
      <c r="M40" s="34">
        <v>40057</v>
      </c>
      <c r="N40" s="1">
        <v>284.8</v>
      </c>
    </row>
    <row r="41" spans="1:14" x14ac:dyDescent="0.25">
      <c r="A41" s="34">
        <v>40087</v>
      </c>
      <c r="B41" s="1">
        <v>1594.2</v>
      </c>
      <c r="C41" s="34">
        <v>40087</v>
      </c>
      <c r="D41" s="1">
        <v>683</v>
      </c>
      <c r="E41" s="34">
        <v>40087</v>
      </c>
      <c r="F41" s="1">
        <v>11</v>
      </c>
      <c r="G41" s="34">
        <v>40087</v>
      </c>
      <c r="H41" s="1">
        <v>-0.17</v>
      </c>
      <c r="I41" s="34">
        <v>40087</v>
      </c>
      <c r="J41" s="1">
        <v>167.95</v>
      </c>
      <c r="K41" s="34">
        <v>40087</v>
      </c>
      <c r="L41" s="1">
        <v>1614.7</v>
      </c>
      <c r="M41" s="34">
        <v>40087</v>
      </c>
      <c r="N41" s="1">
        <v>302.60000000000002</v>
      </c>
    </row>
    <row r="42" spans="1:14" x14ac:dyDescent="0.25">
      <c r="A42" s="34">
        <v>40118</v>
      </c>
      <c r="B42" s="1">
        <v>1592.4</v>
      </c>
      <c r="C42" s="34">
        <v>40118</v>
      </c>
      <c r="D42" s="1">
        <v>474</v>
      </c>
      <c r="E42" s="34">
        <v>40118</v>
      </c>
      <c r="F42" s="1">
        <v>11</v>
      </c>
      <c r="G42" s="34">
        <v>40118</v>
      </c>
      <c r="H42" s="1">
        <v>0.34</v>
      </c>
      <c r="I42" s="34">
        <v>40118</v>
      </c>
      <c r="J42" s="1">
        <v>167.94</v>
      </c>
      <c r="K42" s="34">
        <v>40118</v>
      </c>
      <c r="L42" s="1">
        <v>1609.9</v>
      </c>
      <c r="M42" s="34">
        <v>40118</v>
      </c>
      <c r="N42" s="1">
        <v>304.89999999999998</v>
      </c>
    </row>
    <row r="43" spans="1:14" x14ac:dyDescent="0.25">
      <c r="A43" s="34">
        <v>40148</v>
      </c>
      <c r="B43" s="1">
        <v>1592</v>
      </c>
      <c r="C43" s="34">
        <v>40148</v>
      </c>
      <c r="D43" s="1">
        <v>682</v>
      </c>
      <c r="E43" s="34">
        <v>40148</v>
      </c>
      <c r="F43" s="1">
        <v>11</v>
      </c>
      <c r="G43" s="34">
        <v>40148</v>
      </c>
      <c r="H43" s="1">
        <v>1.19</v>
      </c>
      <c r="I43" s="34">
        <v>40148</v>
      </c>
      <c r="J43" s="1">
        <v>167.92</v>
      </c>
      <c r="K43" s="34">
        <v>40148</v>
      </c>
      <c r="L43" s="1">
        <v>1603.5</v>
      </c>
      <c r="M43" s="34">
        <v>40148</v>
      </c>
      <c r="N43" s="1">
        <v>302.3</v>
      </c>
    </row>
    <row r="44" spans="1:14" x14ac:dyDescent="0.25">
      <c r="A44" s="34">
        <v>40179</v>
      </c>
      <c r="B44" s="1">
        <v>1591.8</v>
      </c>
      <c r="C44" s="34">
        <v>40179</v>
      </c>
      <c r="D44" s="1">
        <v>488</v>
      </c>
      <c r="E44" s="34">
        <v>40179</v>
      </c>
      <c r="F44" s="1">
        <v>11</v>
      </c>
      <c r="G44" s="34">
        <v>40179</v>
      </c>
      <c r="H44" s="1">
        <v>0.9</v>
      </c>
      <c r="I44" s="34">
        <v>40179</v>
      </c>
      <c r="J44" s="1">
        <v>167.9</v>
      </c>
      <c r="K44" s="34">
        <v>40179</v>
      </c>
      <c r="L44" s="1">
        <v>1562.5</v>
      </c>
      <c r="M44" s="34">
        <v>40179</v>
      </c>
      <c r="N44" s="1">
        <v>298.7</v>
      </c>
    </row>
    <row r="45" spans="1:14" x14ac:dyDescent="0.25">
      <c r="A45" s="34">
        <v>40210</v>
      </c>
      <c r="B45" s="1">
        <v>1590.4</v>
      </c>
      <c r="C45" s="34">
        <v>40210</v>
      </c>
      <c r="D45" s="1">
        <v>550</v>
      </c>
      <c r="E45" s="34">
        <v>40210</v>
      </c>
      <c r="F45" s="1">
        <v>11.1</v>
      </c>
      <c r="G45" s="34">
        <v>40210</v>
      </c>
      <c r="H45" s="1">
        <v>1.1499999999999999</v>
      </c>
      <c r="I45" s="34">
        <v>40210</v>
      </c>
      <c r="J45" s="1">
        <v>167.96</v>
      </c>
      <c r="K45" s="34">
        <v>40210</v>
      </c>
      <c r="L45" s="1">
        <v>1570.5</v>
      </c>
      <c r="M45" s="34">
        <v>40210</v>
      </c>
      <c r="N45" s="1">
        <v>303.39999999999998</v>
      </c>
    </row>
    <row r="46" spans="1:14" x14ac:dyDescent="0.25">
      <c r="A46" s="34">
        <v>40238</v>
      </c>
      <c r="B46" s="1">
        <v>1592.9</v>
      </c>
      <c r="C46" s="34">
        <v>40238</v>
      </c>
      <c r="D46" s="1">
        <v>693</v>
      </c>
      <c r="E46" s="34">
        <v>40238</v>
      </c>
      <c r="F46" s="1">
        <v>11</v>
      </c>
      <c r="G46" s="34">
        <v>40238</v>
      </c>
      <c r="H46" s="1">
        <v>2.67</v>
      </c>
      <c r="I46" s="34">
        <v>40238</v>
      </c>
      <c r="J46" s="1">
        <v>168.24</v>
      </c>
      <c r="K46" s="34">
        <v>40238</v>
      </c>
      <c r="L46" s="1">
        <v>1578.9</v>
      </c>
      <c r="M46" s="34">
        <v>40238</v>
      </c>
      <c r="N46" s="1">
        <v>304.89999999999998</v>
      </c>
    </row>
    <row r="47" spans="1:14" x14ac:dyDescent="0.25">
      <c r="A47" s="34">
        <v>40269</v>
      </c>
      <c r="B47" s="1">
        <v>1597.4</v>
      </c>
      <c r="C47" s="34">
        <v>40269</v>
      </c>
      <c r="D47" s="1">
        <v>728</v>
      </c>
      <c r="E47" s="34">
        <v>40269</v>
      </c>
      <c r="F47" s="1">
        <v>11</v>
      </c>
      <c r="G47" s="34">
        <v>40269</v>
      </c>
      <c r="H47" s="1">
        <v>1.62</v>
      </c>
      <c r="I47" s="34">
        <v>40269</v>
      </c>
      <c r="J47" s="1">
        <v>168.66</v>
      </c>
      <c r="K47" s="34">
        <v>40269</v>
      </c>
      <c r="L47" s="1">
        <v>1596.4</v>
      </c>
      <c r="M47" s="34">
        <v>40269</v>
      </c>
      <c r="N47" s="1">
        <v>307.5</v>
      </c>
    </row>
    <row r="48" spans="1:14" x14ac:dyDescent="0.25">
      <c r="A48" s="34">
        <v>40299</v>
      </c>
      <c r="B48" s="1">
        <v>1604.2</v>
      </c>
      <c r="C48" s="34">
        <v>40299</v>
      </c>
      <c r="D48" s="1">
        <v>605</v>
      </c>
      <c r="E48" s="34">
        <v>40299</v>
      </c>
      <c r="F48" s="1">
        <v>10.9</v>
      </c>
      <c r="G48" s="34">
        <v>40299</v>
      </c>
      <c r="H48" s="1">
        <v>1.88</v>
      </c>
      <c r="I48" s="34">
        <v>40299</v>
      </c>
      <c r="J48" s="1">
        <v>169.16</v>
      </c>
      <c r="K48" s="34">
        <v>40299</v>
      </c>
      <c r="L48" s="1">
        <v>1611.3</v>
      </c>
      <c r="M48" s="34">
        <v>40299</v>
      </c>
      <c r="N48" s="1">
        <v>314.89999999999998</v>
      </c>
    </row>
    <row r="49" spans="1:14" x14ac:dyDescent="0.25">
      <c r="A49" s="34">
        <v>40330</v>
      </c>
      <c r="B49" s="1">
        <v>1605.6</v>
      </c>
      <c r="C49" s="34">
        <v>40330</v>
      </c>
      <c r="D49" s="1">
        <v>883</v>
      </c>
      <c r="E49" s="34">
        <v>40330</v>
      </c>
      <c r="F49" s="1">
        <v>10.8</v>
      </c>
      <c r="G49" s="34">
        <v>40330</v>
      </c>
      <c r="H49" s="1">
        <v>1.51</v>
      </c>
      <c r="I49" s="34">
        <v>40330</v>
      </c>
      <c r="J49" s="1">
        <v>169.64</v>
      </c>
      <c r="K49" s="34">
        <v>40330</v>
      </c>
      <c r="L49" s="1">
        <v>1621.1</v>
      </c>
      <c r="M49" s="34">
        <v>40330</v>
      </c>
      <c r="N49" s="1">
        <v>314.39999999999998</v>
      </c>
    </row>
    <row r="50" spans="1:14" x14ac:dyDescent="0.25">
      <c r="A50" s="34">
        <v>40360</v>
      </c>
      <c r="B50" s="1">
        <v>1604.4</v>
      </c>
      <c r="C50" s="34">
        <v>40360</v>
      </c>
      <c r="D50" s="1">
        <v>537</v>
      </c>
      <c r="E50" s="34">
        <v>40360</v>
      </c>
      <c r="F50" s="1">
        <v>10.7</v>
      </c>
      <c r="G50" s="34">
        <v>40360</v>
      </c>
      <c r="H50" s="1">
        <v>1.34</v>
      </c>
      <c r="I50" s="34">
        <v>40360</v>
      </c>
      <c r="J50" s="1">
        <v>170.06</v>
      </c>
      <c r="K50" s="34">
        <v>40360</v>
      </c>
      <c r="L50" s="1">
        <v>1597.4</v>
      </c>
      <c r="M50" s="34">
        <v>40360</v>
      </c>
      <c r="N50" s="1">
        <v>281.39999999999998</v>
      </c>
    </row>
    <row r="51" spans="1:14" x14ac:dyDescent="0.25">
      <c r="A51" s="34">
        <v>40391</v>
      </c>
      <c r="B51" s="1">
        <v>1604.4</v>
      </c>
      <c r="C51" s="34">
        <v>40391</v>
      </c>
      <c r="D51" s="1">
        <v>864</v>
      </c>
      <c r="E51" s="34">
        <v>40391</v>
      </c>
      <c r="F51" s="1">
        <v>10.6</v>
      </c>
      <c r="G51" s="34">
        <v>40391</v>
      </c>
      <c r="H51" s="1">
        <v>1.23</v>
      </c>
      <c r="I51" s="34">
        <v>40391</v>
      </c>
      <c r="J51" s="1">
        <v>170.4</v>
      </c>
      <c r="K51" s="34">
        <v>40391</v>
      </c>
      <c r="L51" s="1">
        <v>1598.3</v>
      </c>
      <c r="M51" s="34">
        <v>40391</v>
      </c>
      <c r="N51" s="1">
        <v>277.7</v>
      </c>
    </row>
    <row r="52" spans="1:14" x14ac:dyDescent="0.25">
      <c r="A52" s="34">
        <v>40422</v>
      </c>
      <c r="B52" s="1">
        <v>1602.2</v>
      </c>
      <c r="C52" s="34">
        <v>40422</v>
      </c>
      <c r="D52" s="1">
        <v>568</v>
      </c>
      <c r="E52" s="34">
        <v>40422</v>
      </c>
      <c r="F52" s="1">
        <v>10.6</v>
      </c>
      <c r="G52" s="34">
        <v>40422</v>
      </c>
      <c r="H52" s="1">
        <v>1.63</v>
      </c>
      <c r="I52" s="34">
        <v>40422</v>
      </c>
      <c r="J52" s="1">
        <v>170.73</v>
      </c>
      <c r="K52" s="34">
        <v>40422</v>
      </c>
      <c r="L52" s="1">
        <v>1607.2</v>
      </c>
      <c r="M52" s="34">
        <v>40422</v>
      </c>
      <c r="N52" s="1">
        <v>283.60000000000002</v>
      </c>
    </row>
    <row r="53" spans="1:14" x14ac:dyDescent="0.25">
      <c r="A53" s="34">
        <v>40452</v>
      </c>
      <c r="B53" s="1">
        <v>1609.6</v>
      </c>
      <c r="C53" s="34">
        <v>40452</v>
      </c>
      <c r="D53" s="1">
        <v>494</v>
      </c>
      <c r="E53" s="34">
        <v>40452</v>
      </c>
      <c r="F53" s="1">
        <v>10.5</v>
      </c>
      <c r="G53" s="34">
        <v>40452</v>
      </c>
      <c r="H53" s="1">
        <v>2.4500000000000002</v>
      </c>
      <c r="I53" s="34">
        <v>40452</v>
      </c>
      <c r="J53" s="1">
        <v>171.16</v>
      </c>
      <c r="K53" s="34">
        <v>40452</v>
      </c>
      <c r="L53" s="1">
        <v>1629</v>
      </c>
      <c r="M53" s="34">
        <v>40452</v>
      </c>
      <c r="N53" s="1">
        <v>302.8</v>
      </c>
    </row>
    <row r="54" spans="1:14" x14ac:dyDescent="0.25">
      <c r="A54" s="34">
        <v>40483</v>
      </c>
      <c r="B54" s="1">
        <v>1609.6</v>
      </c>
      <c r="C54" s="34">
        <v>40483</v>
      </c>
      <c r="D54" s="1">
        <v>463</v>
      </c>
      <c r="E54" s="34">
        <v>40483</v>
      </c>
      <c r="F54" s="1">
        <v>10.4</v>
      </c>
      <c r="G54" s="34">
        <v>40483</v>
      </c>
      <c r="H54" s="1">
        <v>1.95</v>
      </c>
      <c r="I54" s="34">
        <v>40483</v>
      </c>
      <c r="J54" s="1">
        <v>171.65</v>
      </c>
      <c r="K54" s="34">
        <v>40483</v>
      </c>
      <c r="L54" s="1">
        <v>1626.7</v>
      </c>
      <c r="M54" s="34">
        <v>40483</v>
      </c>
      <c r="N54" s="1">
        <v>306.2</v>
      </c>
    </row>
    <row r="55" spans="1:14" x14ac:dyDescent="0.25">
      <c r="A55" s="34">
        <v>40513</v>
      </c>
      <c r="B55" s="1">
        <v>1608.7</v>
      </c>
      <c r="C55" s="34">
        <v>40513</v>
      </c>
      <c r="D55" s="1">
        <v>720</v>
      </c>
      <c r="E55" s="34">
        <v>40513</v>
      </c>
      <c r="F55" s="1">
        <v>10.3</v>
      </c>
      <c r="G55" s="34">
        <v>40513</v>
      </c>
      <c r="H55" s="1">
        <v>2.92</v>
      </c>
      <c r="I55" s="34">
        <v>40513</v>
      </c>
      <c r="J55" s="1">
        <v>172.29</v>
      </c>
      <c r="K55" s="34">
        <v>40513</v>
      </c>
      <c r="L55" s="1">
        <v>1621</v>
      </c>
      <c r="M55" s="34">
        <v>40513</v>
      </c>
      <c r="N55" s="1">
        <v>301.5</v>
      </c>
    </row>
    <row r="56" spans="1:14" x14ac:dyDescent="0.25">
      <c r="A56" s="34">
        <v>40544</v>
      </c>
      <c r="B56" s="1">
        <v>1614.9</v>
      </c>
      <c r="C56" s="34">
        <v>40544</v>
      </c>
      <c r="D56" s="1">
        <v>466</v>
      </c>
      <c r="E56" s="34">
        <v>40544</v>
      </c>
      <c r="F56" s="1">
        <v>10</v>
      </c>
      <c r="G56" s="34">
        <v>40544</v>
      </c>
      <c r="H56" s="1">
        <v>2.93</v>
      </c>
      <c r="I56" s="34">
        <v>40544</v>
      </c>
      <c r="J56" s="1">
        <v>173.06</v>
      </c>
      <c r="K56" s="34">
        <v>40544</v>
      </c>
      <c r="L56" s="1">
        <v>1583.3</v>
      </c>
      <c r="M56" s="34">
        <v>40544</v>
      </c>
      <c r="N56" s="1">
        <v>299.60000000000002</v>
      </c>
    </row>
    <row r="57" spans="1:14" x14ac:dyDescent="0.25">
      <c r="A57" s="34">
        <v>40575</v>
      </c>
      <c r="B57" s="1">
        <v>1616.1</v>
      </c>
      <c r="C57" s="34">
        <v>40575</v>
      </c>
      <c r="D57" s="1">
        <v>481</v>
      </c>
      <c r="E57" s="34">
        <v>40575</v>
      </c>
      <c r="F57" s="1">
        <v>9.9</v>
      </c>
      <c r="G57" s="34">
        <v>40575</v>
      </c>
      <c r="H57" s="1">
        <v>1.2</v>
      </c>
      <c r="I57" s="34">
        <v>40575</v>
      </c>
      <c r="J57" s="1">
        <v>173.76</v>
      </c>
      <c r="K57" s="34">
        <v>40575</v>
      </c>
      <c r="L57" s="1">
        <v>1596.3</v>
      </c>
      <c r="M57" s="34">
        <v>40575</v>
      </c>
      <c r="N57" s="1">
        <v>303.60000000000002</v>
      </c>
    </row>
    <row r="58" spans="1:14" x14ac:dyDescent="0.25">
      <c r="A58" s="34">
        <v>40603</v>
      </c>
      <c r="B58" s="1">
        <v>1617.2</v>
      </c>
      <c r="C58" s="34">
        <v>40603</v>
      </c>
      <c r="D58" s="1">
        <v>933</v>
      </c>
      <c r="E58" s="34">
        <v>40603</v>
      </c>
      <c r="F58" s="1">
        <v>9.6999999999999993</v>
      </c>
      <c r="G58" s="34">
        <v>40603</v>
      </c>
      <c r="H58" s="1">
        <v>1.54</v>
      </c>
      <c r="I58" s="34">
        <v>40603</v>
      </c>
      <c r="J58" s="1">
        <v>174.32</v>
      </c>
      <c r="K58" s="34">
        <v>40603</v>
      </c>
      <c r="L58" s="1">
        <v>1603.1</v>
      </c>
      <c r="M58" s="34">
        <v>40603</v>
      </c>
      <c r="N58" s="1">
        <v>303.8</v>
      </c>
    </row>
    <row r="59" spans="1:14" x14ac:dyDescent="0.25">
      <c r="A59" s="34">
        <v>40634</v>
      </c>
      <c r="B59" s="1">
        <v>1618</v>
      </c>
      <c r="C59" s="34">
        <v>40634</v>
      </c>
      <c r="D59" s="1">
        <v>707</v>
      </c>
      <c r="E59" s="34">
        <v>40634</v>
      </c>
      <c r="F59" s="1">
        <v>9.6</v>
      </c>
      <c r="G59" s="34">
        <v>40634</v>
      </c>
      <c r="H59" s="1">
        <v>0.01</v>
      </c>
      <c r="I59" s="34">
        <v>40634</v>
      </c>
      <c r="J59" s="1">
        <v>174.6</v>
      </c>
      <c r="K59" s="34">
        <v>40634</v>
      </c>
      <c r="L59" s="1">
        <v>1618</v>
      </c>
      <c r="M59" s="34">
        <v>40634</v>
      </c>
      <c r="N59" s="1">
        <v>304.5</v>
      </c>
    </row>
    <row r="60" spans="1:14" x14ac:dyDescent="0.25">
      <c r="A60" s="34">
        <v>40664</v>
      </c>
      <c r="B60" s="1">
        <v>1617.4</v>
      </c>
      <c r="C60" s="34">
        <v>40664</v>
      </c>
      <c r="D60" s="1">
        <v>523</v>
      </c>
      <c r="E60" s="34">
        <v>40664</v>
      </c>
      <c r="F60" s="1">
        <v>9.6999999999999993</v>
      </c>
      <c r="G60" s="34">
        <v>40664</v>
      </c>
      <c r="H60" s="1">
        <v>-0.42</v>
      </c>
      <c r="I60" s="34">
        <v>40664</v>
      </c>
      <c r="J60" s="1">
        <v>174.57</v>
      </c>
      <c r="K60" s="34">
        <v>40664</v>
      </c>
      <c r="L60" s="1">
        <v>1625.1</v>
      </c>
      <c r="M60" s="34">
        <v>40664</v>
      </c>
      <c r="N60" s="1">
        <v>306.89999999999998</v>
      </c>
    </row>
    <row r="61" spans="1:14" x14ac:dyDescent="0.25">
      <c r="A61" s="34">
        <v>40695</v>
      </c>
      <c r="B61" s="1">
        <v>1617</v>
      </c>
      <c r="C61" s="34">
        <v>40695</v>
      </c>
      <c r="D61" s="1">
        <v>686</v>
      </c>
      <c r="E61" s="34">
        <v>40695</v>
      </c>
      <c r="F61" s="1">
        <v>9.6999999999999993</v>
      </c>
      <c r="G61" s="34">
        <v>40695</v>
      </c>
      <c r="H61" s="1">
        <v>1.33</v>
      </c>
      <c r="I61" s="34">
        <v>40695</v>
      </c>
      <c r="J61" s="1">
        <v>174.48</v>
      </c>
      <c r="K61" s="34">
        <v>40695</v>
      </c>
      <c r="L61" s="1">
        <v>1635</v>
      </c>
      <c r="M61" s="34">
        <v>40695</v>
      </c>
      <c r="N61" s="1">
        <v>307.2</v>
      </c>
    </row>
    <row r="62" spans="1:14" x14ac:dyDescent="0.25">
      <c r="A62" s="34">
        <v>40725</v>
      </c>
      <c r="B62" s="1">
        <v>1619</v>
      </c>
      <c r="C62" s="34">
        <v>40725</v>
      </c>
      <c r="D62" s="1">
        <v>868</v>
      </c>
      <c r="E62" s="34">
        <v>40725</v>
      </c>
      <c r="F62" s="1">
        <v>9.8000000000000007</v>
      </c>
      <c r="G62" s="34">
        <v>40725</v>
      </c>
      <c r="H62" s="1">
        <v>1.19</v>
      </c>
      <c r="I62" s="34">
        <v>40725</v>
      </c>
      <c r="J62" s="1">
        <v>174.44</v>
      </c>
      <c r="K62" s="34">
        <v>40725</v>
      </c>
      <c r="L62" s="1">
        <v>1611.2</v>
      </c>
      <c r="M62" s="34">
        <v>40725</v>
      </c>
      <c r="N62" s="1">
        <v>271.89999999999998</v>
      </c>
    </row>
    <row r="63" spans="1:14" x14ac:dyDescent="0.25">
      <c r="A63" s="34">
        <v>40756</v>
      </c>
      <c r="B63" s="1">
        <v>1621.5</v>
      </c>
      <c r="C63" s="34">
        <v>40756</v>
      </c>
      <c r="D63" s="1">
        <v>582</v>
      </c>
      <c r="E63" s="34">
        <v>40756</v>
      </c>
      <c r="F63" s="1">
        <v>9.8000000000000007</v>
      </c>
      <c r="G63" s="34">
        <v>40756</v>
      </c>
      <c r="H63" s="1">
        <v>2.72</v>
      </c>
      <c r="I63" s="34">
        <v>40756</v>
      </c>
      <c r="J63" s="1">
        <v>174.63</v>
      </c>
      <c r="K63" s="34">
        <v>40756</v>
      </c>
      <c r="L63" s="1">
        <v>1615.2</v>
      </c>
      <c r="M63" s="34">
        <v>40756</v>
      </c>
      <c r="N63" s="1">
        <v>269.60000000000002</v>
      </c>
    </row>
    <row r="64" spans="1:14" x14ac:dyDescent="0.25">
      <c r="A64" s="34">
        <v>40787</v>
      </c>
      <c r="B64" s="1">
        <v>1623.7</v>
      </c>
      <c r="C64" s="34">
        <v>40787</v>
      </c>
      <c r="D64" s="1">
        <v>762</v>
      </c>
      <c r="E64" s="34">
        <v>40787</v>
      </c>
      <c r="F64" s="1">
        <v>9.6999999999999993</v>
      </c>
      <c r="G64" s="34">
        <v>40787</v>
      </c>
      <c r="H64" s="1">
        <v>3.38</v>
      </c>
      <c r="I64" s="34">
        <v>40787</v>
      </c>
      <c r="J64" s="1">
        <v>175.15</v>
      </c>
      <c r="K64" s="34">
        <v>40787</v>
      </c>
      <c r="L64" s="1">
        <v>1628.6</v>
      </c>
      <c r="M64" s="34">
        <v>40787</v>
      </c>
      <c r="N64" s="1">
        <v>279</v>
      </c>
    </row>
    <row r="65" spans="1:14" x14ac:dyDescent="0.25">
      <c r="A65" s="34">
        <v>40817</v>
      </c>
      <c r="B65" s="1">
        <v>1621.5</v>
      </c>
      <c r="C65" s="34">
        <v>40817</v>
      </c>
      <c r="D65" s="1">
        <v>810</v>
      </c>
      <c r="E65" s="34">
        <v>40817</v>
      </c>
      <c r="F65" s="1">
        <v>9.5</v>
      </c>
      <c r="G65" s="34">
        <v>40817</v>
      </c>
      <c r="H65" s="1">
        <v>2.5499999999999998</v>
      </c>
      <c r="I65" s="34">
        <v>40817</v>
      </c>
      <c r="J65" s="1">
        <v>175.87</v>
      </c>
      <c r="K65" s="34">
        <v>40817</v>
      </c>
      <c r="L65" s="1">
        <v>1641</v>
      </c>
      <c r="M65" s="34">
        <v>40817</v>
      </c>
      <c r="N65" s="1">
        <v>297.2</v>
      </c>
    </row>
    <row r="66" spans="1:14" x14ac:dyDescent="0.25">
      <c r="A66" s="34">
        <v>40848</v>
      </c>
      <c r="B66" s="1">
        <v>1625.3</v>
      </c>
      <c r="C66" s="34">
        <v>40848</v>
      </c>
      <c r="D66" s="1">
        <v>548</v>
      </c>
      <c r="E66" s="34">
        <v>40848</v>
      </c>
      <c r="F66" s="1">
        <v>9.4</v>
      </c>
      <c r="G66" s="34">
        <v>40848</v>
      </c>
      <c r="H66" s="1">
        <v>2.09</v>
      </c>
      <c r="I66" s="34">
        <v>40848</v>
      </c>
      <c r="J66" s="1">
        <v>176.65</v>
      </c>
      <c r="K66" s="34">
        <v>40848</v>
      </c>
      <c r="L66" s="1">
        <v>1642.5</v>
      </c>
      <c r="M66" s="34">
        <v>40848</v>
      </c>
      <c r="N66" s="1">
        <v>299.89999999999998</v>
      </c>
    </row>
    <row r="67" spans="1:14" x14ac:dyDescent="0.25">
      <c r="A67" s="34">
        <v>40878</v>
      </c>
      <c r="B67" s="1">
        <v>1626.8</v>
      </c>
      <c r="C67" s="34">
        <v>40878</v>
      </c>
      <c r="D67" s="1">
        <v>668</v>
      </c>
      <c r="E67" s="34">
        <v>40878</v>
      </c>
      <c r="F67" s="1">
        <v>9.1999999999999993</v>
      </c>
      <c r="G67" s="34">
        <v>40878</v>
      </c>
      <c r="H67" s="1">
        <v>2.76</v>
      </c>
      <c r="I67" s="34">
        <v>40878</v>
      </c>
      <c r="J67" s="1">
        <v>177.47</v>
      </c>
      <c r="K67" s="34">
        <v>40878</v>
      </c>
      <c r="L67" s="1">
        <v>1638.8</v>
      </c>
      <c r="M67" s="34">
        <v>40878</v>
      </c>
      <c r="N67" s="1">
        <v>297</v>
      </c>
    </row>
    <row r="68" spans="1:14" x14ac:dyDescent="0.25">
      <c r="A68" s="34">
        <v>40909</v>
      </c>
      <c r="B68" s="1">
        <v>1631</v>
      </c>
      <c r="C68" s="34">
        <v>40909</v>
      </c>
      <c r="D68" s="1">
        <v>641</v>
      </c>
      <c r="E68" s="34">
        <v>40909</v>
      </c>
      <c r="F68" s="1">
        <v>9.1</v>
      </c>
      <c r="G68" s="34">
        <v>40909</v>
      </c>
      <c r="H68" s="1">
        <v>2.33</v>
      </c>
      <c r="I68" s="34">
        <v>40909</v>
      </c>
      <c r="J68" s="1">
        <v>178.27</v>
      </c>
      <c r="K68" s="34">
        <v>40909</v>
      </c>
      <c r="L68" s="1">
        <v>1599.5</v>
      </c>
      <c r="M68" s="34">
        <v>40909</v>
      </c>
      <c r="N68" s="1">
        <v>292.5</v>
      </c>
    </row>
    <row r="69" spans="1:14" x14ac:dyDescent="0.25">
      <c r="A69" s="34">
        <v>40940</v>
      </c>
      <c r="B69" s="1">
        <v>1632.1</v>
      </c>
      <c r="C69" s="34">
        <v>40940</v>
      </c>
      <c r="D69" s="1">
        <v>609</v>
      </c>
      <c r="E69" s="34">
        <v>40940</v>
      </c>
      <c r="F69" s="1">
        <v>8.9</v>
      </c>
      <c r="G69" s="34">
        <v>40940</v>
      </c>
      <c r="H69" s="1">
        <v>1.95</v>
      </c>
      <c r="I69" s="34">
        <v>40940</v>
      </c>
      <c r="J69" s="1">
        <v>178.96</v>
      </c>
      <c r="K69" s="34">
        <v>40940</v>
      </c>
      <c r="L69" s="1">
        <v>1612.7</v>
      </c>
      <c r="M69" s="34">
        <v>40940</v>
      </c>
      <c r="N69" s="1">
        <v>297.7</v>
      </c>
    </row>
    <row r="70" spans="1:14" x14ac:dyDescent="0.25">
      <c r="A70" s="34">
        <v>40969</v>
      </c>
      <c r="B70" s="1">
        <v>1634.4</v>
      </c>
      <c r="C70" s="34">
        <v>40969</v>
      </c>
      <c r="D70" s="1">
        <v>721</v>
      </c>
      <c r="E70" s="34">
        <v>40969</v>
      </c>
      <c r="F70" s="1">
        <v>8.9</v>
      </c>
      <c r="G70" s="34">
        <v>40969</v>
      </c>
      <c r="H70" s="1">
        <v>0.5</v>
      </c>
      <c r="I70" s="34">
        <v>40969</v>
      </c>
      <c r="J70" s="1">
        <v>179.4</v>
      </c>
      <c r="K70" s="34">
        <v>40969</v>
      </c>
      <c r="L70" s="1">
        <v>1620.4</v>
      </c>
      <c r="M70" s="34">
        <v>40969</v>
      </c>
      <c r="N70" s="1">
        <v>298.39999999999998</v>
      </c>
    </row>
    <row r="71" spans="1:14" x14ac:dyDescent="0.25">
      <c r="A71" s="34">
        <v>41000</v>
      </c>
      <c r="B71" s="1">
        <v>1635.3</v>
      </c>
      <c r="C71" s="34">
        <v>41000</v>
      </c>
      <c r="D71" s="1">
        <v>937</v>
      </c>
      <c r="E71" s="34">
        <v>41000</v>
      </c>
      <c r="F71" s="1">
        <v>8.9</v>
      </c>
      <c r="G71" s="34">
        <v>41000</v>
      </c>
      <c r="H71" s="1">
        <v>1.54</v>
      </c>
      <c r="I71" s="34">
        <v>41000</v>
      </c>
      <c r="J71" s="1">
        <v>179.67</v>
      </c>
      <c r="K71" s="34">
        <v>41000</v>
      </c>
      <c r="L71" s="1">
        <v>1632.2</v>
      </c>
      <c r="M71" s="34">
        <v>41000</v>
      </c>
      <c r="N71" s="1">
        <v>297.8</v>
      </c>
    </row>
    <row r="72" spans="1:14" x14ac:dyDescent="0.25">
      <c r="A72" s="34">
        <v>41030</v>
      </c>
      <c r="B72" s="1">
        <v>1638.1</v>
      </c>
      <c r="C72" s="34">
        <v>41030</v>
      </c>
      <c r="D72" s="1">
        <v>1223</v>
      </c>
      <c r="E72" s="34">
        <v>41030</v>
      </c>
      <c r="F72" s="1">
        <v>8.9</v>
      </c>
      <c r="G72" s="34">
        <v>41030</v>
      </c>
      <c r="H72" s="1">
        <v>2.0099999999999998</v>
      </c>
      <c r="I72" s="34">
        <v>41030</v>
      </c>
      <c r="J72" s="1">
        <v>179.93</v>
      </c>
      <c r="K72" s="34">
        <v>41030</v>
      </c>
      <c r="L72" s="1">
        <v>1646.3</v>
      </c>
      <c r="M72" s="34">
        <v>41030</v>
      </c>
      <c r="N72" s="1">
        <v>301.5</v>
      </c>
    </row>
    <row r="73" spans="1:14" x14ac:dyDescent="0.25">
      <c r="A73" s="34">
        <v>41061</v>
      </c>
      <c r="B73" s="1">
        <v>1636.8</v>
      </c>
      <c r="C73" s="34">
        <v>41061</v>
      </c>
      <c r="D73" s="1">
        <v>797</v>
      </c>
      <c r="E73" s="34">
        <v>41061</v>
      </c>
      <c r="F73" s="1">
        <v>8.9</v>
      </c>
      <c r="G73" s="34">
        <v>41061</v>
      </c>
      <c r="H73" s="1">
        <v>1.53</v>
      </c>
      <c r="I73" s="34">
        <v>41061</v>
      </c>
      <c r="J73" s="1">
        <v>180.18</v>
      </c>
      <c r="K73" s="34">
        <v>41061</v>
      </c>
      <c r="L73" s="1">
        <v>1654.5</v>
      </c>
      <c r="M73" s="34">
        <v>41061</v>
      </c>
      <c r="N73" s="1">
        <v>301.2</v>
      </c>
    </row>
    <row r="74" spans="1:14" x14ac:dyDescent="0.25">
      <c r="A74" s="34">
        <v>41091</v>
      </c>
      <c r="B74" s="1">
        <v>1640.7</v>
      </c>
      <c r="C74" s="34">
        <v>41091</v>
      </c>
      <c r="D74" s="1">
        <v>1160</v>
      </c>
      <c r="E74" s="34">
        <v>41091</v>
      </c>
      <c r="F74" s="1">
        <v>8.9</v>
      </c>
      <c r="G74" s="34">
        <v>41091</v>
      </c>
      <c r="H74" s="1">
        <v>1.53</v>
      </c>
      <c r="I74" s="34">
        <v>41091</v>
      </c>
      <c r="J74" s="1">
        <v>180.45</v>
      </c>
      <c r="K74" s="34">
        <v>41091</v>
      </c>
      <c r="L74" s="1">
        <v>1632.3</v>
      </c>
      <c r="M74" s="34">
        <v>41091</v>
      </c>
      <c r="N74" s="1">
        <v>268.60000000000002</v>
      </c>
    </row>
    <row r="75" spans="1:14" x14ac:dyDescent="0.25">
      <c r="A75" s="34">
        <v>41122</v>
      </c>
      <c r="B75" s="1">
        <v>1642.9</v>
      </c>
      <c r="C75" s="34">
        <v>41122</v>
      </c>
      <c r="D75" s="1">
        <v>1152</v>
      </c>
      <c r="E75" s="34">
        <v>41122</v>
      </c>
      <c r="F75" s="1">
        <v>8.9</v>
      </c>
      <c r="G75" s="34">
        <v>41122</v>
      </c>
      <c r="H75" s="1">
        <v>2</v>
      </c>
      <c r="I75" s="34">
        <v>41122</v>
      </c>
      <c r="J75" s="1">
        <v>180.82</v>
      </c>
      <c r="K75" s="34">
        <v>41122</v>
      </c>
      <c r="L75" s="1">
        <v>1639.8</v>
      </c>
      <c r="M75" s="34">
        <v>41122</v>
      </c>
      <c r="N75" s="1">
        <v>267.3</v>
      </c>
    </row>
    <row r="76" spans="1:14" x14ac:dyDescent="0.25">
      <c r="A76" s="34">
        <v>41153</v>
      </c>
      <c r="B76" s="1">
        <v>1642.8</v>
      </c>
      <c r="C76" s="34">
        <v>41153</v>
      </c>
      <c r="D76" s="1">
        <v>1135</v>
      </c>
      <c r="E76" s="34">
        <v>41153</v>
      </c>
      <c r="F76" s="1">
        <v>8.8000000000000007</v>
      </c>
      <c r="G76" s="34">
        <v>41153</v>
      </c>
      <c r="H76" s="1">
        <v>2.5299999999999998</v>
      </c>
      <c r="I76" s="34">
        <v>41153</v>
      </c>
      <c r="J76" s="1">
        <v>181.34</v>
      </c>
      <c r="K76" s="34">
        <v>41153</v>
      </c>
      <c r="L76" s="1">
        <v>1649.5</v>
      </c>
      <c r="M76" s="34">
        <v>41153</v>
      </c>
      <c r="N76" s="1">
        <v>278.10000000000002</v>
      </c>
    </row>
    <row r="77" spans="1:14" x14ac:dyDescent="0.25">
      <c r="A77" s="34">
        <v>41183</v>
      </c>
      <c r="B77" s="1">
        <v>1645.9</v>
      </c>
      <c r="C77" s="34">
        <v>41183</v>
      </c>
      <c r="D77" s="1">
        <v>1149</v>
      </c>
      <c r="E77" s="34">
        <v>41183</v>
      </c>
      <c r="F77" s="1">
        <v>8.6999999999999993</v>
      </c>
      <c r="G77" s="34">
        <v>41183</v>
      </c>
      <c r="H77" s="1">
        <v>2.37</v>
      </c>
      <c r="I77" s="34">
        <v>41183</v>
      </c>
      <c r="J77" s="1">
        <v>181.99</v>
      </c>
      <c r="K77" s="34">
        <v>41183</v>
      </c>
      <c r="L77" s="1">
        <v>1665.9</v>
      </c>
      <c r="M77" s="34">
        <v>41183</v>
      </c>
      <c r="N77" s="1">
        <v>295.5</v>
      </c>
    </row>
    <row r="78" spans="1:14" x14ac:dyDescent="0.25">
      <c r="A78" s="34">
        <v>41214</v>
      </c>
      <c r="B78" s="1">
        <v>1649</v>
      </c>
      <c r="C78" s="34">
        <v>41214</v>
      </c>
      <c r="D78" s="1">
        <v>721</v>
      </c>
      <c r="E78" s="34">
        <v>41214</v>
      </c>
      <c r="F78" s="1">
        <v>8.6</v>
      </c>
      <c r="G78" s="34">
        <v>41214</v>
      </c>
      <c r="H78" s="1">
        <v>2.64</v>
      </c>
      <c r="I78" s="34">
        <v>41214</v>
      </c>
      <c r="J78" s="1">
        <v>182.76</v>
      </c>
      <c r="K78" s="34">
        <v>41214</v>
      </c>
      <c r="L78" s="1">
        <v>1666.6</v>
      </c>
      <c r="M78" s="34">
        <v>41214</v>
      </c>
      <c r="N78" s="1">
        <v>298.2</v>
      </c>
    </row>
    <row r="79" spans="1:14" x14ac:dyDescent="0.25">
      <c r="A79" s="34">
        <v>41244</v>
      </c>
      <c r="B79" s="1">
        <v>1650.7</v>
      </c>
      <c r="C79" s="34">
        <v>41244</v>
      </c>
      <c r="D79" s="1">
        <v>839</v>
      </c>
      <c r="E79" s="34">
        <v>41244</v>
      </c>
      <c r="F79" s="1">
        <v>8.4</v>
      </c>
      <c r="G79" s="34">
        <v>41244</v>
      </c>
      <c r="H79" s="1">
        <v>3</v>
      </c>
      <c r="I79" s="34">
        <v>41244</v>
      </c>
      <c r="J79" s="1">
        <v>183.65</v>
      </c>
      <c r="K79" s="34">
        <v>41244</v>
      </c>
      <c r="L79" s="1">
        <v>1661.4</v>
      </c>
      <c r="M79" s="34">
        <v>41244</v>
      </c>
      <c r="N79" s="1">
        <v>294.89999999999998</v>
      </c>
    </row>
    <row r="80" spans="1:14" x14ac:dyDescent="0.25">
      <c r="A80" s="34">
        <v>41275</v>
      </c>
      <c r="B80" s="1">
        <v>1654.2</v>
      </c>
      <c r="C80" s="34">
        <v>41275</v>
      </c>
      <c r="D80" s="1">
        <v>1029</v>
      </c>
      <c r="E80" s="34">
        <v>41275</v>
      </c>
      <c r="F80" s="1">
        <v>8.3000000000000007</v>
      </c>
      <c r="G80" s="34">
        <v>41275</v>
      </c>
      <c r="H80" s="1">
        <v>2.52</v>
      </c>
      <c r="I80" s="34">
        <v>41275</v>
      </c>
      <c r="J80" s="1">
        <v>184.58</v>
      </c>
      <c r="K80" s="34">
        <v>41275</v>
      </c>
      <c r="L80" s="1">
        <v>1622.5</v>
      </c>
      <c r="M80" s="34">
        <v>41275</v>
      </c>
      <c r="N80" s="1">
        <v>289.7</v>
      </c>
    </row>
    <row r="81" spans="1:14" x14ac:dyDescent="0.25">
      <c r="A81" s="34">
        <v>41306</v>
      </c>
      <c r="B81" s="1">
        <v>1659.1</v>
      </c>
      <c r="C81" s="34">
        <v>41306</v>
      </c>
      <c r="D81" s="1">
        <v>1363</v>
      </c>
      <c r="E81" s="34">
        <v>41306</v>
      </c>
      <c r="F81" s="1">
        <v>8.1</v>
      </c>
      <c r="G81" s="34">
        <v>41306</v>
      </c>
      <c r="H81" s="1">
        <v>2.97</v>
      </c>
      <c r="I81" s="34">
        <v>41306</v>
      </c>
      <c r="J81" s="1">
        <v>185.53</v>
      </c>
      <c r="K81" s="34">
        <v>41306</v>
      </c>
      <c r="L81" s="1">
        <v>1639.7</v>
      </c>
      <c r="M81" s="34">
        <v>41306</v>
      </c>
      <c r="N81" s="1">
        <v>295.5</v>
      </c>
    </row>
    <row r="82" spans="1:14" x14ac:dyDescent="0.25">
      <c r="A82" s="34">
        <v>41334</v>
      </c>
      <c r="B82" s="1">
        <v>1662.6</v>
      </c>
      <c r="C82" s="34">
        <v>41334</v>
      </c>
      <c r="D82" s="1">
        <v>1141</v>
      </c>
      <c r="E82" s="34">
        <v>41334</v>
      </c>
      <c r="F82" s="1">
        <v>8</v>
      </c>
      <c r="G82" s="34">
        <v>41334</v>
      </c>
      <c r="H82" s="1">
        <v>2.25</v>
      </c>
      <c r="I82" s="34">
        <v>41334</v>
      </c>
      <c r="J82" s="1">
        <v>186.4</v>
      </c>
      <c r="K82" s="34">
        <v>41334</v>
      </c>
      <c r="L82" s="1">
        <v>1648.4</v>
      </c>
      <c r="M82" s="34">
        <v>41334</v>
      </c>
      <c r="N82" s="1">
        <v>295.60000000000002</v>
      </c>
    </row>
    <row r="83" spans="1:14" x14ac:dyDescent="0.25">
      <c r="A83" s="34">
        <v>41365</v>
      </c>
      <c r="B83" s="1">
        <v>1667.2</v>
      </c>
      <c r="C83" s="34">
        <v>41365</v>
      </c>
      <c r="D83" s="1">
        <v>1552</v>
      </c>
      <c r="E83" s="34">
        <v>41365</v>
      </c>
      <c r="F83" s="1">
        <v>7.9</v>
      </c>
      <c r="G83" s="34">
        <v>41365</v>
      </c>
      <c r="H83" s="1">
        <v>2.5</v>
      </c>
      <c r="I83" s="34">
        <v>41365</v>
      </c>
      <c r="J83" s="1">
        <v>187.19</v>
      </c>
      <c r="K83" s="34">
        <v>41365</v>
      </c>
      <c r="L83" s="1">
        <v>1664.3</v>
      </c>
      <c r="M83" s="34">
        <v>41365</v>
      </c>
      <c r="N83" s="1">
        <v>295.39999999999998</v>
      </c>
    </row>
    <row r="84" spans="1:14" x14ac:dyDescent="0.25">
      <c r="A84" s="34">
        <v>41395</v>
      </c>
      <c r="B84" s="1">
        <v>1671.1</v>
      </c>
      <c r="C84" s="34">
        <v>41395</v>
      </c>
      <c r="D84" s="1">
        <v>1102</v>
      </c>
      <c r="E84" s="34">
        <v>41395</v>
      </c>
      <c r="F84" s="1">
        <v>7.8</v>
      </c>
      <c r="G84" s="34">
        <v>41395</v>
      </c>
      <c r="H84" s="1">
        <v>2.0099999999999998</v>
      </c>
      <c r="I84" s="34">
        <v>41395</v>
      </c>
      <c r="J84" s="1">
        <v>187.87</v>
      </c>
      <c r="K84" s="34">
        <v>41395</v>
      </c>
      <c r="L84" s="1">
        <v>1679.4</v>
      </c>
      <c r="M84" s="34">
        <v>41395</v>
      </c>
      <c r="N84" s="1">
        <v>298.8</v>
      </c>
    </row>
    <row r="85" spans="1:14" x14ac:dyDescent="0.25">
      <c r="A85" s="34">
        <v>41426</v>
      </c>
      <c r="B85" s="1">
        <v>1670.7</v>
      </c>
      <c r="C85" s="34">
        <v>41426</v>
      </c>
      <c r="D85" s="1">
        <v>1187</v>
      </c>
      <c r="E85" s="34">
        <v>41426</v>
      </c>
      <c r="F85" s="1">
        <v>7.8</v>
      </c>
      <c r="G85" s="34">
        <v>41426</v>
      </c>
      <c r="H85" s="1">
        <v>1.38</v>
      </c>
      <c r="I85" s="34">
        <v>41426</v>
      </c>
      <c r="J85" s="1">
        <v>188.41</v>
      </c>
      <c r="K85" s="34">
        <v>41426</v>
      </c>
      <c r="L85" s="1">
        <v>1685.2</v>
      </c>
      <c r="M85" s="34">
        <v>41426</v>
      </c>
      <c r="N85" s="1">
        <v>297.8</v>
      </c>
    </row>
    <row r="86" spans="1:14" x14ac:dyDescent="0.25">
      <c r="A86" s="34">
        <v>41456</v>
      </c>
      <c r="B86" s="1">
        <v>1674.2</v>
      </c>
      <c r="C86" s="34">
        <v>41456</v>
      </c>
      <c r="D86" s="1">
        <v>1633</v>
      </c>
      <c r="E86" s="34">
        <v>41456</v>
      </c>
      <c r="F86" s="1">
        <v>7.8</v>
      </c>
      <c r="G86" s="34">
        <v>41456</v>
      </c>
      <c r="H86" s="1">
        <v>2.78</v>
      </c>
      <c r="I86" s="34">
        <v>41456</v>
      </c>
      <c r="J86" s="1">
        <v>188.98</v>
      </c>
      <c r="K86" s="34">
        <v>41456</v>
      </c>
      <c r="L86" s="1">
        <v>1665.8</v>
      </c>
      <c r="M86" s="34">
        <v>41456</v>
      </c>
      <c r="N86" s="1">
        <v>264.60000000000002</v>
      </c>
    </row>
    <row r="87" spans="1:14" x14ac:dyDescent="0.25">
      <c r="A87" s="34">
        <v>41487</v>
      </c>
      <c r="B87" s="1">
        <v>1676.9</v>
      </c>
      <c r="C87" s="34">
        <v>41487</v>
      </c>
      <c r="D87" s="1">
        <v>1274</v>
      </c>
      <c r="E87" s="34">
        <v>41487</v>
      </c>
      <c r="F87" s="1">
        <v>7.7</v>
      </c>
      <c r="G87" s="34">
        <v>41487</v>
      </c>
      <c r="H87" s="1">
        <v>3.45</v>
      </c>
      <c r="I87" s="34">
        <v>41487</v>
      </c>
      <c r="J87" s="1">
        <v>189.74</v>
      </c>
      <c r="K87" s="34">
        <v>41487</v>
      </c>
      <c r="L87" s="1">
        <v>1673.8</v>
      </c>
      <c r="M87" s="34">
        <v>41487</v>
      </c>
      <c r="N87" s="1">
        <v>264</v>
      </c>
    </row>
    <row r="88" spans="1:14" x14ac:dyDescent="0.25">
      <c r="A88" s="34">
        <v>41518</v>
      </c>
      <c r="B88" s="1">
        <v>1681.4</v>
      </c>
      <c r="C88" s="34">
        <v>41518</v>
      </c>
      <c r="D88" s="1">
        <v>877</v>
      </c>
      <c r="E88" s="34">
        <v>41518</v>
      </c>
      <c r="F88" s="1">
        <v>7.6</v>
      </c>
      <c r="G88" s="34">
        <v>41518</v>
      </c>
      <c r="H88" s="1">
        <v>3.05</v>
      </c>
      <c r="I88" s="34">
        <v>41518</v>
      </c>
      <c r="J88" s="1">
        <v>190.66</v>
      </c>
      <c r="K88" s="34">
        <v>41518</v>
      </c>
      <c r="L88" s="1">
        <v>1688.7</v>
      </c>
      <c r="M88" s="34">
        <v>41518</v>
      </c>
      <c r="N88" s="1">
        <v>277</v>
      </c>
    </row>
    <row r="89" spans="1:14" x14ac:dyDescent="0.25">
      <c r="A89" s="34">
        <v>41548</v>
      </c>
      <c r="B89" s="1">
        <v>1685.7</v>
      </c>
      <c r="C89" s="34">
        <v>41548</v>
      </c>
      <c r="D89" s="1">
        <v>1320</v>
      </c>
      <c r="E89" s="34">
        <v>41548</v>
      </c>
      <c r="F89" s="1">
        <v>7.4</v>
      </c>
      <c r="G89" s="34">
        <v>41548</v>
      </c>
      <c r="H89" s="1">
        <v>3.1</v>
      </c>
      <c r="I89" s="34">
        <v>41548</v>
      </c>
      <c r="J89" s="1">
        <v>191.68</v>
      </c>
      <c r="K89" s="34">
        <v>41548</v>
      </c>
      <c r="L89" s="1">
        <v>1704.2</v>
      </c>
      <c r="M89" s="34">
        <v>41548</v>
      </c>
      <c r="N89" s="1">
        <v>294.5</v>
      </c>
    </row>
    <row r="90" spans="1:14" x14ac:dyDescent="0.25">
      <c r="A90" s="34">
        <v>41579</v>
      </c>
      <c r="B90" s="1">
        <v>1691.5</v>
      </c>
      <c r="C90" s="34">
        <v>41579</v>
      </c>
      <c r="D90" s="1">
        <v>823</v>
      </c>
      <c r="E90" s="34">
        <v>41579</v>
      </c>
      <c r="F90" s="1">
        <v>7.3</v>
      </c>
      <c r="G90" s="34">
        <v>41579</v>
      </c>
      <c r="H90" s="1">
        <v>3.1</v>
      </c>
      <c r="I90" s="34">
        <v>41579</v>
      </c>
      <c r="J90" s="1">
        <v>192.72</v>
      </c>
      <c r="K90" s="34">
        <v>41579</v>
      </c>
      <c r="L90" s="1">
        <v>1707.1</v>
      </c>
      <c r="M90" s="34">
        <v>41579</v>
      </c>
      <c r="N90" s="1">
        <v>298</v>
      </c>
    </row>
    <row r="91" spans="1:14" x14ac:dyDescent="0.25">
      <c r="A91" s="34">
        <v>41609</v>
      </c>
      <c r="B91" s="1">
        <v>1697</v>
      </c>
      <c r="C91" s="34">
        <v>41609</v>
      </c>
      <c r="D91" s="1">
        <v>1029</v>
      </c>
      <c r="E91" s="34">
        <v>41609</v>
      </c>
      <c r="F91" s="1">
        <v>7.1</v>
      </c>
      <c r="G91" s="34">
        <v>41609</v>
      </c>
      <c r="H91" s="1">
        <v>3.47</v>
      </c>
      <c r="I91" s="34">
        <v>41609</v>
      </c>
      <c r="J91" s="1">
        <v>193.83</v>
      </c>
      <c r="K91" s="34">
        <v>41609</v>
      </c>
      <c r="L91" s="1">
        <v>1704.9</v>
      </c>
      <c r="M91" s="34">
        <v>41609</v>
      </c>
      <c r="N91" s="1">
        <v>296.5</v>
      </c>
    </row>
    <row r="92" spans="1:14" x14ac:dyDescent="0.25">
      <c r="A92" s="34">
        <v>41640</v>
      </c>
      <c r="B92" s="1">
        <v>1699.1</v>
      </c>
      <c r="C92" s="34">
        <v>41640</v>
      </c>
      <c r="D92" s="1">
        <v>1236</v>
      </c>
      <c r="E92" s="34">
        <v>41640</v>
      </c>
      <c r="F92" s="1">
        <v>7</v>
      </c>
      <c r="G92" s="34">
        <v>41640</v>
      </c>
      <c r="H92" s="1">
        <v>2.87</v>
      </c>
      <c r="I92" s="34">
        <v>41640</v>
      </c>
      <c r="J92" s="1">
        <v>194.91</v>
      </c>
      <c r="K92" s="34">
        <v>41640</v>
      </c>
      <c r="L92" s="1">
        <v>1673.5</v>
      </c>
      <c r="M92" s="34">
        <v>41640</v>
      </c>
      <c r="N92" s="1">
        <v>293.2</v>
      </c>
    </row>
    <row r="93" spans="1:14" x14ac:dyDescent="0.25">
      <c r="A93" s="34">
        <v>41671</v>
      </c>
      <c r="B93" s="1">
        <v>1701.4</v>
      </c>
      <c r="C93" s="34">
        <v>41671</v>
      </c>
      <c r="D93" s="1">
        <v>749</v>
      </c>
      <c r="E93" s="34">
        <v>41671</v>
      </c>
      <c r="F93" s="1">
        <v>6.8</v>
      </c>
      <c r="G93" s="34">
        <v>41671</v>
      </c>
      <c r="H93" s="1">
        <v>2.0299999999999998</v>
      </c>
      <c r="I93" s="34">
        <v>41671</v>
      </c>
      <c r="J93" s="1">
        <v>195.87</v>
      </c>
      <c r="K93" s="34">
        <v>41671</v>
      </c>
      <c r="L93" s="1">
        <v>1682.8</v>
      </c>
      <c r="M93" s="34">
        <v>41671</v>
      </c>
      <c r="N93" s="1">
        <v>297.39999999999998</v>
      </c>
    </row>
    <row r="94" spans="1:14" x14ac:dyDescent="0.25">
      <c r="A94" s="34">
        <v>41699</v>
      </c>
      <c r="B94" s="1">
        <v>1710.3</v>
      </c>
      <c r="C94" s="34">
        <v>41699</v>
      </c>
      <c r="D94" s="1">
        <v>1098</v>
      </c>
      <c r="E94" s="34">
        <v>41699</v>
      </c>
      <c r="F94" s="1">
        <v>6.9</v>
      </c>
      <c r="G94" s="34">
        <v>41699</v>
      </c>
      <c r="H94" s="1">
        <v>1.6</v>
      </c>
      <c r="I94" s="34">
        <v>41699</v>
      </c>
      <c r="J94" s="1">
        <v>196.61</v>
      </c>
      <c r="K94" s="34">
        <v>41699</v>
      </c>
      <c r="L94" s="1">
        <v>1696.2</v>
      </c>
      <c r="M94" s="34">
        <v>41699</v>
      </c>
      <c r="N94" s="1">
        <v>298</v>
      </c>
    </row>
    <row r="95" spans="1:14" x14ac:dyDescent="0.25">
      <c r="A95" s="34">
        <v>41730</v>
      </c>
      <c r="B95" s="1">
        <v>1716.5</v>
      </c>
      <c r="C95" s="34">
        <v>41730</v>
      </c>
      <c r="D95" s="1">
        <v>1529</v>
      </c>
      <c r="E95" s="34">
        <v>41730</v>
      </c>
      <c r="F95" s="1">
        <v>6.8</v>
      </c>
      <c r="G95" s="34">
        <v>41730</v>
      </c>
      <c r="H95" s="1">
        <v>3.08</v>
      </c>
      <c r="I95" s="34">
        <v>41730</v>
      </c>
      <c r="J95" s="1">
        <v>197.34</v>
      </c>
      <c r="K95" s="34">
        <v>41730</v>
      </c>
      <c r="L95" s="1">
        <v>1710.7</v>
      </c>
      <c r="M95" s="34">
        <v>41730</v>
      </c>
      <c r="N95" s="1">
        <v>299.10000000000002</v>
      </c>
    </row>
    <row r="96" spans="1:14" x14ac:dyDescent="0.25">
      <c r="A96" s="34">
        <v>41760</v>
      </c>
      <c r="B96" s="1">
        <v>1720.4</v>
      </c>
      <c r="C96" s="34">
        <v>41760</v>
      </c>
      <c r="D96" s="1">
        <v>2109</v>
      </c>
      <c r="E96" s="34">
        <v>41760</v>
      </c>
      <c r="F96" s="1">
        <v>6.8</v>
      </c>
      <c r="G96" s="34">
        <v>41760</v>
      </c>
      <c r="H96" s="1">
        <v>2.46</v>
      </c>
      <c r="I96" s="34">
        <v>41760</v>
      </c>
      <c r="J96" s="1">
        <v>198.03</v>
      </c>
      <c r="K96" s="34">
        <v>41760</v>
      </c>
      <c r="L96" s="1">
        <v>1724.5</v>
      </c>
      <c r="M96" s="34">
        <v>41760</v>
      </c>
      <c r="N96" s="1">
        <v>302.60000000000002</v>
      </c>
    </row>
    <row r="97" spans="1:14" x14ac:dyDescent="0.25">
      <c r="A97" s="34">
        <v>41791</v>
      </c>
      <c r="B97" s="1">
        <v>1717.4</v>
      </c>
      <c r="C97" s="34">
        <v>41791</v>
      </c>
      <c r="D97" s="1">
        <v>1273</v>
      </c>
      <c r="E97" s="34">
        <v>41791</v>
      </c>
      <c r="F97" s="1">
        <v>6.8</v>
      </c>
      <c r="G97" s="34">
        <v>41791</v>
      </c>
      <c r="H97" s="1">
        <v>1.39</v>
      </c>
      <c r="I97" s="34">
        <v>41791</v>
      </c>
      <c r="J97" s="1">
        <v>198.6</v>
      </c>
      <c r="K97" s="34">
        <v>41791</v>
      </c>
      <c r="L97" s="1">
        <v>1735.4</v>
      </c>
      <c r="M97" s="34">
        <v>41791</v>
      </c>
      <c r="N97" s="1">
        <v>302.8</v>
      </c>
    </row>
    <row r="98" spans="1:14" x14ac:dyDescent="0.25">
      <c r="A98" s="34">
        <v>41821</v>
      </c>
      <c r="B98" s="1">
        <v>1718.7</v>
      </c>
      <c r="C98" s="34">
        <v>41821</v>
      </c>
      <c r="D98" s="1">
        <v>1445</v>
      </c>
      <c r="E98" s="34">
        <v>41821</v>
      </c>
      <c r="F98" s="1">
        <v>6.9</v>
      </c>
      <c r="G98" s="34">
        <v>41821</v>
      </c>
      <c r="H98" s="1">
        <v>0.97</v>
      </c>
      <c r="I98" s="34">
        <v>41821</v>
      </c>
      <c r="J98" s="1">
        <v>198.98</v>
      </c>
      <c r="K98" s="34">
        <v>41821</v>
      </c>
      <c r="L98" s="1">
        <v>1714.5</v>
      </c>
      <c r="M98" s="34">
        <v>41821</v>
      </c>
      <c r="N98" s="1">
        <v>273</v>
      </c>
    </row>
    <row r="99" spans="1:14" x14ac:dyDescent="0.25">
      <c r="A99" s="34">
        <v>41852</v>
      </c>
      <c r="B99" s="1">
        <v>1722.9</v>
      </c>
      <c r="C99" s="34">
        <v>41852</v>
      </c>
      <c r="D99" s="1">
        <v>1050</v>
      </c>
      <c r="E99" s="34">
        <v>41852</v>
      </c>
      <c r="F99" s="1">
        <v>7.1</v>
      </c>
      <c r="G99" s="34">
        <v>41852</v>
      </c>
      <c r="H99" s="1">
        <v>2.41</v>
      </c>
      <c r="I99" s="34">
        <v>41852</v>
      </c>
      <c r="J99" s="1">
        <v>199.36</v>
      </c>
      <c r="K99" s="34">
        <v>41852</v>
      </c>
      <c r="L99" s="1">
        <v>1722.4</v>
      </c>
      <c r="M99" s="34">
        <v>41852</v>
      </c>
      <c r="N99" s="1">
        <v>272</v>
      </c>
    </row>
    <row r="100" spans="1:14" x14ac:dyDescent="0.25">
      <c r="A100" s="34">
        <v>41883</v>
      </c>
      <c r="B100" s="1">
        <v>1723.7</v>
      </c>
      <c r="C100" s="34">
        <v>41883</v>
      </c>
      <c r="D100" s="1">
        <v>1286</v>
      </c>
      <c r="E100" s="34">
        <v>41883</v>
      </c>
      <c r="F100" s="1">
        <v>7</v>
      </c>
      <c r="G100" s="34">
        <v>41883</v>
      </c>
      <c r="H100" s="1">
        <v>4.09</v>
      </c>
      <c r="I100" s="34">
        <v>41883</v>
      </c>
      <c r="J100" s="1">
        <v>200.03</v>
      </c>
      <c r="K100" s="34">
        <v>41883</v>
      </c>
      <c r="L100" s="1">
        <v>1731.5</v>
      </c>
      <c r="M100" s="34">
        <v>41883</v>
      </c>
      <c r="N100" s="1">
        <v>283.8</v>
      </c>
    </row>
    <row r="101" spans="1:14" x14ac:dyDescent="0.25">
      <c r="A101" s="34">
        <v>41913</v>
      </c>
      <c r="B101" s="1">
        <v>1731.1</v>
      </c>
      <c r="C101" s="34">
        <v>41913</v>
      </c>
      <c r="D101" s="1">
        <v>2097</v>
      </c>
      <c r="E101" s="34">
        <v>41913</v>
      </c>
      <c r="F101" s="1">
        <v>7</v>
      </c>
      <c r="G101" s="34">
        <v>41913</v>
      </c>
      <c r="H101" s="1">
        <v>2.19</v>
      </c>
      <c r="I101" s="34">
        <v>41913</v>
      </c>
      <c r="J101" s="1">
        <v>200.86</v>
      </c>
      <c r="K101" s="34">
        <v>41913</v>
      </c>
      <c r="L101" s="1">
        <v>1750.1</v>
      </c>
      <c r="M101" s="34">
        <v>41913</v>
      </c>
      <c r="N101" s="1">
        <v>302</v>
      </c>
    </row>
    <row r="102" spans="1:14" x14ac:dyDescent="0.25">
      <c r="A102" s="34">
        <v>41944</v>
      </c>
      <c r="B102" s="1">
        <v>1739.8</v>
      </c>
      <c r="C102" s="34">
        <v>41944</v>
      </c>
      <c r="D102" s="1">
        <v>969</v>
      </c>
      <c r="E102" s="34">
        <v>41944</v>
      </c>
      <c r="F102" s="1">
        <v>7</v>
      </c>
      <c r="G102" s="34">
        <v>41944</v>
      </c>
      <c r="H102" s="1">
        <v>1.97</v>
      </c>
      <c r="I102" s="34">
        <v>41944</v>
      </c>
      <c r="J102" s="1">
        <v>201.69</v>
      </c>
      <c r="K102" s="34">
        <v>41944</v>
      </c>
      <c r="L102" s="1">
        <v>1754.8</v>
      </c>
      <c r="M102" s="34">
        <v>41944</v>
      </c>
      <c r="N102" s="1">
        <v>305.3</v>
      </c>
    </row>
    <row r="103" spans="1:14" x14ac:dyDescent="0.25">
      <c r="A103" s="34">
        <v>41974</v>
      </c>
      <c r="B103" s="1">
        <v>1748</v>
      </c>
      <c r="E103" s="34">
        <v>41974</v>
      </c>
      <c r="F103" s="1">
        <v>6.7</v>
      </c>
      <c r="K103" s="34">
        <v>41974</v>
      </c>
      <c r="L103" s="1">
        <v>1755.8</v>
      </c>
      <c r="M103" s="34">
        <v>41974</v>
      </c>
      <c r="N103" s="1">
        <v>304.2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P103"/>
  <sheetViews>
    <sheetView topLeftCell="A77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263</v>
      </c>
      <c r="C1" s="34" t="s">
        <v>264</v>
      </c>
      <c r="E1" s="34" t="s">
        <v>265</v>
      </c>
      <c r="G1" s="34" t="s">
        <v>266</v>
      </c>
      <c r="I1" s="34" t="s">
        <v>267</v>
      </c>
      <c r="K1" s="34" t="str">
        <f>CONCATENATE(LEFT(A1,2), "NAN")</f>
        <v>PANAN</v>
      </c>
      <c r="M1" s="34" t="str">
        <f>CONCATENATE(LEFT(A1,2), "GOVTN")</f>
        <v>PAGOVTN</v>
      </c>
      <c r="O1" s="34" t="str">
        <f>CONCATENATE(LEFT($A$1,2), "RGSP")</f>
        <v>PARGSP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920</v>
      </c>
      <c r="C5" s="35" t="s">
        <v>367</v>
      </c>
      <c r="E5" s="35" t="s">
        <v>368</v>
      </c>
      <c r="G5" s="35" t="s">
        <v>369</v>
      </c>
      <c r="I5" s="35" t="s">
        <v>370</v>
      </c>
      <c r="K5" s="35" t="s">
        <v>920</v>
      </c>
      <c r="M5" s="35" t="s">
        <v>921</v>
      </c>
      <c r="O5" s="35" t="s">
        <v>782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5788.7</v>
      </c>
      <c r="C8" s="34">
        <v>39083</v>
      </c>
      <c r="D8" s="1">
        <v>2666</v>
      </c>
      <c r="E8" s="34">
        <v>39083</v>
      </c>
      <c r="F8" s="1">
        <v>4.2</v>
      </c>
      <c r="G8" s="34">
        <v>39083</v>
      </c>
      <c r="H8" s="1">
        <v>0.95</v>
      </c>
      <c r="I8" s="34">
        <v>39083</v>
      </c>
      <c r="J8" s="1">
        <v>140.47</v>
      </c>
      <c r="K8" s="34">
        <v>39083</v>
      </c>
      <c r="L8" s="1">
        <v>5681.8</v>
      </c>
      <c r="M8" s="34">
        <v>39083</v>
      </c>
      <c r="N8" s="1">
        <v>752</v>
      </c>
      <c r="O8" s="34">
        <v>39083</v>
      </c>
      <c r="P8" s="1">
        <v>581364</v>
      </c>
    </row>
    <row r="9" spans="1:16" x14ac:dyDescent="0.25">
      <c r="A9" s="34">
        <v>39114</v>
      </c>
      <c r="B9" s="1">
        <v>5777.8</v>
      </c>
      <c r="C9" s="34">
        <v>39114</v>
      </c>
      <c r="D9" s="1">
        <v>1772</v>
      </c>
      <c r="E9" s="34">
        <v>39114</v>
      </c>
      <c r="F9" s="1">
        <v>4.2</v>
      </c>
      <c r="G9" s="34">
        <v>39114</v>
      </c>
      <c r="H9" s="1">
        <v>0.46</v>
      </c>
      <c r="I9" s="34">
        <v>39114</v>
      </c>
      <c r="J9" s="1">
        <v>140.51</v>
      </c>
      <c r="K9" s="34">
        <v>39114</v>
      </c>
      <c r="L9" s="1">
        <v>5693</v>
      </c>
      <c r="M9" s="34">
        <v>39114</v>
      </c>
      <c r="N9" s="1">
        <v>771.3</v>
      </c>
      <c r="O9" s="34">
        <v>39448</v>
      </c>
      <c r="P9" s="1">
        <v>583636</v>
      </c>
    </row>
    <row r="10" spans="1:16" x14ac:dyDescent="0.25">
      <c r="A10" s="34">
        <v>39142</v>
      </c>
      <c r="B10" s="1">
        <v>5794.3</v>
      </c>
      <c r="C10" s="34">
        <v>39142</v>
      </c>
      <c r="D10" s="1">
        <v>3100</v>
      </c>
      <c r="E10" s="34">
        <v>39142</v>
      </c>
      <c r="F10" s="1">
        <v>4.2</v>
      </c>
      <c r="G10" s="34">
        <v>39142</v>
      </c>
      <c r="H10" s="1">
        <v>0.45</v>
      </c>
      <c r="I10" s="34">
        <v>39142</v>
      </c>
      <c r="J10" s="1">
        <v>140.9</v>
      </c>
      <c r="K10" s="34">
        <v>39142</v>
      </c>
      <c r="L10" s="1">
        <v>5744.4</v>
      </c>
      <c r="M10" s="34">
        <v>39142</v>
      </c>
      <c r="N10" s="1">
        <v>774.6</v>
      </c>
      <c r="O10" s="34">
        <v>39814</v>
      </c>
      <c r="P10" s="1">
        <v>571503</v>
      </c>
    </row>
    <row r="11" spans="1:16" x14ac:dyDescent="0.25">
      <c r="A11" s="34">
        <v>39173</v>
      </c>
      <c r="B11" s="1">
        <v>5791.3</v>
      </c>
      <c r="C11" s="34">
        <v>39173</v>
      </c>
      <c r="D11" s="1">
        <v>3582</v>
      </c>
      <c r="E11" s="34">
        <v>39173</v>
      </c>
      <c r="F11" s="1">
        <v>4.2</v>
      </c>
      <c r="G11" s="34">
        <v>39173</v>
      </c>
      <c r="H11" s="1">
        <v>0.32</v>
      </c>
      <c r="I11" s="34">
        <v>39173</v>
      </c>
      <c r="J11" s="1">
        <v>140.9</v>
      </c>
      <c r="K11" s="34">
        <v>39173</v>
      </c>
      <c r="L11" s="1">
        <v>5795.5</v>
      </c>
      <c r="M11" s="34">
        <v>39173</v>
      </c>
      <c r="N11" s="1">
        <v>775.4</v>
      </c>
      <c r="O11" s="34">
        <v>40179</v>
      </c>
      <c r="P11" s="1">
        <v>584412</v>
      </c>
    </row>
    <row r="12" spans="1:16" x14ac:dyDescent="0.25">
      <c r="A12" s="34">
        <v>39203</v>
      </c>
      <c r="B12" s="1">
        <v>5799.1</v>
      </c>
      <c r="C12" s="34">
        <v>39203</v>
      </c>
      <c r="D12" s="1">
        <v>3347</v>
      </c>
      <c r="E12" s="34">
        <v>39203</v>
      </c>
      <c r="F12" s="1">
        <v>4.3</v>
      </c>
      <c r="G12" s="34">
        <v>39203</v>
      </c>
      <c r="H12" s="1">
        <v>0.14000000000000001</v>
      </c>
      <c r="I12" s="34">
        <v>39203</v>
      </c>
      <c r="J12" s="1">
        <v>141.04</v>
      </c>
      <c r="K12" s="34">
        <v>39203</v>
      </c>
      <c r="L12" s="1">
        <v>5840.2</v>
      </c>
      <c r="M12" s="34">
        <v>39203</v>
      </c>
      <c r="N12" s="1">
        <v>771.3</v>
      </c>
      <c r="O12" s="34">
        <v>40544</v>
      </c>
      <c r="P12" s="1">
        <v>592630</v>
      </c>
    </row>
    <row r="13" spans="1:16" x14ac:dyDescent="0.25">
      <c r="A13" s="34">
        <v>39234</v>
      </c>
      <c r="B13" s="1">
        <v>5809.5</v>
      </c>
      <c r="C13" s="34">
        <v>39234</v>
      </c>
      <c r="D13" s="1">
        <v>3534</v>
      </c>
      <c r="E13" s="34">
        <v>39234</v>
      </c>
      <c r="F13" s="1">
        <v>4.3</v>
      </c>
      <c r="G13" s="34">
        <v>39234</v>
      </c>
      <c r="H13" s="1">
        <v>0.49</v>
      </c>
      <c r="I13" s="34">
        <v>39234</v>
      </c>
      <c r="J13" s="1">
        <v>141.22999999999999</v>
      </c>
      <c r="K13" s="34">
        <v>39234</v>
      </c>
      <c r="L13" s="1">
        <v>5855.9</v>
      </c>
      <c r="M13" s="34">
        <v>39234</v>
      </c>
      <c r="N13" s="1">
        <v>752.1</v>
      </c>
      <c r="O13" s="34">
        <v>40909</v>
      </c>
      <c r="P13" s="1">
        <v>599523</v>
      </c>
    </row>
    <row r="14" spans="1:16" x14ac:dyDescent="0.25">
      <c r="A14" s="34">
        <v>39264</v>
      </c>
      <c r="B14" s="1">
        <v>5809.2</v>
      </c>
      <c r="C14" s="34">
        <v>39264</v>
      </c>
      <c r="D14" s="1">
        <v>3047</v>
      </c>
      <c r="E14" s="34">
        <v>39264</v>
      </c>
      <c r="F14" s="1">
        <v>4.3</v>
      </c>
      <c r="G14" s="34">
        <v>39264</v>
      </c>
      <c r="H14" s="1">
        <v>0.44</v>
      </c>
      <c r="I14" s="34">
        <v>39264</v>
      </c>
      <c r="J14" s="1">
        <v>141.25</v>
      </c>
      <c r="K14" s="34">
        <v>39264</v>
      </c>
      <c r="L14" s="1">
        <v>5787.6</v>
      </c>
      <c r="M14" s="34">
        <v>39264</v>
      </c>
      <c r="N14" s="1">
        <v>698.4</v>
      </c>
      <c r="O14" s="34">
        <v>41275</v>
      </c>
      <c r="P14" s="1">
        <v>603872</v>
      </c>
    </row>
    <row r="15" spans="1:16" x14ac:dyDescent="0.25">
      <c r="A15" s="34">
        <v>39295</v>
      </c>
      <c r="B15" s="1">
        <v>5805.3</v>
      </c>
      <c r="C15" s="34">
        <v>39295</v>
      </c>
      <c r="D15" s="1">
        <v>3989</v>
      </c>
      <c r="E15" s="34">
        <v>39295</v>
      </c>
      <c r="F15" s="1">
        <v>4.4000000000000004</v>
      </c>
      <c r="G15" s="34">
        <v>39295</v>
      </c>
      <c r="H15" s="1">
        <v>-0.04</v>
      </c>
      <c r="I15" s="34">
        <v>39295</v>
      </c>
      <c r="J15" s="1">
        <v>141.29</v>
      </c>
      <c r="K15" s="34">
        <v>39295</v>
      </c>
      <c r="L15" s="1">
        <v>5779.3</v>
      </c>
      <c r="M15" s="34">
        <v>39295</v>
      </c>
      <c r="N15" s="1">
        <v>695.4</v>
      </c>
    </row>
    <row r="16" spans="1:16" x14ac:dyDescent="0.25">
      <c r="A16" s="34">
        <v>39326</v>
      </c>
      <c r="B16" s="1">
        <v>5798.4</v>
      </c>
      <c r="C16" s="34">
        <v>39326</v>
      </c>
      <c r="D16" s="1">
        <v>2689</v>
      </c>
      <c r="E16" s="34">
        <v>39326</v>
      </c>
      <c r="F16" s="1">
        <v>4.4000000000000004</v>
      </c>
      <c r="G16" s="34">
        <v>39326</v>
      </c>
      <c r="H16" s="1">
        <v>0.15</v>
      </c>
      <c r="I16" s="34">
        <v>39326</v>
      </c>
      <c r="J16" s="1">
        <v>141.34</v>
      </c>
      <c r="K16" s="34">
        <v>39326</v>
      </c>
      <c r="L16" s="1">
        <v>5821.1</v>
      </c>
      <c r="M16" s="34">
        <v>39326</v>
      </c>
      <c r="N16" s="1">
        <v>749.8</v>
      </c>
    </row>
    <row r="17" spans="1:14" x14ac:dyDescent="0.25">
      <c r="A17" s="34">
        <v>39356</v>
      </c>
      <c r="B17" s="1">
        <v>5810.1</v>
      </c>
      <c r="C17" s="34">
        <v>39356</v>
      </c>
      <c r="D17" s="1">
        <v>2728</v>
      </c>
      <c r="E17" s="34">
        <v>39356</v>
      </c>
      <c r="F17" s="1">
        <v>4.5</v>
      </c>
      <c r="G17" s="34">
        <v>39356</v>
      </c>
      <c r="H17" s="1">
        <v>-0.06</v>
      </c>
      <c r="I17" s="34">
        <v>39356</v>
      </c>
      <c r="J17" s="1">
        <v>141.27000000000001</v>
      </c>
      <c r="K17" s="34">
        <v>39356</v>
      </c>
      <c r="L17" s="1">
        <v>5863.5</v>
      </c>
      <c r="M17" s="34">
        <v>39356</v>
      </c>
      <c r="N17" s="1">
        <v>770.3</v>
      </c>
    </row>
    <row r="18" spans="1:14" x14ac:dyDescent="0.25">
      <c r="A18" s="34">
        <v>39387</v>
      </c>
      <c r="B18" s="1">
        <v>5814</v>
      </c>
      <c r="C18" s="34">
        <v>39387</v>
      </c>
      <c r="D18" s="1">
        <v>1903</v>
      </c>
      <c r="E18" s="34">
        <v>39387</v>
      </c>
      <c r="F18" s="1">
        <v>4.5999999999999996</v>
      </c>
      <c r="G18" s="34">
        <v>39387</v>
      </c>
      <c r="H18" s="1">
        <v>-0.1</v>
      </c>
      <c r="I18" s="34">
        <v>39387</v>
      </c>
      <c r="J18" s="1">
        <v>141.34</v>
      </c>
      <c r="K18" s="34">
        <v>39387</v>
      </c>
      <c r="L18" s="1">
        <v>5877.9</v>
      </c>
      <c r="M18" s="34">
        <v>39387</v>
      </c>
      <c r="N18" s="1">
        <v>775.6</v>
      </c>
    </row>
    <row r="19" spans="1:14" x14ac:dyDescent="0.25">
      <c r="A19" s="34">
        <v>39417</v>
      </c>
      <c r="B19" s="1">
        <v>5812.9</v>
      </c>
      <c r="C19" s="34">
        <v>39417</v>
      </c>
      <c r="D19" s="1">
        <v>1599</v>
      </c>
      <c r="E19" s="34">
        <v>39417</v>
      </c>
      <c r="F19" s="1">
        <v>4.5999999999999996</v>
      </c>
      <c r="G19" s="34">
        <v>39417</v>
      </c>
      <c r="H19" s="1">
        <v>-0.04</v>
      </c>
      <c r="I19" s="34">
        <v>39417</v>
      </c>
      <c r="J19" s="1">
        <v>141.38</v>
      </c>
      <c r="K19" s="34">
        <v>39417</v>
      </c>
      <c r="L19" s="1">
        <v>5867.8</v>
      </c>
      <c r="M19" s="34">
        <v>39417</v>
      </c>
      <c r="N19" s="1">
        <v>771.1</v>
      </c>
    </row>
    <row r="20" spans="1:14" x14ac:dyDescent="0.25">
      <c r="A20" s="34">
        <v>39448</v>
      </c>
      <c r="B20" s="1">
        <v>5822.2</v>
      </c>
      <c r="C20" s="34">
        <v>39448</v>
      </c>
      <c r="D20" s="1">
        <v>1746</v>
      </c>
      <c r="E20" s="34">
        <v>39448</v>
      </c>
      <c r="F20" s="1">
        <v>4.7</v>
      </c>
      <c r="G20" s="34">
        <v>39448</v>
      </c>
      <c r="H20" s="1">
        <v>-0.24</v>
      </c>
      <c r="I20" s="34">
        <v>39448</v>
      </c>
      <c r="J20" s="1">
        <v>141.34</v>
      </c>
      <c r="K20" s="34">
        <v>39448</v>
      </c>
      <c r="L20" s="1">
        <v>5714.6</v>
      </c>
      <c r="M20" s="34">
        <v>39448</v>
      </c>
      <c r="N20" s="1">
        <v>753.5</v>
      </c>
    </row>
    <row r="21" spans="1:14" x14ac:dyDescent="0.25">
      <c r="A21" s="34">
        <v>39479</v>
      </c>
      <c r="B21" s="1">
        <v>5819.2</v>
      </c>
      <c r="C21" s="34">
        <v>39479</v>
      </c>
      <c r="D21" s="1">
        <v>1695</v>
      </c>
      <c r="E21" s="34">
        <v>39479</v>
      </c>
      <c r="F21" s="1">
        <v>4.8</v>
      </c>
      <c r="G21" s="34">
        <v>39479</v>
      </c>
      <c r="H21" s="1">
        <v>-0.3</v>
      </c>
      <c r="I21" s="34">
        <v>39479</v>
      </c>
      <c r="J21" s="1">
        <v>141.35</v>
      </c>
      <c r="K21" s="34">
        <v>39479</v>
      </c>
      <c r="L21" s="1">
        <v>5734.8</v>
      </c>
      <c r="M21" s="34">
        <v>39479</v>
      </c>
      <c r="N21" s="1">
        <v>772.1</v>
      </c>
    </row>
    <row r="22" spans="1:14" x14ac:dyDescent="0.25">
      <c r="A22" s="34">
        <v>39508</v>
      </c>
      <c r="B22" s="1">
        <v>5813.4</v>
      </c>
      <c r="C22" s="34">
        <v>39508</v>
      </c>
      <c r="D22" s="1">
        <v>2099</v>
      </c>
      <c r="E22" s="34">
        <v>39508</v>
      </c>
      <c r="F22" s="1">
        <v>4.8</v>
      </c>
      <c r="G22" s="34">
        <v>39508</v>
      </c>
      <c r="H22" s="1">
        <v>-0.28000000000000003</v>
      </c>
      <c r="I22" s="34">
        <v>39508</v>
      </c>
      <c r="J22" s="1">
        <v>141.27000000000001</v>
      </c>
      <c r="K22" s="34">
        <v>39508</v>
      </c>
      <c r="L22" s="1">
        <v>5763.2</v>
      </c>
      <c r="M22" s="34">
        <v>39508</v>
      </c>
      <c r="N22" s="1">
        <v>775.4</v>
      </c>
    </row>
    <row r="23" spans="1:14" x14ac:dyDescent="0.25">
      <c r="A23" s="34">
        <v>39539</v>
      </c>
      <c r="B23" s="1">
        <v>5824.3</v>
      </c>
      <c r="C23" s="34">
        <v>39539</v>
      </c>
      <c r="D23" s="1">
        <v>2383</v>
      </c>
      <c r="E23" s="34">
        <v>39539</v>
      </c>
      <c r="F23" s="1">
        <v>5</v>
      </c>
      <c r="G23" s="34">
        <v>39539</v>
      </c>
      <c r="H23" s="1">
        <v>-0.48</v>
      </c>
      <c r="I23" s="34">
        <v>39539</v>
      </c>
      <c r="J23" s="1">
        <v>141.13999999999999</v>
      </c>
      <c r="K23" s="34">
        <v>39539</v>
      </c>
      <c r="L23" s="1">
        <v>5829.5</v>
      </c>
      <c r="M23" s="34">
        <v>39539</v>
      </c>
      <c r="N23" s="1">
        <v>778.3</v>
      </c>
    </row>
    <row r="24" spans="1:14" x14ac:dyDescent="0.25">
      <c r="A24" s="34">
        <v>39569</v>
      </c>
      <c r="B24" s="1">
        <v>5820.7</v>
      </c>
      <c r="C24" s="34">
        <v>39569</v>
      </c>
      <c r="D24" s="1">
        <v>2423</v>
      </c>
      <c r="E24" s="34">
        <v>39569</v>
      </c>
      <c r="F24" s="1">
        <v>5</v>
      </c>
      <c r="G24" s="34">
        <v>39569</v>
      </c>
      <c r="H24" s="1">
        <v>-0.25</v>
      </c>
      <c r="I24" s="34">
        <v>39569</v>
      </c>
      <c r="J24" s="1">
        <v>141.05000000000001</v>
      </c>
      <c r="K24" s="34">
        <v>39569</v>
      </c>
      <c r="L24" s="1">
        <v>5864.8</v>
      </c>
      <c r="M24" s="34">
        <v>39569</v>
      </c>
      <c r="N24" s="1">
        <v>771.2</v>
      </c>
    </row>
    <row r="25" spans="1:14" x14ac:dyDescent="0.25">
      <c r="A25" s="34">
        <v>39600</v>
      </c>
      <c r="B25" s="1">
        <v>5817</v>
      </c>
      <c r="C25" s="34">
        <v>39600</v>
      </c>
      <c r="D25" s="1">
        <v>2357</v>
      </c>
      <c r="E25" s="34">
        <v>39600</v>
      </c>
      <c r="F25" s="1">
        <v>5.2</v>
      </c>
      <c r="G25" s="34">
        <v>39600</v>
      </c>
      <c r="H25" s="1">
        <v>-0.61</v>
      </c>
      <c r="I25" s="34">
        <v>39600</v>
      </c>
      <c r="J25" s="1">
        <v>140.69</v>
      </c>
      <c r="K25" s="34">
        <v>39600</v>
      </c>
      <c r="L25" s="1">
        <v>5858.5</v>
      </c>
      <c r="M25" s="34">
        <v>39600</v>
      </c>
      <c r="N25" s="1">
        <v>755.4</v>
      </c>
    </row>
    <row r="26" spans="1:14" x14ac:dyDescent="0.25">
      <c r="A26" s="34">
        <v>39630</v>
      </c>
      <c r="B26" s="1">
        <v>5809.6</v>
      </c>
      <c r="C26" s="34">
        <v>39630</v>
      </c>
      <c r="D26" s="1">
        <v>2040</v>
      </c>
      <c r="E26" s="34">
        <v>39630</v>
      </c>
      <c r="F26" s="1">
        <v>5.3</v>
      </c>
      <c r="G26" s="34">
        <v>39630</v>
      </c>
      <c r="H26" s="1">
        <v>-1</v>
      </c>
      <c r="I26" s="34">
        <v>39630</v>
      </c>
      <c r="J26" s="1">
        <v>140.41</v>
      </c>
      <c r="K26" s="34">
        <v>39630</v>
      </c>
      <c r="L26" s="1">
        <v>5786.1</v>
      </c>
      <c r="M26" s="34">
        <v>39630</v>
      </c>
      <c r="N26" s="1">
        <v>697.6</v>
      </c>
    </row>
    <row r="27" spans="1:14" x14ac:dyDescent="0.25">
      <c r="A27" s="34">
        <v>39661</v>
      </c>
      <c r="B27" s="1">
        <v>5808.7</v>
      </c>
      <c r="C27" s="34">
        <v>39661</v>
      </c>
      <c r="D27" s="1">
        <v>1966</v>
      </c>
      <c r="E27" s="34">
        <v>39661</v>
      </c>
      <c r="F27" s="1">
        <v>5.4</v>
      </c>
      <c r="G27" s="34">
        <v>39661</v>
      </c>
      <c r="H27" s="1">
        <v>-0.84</v>
      </c>
      <c r="I27" s="34">
        <v>39661</v>
      </c>
      <c r="J27" s="1">
        <v>140.11000000000001</v>
      </c>
      <c r="K27" s="34">
        <v>39661</v>
      </c>
      <c r="L27" s="1">
        <v>5780</v>
      </c>
      <c r="M27" s="34">
        <v>39661</v>
      </c>
      <c r="N27" s="1">
        <v>700.2</v>
      </c>
    </row>
    <row r="28" spans="1:14" x14ac:dyDescent="0.25">
      <c r="A28" s="34">
        <v>39692</v>
      </c>
      <c r="B28" s="1">
        <v>5801.7</v>
      </c>
      <c r="C28" s="34">
        <v>39692</v>
      </c>
      <c r="D28" s="1">
        <v>1820</v>
      </c>
      <c r="E28" s="34">
        <v>39692</v>
      </c>
      <c r="F28" s="1">
        <v>5.6</v>
      </c>
      <c r="G28" s="34">
        <v>39692</v>
      </c>
      <c r="H28" s="1">
        <v>-1.62</v>
      </c>
      <c r="I28" s="34">
        <v>39692</v>
      </c>
      <c r="J28" s="1">
        <v>139.41999999999999</v>
      </c>
      <c r="K28" s="34">
        <v>39692</v>
      </c>
      <c r="L28" s="1">
        <v>5822.1</v>
      </c>
      <c r="M28" s="34">
        <v>39692</v>
      </c>
      <c r="N28" s="1">
        <v>762.6</v>
      </c>
    </row>
    <row r="29" spans="1:14" x14ac:dyDescent="0.25">
      <c r="A29" s="34">
        <v>39722</v>
      </c>
      <c r="B29" s="1">
        <v>5782.6</v>
      </c>
      <c r="C29" s="34">
        <v>39722</v>
      </c>
      <c r="D29" s="1">
        <v>1883</v>
      </c>
      <c r="E29" s="34">
        <v>39722</v>
      </c>
      <c r="F29" s="1">
        <v>5.9</v>
      </c>
      <c r="G29" s="34">
        <v>39722</v>
      </c>
      <c r="H29" s="1">
        <v>-2.14</v>
      </c>
      <c r="I29" s="34">
        <v>39722</v>
      </c>
      <c r="J29" s="1">
        <v>138.88</v>
      </c>
      <c r="K29" s="34">
        <v>39722</v>
      </c>
      <c r="L29" s="1">
        <v>5848</v>
      </c>
      <c r="M29" s="34">
        <v>39722</v>
      </c>
      <c r="N29" s="1">
        <v>782.7</v>
      </c>
    </row>
    <row r="30" spans="1:14" x14ac:dyDescent="0.25">
      <c r="A30" s="34">
        <v>39753</v>
      </c>
      <c r="B30" s="1">
        <v>5758.7</v>
      </c>
      <c r="C30" s="34">
        <v>39753</v>
      </c>
      <c r="D30" s="1">
        <v>1160</v>
      </c>
      <c r="E30" s="34">
        <v>39753</v>
      </c>
      <c r="F30" s="1">
        <v>6.2</v>
      </c>
      <c r="G30" s="34">
        <v>39753</v>
      </c>
      <c r="H30" s="1">
        <v>-2.8</v>
      </c>
      <c r="I30" s="34">
        <v>39753</v>
      </c>
      <c r="J30" s="1">
        <v>137.83000000000001</v>
      </c>
      <c r="K30" s="34">
        <v>39753</v>
      </c>
      <c r="L30" s="1">
        <v>5825.6</v>
      </c>
      <c r="M30" s="34">
        <v>39753</v>
      </c>
      <c r="N30" s="1">
        <v>787</v>
      </c>
    </row>
    <row r="31" spans="1:14" x14ac:dyDescent="0.25">
      <c r="A31" s="34">
        <v>39783</v>
      </c>
      <c r="B31" s="1">
        <v>5741.8</v>
      </c>
      <c r="C31" s="34">
        <v>39783</v>
      </c>
      <c r="D31" s="1">
        <v>992</v>
      </c>
      <c r="E31" s="34">
        <v>39783</v>
      </c>
      <c r="F31" s="1">
        <v>6.5</v>
      </c>
      <c r="G31" s="34">
        <v>39783</v>
      </c>
      <c r="H31" s="1">
        <v>-2.76</v>
      </c>
      <c r="I31" s="34">
        <v>39783</v>
      </c>
      <c r="J31" s="1">
        <v>137.09</v>
      </c>
      <c r="K31" s="34">
        <v>39783</v>
      </c>
      <c r="L31" s="1">
        <v>5797.4</v>
      </c>
      <c r="M31" s="34">
        <v>39783</v>
      </c>
      <c r="N31" s="1">
        <v>780.4</v>
      </c>
    </row>
    <row r="32" spans="1:14" x14ac:dyDescent="0.25">
      <c r="A32" s="34">
        <v>39814</v>
      </c>
      <c r="B32" s="1">
        <v>5709.9</v>
      </c>
      <c r="C32" s="34">
        <v>39814</v>
      </c>
      <c r="D32" s="1">
        <v>949</v>
      </c>
      <c r="E32" s="34">
        <v>39814</v>
      </c>
      <c r="F32" s="1">
        <v>6.8</v>
      </c>
      <c r="G32" s="34">
        <v>39814</v>
      </c>
      <c r="H32" s="1">
        <v>-3.23</v>
      </c>
      <c r="I32" s="34">
        <v>39814</v>
      </c>
      <c r="J32" s="1">
        <v>135.84</v>
      </c>
      <c r="K32" s="34">
        <v>39814</v>
      </c>
      <c r="L32" s="1">
        <v>5603.4</v>
      </c>
      <c r="M32" s="34">
        <v>39814</v>
      </c>
      <c r="N32" s="1">
        <v>760.6</v>
      </c>
    </row>
    <row r="33" spans="1:14" x14ac:dyDescent="0.25">
      <c r="A33" s="34">
        <v>39845</v>
      </c>
      <c r="B33" s="1">
        <v>5689.7</v>
      </c>
      <c r="C33" s="34">
        <v>39845</v>
      </c>
      <c r="D33" s="1">
        <v>927</v>
      </c>
      <c r="E33" s="34">
        <v>39845</v>
      </c>
      <c r="F33" s="1">
        <v>7.1</v>
      </c>
      <c r="G33" s="34">
        <v>39845</v>
      </c>
      <c r="H33" s="1">
        <v>-3.5</v>
      </c>
      <c r="I33" s="34">
        <v>39845</v>
      </c>
      <c r="J33" s="1">
        <v>134.94</v>
      </c>
      <c r="K33" s="34">
        <v>39845</v>
      </c>
      <c r="L33" s="1">
        <v>5607.3</v>
      </c>
      <c r="M33" s="34">
        <v>39845</v>
      </c>
      <c r="N33" s="1">
        <v>781.3</v>
      </c>
    </row>
    <row r="34" spans="1:14" x14ac:dyDescent="0.25">
      <c r="A34" s="34">
        <v>39873</v>
      </c>
      <c r="B34" s="1">
        <v>5654.6</v>
      </c>
      <c r="C34" s="34">
        <v>39873</v>
      </c>
      <c r="D34" s="1">
        <v>1360</v>
      </c>
      <c r="E34" s="34">
        <v>39873</v>
      </c>
      <c r="F34" s="1">
        <v>7.4</v>
      </c>
      <c r="G34" s="34">
        <v>39873</v>
      </c>
      <c r="H34" s="1">
        <v>-3.4</v>
      </c>
      <c r="I34" s="34">
        <v>39873</v>
      </c>
      <c r="J34" s="1">
        <v>133.77000000000001</v>
      </c>
      <c r="K34" s="34">
        <v>39873</v>
      </c>
      <c r="L34" s="1">
        <v>5606.6</v>
      </c>
      <c r="M34" s="34">
        <v>39873</v>
      </c>
      <c r="N34" s="1">
        <v>783.5</v>
      </c>
    </row>
    <row r="35" spans="1:14" x14ac:dyDescent="0.25">
      <c r="A35" s="34">
        <v>39904</v>
      </c>
      <c r="B35" s="1">
        <v>5626.1</v>
      </c>
      <c r="C35" s="34">
        <v>39904</v>
      </c>
      <c r="D35" s="1">
        <v>1471</v>
      </c>
      <c r="E35" s="34">
        <v>39904</v>
      </c>
      <c r="F35" s="1">
        <v>7.7</v>
      </c>
      <c r="G35" s="34">
        <v>39904</v>
      </c>
      <c r="H35" s="1">
        <v>-3.35</v>
      </c>
      <c r="I35" s="34">
        <v>39904</v>
      </c>
      <c r="J35" s="1">
        <v>132.80000000000001</v>
      </c>
      <c r="K35" s="34">
        <v>39904</v>
      </c>
      <c r="L35" s="1">
        <v>5636.7</v>
      </c>
      <c r="M35" s="34">
        <v>39904</v>
      </c>
      <c r="N35" s="1">
        <v>790.4</v>
      </c>
    </row>
    <row r="36" spans="1:14" x14ac:dyDescent="0.25">
      <c r="A36" s="34">
        <v>39934</v>
      </c>
      <c r="B36" s="1">
        <v>5621.3</v>
      </c>
      <c r="C36" s="34">
        <v>39934</v>
      </c>
      <c r="D36" s="1">
        <v>1253</v>
      </c>
      <c r="E36" s="34">
        <v>39934</v>
      </c>
      <c r="F36" s="1">
        <v>7.9</v>
      </c>
      <c r="G36" s="34">
        <v>39934</v>
      </c>
      <c r="H36" s="1">
        <v>-2.29</v>
      </c>
      <c r="I36" s="34">
        <v>39934</v>
      </c>
      <c r="J36" s="1">
        <v>132.03</v>
      </c>
      <c r="K36" s="34">
        <v>39934</v>
      </c>
      <c r="L36" s="1">
        <v>5662.5</v>
      </c>
      <c r="M36" s="34">
        <v>39934</v>
      </c>
      <c r="N36" s="1">
        <v>781</v>
      </c>
    </row>
    <row r="37" spans="1:14" x14ac:dyDescent="0.25">
      <c r="A37" s="34">
        <v>39965</v>
      </c>
      <c r="B37" s="1">
        <v>5606.2</v>
      </c>
      <c r="C37" s="34">
        <v>39965</v>
      </c>
      <c r="D37" s="1">
        <v>1552</v>
      </c>
      <c r="E37" s="34">
        <v>39965</v>
      </c>
      <c r="F37" s="1">
        <v>8</v>
      </c>
      <c r="G37" s="34">
        <v>39965</v>
      </c>
      <c r="H37" s="1">
        <v>-1.48</v>
      </c>
      <c r="I37" s="34">
        <v>39965</v>
      </c>
      <c r="J37" s="1">
        <v>131.38999999999999</v>
      </c>
      <c r="K37" s="34">
        <v>39965</v>
      </c>
      <c r="L37" s="1">
        <v>5643.7</v>
      </c>
      <c r="M37" s="34">
        <v>39965</v>
      </c>
      <c r="N37" s="1">
        <v>764.5</v>
      </c>
    </row>
    <row r="38" spans="1:14" x14ac:dyDescent="0.25">
      <c r="A38" s="34">
        <v>39995</v>
      </c>
      <c r="B38" s="1">
        <v>5591.5</v>
      </c>
      <c r="C38" s="34">
        <v>39995</v>
      </c>
      <c r="D38" s="1">
        <v>1743</v>
      </c>
      <c r="E38" s="34">
        <v>39995</v>
      </c>
      <c r="F38" s="1">
        <v>8.1999999999999993</v>
      </c>
      <c r="G38" s="34">
        <v>39995</v>
      </c>
      <c r="H38" s="1">
        <v>-0.85</v>
      </c>
      <c r="I38" s="34">
        <v>39995</v>
      </c>
      <c r="J38" s="1">
        <v>130.88</v>
      </c>
      <c r="K38" s="34">
        <v>39995</v>
      </c>
      <c r="L38" s="1">
        <v>5570.1</v>
      </c>
      <c r="M38" s="34">
        <v>39995</v>
      </c>
      <c r="N38" s="1">
        <v>713.7</v>
      </c>
    </row>
    <row r="39" spans="1:14" x14ac:dyDescent="0.25">
      <c r="A39" s="34">
        <v>40026</v>
      </c>
      <c r="B39" s="1">
        <v>5583.9</v>
      </c>
      <c r="C39" s="34">
        <v>40026</v>
      </c>
      <c r="D39" s="1">
        <v>1790</v>
      </c>
      <c r="E39" s="34">
        <v>40026</v>
      </c>
      <c r="F39" s="1">
        <v>8.3000000000000007</v>
      </c>
      <c r="G39" s="34">
        <v>40026</v>
      </c>
      <c r="H39" s="1">
        <v>-0.33</v>
      </c>
      <c r="I39" s="34">
        <v>40026</v>
      </c>
      <c r="J39" s="1">
        <v>130.51</v>
      </c>
      <c r="K39" s="34">
        <v>40026</v>
      </c>
      <c r="L39" s="1">
        <v>5551.2</v>
      </c>
      <c r="M39" s="34">
        <v>40026</v>
      </c>
      <c r="N39" s="1">
        <v>707.5</v>
      </c>
    </row>
    <row r="40" spans="1:14" x14ac:dyDescent="0.25">
      <c r="A40" s="34">
        <v>40057</v>
      </c>
      <c r="B40" s="1">
        <v>5581</v>
      </c>
      <c r="C40" s="34">
        <v>40057</v>
      </c>
      <c r="D40" s="1">
        <v>1846</v>
      </c>
      <c r="E40" s="34">
        <v>40057</v>
      </c>
      <c r="F40" s="1">
        <v>8.4</v>
      </c>
      <c r="G40" s="34">
        <v>40057</v>
      </c>
      <c r="H40" s="1">
        <v>0.16</v>
      </c>
      <c r="I40" s="34">
        <v>40057</v>
      </c>
      <c r="J40" s="1">
        <v>130.31</v>
      </c>
      <c r="K40" s="34">
        <v>40057</v>
      </c>
      <c r="L40" s="1">
        <v>5600</v>
      </c>
      <c r="M40" s="34">
        <v>40057</v>
      </c>
      <c r="N40" s="1">
        <v>767.8</v>
      </c>
    </row>
    <row r="41" spans="1:14" x14ac:dyDescent="0.25">
      <c r="A41" s="34">
        <v>40087</v>
      </c>
      <c r="B41" s="1">
        <v>5580.9</v>
      </c>
      <c r="C41" s="34">
        <v>40087</v>
      </c>
      <c r="D41" s="1">
        <v>1698</v>
      </c>
      <c r="E41" s="34">
        <v>40087</v>
      </c>
      <c r="F41" s="1">
        <v>8.4</v>
      </c>
      <c r="G41" s="34">
        <v>40087</v>
      </c>
      <c r="H41" s="1">
        <v>0.51</v>
      </c>
      <c r="I41" s="34">
        <v>40087</v>
      </c>
      <c r="J41" s="1">
        <v>130.25</v>
      </c>
      <c r="K41" s="34">
        <v>40087</v>
      </c>
      <c r="L41" s="1">
        <v>5647.5</v>
      </c>
      <c r="M41" s="34">
        <v>40087</v>
      </c>
      <c r="N41" s="1">
        <v>787.8</v>
      </c>
    </row>
    <row r="42" spans="1:14" x14ac:dyDescent="0.25">
      <c r="A42" s="34">
        <v>40118</v>
      </c>
      <c r="B42" s="1">
        <v>5585</v>
      </c>
      <c r="C42" s="34">
        <v>40118</v>
      </c>
      <c r="D42" s="1">
        <v>1268</v>
      </c>
      <c r="E42" s="34">
        <v>40118</v>
      </c>
      <c r="F42" s="1">
        <v>8.5</v>
      </c>
      <c r="G42" s="34">
        <v>40118</v>
      </c>
      <c r="H42" s="1">
        <v>0.56000000000000005</v>
      </c>
      <c r="I42" s="34">
        <v>40118</v>
      </c>
      <c r="J42" s="1">
        <v>130.15</v>
      </c>
      <c r="K42" s="34">
        <v>40118</v>
      </c>
      <c r="L42" s="1">
        <v>5652.6</v>
      </c>
      <c r="M42" s="34">
        <v>40118</v>
      </c>
      <c r="N42" s="1">
        <v>793.7</v>
      </c>
    </row>
    <row r="43" spans="1:14" x14ac:dyDescent="0.25">
      <c r="A43" s="34">
        <v>40148</v>
      </c>
      <c r="B43" s="1">
        <v>5580.5</v>
      </c>
      <c r="C43" s="34">
        <v>40148</v>
      </c>
      <c r="D43" s="1">
        <v>2383</v>
      </c>
      <c r="E43" s="34">
        <v>40148</v>
      </c>
      <c r="F43" s="1">
        <v>8.6</v>
      </c>
      <c r="G43" s="34">
        <v>40148</v>
      </c>
      <c r="H43" s="1">
        <v>0.27</v>
      </c>
      <c r="I43" s="34">
        <v>40148</v>
      </c>
      <c r="J43" s="1">
        <v>130.03</v>
      </c>
      <c r="K43" s="34">
        <v>40148</v>
      </c>
      <c r="L43" s="1">
        <v>5634.3</v>
      </c>
      <c r="M43" s="34">
        <v>40148</v>
      </c>
      <c r="N43" s="1">
        <v>786.9</v>
      </c>
    </row>
    <row r="44" spans="1:14" x14ac:dyDescent="0.25">
      <c r="A44" s="34">
        <v>40179</v>
      </c>
      <c r="B44" s="1">
        <v>5579.4</v>
      </c>
      <c r="C44" s="34">
        <v>40179</v>
      </c>
      <c r="D44" s="1">
        <v>1409</v>
      </c>
      <c r="E44" s="34">
        <v>40179</v>
      </c>
      <c r="F44" s="1">
        <v>8.6</v>
      </c>
      <c r="G44" s="34">
        <v>40179</v>
      </c>
      <c r="H44" s="1">
        <v>0.84</v>
      </c>
      <c r="I44" s="34">
        <v>40179</v>
      </c>
      <c r="J44" s="1">
        <v>130.21</v>
      </c>
      <c r="K44" s="34">
        <v>40179</v>
      </c>
      <c r="L44" s="1">
        <v>5473.4</v>
      </c>
      <c r="M44" s="34">
        <v>40179</v>
      </c>
      <c r="N44" s="1">
        <v>760.5</v>
      </c>
    </row>
    <row r="45" spans="1:14" x14ac:dyDescent="0.25">
      <c r="A45" s="34">
        <v>40210</v>
      </c>
      <c r="B45" s="1">
        <v>5564.3</v>
      </c>
      <c r="C45" s="34">
        <v>40210</v>
      </c>
      <c r="D45" s="1">
        <v>1332</v>
      </c>
      <c r="E45" s="34">
        <v>40210</v>
      </c>
      <c r="F45" s="1">
        <v>8.6999999999999993</v>
      </c>
      <c r="G45" s="34">
        <v>40210</v>
      </c>
      <c r="H45" s="1">
        <v>0.7</v>
      </c>
      <c r="I45" s="34">
        <v>40210</v>
      </c>
      <c r="J45" s="1">
        <v>130.07</v>
      </c>
      <c r="K45" s="34">
        <v>40210</v>
      </c>
      <c r="L45" s="1">
        <v>5484.6</v>
      </c>
      <c r="M45" s="34">
        <v>40210</v>
      </c>
      <c r="N45" s="1">
        <v>781.8</v>
      </c>
    </row>
    <row r="46" spans="1:14" x14ac:dyDescent="0.25">
      <c r="A46" s="34">
        <v>40238</v>
      </c>
      <c r="B46" s="1">
        <v>5587.2</v>
      </c>
      <c r="C46" s="34">
        <v>40238</v>
      </c>
      <c r="D46" s="1">
        <v>1719</v>
      </c>
      <c r="E46" s="34">
        <v>40238</v>
      </c>
      <c r="F46" s="1">
        <v>8.6999999999999993</v>
      </c>
      <c r="G46" s="34">
        <v>40238</v>
      </c>
      <c r="H46" s="1">
        <v>1.55</v>
      </c>
      <c r="I46" s="34">
        <v>40238</v>
      </c>
      <c r="J46" s="1">
        <v>130.66999999999999</v>
      </c>
      <c r="K46" s="34">
        <v>40238</v>
      </c>
      <c r="L46" s="1">
        <v>5541.8</v>
      </c>
      <c r="M46" s="34">
        <v>40238</v>
      </c>
      <c r="N46" s="1">
        <v>787.7</v>
      </c>
    </row>
    <row r="47" spans="1:14" x14ac:dyDescent="0.25">
      <c r="A47" s="34">
        <v>40269</v>
      </c>
      <c r="B47" s="1">
        <v>5611.3</v>
      </c>
      <c r="C47" s="34">
        <v>40269</v>
      </c>
      <c r="D47" s="1">
        <v>1653</v>
      </c>
      <c r="E47" s="34">
        <v>40269</v>
      </c>
      <c r="F47" s="1">
        <v>8.6</v>
      </c>
      <c r="G47" s="34">
        <v>40269</v>
      </c>
      <c r="H47" s="1">
        <v>2.2799999999999998</v>
      </c>
      <c r="I47" s="34">
        <v>40269</v>
      </c>
      <c r="J47" s="1">
        <v>130.97999999999999</v>
      </c>
      <c r="K47" s="34">
        <v>40269</v>
      </c>
      <c r="L47" s="1">
        <v>5623.3</v>
      </c>
      <c r="M47" s="34">
        <v>40269</v>
      </c>
      <c r="N47" s="1">
        <v>793.4</v>
      </c>
    </row>
    <row r="48" spans="1:14" x14ac:dyDescent="0.25">
      <c r="A48" s="34">
        <v>40299</v>
      </c>
      <c r="B48" s="1">
        <v>5637.6</v>
      </c>
      <c r="C48" s="34">
        <v>40299</v>
      </c>
      <c r="D48" s="1">
        <v>1779</v>
      </c>
      <c r="E48" s="34">
        <v>40299</v>
      </c>
      <c r="F48" s="1">
        <v>8.6</v>
      </c>
      <c r="G48" s="34">
        <v>40299</v>
      </c>
      <c r="H48" s="1">
        <v>2.65</v>
      </c>
      <c r="I48" s="34">
        <v>40299</v>
      </c>
      <c r="J48" s="1">
        <v>131.68</v>
      </c>
      <c r="K48" s="34">
        <v>40299</v>
      </c>
      <c r="L48" s="1">
        <v>5678.3</v>
      </c>
      <c r="M48" s="34">
        <v>40299</v>
      </c>
      <c r="N48" s="1">
        <v>801.9</v>
      </c>
    </row>
    <row r="49" spans="1:14" x14ac:dyDescent="0.25">
      <c r="A49" s="34">
        <v>40330</v>
      </c>
      <c r="B49" s="1">
        <v>5638.1</v>
      </c>
      <c r="C49" s="34">
        <v>40330</v>
      </c>
      <c r="D49" s="1">
        <v>1981</v>
      </c>
      <c r="E49" s="34">
        <v>40330</v>
      </c>
      <c r="F49" s="1">
        <v>8.5</v>
      </c>
      <c r="G49" s="34">
        <v>40330</v>
      </c>
      <c r="H49" s="1">
        <v>2.31</v>
      </c>
      <c r="I49" s="34">
        <v>40330</v>
      </c>
      <c r="J49" s="1">
        <v>132.04</v>
      </c>
      <c r="K49" s="34">
        <v>40330</v>
      </c>
      <c r="L49" s="1">
        <v>5673.8</v>
      </c>
      <c r="M49" s="34">
        <v>40330</v>
      </c>
      <c r="N49" s="1">
        <v>779.3</v>
      </c>
    </row>
    <row r="50" spans="1:14" x14ac:dyDescent="0.25">
      <c r="A50" s="34">
        <v>40360</v>
      </c>
      <c r="B50" s="1">
        <v>5629.6</v>
      </c>
      <c r="C50" s="34">
        <v>40360</v>
      </c>
      <c r="D50" s="1">
        <v>1531</v>
      </c>
      <c r="E50" s="34">
        <v>40360</v>
      </c>
      <c r="F50" s="1">
        <v>8.4</v>
      </c>
      <c r="G50" s="34">
        <v>40360</v>
      </c>
      <c r="H50" s="1">
        <v>2.17</v>
      </c>
      <c r="I50" s="34">
        <v>40360</v>
      </c>
      <c r="J50" s="1">
        <v>132.66999999999999</v>
      </c>
      <c r="K50" s="34">
        <v>40360</v>
      </c>
      <c r="L50" s="1">
        <v>5606.2</v>
      </c>
      <c r="M50" s="34">
        <v>40360</v>
      </c>
      <c r="N50" s="1">
        <v>714.7</v>
      </c>
    </row>
    <row r="51" spans="1:14" x14ac:dyDescent="0.25">
      <c r="A51" s="34">
        <v>40391</v>
      </c>
      <c r="B51" s="1">
        <v>5635.9</v>
      </c>
      <c r="C51" s="34">
        <v>40391</v>
      </c>
      <c r="D51" s="1">
        <v>1869</v>
      </c>
      <c r="E51" s="34">
        <v>40391</v>
      </c>
      <c r="F51" s="1">
        <v>8.3000000000000007</v>
      </c>
      <c r="G51" s="34">
        <v>40391</v>
      </c>
      <c r="H51" s="1">
        <v>1.72</v>
      </c>
      <c r="I51" s="34">
        <v>40391</v>
      </c>
      <c r="J51" s="1">
        <v>133</v>
      </c>
      <c r="K51" s="34">
        <v>40391</v>
      </c>
      <c r="L51" s="1">
        <v>5601.9</v>
      </c>
      <c r="M51" s="34">
        <v>40391</v>
      </c>
      <c r="N51" s="1">
        <v>708.7</v>
      </c>
    </row>
    <row r="52" spans="1:14" x14ac:dyDescent="0.25">
      <c r="A52" s="34">
        <v>40422</v>
      </c>
      <c r="B52" s="1">
        <v>5631.4</v>
      </c>
      <c r="C52" s="34">
        <v>40422</v>
      </c>
      <c r="D52" s="1">
        <v>2224</v>
      </c>
      <c r="E52" s="34">
        <v>40422</v>
      </c>
      <c r="F52" s="1">
        <v>8.3000000000000007</v>
      </c>
      <c r="G52" s="34">
        <v>40422</v>
      </c>
      <c r="H52" s="1">
        <v>1.1200000000000001</v>
      </c>
      <c r="I52" s="34">
        <v>40422</v>
      </c>
      <c r="J52" s="1">
        <v>133.31</v>
      </c>
      <c r="K52" s="34">
        <v>40422</v>
      </c>
      <c r="L52" s="1">
        <v>5651.5</v>
      </c>
      <c r="M52" s="34">
        <v>40422</v>
      </c>
      <c r="N52" s="1">
        <v>764</v>
      </c>
    </row>
    <row r="53" spans="1:14" x14ac:dyDescent="0.25">
      <c r="A53" s="34">
        <v>40452</v>
      </c>
      <c r="B53" s="1">
        <v>5649.8</v>
      </c>
      <c r="C53" s="34">
        <v>40452</v>
      </c>
      <c r="D53" s="1">
        <v>1925</v>
      </c>
      <c r="E53" s="34">
        <v>40452</v>
      </c>
      <c r="F53" s="1">
        <v>8.3000000000000007</v>
      </c>
      <c r="G53" s="34">
        <v>40452</v>
      </c>
      <c r="H53" s="1">
        <v>1.17</v>
      </c>
      <c r="I53" s="34">
        <v>40452</v>
      </c>
      <c r="J53" s="1">
        <v>133.63</v>
      </c>
      <c r="K53" s="34">
        <v>40452</v>
      </c>
      <c r="L53" s="1">
        <v>5703.8</v>
      </c>
      <c r="M53" s="34">
        <v>40452</v>
      </c>
      <c r="N53" s="1">
        <v>783.4</v>
      </c>
    </row>
    <row r="54" spans="1:14" x14ac:dyDescent="0.25">
      <c r="A54" s="34">
        <v>40483</v>
      </c>
      <c r="B54" s="1">
        <v>5655.4</v>
      </c>
      <c r="C54" s="34">
        <v>40483</v>
      </c>
      <c r="D54" s="1">
        <v>1352</v>
      </c>
      <c r="E54" s="34">
        <v>40483</v>
      </c>
      <c r="F54" s="1">
        <v>8.1999999999999993</v>
      </c>
      <c r="G54" s="34">
        <v>40483</v>
      </c>
      <c r="H54" s="1">
        <v>1.66</v>
      </c>
      <c r="I54" s="34">
        <v>40483</v>
      </c>
      <c r="J54" s="1">
        <v>134.02000000000001</v>
      </c>
      <c r="K54" s="34">
        <v>40483</v>
      </c>
      <c r="L54" s="1">
        <v>5722.9</v>
      </c>
      <c r="M54" s="34">
        <v>40483</v>
      </c>
      <c r="N54" s="1">
        <v>789.5</v>
      </c>
    </row>
    <row r="55" spans="1:14" x14ac:dyDescent="0.25">
      <c r="A55" s="34">
        <v>40513</v>
      </c>
      <c r="B55" s="1">
        <v>5659.5</v>
      </c>
      <c r="C55" s="34">
        <v>40513</v>
      </c>
      <c r="D55" s="1">
        <v>2944</v>
      </c>
      <c r="E55" s="34">
        <v>40513</v>
      </c>
      <c r="F55" s="1">
        <v>8.1</v>
      </c>
      <c r="G55" s="34">
        <v>40513</v>
      </c>
      <c r="H55" s="1">
        <v>1.74</v>
      </c>
      <c r="I55" s="34">
        <v>40513</v>
      </c>
      <c r="J55" s="1">
        <v>134.32</v>
      </c>
      <c r="K55" s="34">
        <v>40513</v>
      </c>
      <c r="L55" s="1">
        <v>5712.5</v>
      </c>
      <c r="M55" s="34">
        <v>40513</v>
      </c>
      <c r="N55" s="1">
        <v>782.4</v>
      </c>
    </row>
    <row r="56" spans="1:14" x14ac:dyDescent="0.25">
      <c r="A56" s="34">
        <v>40544</v>
      </c>
      <c r="B56" s="1">
        <v>5664.9</v>
      </c>
      <c r="C56" s="34">
        <v>40544</v>
      </c>
      <c r="D56" s="1">
        <v>1417</v>
      </c>
      <c r="E56" s="34">
        <v>40544</v>
      </c>
      <c r="F56" s="1">
        <v>8.1</v>
      </c>
      <c r="G56" s="34">
        <v>40544</v>
      </c>
      <c r="H56" s="1">
        <v>1.54</v>
      </c>
      <c r="I56" s="34">
        <v>40544</v>
      </c>
      <c r="J56" s="1">
        <v>134.6</v>
      </c>
      <c r="K56" s="34">
        <v>40544</v>
      </c>
      <c r="L56" s="1">
        <v>5555.6</v>
      </c>
      <c r="M56" s="34">
        <v>40544</v>
      </c>
      <c r="N56" s="1">
        <v>762.2</v>
      </c>
    </row>
    <row r="57" spans="1:14" x14ac:dyDescent="0.25">
      <c r="A57" s="34">
        <v>40575</v>
      </c>
      <c r="B57" s="1">
        <v>5668.1</v>
      </c>
      <c r="C57" s="34">
        <v>40575</v>
      </c>
      <c r="D57" s="1">
        <v>1012</v>
      </c>
      <c r="E57" s="34">
        <v>40575</v>
      </c>
      <c r="F57" s="1">
        <v>8</v>
      </c>
      <c r="G57" s="34">
        <v>40575</v>
      </c>
      <c r="H57" s="1">
        <v>1.58</v>
      </c>
      <c r="I57" s="34">
        <v>40575</v>
      </c>
      <c r="J57" s="1">
        <v>134.88</v>
      </c>
      <c r="K57" s="34">
        <v>40575</v>
      </c>
      <c r="L57" s="1">
        <v>5588.1</v>
      </c>
      <c r="M57" s="34">
        <v>40575</v>
      </c>
      <c r="N57" s="1">
        <v>779.4</v>
      </c>
    </row>
    <row r="58" spans="1:14" x14ac:dyDescent="0.25">
      <c r="A58" s="34">
        <v>40603</v>
      </c>
      <c r="B58" s="1">
        <v>5675</v>
      </c>
      <c r="C58" s="34">
        <v>40603</v>
      </c>
      <c r="D58" s="1">
        <v>1124</v>
      </c>
      <c r="E58" s="34">
        <v>40603</v>
      </c>
      <c r="F58" s="1">
        <v>7.9</v>
      </c>
      <c r="G58" s="34">
        <v>40603</v>
      </c>
      <c r="H58" s="1">
        <v>1.59</v>
      </c>
      <c r="I58" s="34">
        <v>40603</v>
      </c>
      <c r="J58" s="1">
        <v>135.22</v>
      </c>
      <c r="K58" s="34">
        <v>40603</v>
      </c>
      <c r="L58" s="1">
        <v>5631.1</v>
      </c>
      <c r="M58" s="34">
        <v>40603</v>
      </c>
      <c r="N58" s="1">
        <v>781</v>
      </c>
    </row>
    <row r="59" spans="1:14" x14ac:dyDescent="0.25">
      <c r="A59" s="34">
        <v>40634</v>
      </c>
      <c r="B59" s="1">
        <v>5687.2</v>
      </c>
      <c r="C59" s="34">
        <v>40634</v>
      </c>
      <c r="D59" s="1">
        <v>1225</v>
      </c>
      <c r="E59" s="34">
        <v>40634</v>
      </c>
      <c r="F59" s="1">
        <v>7.9</v>
      </c>
      <c r="G59" s="34">
        <v>40634</v>
      </c>
      <c r="H59" s="1">
        <v>1.1599999999999999</v>
      </c>
      <c r="I59" s="34">
        <v>40634</v>
      </c>
      <c r="J59" s="1">
        <v>135.41</v>
      </c>
      <c r="K59" s="34">
        <v>40634</v>
      </c>
      <c r="L59" s="1">
        <v>5700.7</v>
      </c>
      <c r="M59" s="34">
        <v>40634</v>
      </c>
      <c r="N59" s="1">
        <v>781.3</v>
      </c>
    </row>
    <row r="60" spans="1:14" x14ac:dyDescent="0.25">
      <c r="A60" s="34">
        <v>40664</v>
      </c>
      <c r="B60" s="1">
        <v>5689.9</v>
      </c>
      <c r="C60" s="34">
        <v>40664</v>
      </c>
      <c r="D60" s="1">
        <v>1714</v>
      </c>
      <c r="E60" s="34">
        <v>40664</v>
      </c>
      <c r="F60" s="1">
        <v>8</v>
      </c>
      <c r="G60" s="34">
        <v>40664</v>
      </c>
      <c r="H60" s="1">
        <v>0.5</v>
      </c>
      <c r="I60" s="34">
        <v>40664</v>
      </c>
      <c r="J60" s="1">
        <v>135.5</v>
      </c>
      <c r="K60" s="34">
        <v>40664</v>
      </c>
      <c r="L60" s="1">
        <v>5730.7</v>
      </c>
      <c r="M60" s="34">
        <v>40664</v>
      </c>
      <c r="N60" s="1">
        <v>770.6</v>
      </c>
    </row>
    <row r="61" spans="1:14" x14ac:dyDescent="0.25">
      <c r="A61" s="34">
        <v>40695</v>
      </c>
      <c r="B61" s="1">
        <v>5689.2</v>
      </c>
      <c r="C61" s="34">
        <v>40695</v>
      </c>
      <c r="D61" s="1">
        <v>1471</v>
      </c>
      <c r="E61" s="34">
        <v>40695</v>
      </c>
      <c r="F61" s="1">
        <v>8.1</v>
      </c>
      <c r="G61" s="34">
        <v>40695</v>
      </c>
      <c r="H61" s="1">
        <v>-0.11</v>
      </c>
      <c r="I61" s="34">
        <v>40695</v>
      </c>
      <c r="J61" s="1">
        <v>135.55000000000001</v>
      </c>
      <c r="K61" s="34">
        <v>40695</v>
      </c>
      <c r="L61" s="1">
        <v>5729.8</v>
      </c>
      <c r="M61" s="34">
        <v>40695</v>
      </c>
      <c r="N61" s="1">
        <v>752</v>
      </c>
    </row>
    <row r="62" spans="1:14" x14ac:dyDescent="0.25">
      <c r="A62" s="34">
        <v>40725</v>
      </c>
      <c r="B62" s="1">
        <v>5685.1</v>
      </c>
      <c r="C62" s="34">
        <v>40725</v>
      </c>
      <c r="D62" s="1">
        <v>1205</v>
      </c>
      <c r="E62" s="34">
        <v>40725</v>
      </c>
      <c r="F62" s="1">
        <v>8.1</v>
      </c>
      <c r="G62" s="34">
        <v>40725</v>
      </c>
      <c r="H62" s="1">
        <v>0.24</v>
      </c>
      <c r="I62" s="34">
        <v>40725</v>
      </c>
      <c r="J62" s="1">
        <v>135.75</v>
      </c>
      <c r="K62" s="34">
        <v>40725</v>
      </c>
      <c r="L62" s="1">
        <v>5654.9</v>
      </c>
      <c r="M62" s="34">
        <v>40725</v>
      </c>
      <c r="N62" s="1">
        <v>688.7</v>
      </c>
    </row>
    <row r="63" spans="1:14" x14ac:dyDescent="0.25">
      <c r="A63" s="34">
        <v>40756</v>
      </c>
      <c r="B63" s="1">
        <v>5683.4</v>
      </c>
      <c r="C63" s="34">
        <v>40756</v>
      </c>
      <c r="D63" s="1">
        <v>1412</v>
      </c>
      <c r="E63" s="34">
        <v>40756</v>
      </c>
      <c r="F63" s="1">
        <v>8.1</v>
      </c>
      <c r="G63" s="34">
        <v>40756</v>
      </c>
      <c r="H63" s="1">
        <v>0.43</v>
      </c>
      <c r="I63" s="34">
        <v>40756</v>
      </c>
      <c r="J63" s="1">
        <v>135.80000000000001</v>
      </c>
      <c r="K63" s="34">
        <v>40756</v>
      </c>
      <c r="L63" s="1">
        <v>5648.4</v>
      </c>
      <c r="M63" s="34">
        <v>40756</v>
      </c>
      <c r="N63" s="1">
        <v>683.8</v>
      </c>
    </row>
    <row r="64" spans="1:14" x14ac:dyDescent="0.25">
      <c r="A64" s="34">
        <v>40787</v>
      </c>
      <c r="B64" s="1">
        <v>5693.4</v>
      </c>
      <c r="C64" s="34">
        <v>40787</v>
      </c>
      <c r="D64" s="1">
        <v>1621</v>
      </c>
      <c r="E64" s="34">
        <v>40787</v>
      </c>
      <c r="F64" s="1">
        <v>8.1</v>
      </c>
      <c r="G64" s="34">
        <v>40787</v>
      </c>
      <c r="H64" s="1">
        <v>0.91</v>
      </c>
      <c r="I64" s="34">
        <v>40787</v>
      </c>
      <c r="J64" s="1">
        <v>136.16</v>
      </c>
      <c r="K64" s="34">
        <v>40787</v>
      </c>
      <c r="L64" s="1">
        <v>5713.3</v>
      </c>
      <c r="M64" s="34">
        <v>40787</v>
      </c>
      <c r="N64" s="1">
        <v>740.2</v>
      </c>
    </row>
    <row r="65" spans="1:14" x14ac:dyDescent="0.25">
      <c r="A65" s="34">
        <v>40817</v>
      </c>
      <c r="B65" s="1">
        <v>5695.5</v>
      </c>
      <c r="C65" s="34">
        <v>40817</v>
      </c>
      <c r="D65" s="1">
        <v>1380</v>
      </c>
      <c r="E65" s="34">
        <v>40817</v>
      </c>
      <c r="F65" s="1">
        <v>8</v>
      </c>
      <c r="G65" s="34">
        <v>40817</v>
      </c>
      <c r="H65" s="1">
        <v>1.28</v>
      </c>
      <c r="I65" s="34">
        <v>40817</v>
      </c>
      <c r="J65" s="1">
        <v>136.32</v>
      </c>
      <c r="K65" s="34">
        <v>40817</v>
      </c>
      <c r="L65" s="1">
        <v>5748.5</v>
      </c>
      <c r="M65" s="34">
        <v>40817</v>
      </c>
      <c r="N65" s="1">
        <v>755.8</v>
      </c>
    </row>
    <row r="66" spans="1:14" x14ac:dyDescent="0.25">
      <c r="A66" s="34">
        <v>40848</v>
      </c>
      <c r="B66" s="1">
        <v>5705.6</v>
      </c>
      <c r="C66" s="34">
        <v>40848</v>
      </c>
      <c r="D66" s="1">
        <v>1556</v>
      </c>
      <c r="E66" s="34">
        <v>40848</v>
      </c>
      <c r="F66" s="1">
        <v>7.9</v>
      </c>
      <c r="G66" s="34">
        <v>40848</v>
      </c>
      <c r="H66" s="1">
        <v>1.96</v>
      </c>
      <c r="I66" s="34">
        <v>40848</v>
      </c>
      <c r="J66" s="1">
        <v>136.91</v>
      </c>
      <c r="K66" s="34">
        <v>40848</v>
      </c>
      <c r="L66" s="1">
        <v>5772.8</v>
      </c>
      <c r="M66" s="34">
        <v>40848</v>
      </c>
      <c r="N66" s="1">
        <v>762.8</v>
      </c>
    </row>
    <row r="67" spans="1:14" x14ac:dyDescent="0.25">
      <c r="A67" s="34">
        <v>40878</v>
      </c>
      <c r="B67" s="1">
        <v>5706.4</v>
      </c>
      <c r="C67" s="34">
        <v>40878</v>
      </c>
      <c r="D67" s="1">
        <v>1095</v>
      </c>
      <c r="E67" s="34">
        <v>40878</v>
      </c>
      <c r="F67" s="1">
        <v>7.8</v>
      </c>
      <c r="G67" s="34">
        <v>40878</v>
      </c>
      <c r="H67" s="1">
        <v>2.0499999999999998</v>
      </c>
      <c r="I67" s="34">
        <v>40878</v>
      </c>
      <c r="J67" s="1">
        <v>137.15</v>
      </c>
      <c r="K67" s="34">
        <v>40878</v>
      </c>
      <c r="L67" s="1">
        <v>5759</v>
      </c>
      <c r="M67" s="34">
        <v>40878</v>
      </c>
      <c r="N67" s="1">
        <v>758.4</v>
      </c>
    </row>
    <row r="68" spans="1:14" x14ac:dyDescent="0.25">
      <c r="A68" s="34">
        <v>40909</v>
      </c>
      <c r="B68" s="1">
        <v>5711.2</v>
      </c>
      <c r="C68" s="34">
        <v>40909</v>
      </c>
      <c r="D68" s="1">
        <v>1394</v>
      </c>
      <c r="E68" s="34">
        <v>40909</v>
      </c>
      <c r="F68" s="1">
        <v>7.7</v>
      </c>
      <c r="G68" s="34">
        <v>40909</v>
      </c>
      <c r="H68" s="1">
        <v>1.9</v>
      </c>
      <c r="I68" s="34">
        <v>40909</v>
      </c>
      <c r="J68" s="1">
        <v>137.72999999999999</v>
      </c>
      <c r="K68" s="34">
        <v>40909</v>
      </c>
      <c r="L68" s="1">
        <v>5600.9</v>
      </c>
      <c r="M68" s="34">
        <v>40909</v>
      </c>
      <c r="N68" s="1">
        <v>730.4</v>
      </c>
    </row>
    <row r="69" spans="1:14" x14ac:dyDescent="0.25">
      <c r="A69" s="34">
        <v>40940</v>
      </c>
      <c r="B69" s="1">
        <v>5726.2</v>
      </c>
      <c r="C69" s="34">
        <v>40940</v>
      </c>
      <c r="D69" s="1">
        <v>1192</v>
      </c>
      <c r="E69" s="34">
        <v>40940</v>
      </c>
      <c r="F69" s="1">
        <v>7.7</v>
      </c>
      <c r="G69" s="34">
        <v>40940</v>
      </c>
      <c r="H69" s="1">
        <v>1.49</v>
      </c>
      <c r="I69" s="34">
        <v>40940</v>
      </c>
      <c r="J69" s="1">
        <v>137.84</v>
      </c>
      <c r="K69" s="34">
        <v>40940</v>
      </c>
      <c r="L69" s="1">
        <v>5647.6</v>
      </c>
      <c r="M69" s="34">
        <v>40940</v>
      </c>
      <c r="N69" s="1">
        <v>754.1</v>
      </c>
    </row>
    <row r="70" spans="1:14" x14ac:dyDescent="0.25">
      <c r="A70" s="34">
        <v>40969</v>
      </c>
      <c r="B70" s="1">
        <v>5743.9</v>
      </c>
      <c r="C70" s="34">
        <v>40969</v>
      </c>
      <c r="D70" s="1">
        <v>1508</v>
      </c>
      <c r="E70" s="34">
        <v>40969</v>
      </c>
      <c r="F70" s="1">
        <v>7.7</v>
      </c>
      <c r="G70" s="34">
        <v>40969</v>
      </c>
      <c r="H70" s="1">
        <v>1.1100000000000001</v>
      </c>
      <c r="I70" s="34">
        <v>40969</v>
      </c>
      <c r="J70" s="1">
        <v>138.25</v>
      </c>
      <c r="K70" s="34">
        <v>40969</v>
      </c>
      <c r="L70" s="1">
        <v>5702</v>
      </c>
      <c r="M70" s="34">
        <v>40969</v>
      </c>
      <c r="N70" s="1">
        <v>755.5</v>
      </c>
    </row>
    <row r="71" spans="1:14" x14ac:dyDescent="0.25">
      <c r="A71" s="34">
        <v>41000</v>
      </c>
      <c r="B71" s="1">
        <v>5731.7</v>
      </c>
      <c r="C71" s="34">
        <v>41000</v>
      </c>
      <c r="D71" s="1">
        <v>1779</v>
      </c>
      <c r="E71" s="34">
        <v>41000</v>
      </c>
      <c r="F71" s="1">
        <v>7.9</v>
      </c>
      <c r="G71" s="34">
        <v>41000</v>
      </c>
      <c r="H71" s="1">
        <v>0.48</v>
      </c>
      <c r="I71" s="34">
        <v>41000</v>
      </c>
      <c r="J71" s="1">
        <v>137.94999999999999</v>
      </c>
      <c r="K71" s="34">
        <v>41000</v>
      </c>
      <c r="L71" s="1">
        <v>5742</v>
      </c>
      <c r="M71" s="34">
        <v>41000</v>
      </c>
      <c r="N71" s="1">
        <v>755.2</v>
      </c>
    </row>
    <row r="72" spans="1:14" x14ac:dyDescent="0.25">
      <c r="A72" s="34">
        <v>41030</v>
      </c>
      <c r="B72" s="1">
        <v>5734</v>
      </c>
      <c r="C72" s="34">
        <v>41030</v>
      </c>
      <c r="D72" s="1">
        <v>1539</v>
      </c>
      <c r="E72" s="34">
        <v>41030</v>
      </c>
      <c r="F72" s="1">
        <v>8</v>
      </c>
      <c r="G72" s="34">
        <v>41030</v>
      </c>
      <c r="H72" s="1">
        <v>-0.02</v>
      </c>
      <c r="I72" s="34">
        <v>41030</v>
      </c>
      <c r="J72" s="1">
        <v>138.06</v>
      </c>
      <c r="K72" s="34">
        <v>41030</v>
      </c>
      <c r="L72" s="1">
        <v>5774.3</v>
      </c>
      <c r="M72" s="34">
        <v>41030</v>
      </c>
      <c r="N72" s="1">
        <v>752.5</v>
      </c>
    </row>
    <row r="73" spans="1:14" x14ac:dyDescent="0.25">
      <c r="A73" s="34">
        <v>41061</v>
      </c>
      <c r="B73" s="1">
        <v>5717.9</v>
      </c>
      <c r="C73" s="34">
        <v>41061</v>
      </c>
      <c r="D73" s="1">
        <v>2288</v>
      </c>
      <c r="E73" s="34">
        <v>41061</v>
      </c>
      <c r="F73" s="1">
        <v>8.1</v>
      </c>
      <c r="G73" s="34">
        <v>41061</v>
      </c>
      <c r="H73" s="1">
        <v>0.3</v>
      </c>
      <c r="I73" s="34">
        <v>41061</v>
      </c>
      <c r="J73" s="1">
        <v>137.87</v>
      </c>
      <c r="K73" s="34">
        <v>41061</v>
      </c>
      <c r="L73" s="1">
        <v>5760</v>
      </c>
      <c r="M73" s="34">
        <v>41061</v>
      </c>
      <c r="N73" s="1">
        <v>723.5</v>
      </c>
    </row>
    <row r="74" spans="1:14" x14ac:dyDescent="0.25">
      <c r="A74" s="34">
        <v>41091</v>
      </c>
      <c r="B74" s="1">
        <v>5718.8</v>
      </c>
      <c r="C74" s="34">
        <v>41091</v>
      </c>
      <c r="D74" s="1">
        <v>1983</v>
      </c>
      <c r="E74" s="34">
        <v>41091</v>
      </c>
      <c r="F74" s="1">
        <v>8.1</v>
      </c>
      <c r="G74" s="34">
        <v>41091</v>
      </c>
      <c r="H74" s="1">
        <v>0.67</v>
      </c>
      <c r="I74" s="34">
        <v>41091</v>
      </c>
      <c r="J74" s="1">
        <v>138.11000000000001</v>
      </c>
      <c r="K74" s="34">
        <v>41091</v>
      </c>
      <c r="L74" s="1">
        <v>5687.4</v>
      </c>
      <c r="M74" s="34">
        <v>41091</v>
      </c>
      <c r="N74" s="1">
        <v>673</v>
      </c>
    </row>
    <row r="75" spans="1:14" x14ac:dyDescent="0.25">
      <c r="A75" s="34">
        <v>41122</v>
      </c>
      <c r="B75" s="1">
        <v>5720.6</v>
      </c>
      <c r="C75" s="34">
        <v>41122</v>
      </c>
      <c r="D75" s="1">
        <v>1538</v>
      </c>
      <c r="E75" s="34">
        <v>41122</v>
      </c>
      <c r="F75" s="1">
        <v>8.1</v>
      </c>
      <c r="G75" s="34">
        <v>41122</v>
      </c>
      <c r="H75" s="1">
        <v>0.89</v>
      </c>
      <c r="I75" s="34">
        <v>41122</v>
      </c>
      <c r="J75" s="1">
        <v>138.12</v>
      </c>
      <c r="K75" s="34">
        <v>41122</v>
      </c>
      <c r="L75" s="1">
        <v>5687.8</v>
      </c>
      <c r="M75" s="34">
        <v>41122</v>
      </c>
      <c r="N75" s="1">
        <v>674.4</v>
      </c>
    </row>
    <row r="76" spans="1:14" x14ac:dyDescent="0.25">
      <c r="A76" s="34">
        <v>41153</v>
      </c>
      <c r="B76" s="1">
        <v>5729.6</v>
      </c>
      <c r="C76" s="34">
        <v>41153</v>
      </c>
      <c r="D76" s="1">
        <v>1674</v>
      </c>
      <c r="E76" s="34">
        <v>41153</v>
      </c>
      <c r="F76" s="1">
        <v>8.1</v>
      </c>
      <c r="G76" s="34">
        <v>41153</v>
      </c>
      <c r="H76" s="1">
        <v>0.96</v>
      </c>
      <c r="I76" s="34">
        <v>41153</v>
      </c>
      <c r="J76" s="1">
        <v>138.38999999999999</v>
      </c>
      <c r="K76" s="34">
        <v>41153</v>
      </c>
      <c r="L76" s="1">
        <v>5748.8</v>
      </c>
      <c r="M76" s="34">
        <v>41153</v>
      </c>
      <c r="N76" s="1">
        <v>730</v>
      </c>
    </row>
    <row r="77" spans="1:14" x14ac:dyDescent="0.25">
      <c r="A77" s="34">
        <v>41183</v>
      </c>
      <c r="B77" s="1">
        <v>5728.3</v>
      </c>
      <c r="C77" s="34">
        <v>41183</v>
      </c>
      <c r="D77" s="1">
        <v>1556</v>
      </c>
      <c r="E77" s="34">
        <v>41183</v>
      </c>
      <c r="F77" s="1">
        <v>8</v>
      </c>
      <c r="G77" s="34">
        <v>41183</v>
      </c>
      <c r="H77" s="1">
        <v>1.01</v>
      </c>
      <c r="I77" s="34">
        <v>41183</v>
      </c>
      <c r="J77" s="1">
        <v>138.55000000000001</v>
      </c>
      <c r="K77" s="34">
        <v>41183</v>
      </c>
      <c r="L77" s="1">
        <v>5780.6</v>
      </c>
      <c r="M77" s="34">
        <v>41183</v>
      </c>
      <c r="N77" s="1">
        <v>744.6</v>
      </c>
    </row>
    <row r="78" spans="1:14" x14ac:dyDescent="0.25">
      <c r="A78" s="34">
        <v>41214</v>
      </c>
      <c r="B78" s="1">
        <v>5731.6</v>
      </c>
      <c r="C78" s="34">
        <v>41214</v>
      </c>
      <c r="D78" s="1">
        <v>1279</v>
      </c>
      <c r="E78" s="34">
        <v>41214</v>
      </c>
      <c r="F78" s="1">
        <v>8</v>
      </c>
      <c r="G78" s="34">
        <v>41214</v>
      </c>
      <c r="H78" s="1">
        <v>0.82</v>
      </c>
      <c r="I78" s="34">
        <v>41214</v>
      </c>
      <c r="J78" s="1">
        <v>138.78</v>
      </c>
      <c r="K78" s="34">
        <v>41214</v>
      </c>
      <c r="L78" s="1">
        <v>5797.9</v>
      </c>
      <c r="M78" s="34">
        <v>41214</v>
      </c>
      <c r="N78" s="1">
        <v>749</v>
      </c>
    </row>
    <row r="79" spans="1:14" x14ac:dyDescent="0.25">
      <c r="A79" s="34">
        <v>41244</v>
      </c>
      <c r="B79" s="1">
        <v>5728.7</v>
      </c>
      <c r="C79" s="34">
        <v>41244</v>
      </c>
      <c r="D79" s="1">
        <v>2024</v>
      </c>
      <c r="E79" s="34">
        <v>41244</v>
      </c>
      <c r="F79" s="1">
        <v>7.9</v>
      </c>
      <c r="G79" s="34">
        <v>41244</v>
      </c>
      <c r="H79" s="1">
        <v>1.22</v>
      </c>
      <c r="I79" s="34">
        <v>41244</v>
      </c>
      <c r="J79" s="1">
        <v>139.09</v>
      </c>
      <c r="K79" s="34">
        <v>41244</v>
      </c>
      <c r="L79" s="1">
        <v>5781.6</v>
      </c>
      <c r="M79" s="34">
        <v>41244</v>
      </c>
      <c r="N79" s="1">
        <v>744.9</v>
      </c>
    </row>
    <row r="80" spans="1:14" x14ac:dyDescent="0.25">
      <c r="A80" s="34">
        <v>41275</v>
      </c>
      <c r="B80" s="1">
        <v>5730.2</v>
      </c>
      <c r="C80" s="34">
        <v>41275</v>
      </c>
      <c r="D80" s="1">
        <v>1277</v>
      </c>
      <c r="E80" s="34">
        <v>41275</v>
      </c>
      <c r="F80" s="1">
        <v>7.8</v>
      </c>
      <c r="G80" s="34">
        <v>41275</v>
      </c>
      <c r="H80" s="1">
        <v>1.6</v>
      </c>
      <c r="I80" s="34">
        <v>41275</v>
      </c>
      <c r="J80" s="1">
        <v>139.52000000000001</v>
      </c>
      <c r="K80" s="34">
        <v>41275</v>
      </c>
      <c r="L80" s="1">
        <v>5619.7</v>
      </c>
      <c r="M80" s="34">
        <v>41275</v>
      </c>
      <c r="N80" s="1">
        <v>722.2</v>
      </c>
    </row>
    <row r="81" spans="1:14" x14ac:dyDescent="0.25">
      <c r="A81" s="34">
        <v>41306</v>
      </c>
      <c r="B81" s="1">
        <v>5741.4</v>
      </c>
      <c r="C81" s="34">
        <v>41306</v>
      </c>
      <c r="D81" s="1">
        <v>1191</v>
      </c>
      <c r="E81" s="34">
        <v>41306</v>
      </c>
      <c r="F81" s="1">
        <v>7.7</v>
      </c>
      <c r="G81" s="34">
        <v>41306</v>
      </c>
      <c r="H81" s="1">
        <v>1.9</v>
      </c>
      <c r="I81" s="34">
        <v>41306</v>
      </c>
      <c r="J81" s="1">
        <v>139.81</v>
      </c>
      <c r="K81" s="34">
        <v>41306</v>
      </c>
      <c r="L81" s="1">
        <v>5664</v>
      </c>
      <c r="M81" s="34">
        <v>41306</v>
      </c>
      <c r="N81" s="1">
        <v>741.5</v>
      </c>
    </row>
    <row r="82" spans="1:14" x14ac:dyDescent="0.25">
      <c r="A82" s="34">
        <v>41334</v>
      </c>
      <c r="B82" s="1">
        <v>5741.7</v>
      </c>
      <c r="C82" s="34">
        <v>41334</v>
      </c>
      <c r="D82" s="1">
        <v>2088</v>
      </c>
      <c r="E82" s="34">
        <v>41334</v>
      </c>
      <c r="F82" s="1">
        <v>7.7</v>
      </c>
      <c r="G82" s="34">
        <v>41334</v>
      </c>
      <c r="H82" s="1">
        <v>1.54</v>
      </c>
      <c r="I82" s="34">
        <v>41334</v>
      </c>
      <c r="J82" s="1">
        <v>140.18</v>
      </c>
      <c r="K82" s="34">
        <v>41334</v>
      </c>
      <c r="L82" s="1">
        <v>5702</v>
      </c>
      <c r="M82" s="34">
        <v>41334</v>
      </c>
      <c r="N82" s="1">
        <v>741.4</v>
      </c>
    </row>
    <row r="83" spans="1:14" x14ac:dyDescent="0.25">
      <c r="A83" s="34">
        <v>41365</v>
      </c>
      <c r="B83" s="1">
        <v>5734.4</v>
      </c>
      <c r="C83" s="34">
        <v>41365</v>
      </c>
      <c r="D83" s="1">
        <v>2088</v>
      </c>
      <c r="E83" s="34">
        <v>41365</v>
      </c>
      <c r="F83" s="1">
        <v>7.6</v>
      </c>
      <c r="G83" s="34">
        <v>41365</v>
      </c>
      <c r="H83" s="1">
        <v>1.3</v>
      </c>
      <c r="I83" s="34">
        <v>41365</v>
      </c>
      <c r="J83" s="1">
        <v>140.36000000000001</v>
      </c>
      <c r="K83" s="34">
        <v>41365</v>
      </c>
      <c r="L83" s="1">
        <v>5745.6</v>
      </c>
      <c r="M83" s="34">
        <v>41365</v>
      </c>
      <c r="N83" s="1">
        <v>742.2</v>
      </c>
    </row>
    <row r="84" spans="1:14" x14ac:dyDescent="0.25">
      <c r="A84" s="34">
        <v>41395</v>
      </c>
      <c r="B84" s="1">
        <v>5732.5</v>
      </c>
      <c r="C84" s="34">
        <v>41395</v>
      </c>
      <c r="D84" s="1">
        <v>2121</v>
      </c>
      <c r="E84" s="34">
        <v>41395</v>
      </c>
      <c r="F84" s="1">
        <v>7.5</v>
      </c>
      <c r="G84" s="34">
        <v>41395</v>
      </c>
      <c r="H84" s="1">
        <v>1.1299999999999999</v>
      </c>
      <c r="I84" s="34">
        <v>41395</v>
      </c>
      <c r="J84" s="1">
        <v>140.74</v>
      </c>
      <c r="K84" s="34">
        <v>41395</v>
      </c>
      <c r="L84" s="1">
        <v>5784.9</v>
      </c>
      <c r="M84" s="34">
        <v>41395</v>
      </c>
      <c r="N84" s="1">
        <v>743.4</v>
      </c>
    </row>
    <row r="85" spans="1:14" x14ac:dyDescent="0.25">
      <c r="A85" s="34">
        <v>41426</v>
      </c>
      <c r="B85" s="1">
        <v>5733</v>
      </c>
      <c r="C85" s="34">
        <v>41426</v>
      </c>
      <c r="D85" s="1">
        <v>2100</v>
      </c>
      <c r="E85" s="34">
        <v>41426</v>
      </c>
      <c r="F85" s="1">
        <v>7.5</v>
      </c>
      <c r="G85" s="34">
        <v>41426</v>
      </c>
      <c r="H85" s="1">
        <v>1.04</v>
      </c>
      <c r="I85" s="34">
        <v>41426</v>
      </c>
      <c r="J85" s="1">
        <v>140.79</v>
      </c>
      <c r="K85" s="34">
        <v>41426</v>
      </c>
      <c r="L85" s="1">
        <v>5770.9</v>
      </c>
      <c r="M85" s="34">
        <v>41426</v>
      </c>
      <c r="N85" s="1">
        <v>709</v>
      </c>
    </row>
    <row r="86" spans="1:14" x14ac:dyDescent="0.25">
      <c r="A86" s="34">
        <v>41456</v>
      </c>
      <c r="B86" s="1">
        <v>5738.9</v>
      </c>
      <c r="C86" s="34">
        <v>41456</v>
      </c>
      <c r="D86" s="1">
        <v>2596</v>
      </c>
      <c r="E86" s="34">
        <v>41456</v>
      </c>
      <c r="F86" s="1">
        <v>7.5</v>
      </c>
      <c r="G86" s="34">
        <v>41456</v>
      </c>
      <c r="H86" s="1">
        <v>0.93</v>
      </c>
      <c r="I86" s="34">
        <v>41456</v>
      </c>
      <c r="J86" s="1">
        <v>141.09</v>
      </c>
      <c r="K86" s="34">
        <v>41456</v>
      </c>
      <c r="L86" s="1">
        <v>5706.7</v>
      </c>
      <c r="M86" s="34">
        <v>41456</v>
      </c>
      <c r="N86" s="1">
        <v>661.5</v>
      </c>
    </row>
    <row r="87" spans="1:14" x14ac:dyDescent="0.25">
      <c r="A87" s="34">
        <v>41487</v>
      </c>
      <c r="B87" s="1">
        <v>5745.7</v>
      </c>
      <c r="C87" s="34">
        <v>41487</v>
      </c>
      <c r="D87" s="1">
        <v>1706</v>
      </c>
      <c r="E87" s="34">
        <v>41487</v>
      </c>
      <c r="F87" s="1">
        <v>7.4</v>
      </c>
      <c r="G87" s="34">
        <v>41487</v>
      </c>
      <c r="H87" s="1">
        <v>1.41</v>
      </c>
      <c r="I87" s="34">
        <v>41487</v>
      </c>
      <c r="J87" s="1">
        <v>141.38999999999999</v>
      </c>
      <c r="K87" s="34">
        <v>41487</v>
      </c>
      <c r="L87" s="1">
        <v>5712.7</v>
      </c>
      <c r="M87" s="34">
        <v>41487</v>
      </c>
      <c r="N87" s="1">
        <v>666.1</v>
      </c>
    </row>
    <row r="88" spans="1:14" x14ac:dyDescent="0.25">
      <c r="A88" s="34">
        <v>41518</v>
      </c>
      <c r="B88" s="1">
        <v>5747.2</v>
      </c>
      <c r="C88" s="34">
        <v>41518</v>
      </c>
      <c r="D88" s="1">
        <v>1862</v>
      </c>
      <c r="E88" s="34">
        <v>41518</v>
      </c>
      <c r="F88" s="1">
        <v>7.3</v>
      </c>
      <c r="G88" s="34">
        <v>41518</v>
      </c>
      <c r="H88" s="1">
        <v>1.57</v>
      </c>
      <c r="I88" s="34">
        <v>41518</v>
      </c>
      <c r="J88" s="1">
        <v>141.75</v>
      </c>
      <c r="K88" s="34">
        <v>41518</v>
      </c>
      <c r="L88" s="1">
        <v>5766.9</v>
      </c>
      <c r="M88" s="34">
        <v>41518</v>
      </c>
      <c r="N88" s="1">
        <v>717.8</v>
      </c>
    </row>
    <row r="89" spans="1:14" x14ac:dyDescent="0.25">
      <c r="A89" s="34">
        <v>41548</v>
      </c>
      <c r="B89" s="1">
        <v>5754.1</v>
      </c>
      <c r="C89" s="34">
        <v>41548</v>
      </c>
      <c r="D89" s="1">
        <v>1999</v>
      </c>
      <c r="E89" s="34">
        <v>41548</v>
      </c>
      <c r="F89" s="1">
        <v>7.1</v>
      </c>
      <c r="G89" s="34">
        <v>41548</v>
      </c>
      <c r="H89" s="1">
        <v>2</v>
      </c>
      <c r="I89" s="34">
        <v>41548</v>
      </c>
      <c r="J89" s="1">
        <v>142.22</v>
      </c>
      <c r="K89" s="34">
        <v>41548</v>
      </c>
      <c r="L89" s="1">
        <v>5809.3</v>
      </c>
      <c r="M89" s="34">
        <v>41548</v>
      </c>
      <c r="N89" s="1">
        <v>732.2</v>
      </c>
    </row>
    <row r="90" spans="1:14" x14ac:dyDescent="0.25">
      <c r="A90" s="34">
        <v>41579</v>
      </c>
      <c r="B90" s="1">
        <v>5765.1</v>
      </c>
      <c r="C90" s="34">
        <v>41579</v>
      </c>
      <c r="D90" s="1">
        <v>1814</v>
      </c>
      <c r="E90" s="34">
        <v>41579</v>
      </c>
      <c r="F90" s="1">
        <v>6.9</v>
      </c>
      <c r="G90" s="34">
        <v>41579</v>
      </c>
      <c r="H90" s="1">
        <v>2.14</v>
      </c>
      <c r="I90" s="34">
        <v>41579</v>
      </c>
      <c r="J90" s="1">
        <v>142.72999999999999</v>
      </c>
      <c r="K90" s="34">
        <v>41579</v>
      </c>
      <c r="L90" s="1">
        <v>5830.8</v>
      </c>
      <c r="M90" s="34">
        <v>41579</v>
      </c>
      <c r="N90" s="1">
        <v>740.6</v>
      </c>
    </row>
    <row r="91" spans="1:14" x14ac:dyDescent="0.25">
      <c r="A91" s="34">
        <v>41609</v>
      </c>
      <c r="B91" s="1">
        <v>5758.1</v>
      </c>
      <c r="C91" s="34">
        <v>41609</v>
      </c>
      <c r="D91" s="1">
        <v>1472</v>
      </c>
      <c r="E91" s="34">
        <v>41609</v>
      </c>
      <c r="F91" s="1">
        <v>6.8</v>
      </c>
      <c r="G91" s="34">
        <v>41609</v>
      </c>
      <c r="H91" s="1">
        <v>1.74</v>
      </c>
      <c r="I91" s="34">
        <v>41609</v>
      </c>
      <c r="J91" s="1">
        <v>143.15</v>
      </c>
      <c r="K91" s="34">
        <v>41609</v>
      </c>
      <c r="L91" s="1">
        <v>5796.8</v>
      </c>
      <c r="M91" s="34">
        <v>41609</v>
      </c>
      <c r="N91" s="1">
        <v>735.4</v>
      </c>
    </row>
    <row r="92" spans="1:14" x14ac:dyDescent="0.25">
      <c r="A92" s="34">
        <v>41640</v>
      </c>
      <c r="B92" s="1">
        <v>5757.3</v>
      </c>
      <c r="C92" s="34">
        <v>41640</v>
      </c>
      <c r="D92" s="1">
        <v>1482</v>
      </c>
      <c r="E92" s="34">
        <v>41640</v>
      </c>
      <c r="F92" s="1">
        <v>6.4</v>
      </c>
      <c r="G92" s="34">
        <v>41640</v>
      </c>
      <c r="H92" s="1">
        <v>2.57</v>
      </c>
      <c r="I92" s="34">
        <v>41640</v>
      </c>
      <c r="J92" s="1">
        <v>144.1</v>
      </c>
      <c r="K92" s="34">
        <v>41640</v>
      </c>
      <c r="L92" s="1">
        <v>5657.6</v>
      </c>
      <c r="M92" s="34">
        <v>41640</v>
      </c>
      <c r="N92" s="1">
        <v>710</v>
      </c>
    </row>
    <row r="93" spans="1:14" x14ac:dyDescent="0.25">
      <c r="A93" s="34">
        <v>41671</v>
      </c>
      <c r="B93" s="1">
        <v>5767.3</v>
      </c>
      <c r="C93" s="34">
        <v>41671</v>
      </c>
      <c r="D93" s="1">
        <v>877</v>
      </c>
      <c r="E93" s="34">
        <v>41671</v>
      </c>
      <c r="F93" s="1">
        <v>6.2</v>
      </c>
      <c r="G93" s="34">
        <v>41671</v>
      </c>
      <c r="H93" s="1">
        <v>2.46</v>
      </c>
      <c r="I93" s="34">
        <v>41671</v>
      </c>
      <c r="J93" s="1">
        <v>144.49</v>
      </c>
      <c r="K93" s="34">
        <v>41671</v>
      </c>
      <c r="L93" s="1">
        <v>5680.1</v>
      </c>
      <c r="M93" s="34">
        <v>41671</v>
      </c>
      <c r="N93" s="1">
        <v>728.9</v>
      </c>
    </row>
    <row r="94" spans="1:14" x14ac:dyDescent="0.25">
      <c r="A94" s="34">
        <v>41699</v>
      </c>
      <c r="B94" s="1">
        <v>5757.9</v>
      </c>
      <c r="C94" s="34">
        <v>41699</v>
      </c>
      <c r="D94" s="1">
        <v>1834</v>
      </c>
      <c r="E94" s="34">
        <v>41699</v>
      </c>
      <c r="F94" s="1">
        <v>6</v>
      </c>
      <c r="G94" s="34">
        <v>41699</v>
      </c>
      <c r="H94" s="1">
        <v>2.09</v>
      </c>
      <c r="I94" s="34">
        <v>41699</v>
      </c>
      <c r="J94" s="1">
        <v>145.25</v>
      </c>
      <c r="K94" s="34">
        <v>41699</v>
      </c>
      <c r="L94" s="1">
        <v>5711.6</v>
      </c>
      <c r="M94" s="34">
        <v>41699</v>
      </c>
      <c r="N94" s="1">
        <v>732.5</v>
      </c>
    </row>
    <row r="95" spans="1:14" x14ac:dyDescent="0.25">
      <c r="A95" s="34">
        <v>41730</v>
      </c>
      <c r="B95" s="1">
        <v>5770.2</v>
      </c>
      <c r="C95" s="34">
        <v>41730</v>
      </c>
      <c r="D95" s="1">
        <v>2388</v>
      </c>
      <c r="E95" s="34">
        <v>41730</v>
      </c>
      <c r="F95" s="1">
        <v>5.7</v>
      </c>
      <c r="G95" s="34">
        <v>41730</v>
      </c>
      <c r="H95" s="1">
        <v>2.76</v>
      </c>
      <c r="I95" s="34">
        <v>41730</v>
      </c>
      <c r="J95" s="1">
        <v>145.96</v>
      </c>
      <c r="K95" s="34">
        <v>41730</v>
      </c>
      <c r="L95" s="1">
        <v>5785.3</v>
      </c>
      <c r="M95" s="34">
        <v>41730</v>
      </c>
      <c r="N95" s="1">
        <v>734.5</v>
      </c>
    </row>
    <row r="96" spans="1:14" x14ac:dyDescent="0.25">
      <c r="A96" s="34">
        <v>41760</v>
      </c>
      <c r="B96" s="1">
        <v>5787.9</v>
      </c>
      <c r="C96" s="34">
        <v>41760</v>
      </c>
      <c r="D96" s="1">
        <v>2134</v>
      </c>
      <c r="E96" s="34">
        <v>41760</v>
      </c>
      <c r="F96" s="1">
        <v>5.6</v>
      </c>
      <c r="G96" s="34">
        <v>41760</v>
      </c>
      <c r="H96" s="1">
        <v>2.38</v>
      </c>
      <c r="I96" s="34">
        <v>41760</v>
      </c>
      <c r="J96" s="1">
        <v>146.52000000000001</v>
      </c>
      <c r="K96" s="34">
        <v>41760</v>
      </c>
      <c r="L96" s="1">
        <v>5828</v>
      </c>
      <c r="M96" s="34">
        <v>41760</v>
      </c>
      <c r="N96" s="1">
        <v>727.8</v>
      </c>
    </row>
    <row r="97" spans="1:14" x14ac:dyDescent="0.25">
      <c r="A97" s="34">
        <v>41791</v>
      </c>
      <c r="B97" s="1">
        <v>5793.7</v>
      </c>
      <c r="C97" s="34">
        <v>41791</v>
      </c>
      <c r="D97" s="1">
        <v>2231</v>
      </c>
      <c r="E97" s="34">
        <v>41791</v>
      </c>
      <c r="F97" s="1">
        <v>5.6</v>
      </c>
      <c r="G97" s="34">
        <v>41791</v>
      </c>
      <c r="H97" s="1">
        <v>1.83</v>
      </c>
      <c r="I97" s="34">
        <v>41791</v>
      </c>
      <c r="J97" s="1">
        <v>147.05000000000001</v>
      </c>
      <c r="K97" s="34">
        <v>41791</v>
      </c>
      <c r="L97" s="1">
        <v>5837.5</v>
      </c>
      <c r="M97" s="34">
        <v>41791</v>
      </c>
      <c r="N97" s="1">
        <v>708</v>
      </c>
    </row>
    <row r="98" spans="1:14" x14ac:dyDescent="0.25">
      <c r="A98" s="34">
        <v>41821</v>
      </c>
      <c r="B98" s="1">
        <v>5792.6</v>
      </c>
      <c r="C98" s="34">
        <v>41821</v>
      </c>
      <c r="D98" s="1">
        <v>2109</v>
      </c>
      <c r="E98" s="34">
        <v>41821</v>
      </c>
      <c r="F98" s="1">
        <v>5.7</v>
      </c>
      <c r="G98" s="34">
        <v>41821</v>
      </c>
      <c r="H98" s="1">
        <v>1.36</v>
      </c>
      <c r="I98" s="34">
        <v>41821</v>
      </c>
      <c r="J98" s="1">
        <v>147.25</v>
      </c>
      <c r="K98" s="34">
        <v>41821</v>
      </c>
      <c r="L98" s="1">
        <v>5774.2</v>
      </c>
      <c r="M98" s="34">
        <v>41821</v>
      </c>
      <c r="N98" s="1">
        <v>661.1</v>
      </c>
    </row>
    <row r="99" spans="1:14" x14ac:dyDescent="0.25">
      <c r="A99" s="34">
        <v>41852</v>
      </c>
      <c r="B99" s="1">
        <v>5792.2</v>
      </c>
      <c r="C99" s="34">
        <v>41852</v>
      </c>
      <c r="D99" s="1">
        <v>1599</v>
      </c>
      <c r="E99" s="34">
        <v>41852</v>
      </c>
      <c r="F99" s="1">
        <v>5.8</v>
      </c>
      <c r="G99" s="34">
        <v>41852</v>
      </c>
      <c r="H99" s="1">
        <v>1.08</v>
      </c>
      <c r="I99" s="34">
        <v>41852</v>
      </c>
      <c r="J99" s="1">
        <v>147.59</v>
      </c>
      <c r="K99" s="34">
        <v>41852</v>
      </c>
      <c r="L99" s="1">
        <v>5766.9</v>
      </c>
      <c r="M99" s="34">
        <v>41852</v>
      </c>
      <c r="N99" s="1">
        <v>662.7</v>
      </c>
    </row>
    <row r="100" spans="1:14" x14ac:dyDescent="0.25">
      <c r="A100" s="34">
        <v>41883</v>
      </c>
      <c r="B100" s="1">
        <v>5789.7</v>
      </c>
      <c r="C100" s="34">
        <v>41883</v>
      </c>
      <c r="D100" s="1">
        <v>2295</v>
      </c>
      <c r="E100" s="34">
        <v>41883</v>
      </c>
      <c r="F100" s="1">
        <v>5.7</v>
      </c>
      <c r="G100" s="34">
        <v>41883</v>
      </c>
      <c r="H100" s="1">
        <v>1.43</v>
      </c>
      <c r="I100" s="34">
        <v>41883</v>
      </c>
      <c r="J100" s="1">
        <v>147.91</v>
      </c>
      <c r="K100" s="34">
        <v>41883</v>
      </c>
      <c r="L100" s="1">
        <v>5814.1</v>
      </c>
      <c r="M100" s="34">
        <v>41883</v>
      </c>
      <c r="N100" s="1">
        <v>716.7</v>
      </c>
    </row>
    <row r="101" spans="1:14" x14ac:dyDescent="0.25">
      <c r="A101" s="34">
        <v>41913</v>
      </c>
      <c r="B101" s="1">
        <v>5798.1</v>
      </c>
      <c r="C101" s="34">
        <v>41913</v>
      </c>
      <c r="D101" s="1">
        <v>2017</v>
      </c>
      <c r="E101" s="34">
        <v>41913</v>
      </c>
      <c r="F101" s="1">
        <v>5.4</v>
      </c>
      <c r="G101" s="34">
        <v>41913</v>
      </c>
      <c r="H101" s="1">
        <v>2.75</v>
      </c>
      <c r="I101" s="34">
        <v>41913</v>
      </c>
      <c r="J101" s="1">
        <v>148.82</v>
      </c>
      <c r="K101" s="34">
        <v>41913</v>
      </c>
      <c r="L101" s="1">
        <v>5860.6</v>
      </c>
      <c r="M101" s="34">
        <v>41913</v>
      </c>
      <c r="N101" s="1">
        <v>731.6</v>
      </c>
    </row>
    <row r="102" spans="1:14" x14ac:dyDescent="0.25">
      <c r="A102" s="34">
        <v>41944</v>
      </c>
      <c r="B102" s="1">
        <v>5804</v>
      </c>
      <c r="C102" s="34">
        <v>41944</v>
      </c>
      <c r="D102" s="1">
        <v>1728</v>
      </c>
      <c r="E102" s="34">
        <v>41944</v>
      </c>
      <c r="F102" s="1">
        <v>5.0999999999999996</v>
      </c>
      <c r="G102" s="34">
        <v>41944</v>
      </c>
      <c r="H102" s="1">
        <v>2.4500000000000002</v>
      </c>
      <c r="I102" s="34">
        <v>41944</v>
      </c>
      <c r="J102" s="1">
        <v>149.24</v>
      </c>
      <c r="K102" s="34">
        <v>41944</v>
      </c>
      <c r="L102" s="1">
        <v>5866.1</v>
      </c>
      <c r="M102" s="34">
        <v>41944</v>
      </c>
      <c r="N102" s="1">
        <v>736.4</v>
      </c>
    </row>
    <row r="103" spans="1:14" x14ac:dyDescent="0.25">
      <c r="A103" s="34">
        <v>41974</v>
      </c>
      <c r="B103" s="1">
        <v>5812.3</v>
      </c>
      <c r="E103" s="34">
        <v>41974</v>
      </c>
      <c r="F103" s="1">
        <v>4.8</v>
      </c>
      <c r="K103" s="34">
        <v>41974</v>
      </c>
      <c r="L103" s="1">
        <v>5851.6</v>
      </c>
      <c r="M103" s="34">
        <v>41974</v>
      </c>
      <c r="N103" s="1">
        <v>732.1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P103"/>
  <sheetViews>
    <sheetView topLeftCell="A77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268</v>
      </c>
      <c r="C1" s="34" t="s">
        <v>269</v>
      </c>
      <c r="E1" s="34" t="s">
        <v>270</v>
      </c>
      <c r="G1" s="34" t="s">
        <v>271</v>
      </c>
      <c r="I1" s="34" t="s">
        <v>272</v>
      </c>
      <c r="K1" s="34" t="str">
        <f>CONCATENATE(LEFT(A1,2), "NAN")</f>
        <v>RINAN</v>
      </c>
      <c r="M1" s="34" t="str">
        <f>CONCATENATE(LEFT(A1,2), "GOVTN")</f>
        <v>RIGOVTN</v>
      </c>
      <c r="O1" s="34" t="str">
        <f>CONCATENATE(LEFT($A$1,2), "RGSP")</f>
        <v>RIRGSP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922</v>
      </c>
      <c r="C5" s="35" t="s">
        <v>363</v>
      </c>
      <c r="E5" s="35" t="s">
        <v>364</v>
      </c>
      <c r="G5" s="35" t="s">
        <v>365</v>
      </c>
      <c r="I5" s="35" t="s">
        <v>366</v>
      </c>
      <c r="K5" s="35" t="s">
        <v>922</v>
      </c>
      <c r="M5" s="35" t="s">
        <v>923</v>
      </c>
      <c r="O5" s="35" t="s">
        <v>781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495.2</v>
      </c>
      <c r="C8" s="34">
        <v>39083</v>
      </c>
      <c r="D8" s="1">
        <v>190</v>
      </c>
      <c r="E8" s="34">
        <v>39083</v>
      </c>
      <c r="F8" s="1">
        <v>4.8</v>
      </c>
      <c r="G8" s="34">
        <v>39083</v>
      </c>
      <c r="H8" s="1">
        <v>0.87</v>
      </c>
      <c r="I8" s="34">
        <v>39083</v>
      </c>
      <c r="J8" s="1">
        <v>160.72999999999999</v>
      </c>
      <c r="K8" s="34">
        <v>39083</v>
      </c>
      <c r="L8" s="1">
        <v>481</v>
      </c>
      <c r="M8" s="34">
        <v>39083</v>
      </c>
      <c r="N8" s="1">
        <v>65.2</v>
      </c>
      <c r="O8" s="34">
        <v>39083</v>
      </c>
      <c r="P8" s="1">
        <v>49279</v>
      </c>
    </row>
    <row r="9" spans="1:16" x14ac:dyDescent="0.25">
      <c r="A9" s="34">
        <v>39114</v>
      </c>
      <c r="B9" s="1">
        <v>494.5</v>
      </c>
      <c r="C9" s="34">
        <v>39114</v>
      </c>
      <c r="D9" s="1">
        <v>176</v>
      </c>
      <c r="E9" s="34">
        <v>39114</v>
      </c>
      <c r="F9" s="1">
        <v>4.8</v>
      </c>
      <c r="G9" s="34">
        <v>39114</v>
      </c>
      <c r="H9" s="1">
        <v>0.4</v>
      </c>
      <c r="I9" s="34">
        <v>39114</v>
      </c>
      <c r="J9" s="1">
        <v>160.81</v>
      </c>
      <c r="K9" s="34">
        <v>39114</v>
      </c>
      <c r="L9" s="1">
        <v>482.8</v>
      </c>
      <c r="M9" s="34">
        <v>39114</v>
      </c>
      <c r="N9" s="1">
        <v>65.400000000000006</v>
      </c>
      <c r="O9" s="34">
        <v>39448</v>
      </c>
      <c r="P9" s="1">
        <v>47890</v>
      </c>
    </row>
    <row r="10" spans="1:16" x14ac:dyDescent="0.25">
      <c r="A10" s="34">
        <v>39142</v>
      </c>
      <c r="B10" s="1">
        <v>493.9</v>
      </c>
      <c r="C10" s="34">
        <v>39142</v>
      </c>
      <c r="D10" s="1">
        <v>164</v>
      </c>
      <c r="E10" s="34">
        <v>39142</v>
      </c>
      <c r="F10" s="1">
        <v>4.8</v>
      </c>
      <c r="G10" s="34">
        <v>39142</v>
      </c>
      <c r="H10" s="1">
        <v>-0.23</v>
      </c>
      <c r="I10" s="34">
        <v>39142</v>
      </c>
      <c r="J10" s="1">
        <v>160.81</v>
      </c>
      <c r="K10" s="34">
        <v>39142</v>
      </c>
      <c r="L10" s="1">
        <v>485.2</v>
      </c>
      <c r="M10" s="34">
        <v>39142</v>
      </c>
      <c r="N10" s="1">
        <v>65.3</v>
      </c>
      <c r="O10" s="34">
        <v>39814</v>
      </c>
      <c r="P10" s="1">
        <v>47592</v>
      </c>
    </row>
    <row r="11" spans="1:16" x14ac:dyDescent="0.25">
      <c r="A11" s="34">
        <v>39173</v>
      </c>
      <c r="B11" s="1">
        <v>492.9</v>
      </c>
      <c r="C11" s="34">
        <v>39173</v>
      </c>
      <c r="D11" s="1">
        <v>165</v>
      </c>
      <c r="E11" s="34">
        <v>39173</v>
      </c>
      <c r="F11" s="1">
        <v>4.9000000000000004</v>
      </c>
      <c r="G11" s="34">
        <v>39173</v>
      </c>
      <c r="H11" s="1">
        <v>-1</v>
      </c>
      <c r="I11" s="34">
        <v>39173</v>
      </c>
      <c r="J11" s="1">
        <v>160.44999999999999</v>
      </c>
      <c r="K11" s="34">
        <v>39173</v>
      </c>
      <c r="L11" s="1">
        <v>492.4</v>
      </c>
      <c r="M11" s="34">
        <v>39173</v>
      </c>
      <c r="N11" s="1">
        <v>65.3</v>
      </c>
      <c r="O11" s="34">
        <v>40179</v>
      </c>
      <c r="P11" s="1">
        <v>48719</v>
      </c>
    </row>
    <row r="12" spans="1:16" x14ac:dyDescent="0.25">
      <c r="A12" s="34">
        <v>39203</v>
      </c>
      <c r="B12" s="1">
        <v>494.1</v>
      </c>
      <c r="C12" s="34">
        <v>39203</v>
      </c>
      <c r="D12" s="1">
        <v>153</v>
      </c>
      <c r="E12" s="34">
        <v>39203</v>
      </c>
      <c r="F12" s="1">
        <v>4.9000000000000004</v>
      </c>
      <c r="G12" s="34">
        <v>39203</v>
      </c>
      <c r="H12" s="1">
        <v>-0.97</v>
      </c>
      <c r="I12" s="34">
        <v>39203</v>
      </c>
      <c r="J12" s="1">
        <v>160.4</v>
      </c>
      <c r="K12" s="34">
        <v>39203</v>
      </c>
      <c r="L12" s="1">
        <v>498.9</v>
      </c>
      <c r="M12" s="34">
        <v>39203</v>
      </c>
      <c r="N12" s="1">
        <v>66</v>
      </c>
      <c r="O12" s="34">
        <v>40544</v>
      </c>
      <c r="P12" s="1">
        <v>48649</v>
      </c>
    </row>
    <row r="13" spans="1:16" x14ac:dyDescent="0.25">
      <c r="A13" s="34">
        <v>39234</v>
      </c>
      <c r="B13" s="1">
        <v>493.9</v>
      </c>
      <c r="C13" s="34">
        <v>39234</v>
      </c>
      <c r="D13" s="1">
        <v>152</v>
      </c>
      <c r="E13" s="34">
        <v>39234</v>
      </c>
      <c r="F13" s="1">
        <v>5.0999999999999996</v>
      </c>
      <c r="G13" s="34">
        <v>39234</v>
      </c>
      <c r="H13" s="1">
        <v>-1.82</v>
      </c>
      <c r="I13" s="34">
        <v>39234</v>
      </c>
      <c r="J13" s="1">
        <v>159.69</v>
      </c>
      <c r="K13" s="34">
        <v>39234</v>
      </c>
      <c r="L13" s="1">
        <v>500.7</v>
      </c>
      <c r="M13" s="34">
        <v>39234</v>
      </c>
      <c r="N13" s="1">
        <v>64.900000000000006</v>
      </c>
      <c r="O13" s="34">
        <v>40909</v>
      </c>
      <c r="P13" s="1">
        <v>49262</v>
      </c>
    </row>
    <row r="14" spans="1:16" x14ac:dyDescent="0.25">
      <c r="A14" s="34">
        <v>39264</v>
      </c>
      <c r="B14" s="1">
        <v>493.1</v>
      </c>
      <c r="C14" s="34">
        <v>39264</v>
      </c>
      <c r="D14" s="1">
        <v>119</v>
      </c>
      <c r="E14" s="34">
        <v>39264</v>
      </c>
      <c r="F14" s="1">
        <v>5.2</v>
      </c>
      <c r="G14" s="34">
        <v>39264</v>
      </c>
      <c r="H14" s="1">
        <v>-2.02</v>
      </c>
      <c r="I14" s="34">
        <v>39264</v>
      </c>
      <c r="J14" s="1">
        <v>159.29</v>
      </c>
      <c r="K14" s="34">
        <v>39264</v>
      </c>
      <c r="L14" s="1">
        <v>491.9</v>
      </c>
      <c r="M14" s="34">
        <v>39264</v>
      </c>
      <c r="N14" s="1">
        <v>61.5</v>
      </c>
      <c r="O14" s="34">
        <v>41275</v>
      </c>
      <c r="P14" s="1">
        <v>49962</v>
      </c>
    </row>
    <row r="15" spans="1:16" x14ac:dyDescent="0.25">
      <c r="A15" s="34">
        <v>39295</v>
      </c>
      <c r="B15" s="1">
        <v>492</v>
      </c>
      <c r="C15" s="34">
        <v>39295</v>
      </c>
      <c r="D15" s="1">
        <v>154</v>
      </c>
      <c r="E15" s="34">
        <v>39295</v>
      </c>
      <c r="F15" s="1">
        <v>5.3</v>
      </c>
      <c r="G15" s="34">
        <v>39295</v>
      </c>
      <c r="H15" s="1">
        <v>-1.74</v>
      </c>
      <c r="I15" s="34">
        <v>39295</v>
      </c>
      <c r="J15" s="1">
        <v>158.91999999999999</v>
      </c>
      <c r="K15" s="34">
        <v>39295</v>
      </c>
      <c r="L15" s="1">
        <v>492</v>
      </c>
      <c r="M15" s="34">
        <v>39295</v>
      </c>
      <c r="N15" s="1">
        <v>61.2</v>
      </c>
    </row>
    <row r="16" spans="1:16" x14ac:dyDescent="0.25">
      <c r="A16" s="34">
        <v>39326</v>
      </c>
      <c r="B16" s="1">
        <v>489.7</v>
      </c>
      <c r="C16" s="34">
        <v>39326</v>
      </c>
      <c r="D16" s="1">
        <v>130</v>
      </c>
      <c r="E16" s="34">
        <v>39326</v>
      </c>
      <c r="F16" s="1">
        <v>5.5</v>
      </c>
      <c r="G16" s="34">
        <v>39326</v>
      </c>
      <c r="H16" s="1">
        <v>-2.0499999999999998</v>
      </c>
      <c r="I16" s="34">
        <v>39326</v>
      </c>
      <c r="J16" s="1">
        <v>158.22</v>
      </c>
      <c r="K16" s="34">
        <v>39326</v>
      </c>
      <c r="L16" s="1">
        <v>495.3</v>
      </c>
      <c r="M16" s="34">
        <v>39326</v>
      </c>
      <c r="N16" s="1">
        <v>63.9</v>
      </c>
    </row>
    <row r="17" spans="1:14" x14ac:dyDescent="0.25">
      <c r="A17" s="34">
        <v>39356</v>
      </c>
      <c r="B17" s="1">
        <v>489.2</v>
      </c>
      <c r="C17" s="34">
        <v>39356</v>
      </c>
      <c r="D17" s="1">
        <v>118</v>
      </c>
      <c r="E17" s="34">
        <v>39356</v>
      </c>
      <c r="F17" s="1">
        <v>5.6</v>
      </c>
      <c r="G17" s="34">
        <v>39356</v>
      </c>
      <c r="H17" s="1">
        <v>-1.9</v>
      </c>
      <c r="I17" s="34">
        <v>39356</v>
      </c>
      <c r="J17" s="1">
        <v>157.91999999999999</v>
      </c>
      <c r="K17" s="34">
        <v>39356</v>
      </c>
      <c r="L17" s="1">
        <v>495.1</v>
      </c>
      <c r="M17" s="34">
        <v>39356</v>
      </c>
      <c r="N17" s="1">
        <v>64.7</v>
      </c>
    </row>
    <row r="18" spans="1:14" x14ac:dyDescent="0.25">
      <c r="A18" s="34">
        <v>39387</v>
      </c>
      <c r="B18" s="1">
        <v>487.9</v>
      </c>
      <c r="C18" s="34">
        <v>39387</v>
      </c>
      <c r="D18" s="1">
        <v>157</v>
      </c>
      <c r="E18" s="34">
        <v>39387</v>
      </c>
      <c r="F18" s="1">
        <v>5.8</v>
      </c>
      <c r="G18" s="34">
        <v>39387</v>
      </c>
      <c r="H18" s="1">
        <v>-1.91</v>
      </c>
      <c r="I18" s="34">
        <v>39387</v>
      </c>
      <c r="J18" s="1">
        <v>157.34</v>
      </c>
      <c r="K18" s="34">
        <v>39387</v>
      </c>
      <c r="L18" s="1">
        <v>494.1</v>
      </c>
      <c r="M18" s="34">
        <v>39387</v>
      </c>
      <c r="N18" s="1">
        <v>64.8</v>
      </c>
    </row>
    <row r="19" spans="1:14" x14ac:dyDescent="0.25">
      <c r="A19" s="34">
        <v>39417</v>
      </c>
      <c r="B19" s="1">
        <v>487.8</v>
      </c>
      <c r="C19" s="34">
        <v>39417</v>
      </c>
      <c r="D19" s="1">
        <v>139</v>
      </c>
      <c r="E19" s="34">
        <v>39417</v>
      </c>
      <c r="F19" s="1">
        <v>6</v>
      </c>
      <c r="G19" s="34">
        <v>39417</v>
      </c>
      <c r="H19" s="1">
        <v>-2.1</v>
      </c>
      <c r="I19" s="34">
        <v>39417</v>
      </c>
      <c r="J19" s="1">
        <v>156.82</v>
      </c>
      <c r="K19" s="34">
        <v>39417</v>
      </c>
      <c r="L19" s="1">
        <v>492.5</v>
      </c>
      <c r="M19" s="34">
        <v>39417</v>
      </c>
      <c r="N19" s="1">
        <v>65</v>
      </c>
    </row>
    <row r="20" spans="1:14" x14ac:dyDescent="0.25">
      <c r="A20" s="34">
        <v>39448</v>
      </c>
      <c r="B20" s="1">
        <v>488</v>
      </c>
      <c r="C20" s="34">
        <v>39448</v>
      </c>
      <c r="D20" s="1">
        <v>82</v>
      </c>
      <c r="E20" s="34">
        <v>39448</v>
      </c>
      <c r="F20" s="1">
        <v>6.2</v>
      </c>
      <c r="G20" s="34">
        <v>39448</v>
      </c>
      <c r="H20" s="1">
        <v>-2.0099999999999998</v>
      </c>
      <c r="I20" s="34">
        <v>39448</v>
      </c>
      <c r="J20" s="1">
        <v>156.33000000000001</v>
      </c>
      <c r="K20" s="34">
        <v>39448</v>
      </c>
      <c r="L20" s="1">
        <v>473.5</v>
      </c>
      <c r="M20" s="34">
        <v>39448</v>
      </c>
      <c r="N20" s="1">
        <v>64.599999999999994</v>
      </c>
    </row>
    <row r="21" spans="1:14" x14ac:dyDescent="0.25">
      <c r="A21" s="34">
        <v>39479</v>
      </c>
      <c r="B21" s="1">
        <v>486.9</v>
      </c>
      <c r="C21" s="34">
        <v>39479</v>
      </c>
      <c r="D21" s="1">
        <v>57</v>
      </c>
      <c r="E21" s="34">
        <v>39479</v>
      </c>
      <c r="F21" s="1">
        <v>6.4</v>
      </c>
      <c r="G21" s="34">
        <v>39479</v>
      </c>
      <c r="H21" s="1">
        <v>-1.85</v>
      </c>
      <c r="I21" s="34">
        <v>39479</v>
      </c>
      <c r="J21" s="1">
        <v>155.84</v>
      </c>
      <c r="K21" s="34">
        <v>39479</v>
      </c>
      <c r="L21" s="1">
        <v>475.5</v>
      </c>
      <c r="M21" s="34">
        <v>39479</v>
      </c>
      <c r="N21" s="1">
        <v>64.5</v>
      </c>
    </row>
    <row r="22" spans="1:14" x14ac:dyDescent="0.25">
      <c r="A22" s="34">
        <v>39508</v>
      </c>
      <c r="B22" s="1">
        <v>486.2</v>
      </c>
      <c r="C22" s="34">
        <v>39508</v>
      </c>
      <c r="D22" s="1">
        <v>98</v>
      </c>
      <c r="E22" s="34">
        <v>39508</v>
      </c>
      <c r="F22" s="1">
        <v>6.6</v>
      </c>
      <c r="G22" s="34">
        <v>39508</v>
      </c>
      <c r="H22" s="1">
        <v>-1.81</v>
      </c>
      <c r="I22" s="34">
        <v>39508</v>
      </c>
      <c r="J22" s="1">
        <v>155.32</v>
      </c>
      <c r="K22" s="34">
        <v>39508</v>
      </c>
      <c r="L22" s="1">
        <v>477.4</v>
      </c>
      <c r="M22" s="34">
        <v>39508</v>
      </c>
      <c r="N22" s="1">
        <v>64.900000000000006</v>
      </c>
    </row>
    <row r="23" spans="1:14" x14ac:dyDescent="0.25">
      <c r="A23" s="34">
        <v>39539</v>
      </c>
      <c r="B23" s="1">
        <v>485</v>
      </c>
      <c r="C23" s="34">
        <v>39539</v>
      </c>
      <c r="D23" s="1">
        <v>125</v>
      </c>
      <c r="E23" s="34">
        <v>39539</v>
      </c>
      <c r="F23" s="1">
        <v>6.9</v>
      </c>
      <c r="G23" s="34">
        <v>39539</v>
      </c>
      <c r="H23" s="1">
        <v>-2.35</v>
      </c>
      <c r="I23" s="34">
        <v>39539</v>
      </c>
      <c r="J23" s="1">
        <v>154.47</v>
      </c>
      <c r="K23" s="34">
        <v>39539</v>
      </c>
      <c r="L23" s="1">
        <v>484</v>
      </c>
      <c r="M23" s="34">
        <v>39539</v>
      </c>
      <c r="N23" s="1">
        <v>64.8</v>
      </c>
    </row>
    <row r="24" spans="1:14" x14ac:dyDescent="0.25">
      <c r="A24" s="34">
        <v>39569</v>
      </c>
      <c r="B24" s="1">
        <v>484.2</v>
      </c>
      <c r="C24" s="34">
        <v>39569</v>
      </c>
      <c r="D24" s="1">
        <v>119</v>
      </c>
      <c r="E24" s="34">
        <v>39569</v>
      </c>
      <c r="F24" s="1">
        <v>7.2</v>
      </c>
      <c r="G24" s="34">
        <v>39569</v>
      </c>
      <c r="H24" s="1">
        <v>-2.64</v>
      </c>
      <c r="I24" s="34">
        <v>39569</v>
      </c>
      <c r="J24" s="1">
        <v>153.59</v>
      </c>
      <c r="K24" s="34">
        <v>39569</v>
      </c>
      <c r="L24" s="1">
        <v>489.2</v>
      </c>
      <c r="M24" s="34">
        <v>39569</v>
      </c>
      <c r="N24" s="1">
        <v>65.5</v>
      </c>
    </row>
    <row r="25" spans="1:14" x14ac:dyDescent="0.25">
      <c r="A25" s="34">
        <v>39600</v>
      </c>
      <c r="B25" s="1">
        <v>482.8</v>
      </c>
      <c r="C25" s="34">
        <v>39600</v>
      </c>
      <c r="D25" s="1">
        <v>140</v>
      </c>
      <c r="E25" s="34">
        <v>39600</v>
      </c>
      <c r="F25" s="1">
        <v>7.6</v>
      </c>
      <c r="G25" s="34">
        <v>39600</v>
      </c>
      <c r="H25" s="1">
        <v>-3.37</v>
      </c>
      <c r="I25" s="34">
        <v>39600</v>
      </c>
      <c r="J25" s="1">
        <v>152.41</v>
      </c>
      <c r="K25" s="34">
        <v>39600</v>
      </c>
      <c r="L25" s="1">
        <v>489.5</v>
      </c>
      <c r="M25" s="34">
        <v>39600</v>
      </c>
      <c r="N25" s="1">
        <v>64.5</v>
      </c>
    </row>
    <row r="26" spans="1:14" x14ac:dyDescent="0.25">
      <c r="A26" s="34">
        <v>39630</v>
      </c>
      <c r="B26" s="1">
        <v>479.9</v>
      </c>
      <c r="C26" s="34">
        <v>39630</v>
      </c>
      <c r="D26" s="1">
        <v>107</v>
      </c>
      <c r="E26" s="34">
        <v>39630</v>
      </c>
      <c r="F26" s="1">
        <v>7.9</v>
      </c>
      <c r="G26" s="34">
        <v>39630</v>
      </c>
      <c r="H26" s="1">
        <v>-3.14</v>
      </c>
      <c r="I26" s="34">
        <v>39630</v>
      </c>
      <c r="J26" s="1">
        <v>151.52000000000001</v>
      </c>
      <c r="K26" s="34">
        <v>39630</v>
      </c>
      <c r="L26" s="1">
        <v>479.2</v>
      </c>
      <c r="M26" s="34">
        <v>39630</v>
      </c>
      <c r="N26" s="1">
        <v>60.2</v>
      </c>
    </row>
    <row r="27" spans="1:14" x14ac:dyDescent="0.25">
      <c r="A27" s="34">
        <v>39661</v>
      </c>
      <c r="B27" s="1">
        <v>479.6</v>
      </c>
      <c r="C27" s="34">
        <v>39661</v>
      </c>
      <c r="D27" s="1">
        <v>69</v>
      </c>
      <c r="E27" s="34">
        <v>39661</v>
      </c>
      <c r="F27" s="1">
        <v>8.1999999999999993</v>
      </c>
      <c r="G27" s="34">
        <v>39661</v>
      </c>
      <c r="H27" s="1">
        <v>-2.76</v>
      </c>
      <c r="I27" s="34">
        <v>39661</v>
      </c>
      <c r="J27" s="1">
        <v>150.69</v>
      </c>
      <c r="K27" s="34">
        <v>39661</v>
      </c>
      <c r="L27" s="1">
        <v>480.2</v>
      </c>
      <c r="M27" s="34">
        <v>39661</v>
      </c>
      <c r="N27" s="1">
        <v>59.5</v>
      </c>
    </row>
    <row r="28" spans="1:14" x14ac:dyDescent="0.25">
      <c r="A28" s="34">
        <v>39692</v>
      </c>
      <c r="B28" s="1">
        <v>478.6</v>
      </c>
      <c r="C28" s="34">
        <v>39692</v>
      </c>
      <c r="D28" s="1">
        <v>89</v>
      </c>
      <c r="E28" s="34">
        <v>39692</v>
      </c>
      <c r="F28" s="1">
        <v>8.5</v>
      </c>
      <c r="G28" s="34">
        <v>39692</v>
      </c>
      <c r="H28" s="1">
        <v>-2.83</v>
      </c>
      <c r="I28" s="34">
        <v>39692</v>
      </c>
      <c r="J28" s="1">
        <v>149.81</v>
      </c>
      <c r="K28" s="34">
        <v>39692</v>
      </c>
      <c r="L28" s="1">
        <v>484.4</v>
      </c>
      <c r="M28" s="34">
        <v>39692</v>
      </c>
      <c r="N28" s="1">
        <v>62.4</v>
      </c>
    </row>
    <row r="29" spans="1:14" x14ac:dyDescent="0.25">
      <c r="A29" s="34">
        <v>39722</v>
      </c>
      <c r="B29" s="1">
        <v>476</v>
      </c>
      <c r="C29" s="34">
        <v>39722</v>
      </c>
      <c r="D29" s="1">
        <v>105</v>
      </c>
      <c r="E29" s="34">
        <v>39722</v>
      </c>
      <c r="F29" s="1">
        <v>8.8000000000000007</v>
      </c>
      <c r="G29" s="34">
        <v>39722</v>
      </c>
      <c r="H29" s="1">
        <v>-2.77</v>
      </c>
      <c r="I29" s="34">
        <v>39722</v>
      </c>
      <c r="J29" s="1">
        <v>148.91</v>
      </c>
      <c r="K29" s="34">
        <v>39722</v>
      </c>
      <c r="L29" s="1">
        <v>482.7</v>
      </c>
      <c r="M29" s="34">
        <v>39722</v>
      </c>
      <c r="N29" s="1">
        <v>63.1</v>
      </c>
    </row>
    <row r="30" spans="1:14" x14ac:dyDescent="0.25">
      <c r="A30" s="34">
        <v>39753</v>
      </c>
      <c r="B30" s="1">
        <v>473.7</v>
      </c>
      <c r="C30" s="34">
        <v>39753</v>
      </c>
      <c r="D30" s="1">
        <v>58</v>
      </c>
      <c r="E30" s="34">
        <v>39753</v>
      </c>
      <c r="F30" s="1">
        <v>9.1</v>
      </c>
      <c r="G30" s="34">
        <v>39753</v>
      </c>
      <c r="H30" s="1">
        <v>-3.06</v>
      </c>
      <c r="I30" s="34">
        <v>39753</v>
      </c>
      <c r="J30" s="1">
        <v>147.94</v>
      </c>
      <c r="K30" s="34">
        <v>39753</v>
      </c>
      <c r="L30" s="1">
        <v>479.9</v>
      </c>
      <c r="M30" s="34">
        <v>39753</v>
      </c>
      <c r="N30" s="1">
        <v>64</v>
      </c>
    </row>
    <row r="31" spans="1:14" x14ac:dyDescent="0.25">
      <c r="A31" s="34">
        <v>39783</v>
      </c>
      <c r="B31" s="1">
        <v>471.8</v>
      </c>
      <c r="C31" s="34">
        <v>39783</v>
      </c>
      <c r="D31" s="1">
        <v>109</v>
      </c>
      <c r="E31" s="34">
        <v>39783</v>
      </c>
      <c r="F31" s="1">
        <v>9.4</v>
      </c>
      <c r="G31" s="34">
        <v>39783</v>
      </c>
      <c r="H31" s="1">
        <v>-3.05</v>
      </c>
      <c r="I31" s="34">
        <v>39783</v>
      </c>
      <c r="J31" s="1">
        <v>146.93</v>
      </c>
      <c r="K31" s="34">
        <v>39783</v>
      </c>
      <c r="L31" s="1">
        <v>476.2</v>
      </c>
      <c r="M31" s="34">
        <v>39783</v>
      </c>
      <c r="N31" s="1">
        <v>63.7</v>
      </c>
    </row>
    <row r="32" spans="1:14" x14ac:dyDescent="0.25">
      <c r="A32" s="34">
        <v>39814</v>
      </c>
      <c r="B32" s="1">
        <v>467.9</v>
      </c>
      <c r="C32" s="34">
        <v>39814</v>
      </c>
      <c r="D32" s="1">
        <v>33</v>
      </c>
      <c r="E32" s="34">
        <v>39814</v>
      </c>
      <c r="F32" s="1">
        <v>9.6999999999999993</v>
      </c>
      <c r="G32" s="34">
        <v>39814</v>
      </c>
      <c r="H32" s="1">
        <v>-3.06</v>
      </c>
      <c r="I32" s="34">
        <v>39814</v>
      </c>
      <c r="J32" s="1">
        <v>145.87</v>
      </c>
      <c r="K32" s="34">
        <v>39814</v>
      </c>
      <c r="L32" s="1">
        <v>454.3</v>
      </c>
      <c r="M32" s="34">
        <v>39814</v>
      </c>
      <c r="N32" s="1">
        <v>63</v>
      </c>
    </row>
    <row r="33" spans="1:14" x14ac:dyDescent="0.25">
      <c r="A33" s="34">
        <v>39845</v>
      </c>
      <c r="B33" s="1">
        <v>466</v>
      </c>
      <c r="C33" s="34">
        <v>39845</v>
      </c>
      <c r="D33" s="1">
        <v>23</v>
      </c>
      <c r="E33" s="34">
        <v>39845</v>
      </c>
      <c r="F33" s="1">
        <v>9.9</v>
      </c>
      <c r="G33" s="34">
        <v>39845</v>
      </c>
      <c r="H33" s="1">
        <v>-2.6</v>
      </c>
      <c r="I33" s="34">
        <v>39845</v>
      </c>
      <c r="J33" s="1">
        <v>145.13</v>
      </c>
      <c r="K33" s="34">
        <v>39845</v>
      </c>
      <c r="L33" s="1">
        <v>455.4</v>
      </c>
      <c r="M33" s="34">
        <v>39845</v>
      </c>
      <c r="N33" s="1">
        <v>63.3</v>
      </c>
    </row>
    <row r="34" spans="1:14" x14ac:dyDescent="0.25">
      <c r="A34" s="34">
        <v>39873</v>
      </c>
      <c r="B34" s="1">
        <v>463.2</v>
      </c>
      <c r="C34" s="34">
        <v>39873</v>
      </c>
      <c r="D34" s="1">
        <v>97</v>
      </c>
      <c r="E34" s="34">
        <v>39873</v>
      </c>
      <c r="F34" s="1">
        <v>10.199999999999999</v>
      </c>
      <c r="G34" s="34">
        <v>39873</v>
      </c>
      <c r="H34" s="1">
        <v>-3.25</v>
      </c>
      <c r="I34" s="34">
        <v>39873</v>
      </c>
      <c r="J34" s="1">
        <v>144.1</v>
      </c>
      <c r="K34" s="34">
        <v>39873</v>
      </c>
      <c r="L34" s="1">
        <v>454.8</v>
      </c>
      <c r="M34" s="34">
        <v>39873</v>
      </c>
      <c r="N34" s="1">
        <v>63.2</v>
      </c>
    </row>
    <row r="35" spans="1:14" x14ac:dyDescent="0.25">
      <c r="A35" s="34">
        <v>39904</v>
      </c>
      <c r="B35" s="1">
        <v>459.7</v>
      </c>
      <c r="C35" s="34">
        <v>39904</v>
      </c>
      <c r="D35" s="1">
        <v>66</v>
      </c>
      <c r="E35" s="34">
        <v>39904</v>
      </c>
      <c r="F35" s="1">
        <v>10.4</v>
      </c>
      <c r="G35" s="34">
        <v>39904</v>
      </c>
      <c r="H35" s="1">
        <v>-3.01</v>
      </c>
      <c r="I35" s="34">
        <v>39904</v>
      </c>
      <c r="J35" s="1">
        <v>143.41999999999999</v>
      </c>
      <c r="K35" s="34">
        <v>39904</v>
      </c>
      <c r="L35" s="1">
        <v>458.7</v>
      </c>
      <c r="M35" s="34">
        <v>39904</v>
      </c>
      <c r="N35" s="1">
        <v>63.4</v>
      </c>
    </row>
    <row r="36" spans="1:14" x14ac:dyDescent="0.25">
      <c r="A36" s="34">
        <v>39934</v>
      </c>
      <c r="B36" s="1">
        <v>460</v>
      </c>
      <c r="C36" s="34">
        <v>39934</v>
      </c>
      <c r="D36" s="1">
        <v>130</v>
      </c>
      <c r="E36" s="34">
        <v>39934</v>
      </c>
      <c r="F36" s="1">
        <v>10.6</v>
      </c>
      <c r="G36" s="34">
        <v>39934</v>
      </c>
      <c r="H36" s="1">
        <v>-1.82</v>
      </c>
      <c r="I36" s="34">
        <v>39934</v>
      </c>
      <c r="J36" s="1">
        <v>142.82</v>
      </c>
      <c r="K36" s="34">
        <v>39934</v>
      </c>
      <c r="L36" s="1">
        <v>465.1</v>
      </c>
      <c r="M36" s="34">
        <v>39934</v>
      </c>
      <c r="N36" s="1">
        <v>63.7</v>
      </c>
    </row>
    <row r="37" spans="1:14" x14ac:dyDescent="0.25">
      <c r="A37" s="34">
        <v>39965</v>
      </c>
      <c r="B37" s="1">
        <v>458.8</v>
      </c>
      <c r="C37" s="34">
        <v>39965</v>
      </c>
      <c r="D37" s="1">
        <v>70</v>
      </c>
      <c r="E37" s="34">
        <v>39965</v>
      </c>
      <c r="F37" s="1">
        <v>10.9</v>
      </c>
      <c r="G37" s="34">
        <v>39965</v>
      </c>
      <c r="H37" s="1">
        <v>-1.39</v>
      </c>
      <c r="I37" s="34">
        <v>39965</v>
      </c>
      <c r="J37" s="1">
        <v>141.97999999999999</v>
      </c>
      <c r="K37" s="34">
        <v>39965</v>
      </c>
      <c r="L37" s="1">
        <v>465.3</v>
      </c>
      <c r="M37" s="34">
        <v>39965</v>
      </c>
      <c r="N37" s="1">
        <v>63</v>
      </c>
    </row>
    <row r="38" spans="1:14" x14ac:dyDescent="0.25">
      <c r="A38" s="34">
        <v>39995</v>
      </c>
      <c r="B38" s="1">
        <v>455.9</v>
      </c>
      <c r="C38" s="34">
        <v>39995</v>
      </c>
      <c r="D38" s="1">
        <v>66</v>
      </c>
      <c r="E38" s="34">
        <v>39995</v>
      </c>
      <c r="F38" s="1">
        <v>11.1</v>
      </c>
      <c r="G38" s="34">
        <v>39995</v>
      </c>
      <c r="H38" s="1">
        <v>-1.01</v>
      </c>
      <c r="I38" s="34">
        <v>39995</v>
      </c>
      <c r="J38" s="1">
        <v>141.47999999999999</v>
      </c>
      <c r="K38" s="34">
        <v>39995</v>
      </c>
      <c r="L38" s="1">
        <v>456.2</v>
      </c>
      <c r="M38" s="34">
        <v>39995</v>
      </c>
      <c r="N38" s="1">
        <v>57.8</v>
      </c>
    </row>
    <row r="39" spans="1:14" x14ac:dyDescent="0.25">
      <c r="A39" s="34">
        <v>40026</v>
      </c>
      <c r="B39" s="1">
        <v>455.9</v>
      </c>
      <c r="C39" s="34">
        <v>40026</v>
      </c>
      <c r="D39" s="1">
        <v>69</v>
      </c>
      <c r="E39" s="34">
        <v>40026</v>
      </c>
      <c r="F39" s="1">
        <v>11.3</v>
      </c>
      <c r="G39" s="34">
        <v>40026</v>
      </c>
      <c r="H39" s="1">
        <v>-0.3</v>
      </c>
      <c r="I39" s="34">
        <v>40026</v>
      </c>
      <c r="J39" s="1">
        <v>141.07</v>
      </c>
      <c r="K39" s="34">
        <v>40026</v>
      </c>
      <c r="L39" s="1">
        <v>456.1</v>
      </c>
      <c r="M39" s="34">
        <v>40026</v>
      </c>
      <c r="N39" s="1">
        <v>57.5</v>
      </c>
    </row>
    <row r="40" spans="1:14" x14ac:dyDescent="0.25">
      <c r="A40" s="34">
        <v>40057</v>
      </c>
      <c r="B40" s="1">
        <v>456.1</v>
      </c>
      <c r="C40" s="34">
        <v>40057</v>
      </c>
      <c r="D40" s="1">
        <v>85</v>
      </c>
      <c r="E40" s="34">
        <v>40057</v>
      </c>
      <c r="F40" s="1">
        <v>11.5</v>
      </c>
      <c r="G40" s="34">
        <v>40057</v>
      </c>
      <c r="H40" s="1">
        <v>-0.08</v>
      </c>
      <c r="I40" s="34">
        <v>40057</v>
      </c>
      <c r="J40" s="1">
        <v>140.71</v>
      </c>
      <c r="K40" s="34">
        <v>40057</v>
      </c>
      <c r="L40" s="1">
        <v>461.5</v>
      </c>
      <c r="M40" s="34">
        <v>40057</v>
      </c>
      <c r="N40" s="1">
        <v>61.3</v>
      </c>
    </row>
    <row r="41" spans="1:14" x14ac:dyDescent="0.25">
      <c r="A41" s="34">
        <v>40087</v>
      </c>
      <c r="B41" s="1">
        <v>456.1</v>
      </c>
      <c r="C41" s="34">
        <v>40087</v>
      </c>
      <c r="D41" s="1">
        <v>101</v>
      </c>
      <c r="E41" s="34">
        <v>40087</v>
      </c>
      <c r="F41" s="1">
        <v>11.7</v>
      </c>
      <c r="G41" s="34">
        <v>40087</v>
      </c>
      <c r="H41" s="1">
        <v>0.06</v>
      </c>
      <c r="I41" s="34">
        <v>40087</v>
      </c>
      <c r="J41" s="1">
        <v>140.41</v>
      </c>
      <c r="K41" s="34">
        <v>40087</v>
      </c>
      <c r="L41" s="1">
        <v>463.2</v>
      </c>
      <c r="M41" s="34">
        <v>40087</v>
      </c>
      <c r="N41" s="1">
        <v>62.8</v>
      </c>
    </row>
    <row r="42" spans="1:14" x14ac:dyDescent="0.25">
      <c r="A42" s="34">
        <v>40118</v>
      </c>
      <c r="B42" s="1">
        <v>456.3</v>
      </c>
      <c r="C42" s="34">
        <v>40118</v>
      </c>
      <c r="D42" s="1">
        <v>115</v>
      </c>
      <c r="E42" s="34">
        <v>40118</v>
      </c>
      <c r="F42" s="1">
        <v>11.8</v>
      </c>
      <c r="G42" s="34">
        <v>40118</v>
      </c>
      <c r="H42" s="1">
        <v>0.82</v>
      </c>
      <c r="I42" s="34">
        <v>40118</v>
      </c>
      <c r="J42" s="1">
        <v>140.38999999999999</v>
      </c>
      <c r="K42" s="34">
        <v>40118</v>
      </c>
      <c r="L42" s="1">
        <v>462.4</v>
      </c>
      <c r="M42" s="34">
        <v>40118</v>
      </c>
      <c r="N42" s="1">
        <v>63</v>
      </c>
    </row>
    <row r="43" spans="1:14" x14ac:dyDescent="0.25">
      <c r="A43" s="34">
        <v>40148</v>
      </c>
      <c r="B43" s="1">
        <v>456.3</v>
      </c>
      <c r="C43" s="34">
        <v>40148</v>
      </c>
      <c r="D43" s="1">
        <v>90</v>
      </c>
      <c r="E43" s="34">
        <v>40148</v>
      </c>
      <c r="F43" s="1">
        <v>11.9</v>
      </c>
      <c r="G43" s="34">
        <v>40148</v>
      </c>
      <c r="H43" s="1">
        <v>0.94</v>
      </c>
      <c r="I43" s="34">
        <v>40148</v>
      </c>
      <c r="J43" s="1">
        <v>140.38</v>
      </c>
      <c r="K43" s="34">
        <v>40148</v>
      </c>
      <c r="L43" s="1">
        <v>460.3</v>
      </c>
      <c r="M43" s="34">
        <v>40148</v>
      </c>
      <c r="N43" s="1">
        <v>62.8</v>
      </c>
    </row>
    <row r="44" spans="1:14" x14ac:dyDescent="0.25">
      <c r="A44" s="34">
        <v>40179</v>
      </c>
      <c r="B44" s="1">
        <v>457.1</v>
      </c>
      <c r="C44" s="34">
        <v>40179</v>
      </c>
      <c r="D44" s="1">
        <v>56</v>
      </c>
      <c r="E44" s="34">
        <v>40179</v>
      </c>
      <c r="F44" s="1">
        <v>11.9</v>
      </c>
      <c r="G44" s="34">
        <v>40179</v>
      </c>
      <c r="H44" s="1">
        <v>1.72</v>
      </c>
      <c r="I44" s="34">
        <v>40179</v>
      </c>
      <c r="J44" s="1">
        <v>140.66999999999999</v>
      </c>
      <c r="K44" s="34">
        <v>40179</v>
      </c>
      <c r="L44" s="1">
        <v>443.6</v>
      </c>
      <c r="M44" s="34">
        <v>40179</v>
      </c>
      <c r="N44" s="1">
        <v>62.3</v>
      </c>
    </row>
    <row r="45" spans="1:14" x14ac:dyDescent="0.25">
      <c r="A45" s="34">
        <v>40210</v>
      </c>
      <c r="B45" s="1">
        <v>456.2</v>
      </c>
      <c r="C45" s="34">
        <v>40210</v>
      </c>
      <c r="D45" s="1">
        <v>46</v>
      </c>
      <c r="E45" s="34">
        <v>40210</v>
      </c>
      <c r="F45" s="1">
        <v>11.9</v>
      </c>
      <c r="G45" s="34">
        <v>40210</v>
      </c>
      <c r="H45" s="1">
        <v>1.85</v>
      </c>
      <c r="I45" s="34">
        <v>40210</v>
      </c>
      <c r="J45" s="1">
        <v>140.94</v>
      </c>
      <c r="K45" s="34">
        <v>40210</v>
      </c>
      <c r="L45" s="1">
        <v>445.7</v>
      </c>
      <c r="M45" s="34">
        <v>40210</v>
      </c>
      <c r="N45" s="1">
        <v>62.3</v>
      </c>
    </row>
    <row r="46" spans="1:14" x14ac:dyDescent="0.25">
      <c r="A46" s="34">
        <v>40238</v>
      </c>
      <c r="B46" s="1">
        <v>457.3</v>
      </c>
      <c r="C46" s="34">
        <v>40238</v>
      </c>
      <c r="D46" s="1">
        <v>70</v>
      </c>
      <c r="E46" s="34">
        <v>40238</v>
      </c>
      <c r="F46" s="1">
        <v>11.9</v>
      </c>
      <c r="G46" s="34">
        <v>40238</v>
      </c>
      <c r="H46" s="1">
        <v>1.89</v>
      </c>
      <c r="I46" s="34">
        <v>40238</v>
      </c>
      <c r="J46" s="1">
        <v>141.26</v>
      </c>
      <c r="K46" s="34">
        <v>40238</v>
      </c>
      <c r="L46" s="1">
        <v>449.1</v>
      </c>
      <c r="M46" s="34">
        <v>40238</v>
      </c>
      <c r="N46" s="1">
        <v>62.7</v>
      </c>
    </row>
    <row r="47" spans="1:14" x14ac:dyDescent="0.25">
      <c r="A47" s="34">
        <v>40269</v>
      </c>
      <c r="B47" s="1">
        <v>457</v>
      </c>
      <c r="C47" s="34">
        <v>40269</v>
      </c>
      <c r="D47" s="1">
        <v>69</v>
      </c>
      <c r="E47" s="34">
        <v>40269</v>
      </c>
      <c r="F47" s="1">
        <v>11.8</v>
      </c>
      <c r="G47" s="34">
        <v>40269</v>
      </c>
      <c r="H47" s="1">
        <v>2.29</v>
      </c>
      <c r="I47" s="34">
        <v>40269</v>
      </c>
      <c r="J47" s="1">
        <v>141.82</v>
      </c>
      <c r="K47" s="34">
        <v>40269</v>
      </c>
      <c r="L47" s="1">
        <v>456</v>
      </c>
      <c r="M47" s="34">
        <v>40269</v>
      </c>
      <c r="N47" s="1">
        <v>62.7</v>
      </c>
    </row>
    <row r="48" spans="1:14" x14ac:dyDescent="0.25">
      <c r="A48" s="34">
        <v>40299</v>
      </c>
      <c r="B48" s="1">
        <v>458.4</v>
      </c>
      <c r="C48" s="34">
        <v>40299</v>
      </c>
      <c r="D48" s="1">
        <v>70</v>
      </c>
      <c r="E48" s="34">
        <v>40299</v>
      </c>
      <c r="F48" s="1">
        <v>11.7</v>
      </c>
      <c r="G48" s="34">
        <v>40299</v>
      </c>
      <c r="H48" s="1">
        <v>2.2799999999999998</v>
      </c>
      <c r="I48" s="34">
        <v>40299</v>
      </c>
      <c r="J48" s="1">
        <v>142.41</v>
      </c>
      <c r="K48" s="34">
        <v>40299</v>
      </c>
      <c r="L48" s="1">
        <v>463.5</v>
      </c>
      <c r="M48" s="34">
        <v>40299</v>
      </c>
      <c r="N48" s="1">
        <v>64.8</v>
      </c>
    </row>
    <row r="49" spans="1:14" x14ac:dyDescent="0.25">
      <c r="A49" s="34">
        <v>40330</v>
      </c>
      <c r="B49" s="1">
        <v>457.2</v>
      </c>
      <c r="C49" s="34">
        <v>40330</v>
      </c>
      <c r="D49" s="1">
        <v>109</v>
      </c>
      <c r="E49" s="34">
        <v>40330</v>
      </c>
      <c r="F49" s="1">
        <v>11.7</v>
      </c>
      <c r="G49" s="34">
        <v>40330</v>
      </c>
      <c r="H49" s="1">
        <v>1.32</v>
      </c>
      <c r="I49" s="34">
        <v>40330</v>
      </c>
      <c r="J49" s="1">
        <v>142.63999999999999</v>
      </c>
      <c r="K49" s="34">
        <v>40330</v>
      </c>
      <c r="L49" s="1">
        <v>463.6</v>
      </c>
      <c r="M49" s="34">
        <v>40330</v>
      </c>
      <c r="N49" s="1">
        <v>63.1</v>
      </c>
    </row>
    <row r="50" spans="1:14" x14ac:dyDescent="0.25">
      <c r="A50" s="34">
        <v>40360</v>
      </c>
      <c r="B50" s="1">
        <v>458.8</v>
      </c>
      <c r="C50" s="34">
        <v>40360</v>
      </c>
      <c r="D50" s="1">
        <v>58</v>
      </c>
      <c r="E50" s="34">
        <v>40360</v>
      </c>
      <c r="F50" s="1">
        <v>11.7</v>
      </c>
      <c r="G50" s="34">
        <v>40360</v>
      </c>
      <c r="H50" s="1">
        <v>1.04</v>
      </c>
      <c r="I50" s="34">
        <v>40360</v>
      </c>
      <c r="J50" s="1">
        <v>142.9</v>
      </c>
      <c r="K50" s="34">
        <v>40360</v>
      </c>
      <c r="L50" s="1">
        <v>459.3</v>
      </c>
      <c r="M50" s="34">
        <v>40360</v>
      </c>
      <c r="N50" s="1">
        <v>58.5</v>
      </c>
    </row>
    <row r="51" spans="1:14" x14ac:dyDescent="0.25">
      <c r="A51" s="34">
        <v>40391</v>
      </c>
      <c r="B51" s="1">
        <v>459.8</v>
      </c>
      <c r="C51" s="34">
        <v>40391</v>
      </c>
      <c r="D51" s="1">
        <v>77</v>
      </c>
      <c r="E51" s="34">
        <v>40391</v>
      </c>
      <c r="F51" s="1">
        <v>11.7</v>
      </c>
      <c r="G51" s="34">
        <v>40391</v>
      </c>
      <c r="H51" s="1">
        <v>0.76</v>
      </c>
      <c r="I51" s="34">
        <v>40391</v>
      </c>
      <c r="J51" s="1">
        <v>143.07</v>
      </c>
      <c r="K51" s="34">
        <v>40391</v>
      </c>
      <c r="L51" s="1">
        <v>460.1</v>
      </c>
      <c r="M51" s="34">
        <v>40391</v>
      </c>
      <c r="N51" s="1">
        <v>58.2</v>
      </c>
    </row>
    <row r="52" spans="1:14" x14ac:dyDescent="0.25">
      <c r="A52" s="34">
        <v>40422</v>
      </c>
      <c r="B52" s="1">
        <v>458.5</v>
      </c>
      <c r="C52" s="34">
        <v>40422</v>
      </c>
      <c r="D52" s="1">
        <v>97</v>
      </c>
      <c r="E52" s="34">
        <v>40422</v>
      </c>
      <c r="F52" s="1">
        <v>11.7</v>
      </c>
      <c r="G52" s="34">
        <v>40422</v>
      </c>
      <c r="H52" s="1">
        <v>0.77</v>
      </c>
      <c r="I52" s="34">
        <v>40422</v>
      </c>
      <c r="J52" s="1">
        <v>143.19</v>
      </c>
      <c r="K52" s="34">
        <v>40422</v>
      </c>
      <c r="L52" s="1">
        <v>463.9</v>
      </c>
      <c r="M52" s="34">
        <v>40422</v>
      </c>
      <c r="N52" s="1">
        <v>60.5</v>
      </c>
    </row>
    <row r="53" spans="1:14" x14ac:dyDescent="0.25">
      <c r="A53" s="34">
        <v>40452</v>
      </c>
      <c r="B53" s="1">
        <v>458.1</v>
      </c>
      <c r="C53" s="34">
        <v>40452</v>
      </c>
      <c r="D53" s="1">
        <v>96</v>
      </c>
      <c r="E53" s="34">
        <v>40452</v>
      </c>
      <c r="F53" s="1">
        <v>11.7</v>
      </c>
      <c r="G53" s="34">
        <v>40452</v>
      </c>
      <c r="H53" s="1">
        <v>0.43</v>
      </c>
      <c r="I53" s="34">
        <v>40452</v>
      </c>
      <c r="J53" s="1">
        <v>143.26</v>
      </c>
      <c r="K53" s="34">
        <v>40452</v>
      </c>
      <c r="L53" s="1">
        <v>464.1</v>
      </c>
      <c r="M53" s="34">
        <v>40452</v>
      </c>
      <c r="N53" s="1">
        <v>61.6</v>
      </c>
    </row>
    <row r="54" spans="1:14" x14ac:dyDescent="0.25">
      <c r="A54" s="34">
        <v>40483</v>
      </c>
      <c r="B54" s="1">
        <v>458.7</v>
      </c>
      <c r="C54" s="34">
        <v>40483</v>
      </c>
      <c r="D54" s="1">
        <v>66</v>
      </c>
      <c r="E54" s="34">
        <v>40483</v>
      </c>
      <c r="F54" s="1">
        <v>11.6</v>
      </c>
      <c r="G54" s="34">
        <v>40483</v>
      </c>
      <c r="H54" s="1">
        <v>1.04</v>
      </c>
      <c r="I54" s="34">
        <v>40483</v>
      </c>
      <c r="J54" s="1">
        <v>143.61000000000001</v>
      </c>
      <c r="K54" s="34">
        <v>40483</v>
      </c>
      <c r="L54" s="1">
        <v>464.5</v>
      </c>
      <c r="M54" s="34">
        <v>40483</v>
      </c>
      <c r="N54" s="1">
        <v>62.1</v>
      </c>
    </row>
    <row r="55" spans="1:14" x14ac:dyDescent="0.25">
      <c r="A55" s="34">
        <v>40513</v>
      </c>
      <c r="B55" s="1">
        <v>458.4</v>
      </c>
      <c r="C55" s="34">
        <v>40513</v>
      </c>
      <c r="D55" s="1">
        <v>108</v>
      </c>
      <c r="E55" s="34">
        <v>40513</v>
      </c>
      <c r="F55" s="1">
        <v>11.5</v>
      </c>
      <c r="G55" s="34">
        <v>40513</v>
      </c>
      <c r="H55" s="1">
        <v>1.26</v>
      </c>
      <c r="I55" s="34">
        <v>40513</v>
      </c>
      <c r="J55" s="1">
        <v>143.93</v>
      </c>
      <c r="K55" s="34">
        <v>40513</v>
      </c>
      <c r="L55" s="1">
        <v>462.3</v>
      </c>
      <c r="M55" s="34">
        <v>40513</v>
      </c>
      <c r="N55" s="1">
        <v>61.9</v>
      </c>
    </row>
    <row r="56" spans="1:14" x14ac:dyDescent="0.25">
      <c r="A56" s="34">
        <v>40544</v>
      </c>
      <c r="B56" s="1">
        <v>458.3</v>
      </c>
      <c r="C56" s="34">
        <v>40544</v>
      </c>
      <c r="D56" s="1">
        <v>30</v>
      </c>
      <c r="E56" s="34">
        <v>40544</v>
      </c>
      <c r="F56" s="1">
        <v>11.4</v>
      </c>
      <c r="G56" s="34">
        <v>40544</v>
      </c>
      <c r="H56" s="1">
        <v>1.05</v>
      </c>
      <c r="I56" s="34">
        <v>40544</v>
      </c>
      <c r="J56" s="1">
        <v>144.25</v>
      </c>
      <c r="K56" s="34">
        <v>40544</v>
      </c>
      <c r="L56" s="1">
        <v>444.6</v>
      </c>
      <c r="M56" s="34">
        <v>40544</v>
      </c>
      <c r="N56" s="1">
        <v>61.4</v>
      </c>
    </row>
    <row r="57" spans="1:14" x14ac:dyDescent="0.25">
      <c r="A57" s="34">
        <v>40575</v>
      </c>
      <c r="B57" s="1">
        <v>458.3</v>
      </c>
      <c r="C57" s="34">
        <v>40575</v>
      </c>
      <c r="D57" s="1">
        <v>25</v>
      </c>
      <c r="E57" s="34">
        <v>40575</v>
      </c>
      <c r="F57" s="1">
        <v>11.3</v>
      </c>
      <c r="G57" s="34">
        <v>40575</v>
      </c>
      <c r="H57" s="1">
        <v>1.17</v>
      </c>
      <c r="I57" s="34">
        <v>40575</v>
      </c>
      <c r="J57" s="1">
        <v>144.61000000000001</v>
      </c>
      <c r="K57" s="34">
        <v>40575</v>
      </c>
      <c r="L57" s="1">
        <v>447.8</v>
      </c>
      <c r="M57" s="34">
        <v>40575</v>
      </c>
      <c r="N57" s="1">
        <v>61.4</v>
      </c>
    </row>
    <row r="58" spans="1:14" x14ac:dyDescent="0.25">
      <c r="A58" s="34">
        <v>40603</v>
      </c>
      <c r="B58" s="1">
        <v>459</v>
      </c>
      <c r="C58" s="34">
        <v>40603</v>
      </c>
      <c r="D58" s="1">
        <v>75</v>
      </c>
      <c r="E58" s="34">
        <v>40603</v>
      </c>
      <c r="F58" s="1">
        <v>11.2</v>
      </c>
      <c r="G58" s="34">
        <v>40603</v>
      </c>
      <c r="H58" s="1">
        <v>1.45</v>
      </c>
      <c r="I58" s="34">
        <v>40603</v>
      </c>
      <c r="J58" s="1">
        <v>144.99</v>
      </c>
      <c r="K58" s="34">
        <v>40603</v>
      </c>
      <c r="L58" s="1">
        <v>450.8</v>
      </c>
      <c r="M58" s="34">
        <v>40603</v>
      </c>
      <c r="N58" s="1">
        <v>61.8</v>
      </c>
    </row>
    <row r="59" spans="1:14" x14ac:dyDescent="0.25">
      <c r="A59" s="34">
        <v>40634</v>
      </c>
      <c r="B59" s="1">
        <v>461.2</v>
      </c>
      <c r="C59" s="34">
        <v>40634</v>
      </c>
      <c r="D59" s="1">
        <v>64</v>
      </c>
      <c r="E59" s="34">
        <v>40634</v>
      </c>
      <c r="F59" s="1">
        <v>11.2</v>
      </c>
      <c r="G59" s="34">
        <v>40634</v>
      </c>
      <c r="H59" s="1">
        <v>1.04</v>
      </c>
      <c r="I59" s="34">
        <v>40634</v>
      </c>
      <c r="J59" s="1">
        <v>145.13</v>
      </c>
      <c r="K59" s="34">
        <v>40634</v>
      </c>
      <c r="L59" s="1">
        <v>460.2</v>
      </c>
      <c r="M59" s="34">
        <v>40634</v>
      </c>
      <c r="N59" s="1">
        <v>61.8</v>
      </c>
    </row>
    <row r="60" spans="1:14" x14ac:dyDescent="0.25">
      <c r="A60" s="34">
        <v>40664</v>
      </c>
      <c r="B60" s="1">
        <v>460.6</v>
      </c>
      <c r="C60" s="34">
        <v>40664</v>
      </c>
      <c r="D60" s="1">
        <v>69</v>
      </c>
      <c r="E60" s="34">
        <v>40664</v>
      </c>
      <c r="F60" s="1">
        <v>11.2</v>
      </c>
      <c r="G60" s="34">
        <v>40664</v>
      </c>
      <c r="H60" s="1">
        <v>0.59</v>
      </c>
      <c r="I60" s="34">
        <v>40664</v>
      </c>
      <c r="J60" s="1">
        <v>145.21</v>
      </c>
      <c r="K60" s="34">
        <v>40664</v>
      </c>
      <c r="L60" s="1">
        <v>465.8</v>
      </c>
      <c r="M60" s="34">
        <v>40664</v>
      </c>
      <c r="N60" s="1">
        <v>62</v>
      </c>
    </row>
    <row r="61" spans="1:14" x14ac:dyDescent="0.25">
      <c r="A61" s="34">
        <v>40695</v>
      </c>
      <c r="B61" s="1">
        <v>461.1</v>
      </c>
      <c r="C61" s="34">
        <v>40695</v>
      </c>
      <c r="D61" s="1">
        <v>63</v>
      </c>
      <c r="E61" s="34">
        <v>40695</v>
      </c>
      <c r="F61" s="1">
        <v>11.3</v>
      </c>
      <c r="G61" s="34">
        <v>40695</v>
      </c>
      <c r="H61" s="1">
        <v>-0.15</v>
      </c>
      <c r="I61" s="34">
        <v>40695</v>
      </c>
      <c r="J61" s="1">
        <v>145.01</v>
      </c>
      <c r="K61" s="34">
        <v>40695</v>
      </c>
      <c r="L61" s="1">
        <v>467.9</v>
      </c>
      <c r="M61" s="34">
        <v>40695</v>
      </c>
      <c r="N61" s="1">
        <v>61.6</v>
      </c>
    </row>
    <row r="62" spans="1:14" x14ac:dyDescent="0.25">
      <c r="A62" s="34">
        <v>40725</v>
      </c>
      <c r="B62" s="1">
        <v>462.6</v>
      </c>
      <c r="C62" s="34">
        <v>40725</v>
      </c>
      <c r="D62" s="1">
        <v>71</v>
      </c>
      <c r="E62" s="34">
        <v>40725</v>
      </c>
      <c r="F62" s="1">
        <v>11.4</v>
      </c>
      <c r="G62" s="34">
        <v>40725</v>
      </c>
      <c r="H62" s="1">
        <v>-0.4</v>
      </c>
      <c r="I62" s="34">
        <v>40725</v>
      </c>
      <c r="J62" s="1">
        <v>144.80000000000001</v>
      </c>
      <c r="K62" s="34">
        <v>40725</v>
      </c>
      <c r="L62" s="1">
        <v>461.7</v>
      </c>
      <c r="M62" s="34">
        <v>40725</v>
      </c>
      <c r="N62" s="1">
        <v>56.6</v>
      </c>
    </row>
    <row r="63" spans="1:14" x14ac:dyDescent="0.25">
      <c r="A63" s="34">
        <v>40756</v>
      </c>
      <c r="B63" s="1">
        <v>461</v>
      </c>
      <c r="C63" s="34">
        <v>40756</v>
      </c>
      <c r="D63" s="1">
        <v>69</v>
      </c>
      <c r="E63" s="34">
        <v>40756</v>
      </c>
      <c r="F63" s="1">
        <v>11.4</v>
      </c>
      <c r="G63" s="34">
        <v>40756</v>
      </c>
      <c r="H63" s="1">
        <v>0.28000000000000003</v>
      </c>
      <c r="I63" s="34">
        <v>40756</v>
      </c>
      <c r="J63" s="1">
        <v>144.84</v>
      </c>
      <c r="K63" s="34">
        <v>40756</v>
      </c>
      <c r="L63" s="1">
        <v>461.1</v>
      </c>
      <c r="M63" s="34">
        <v>40756</v>
      </c>
      <c r="N63" s="1">
        <v>56.8</v>
      </c>
    </row>
    <row r="64" spans="1:14" x14ac:dyDescent="0.25">
      <c r="A64" s="34">
        <v>40787</v>
      </c>
      <c r="B64" s="1">
        <v>460.9</v>
      </c>
      <c r="C64" s="34">
        <v>40787</v>
      </c>
      <c r="D64" s="1">
        <v>76</v>
      </c>
      <c r="E64" s="34">
        <v>40787</v>
      </c>
      <c r="F64" s="1">
        <v>11.3</v>
      </c>
      <c r="G64" s="34">
        <v>40787</v>
      </c>
      <c r="H64" s="1">
        <v>1.27</v>
      </c>
      <c r="I64" s="34">
        <v>40787</v>
      </c>
      <c r="J64" s="1">
        <v>145.19</v>
      </c>
      <c r="K64" s="34">
        <v>40787</v>
      </c>
      <c r="L64" s="1">
        <v>466.1</v>
      </c>
      <c r="M64" s="34">
        <v>40787</v>
      </c>
      <c r="N64" s="1">
        <v>59.9</v>
      </c>
    </row>
    <row r="65" spans="1:14" x14ac:dyDescent="0.25">
      <c r="A65" s="34">
        <v>40817</v>
      </c>
      <c r="B65" s="1">
        <v>461.4</v>
      </c>
      <c r="C65" s="34">
        <v>40817</v>
      </c>
      <c r="D65" s="1">
        <v>56</v>
      </c>
      <c r="E65" s="34">
        <v>40817</v>
      </c>
      <c r="F65" s="1">
        <v>11.2</v>
      </c>
      <c r="G65" s="34">
        <v>40817</v>
      </c>
      <c r="H65" s="1">
        <v>1.77</v>
      </c>
      <c r="I65" s="34">
        <v>40817</v>
      </c>
      <c r="J65" s="1">
        <v>145.55000000000001</v>
      </c>
      <c r="K65" s="34">
        <v>40817</v>
      </c>
      <c r="L65" s="1">
        <v>467.4</v>
      </c>
      <c r="M65" s="34">
        <v>40817</v>
      </c>
      <c r="N65" s="1">
        <v>61</v>
      </c>
    </row>
    <row r="66" spans="1:14" x14ac:dyDescent="0.25">
      <c r="A66" s="34">
        <v>40848</v>
      </c>
      <c r="B66" s="1">
        <v>461.5</v>
      </c>
      <c r="C66" s="34">
        <v>40848</v>
      </c>
      <c r="D66" s="1">
        <v>92</v>
      </c>
      <c r="E66" s="34">
        <v>40848</v>
      </c>
      <c r="F66" s="1">
        <v>11</v>
      </c>
      <c r="G66" s="34">
        <v>40848</v>
      </c>
      <c r="H66" s="1">
        <v>2.36</v>
      </c>
      <c r="I66" s="34">
        <v>40848</v>
      </c>
      <c r="J66" s="1">
        <v>146.22</v>
      </c>
      <c r="K66" s="34">
        <v>40848</v>
      </c>
      <c r="L66" s="1">
        <v>467.2</v>
      </c>
      <c r="M66" s="34">
        <v>40848</v>
      </c>
      <c r="N66" s="1">
        <v>61.2</v>
      </c>
    </row>
    <row r="67" spans="1:14" x14ac:dyDescent="0.25">
      <c r="A67" s="34">
        <v>40878</v>
      </c>
      <c r="B67" s="1">
        <v>461.2</v>
      </c>
      <c r="C67" s="34">
        <v>40878</v>
      </c>
      <c r="D67" s="1">
        <v>56</v>
      </c>
      <c r="E67" s="34">
        <v>40878</v>
      </c>
      <c r="F67" s="1">
        <v>10.9</v>
      </c>
      <c r="G67" s="34">
        <v>40878</v>
      </c>
      <c r="H67" s="1">
        <v>2.17</v>
      </c>
      <c r="I67" s="34">
        <v>40878</v>
      </c>
      <c r="J67" s="1">
        <v>146.61000000000001</v>
      </c>
      <c r="K67" s="34">
        <v>40878</v>
      </c>
      <c r="L67" s="1">
        <v>464.9</v>
      </c>
      <c r="M67" s="34">
        <v>40878</v>
      </c>
      <c r="N67" s="1">
        <v>61.2</v>
      </c>
    </row>
    <row r="68" spans="1:14" x14ac:dyDescent="0.25">
      <c r="A68" s="34">
        <v>40909</v>
      </c>
      <c r="B68" s="1">
        <v>462.6</v>
      </c>
      <c r="C68" s="34">
        <v>40909</v>
      </c>
      <c r="D68" s="1">
        <v>49</v>
      </c>
      <c r="E68" s="34">
        <v>40909</v>
      </c>
      <c r="F68" s="1">
        <v>10.7</v>
      </c>
      <c r="G68" s="34">
        <v>40909</v>
      </c>
      <c r="H68" s="1">
        <v>2.66</v>
      </c>
      <c r="I68" s="34">
        <v>40909</v>
      </c>
      <c r="J68" s="1">
        <v>147.34</v>
      </c>
      <c r="K68" s="34">
        <v>40909</v>
      </c>
      <c r="L68" s="1">
        <v>449</v>
      </c>
      <c r="M68" s="34">
        <v>40909</v>
      </c>
      <c r="N68" s="1">
        <v>60.6</v>
      </c>
    </row>
    <row r="69" spans="1:14" x14ac:dyDescent="0.25">
      <c r="A69" s="34">
        <v>40940</v>
      </c>
      <c r="B69" s="1">
        <v>464.9</v>
      </c>
      <c r="C69" s="34">
        <v>40940</v>
      </c>
      <c r="D69" s="1">
        <v>26</v>
      </c>
      <c r="E69" s="34">
        <v>40940</v>
      </c>
      <c r="F69" s="1">
        <v>10.6</v>
      </c>
      <c r="G69" s="34">
        <v>40940</v>
      </c>
      <c r="H69" s="1">
        <v>2.4700000000000002</v>
      </c>
      <c r="I69" s="34">
        <v>40940</v>
      </c>
      <c r="J69" s="1">
        <v>147.78</v>
      </c>
      <c r="K69" s="34">
        <v>40940</v>
      </c>
      <c r="L69" s="1">
        <v>454</v>
      </c>
      <c r="M69" s="34">
        <v>40940</v>
      </c>
      <c r="N69" s="1">
        <v>60.9</v>
      </c>
    </row>
    <row r="70" spans="1:14" x14ac:dyDescent="0.25">
      <c r="A70" s="34">
        <v>40969</v>
      </c>
      <c r="B70" s="1">
        <v>465.3</v>
      </c>
      <c r="C70" s="34">
        <v>40969</v>
      </c>
      <c r="D70" s="1">
        <v>58</v>
      </c>
      <c r="E70" s="34">
        <v>40969</v>
      </c>
      <c r="F70" s="1">
        <v>10.5</v>
      </c>
      <c r="G70" s="34">
        <v>40969</v>
      </c>
      <c r="H70" s="1">
        <v>1.97</v>
      </c>
      <c r="I70" s="34">
        <v>40969</v>
      </c>
      <c r="J70" s="1">
        <v>148.18</v>
      </c>
      <c r="K70" s="34">
        <v>40969</v>
      </c>
      <c r="L70" s="1">
        <v>457.2</v>
      </c>
      <c r="M70" s="34">
        <v>40969</v>
      </c>
      <c r="N70" s="1">
        <v>61</v>
      </c>
    </row>
    <row r="71" spans="1:14" x14ac:dyDescent="0.25">
      <c r="A71" s="34">
        <v>41000</v>
      </c>
      <c r="B71" s="1">
        <v>464.3</v>
      </c>
      <c r="C71" s="34">
        <v>41000</v>
      </c>
      <c r="D71" s="1">
        <v>61</v>
      </c>
      <c r="E71" s="34">
        <v>41000</v>
      </c>
      <c r="F71" s="1">
        <v>10.5</v>
      </c>
      <c r="G71" s="34">
        <v>41000</v>
      </c>
      <c r="H71" s="1">
        <v>1.08</v>
      </c>
      <c r="I71" s="34">
        <v>41000</v>
      </c>
      <c r="J71" s="1">
        <v>148.27000000000001</v>
      </c>
      <c r="K71" s="34">
        <v>41000</v>
      </c>
      <c r="L71" s="1">
        <v>463.4</v>
      </c>
      <c r="M71" s="34">
        <v>41000</v>
      </c>
      <c r="N71" s="1">
        <v>61.2</v>
      </c>
    </row>
    <row r="72" spans="1:14" x14ac:dyDescent="0.25">
      <c r="A72" s="34">
        <v>41030</v>
      </c>
      <c r="B72" s="1">
        <v>465</v>
      </c>
      <c r="C72" s="34">
        <v>41030</v>
      </c>
      <c r="D72" s="1">
        <v>62</v>
      </c>
      <c r="E72" s="34">
        <v>41030</v>
      </c>
      <c r="F72" s="1">
        <v>10.5</v>
      </c>
      <c r="G72" s="34">
        <v>41030</v>
      </c>
      <c r="H72" s="1">
        <v>0.56999999999999995</v>
      </c>
      <c r="I72" s="34">
        <v>41030</v>
      </c>
      <c r="J72" s="1">
        <v>148.35</v>
      </c>
      <c r="K72" s="34">
        <v>41030</v>
      </c>
      <c r="L72" s="1">
        <v>470.2</v>
      </c>
      <c r="M72" s="34">
        <v>41030</v>
      </c>
      <c r="N72" s="1">
        <v>61.8</v>
      </c>
    </row>
    <row r="73" spans="1:14" x14ac:dyDescent="0.25">
      <c r="A73" s="34">
        <v>41061</v>
      </c>
      <c r="B73" s="1">
        <v>465.1</v>
      </c>
      <c r="C73" s="34">
        <v>41061</v>
      </c>
      <c r="D73" s="1">
        <v>62</v>
      </c>
      <c r="E73" s="34">
        <v>41061</v>
      </c>
      <c r="F73" s="1">
        <v>10.4</v>
      </c>
      <c r="G73" s="34">
        <v>41061</v>
      </c>
      <c r="H73" s="1">
        <v>1.1399999999999999</v>
      </c>
      <c r="I73" s="34">
        <v>41061</v>
      </c>
      <c r="J73" s="1">
        <v>148.72999999999999</v>
      </c>
      <c r="K73" s="34">
        <v>41061</v>
      </c>
      <c r="L73" s="1">
        <v>472.1</v>
      </c>
      <c r="M73" s="34">
        <v>41061</v>
      </c>
      <c r="N73" s="1">
        <v>60.5</v>
      </c>
    </row>
    <row r="74" spans="1:14" x14ac:dyDescent="0.25">
      <c r="A74" s="34">
        <v>41091</v>
      </c>
      <c r="B74" s="1">
        <v>465</v>
      </c>
      <c r="C74" s="34">
        <v>41091</v>
      </c>
      <c r="D74" s="1">
        <v>76</v>
      </c>
      <c r="E74" s="34">
        <v>41091</v>
      </c>
      <c r="F74" s="1">
        <v>10.3</v>
      </c>
      <c r="G74" s="34">
        <v>41091</v>
      </c>
      <c r="H74" s="1">
        <v>1.64</v>
      </c>
      <c r="I74" s="34">
        <v>41091</v>
      </c>
      <c r="J74" s="1">
        <v>149.12</v>
      </c>
      <c r="K74" s="34">
        <v>41091</v>
      </c>
      <c r="L74" s="1">
        <v>464.4</v>
      </c>
      <c r="M74" s="34">
        <v>41091</v>
      </c>
      <c r="N74" s="1">
        <v>56.2</v>
      </c>
    </row>
    <row r="75" spans="1:14" x14ac:dyDescent="0.25">
      <c r="A75" s="34">
        <v>41122</v>
      </c>
      <c r="B75" s="1">
        <v>466.5</v>
      </c>
      <c r="C75" s="34">
        <v>41122</v>
      </c>
      <c r="D75" s="1">
        <v>95</v>
      </c>
      <c r="E75" s="34">
        <v>41122</v>
      </c>
      <c r="F75" s="1">
        <v>10.199999999999999</v>
      </c>
      <c r="G75" s="34">
        <v>41122</v>
      </c>
      <c r="H75" s="1">
        <v>1.83</v>
      </c>
      <c r="I75" s="34">
        <v>41122</v>
      </c>
      <c r="J75" s="1">
        <v>149.55000000000001</v>
      </c>
      <c r="K75" s="34">
        <v>41122</v>
      </c>
      <c r="L75" s="1">
        <v>466.6</v>
      </c>
      <c r="M75" s="34">
        <v>41122</v>
      </c>
      <c r="N75" s="1">
        <v>56.6</v>
      </c>
    </row>
    <row r="76" spans="1:14" x14ac:dyDescent="0.25">
      <c r="A76" s="34">
        <v>41153</v>
      </c>
      <c r="B76" s="1">
        <v>467.7</v>
      </c>
      <c r="C76" s="34">
        <v>41153</v>
      </c>
      <c r="D76" s="1">
        <v>73</v>
      </c>
      <c r="E76" s="34">
        <v>41153</v>
      </c>
      <c r="F76" s="1">
        <v>10.1</v>
      </c>
      <c r="G76" s="34">
        <v>41153</v>
      </c>
      <c r="H76" s="1">
        <v>2.1800000000000002</v>
      </c>
      <c r="I76" s="34">
        <v>41153</v>
      </c>
      <c r="J76" s="1">
        <v>149.99</v>
      </c>
      <c r="K76" s="34">
        <v>41153</v>
      </c>
      <c r="L76" s="1">
        <v>472.8</v>
      </c>
      <c r="M76" s="34">
        <v>41153</v>
      </c>
      <c r="N76" s="1">
        <v>59.7</v>
      </c>
    </row>
    <row r="77" spans="1:14" x14ac:dyDescent="0.25">
      <c r="A77" s="34">
        <v>41183</v>
      </c>
      <c r="B77" s="1">
        <v>466.1</v>
      </c>
      <c r="C77" s="34">
        <v>41183</v>
      </c>
      <c r="D77" s="1">
        <v>64</v>
      </c>
      <c r="E77" s="34">
        <v>41183</v>
      </c>
      <c r="F77" s="1">
        <v>9.9</v>
      </c>
      <c r="G77" s="34">
        <v>41183</v>
      </c>
      <c r="H77" s="1">
        <v>2.84</v>
      </c>
      <c r="I77" s="34">
        <v>41183</v>
      </c>
      <c r="J77" s="1">
        <v>150.75</v>
      </c>
      <c r="K77" s="34">
        <v>41183</v>
      </c>
      <c r="L77" s="1">
        <v>472.1</v>
      </c>
      <c r="M77" s="34">
        <v>41183</v>
      </c>
      <c r="N77" s="1">
        <v>60.8</v>
      </c>
    </row>
    <row r="78" spans="1:14" x14ac:dyDescent="0.25">
      <c r="A78" s="34">
        <v>41214</v>
      </c>
      <c r="B78" s="1">
        <v>466.4</v>
      </c>
      <c r="C78" s="34">
        <v>41214</v>
      </c>
      <c r="D78" s="1">
        <v>75</v>
      </c>
      <c r="E78" s="34">
        <v>41214</v>
      </c>
      <c r="F78" s="1">
        <v>9.8000000000000007</v>
      </c>
      <c r="G78" s="34">
        <v>41214</v>
      </c>
      <c r="H78" s="1">
        <v>2.5099999999999998</v>
      </c>
      <c r="I78" s="34">
        <v>41214</v>
      </c>
      <c r="J78" s="1">
        <v>151.22</v>
      </c>
      <c r="K78" s="34">
        <v>41214</v>
      </c>
      <c r="L78" s="1">
        <v>471.2</v>
      </c>
      <c r="M78" s="34">
        <v>41214</v>
      </c>
      <c r="N78" s="1">
        <v>61.1</v>
      </c>
    </row>
    <row r="79" spans="1:14" x14ac:dyDescent="0.25">
      <c r="A79" s="34">
        <v>41244</v>
      </c>
      <c r="B79" s="1">
        <v>468.1</v>
      </c>
      <c r="C79" s="34">
        <v>41244</v>
      </c>
      <c r="D79" s="1">
        <v>82</v>
      </c>
      <c r="E79" s="34">
        <v>41244</v>
      </c>
      <c r="F79" s="1">
        <v>9.6999999999999993</v>
      </c>
      <c r="G79" s="34">
        <v>41244</v>
      </c>
      <c r="H79" s="1">
        <v>2.12</v>
      </c>
      <c r="I79" s="34">
        <v>41244</v>
      </c>
      <c r="J79" s="1">
        <v>151.77000000000001</v>
      </c>
      <c r="K79" s="34">
        <v>41244</v>
      </c>
      <c r="L79" s="1">
        <v>471.9</v>
      </c>
      <c r="M79" s="34">
        <v>41244</v>
      </c>
      <c r="N79" s="1">
        <v>61.1</v>
      </c>
    </row>
    <row r="80" spans="1:14" x14ac:dyDescent="0.25">
      <c r="A80" s="34">
        <v>41275</v>
      </c>
      <c r="B80" s="1">
        <v>468.9</v>
      </c>
      <c r="C80" s="34">
        <v>41275</v>
      </c>
      <c r="D80" s="1">
        <v>58</v>
      </c>
      <c r="E80" s="34">
        <v>41275</v>
      </c>
      <c r="F80" s="1">
        <v>9.6</v>
      </c>
      <c r="G80" s="34">
        <v>41275</v>
      </c>
      <c r="H80" s="1">
        <v>2.21</v>
      </c>
      <c r="I80" s="34">
        <v>41275</v>
      </c>
      <c r="J80" s="1">
        <v>152.32</v>
      </c>
      <c r="K80" s="34">
        <v>41275</v>
      </c>
      <c r="L80" s="1">
        <v>455.1</v>
      </c>
      <c r="M80" s="34">
        <v>41275</v>
      </c>
      <c r="N80" s="1">
        <v>60.5</v>
      </c>
    </row>
    <row r="81" spans="1:14" x14ac:dyDescent="0.25">
      <c r="A81" s="34">
        <v>41306</v>
      </c>
      <c r="B81" s="1">
        <v>468.3</v>
      </c>
      <c r="C81" s="34">
        <v>41306</v>
      </c>
      <c r="D81" s="1">
        <v>68</v>
      </c>
      <c r="E81" s="34">
        <v>41306</v>
      </c>
      <c r="F81" s="1">
        <v>9.5</v>
      </c>
      <c r="G81" s="34">
        <v>41306</v>
      </c>
      <c r="H81" s="1">
        <v>2.4700000000000002</v>
      </c>
      <c r="I81" s="34">
        <v>41306</v>
      </c>
      <c r="J81" s="1">
        <v>152.87</v>
      </c>
      <c r="K81" s="34">
        <v>41306</v>
      </c>
      <c r="L81" s="1">
        <v>457.4</v>
      </c>
      <c r="M81" s="34">
        <v>41306</v>
      </c>
      <c r="N81" s="1">
        <v>60.5</v>
      </c>
    </row>
    <row r="82" spans="1:14" x14ac:dyDescent="0.25">
      <c r="A82" s="34">
        <v>41334</v>
      </c>
      <c r="B82" s="1">
        <v>469.4</v>
      </c>
      <c r="C82" s="34">
        <v>41334</v>
      </c>
      <c r="D82" s="1">
        <v>70</v>
      </c>
      <c r="E82" s="34">
        <v>41334</v>
      </c>
      <c r="F82" s="1">
        <v>9.5</v>
      </c>
      <c r="G82" s="34">
        <v>41334</v>
      </c>
      <c r="H82" s="1">
        <v>1.95</v>
      </c>
      <c r="I82" s="34">
        <v>41334</v>
      </c>
      <c r="J82" s="1">
        <v>153.13</v>
      </c>
      <c r="K82" s="34">
        <v>41334</v>
      </c>
      <c r="L82" s="1">
        <v>461.3</v>
      </c>
      <c r="M82" s="34">
        <v>41334</v>
      </c>
      <c r="N82" s="1">
        <v>61</v>
      </c>
    </row>
    <row r="83" spans="1:14" x14ac:dyDescent="0.25">
      <c r="A83" s="34">
        <v>41365</v>
      </c>
      <c r="B83" s="1">
        <v>469.3</v>
      </c>
      <c r="C83" s="34">
        <v>41365</v>
      </c>
      <c r="D83" s="1">
        <v>84</v>
      </c>
      <c r="E83" s="34">
        <v>41365</v>
      </c>
      <c r="F83" s="1">
        <v>9.5</v>
      </c>
      <c r="G83" s="34">
        <v>41365</v>
      </c>
      <c r="H83" s="1">
        <v>1.54</v>
      </c>
      <c r="I83" s="34">
        <v>41365</v>
      </c>
      <c r="J83" s="1">
        <v>153.38999999999999</v>
      </c>
      <c r="K83" s="34">
        <v>41365</v>
      </c>
      <c r="L83" s="1">
        <v>468.6</v>
      </c>
      <c r="M83" s="34">
        <v>41365</v>
      </c>
      <c r="N83" s="1">
        <v>61</v>
      </c>
    </row>
    <row r="84" spans="1:14" x14ac:dyDescent="0.25">
      <c r="A84" s="34">
        <v>41395</v>
      </c>
      <c r="B84" s="1">
        <v>470.1</v>
      </c>
      <c r="C84" s="34">
        <v>41395</v>
      </c>
      <c r="D84" s="1">
        <v>79</v>
      </c>
      <c r="E84" s="34">
        <v>41395</v>
      </c>
      <c r="F84" s="1">
        <v>9.5</v>
      </c>
      <c r="G84" s="34">
        <v>41395</v>
      </c>
      <c r="H84" s="1">
        <v>1.68</v>
      </c>
      <c r="I84" s="34">
        <v>41395</v>
      </c>
      <c r="J84" s="1">
        <v>153.66999999999999</v>
      </c>
      <c r="K84" s="34">
        <v>41395</v>
      </c>
      <c r="L84" s="1">
        <v>475.3</v>
      </c>
      <c r="M84" s="34">
        <v>41395</v>
      </c>
      <c r="N84" s="1">
        <v>61.8</v>
      </c>
    </row>
    <row r="85" spans="1:14" x14ac:dyDescent="0.25">
      <c r="A85" s="34">
        <v>41426</v>
      </c>
      <c r="B85" s="1">
        <v>472.4</v>
      </c>
      <c r="C85" s="34">
        <v>41426</v>
      </c>
      <c r="D85" s="1">
        <v>75</v>
      </c>
      <c r="E85" s="34">
        <v>41426</v>
      </c>
      <c r="F85" s="1">
        <v>9.5</v>
      </c>
      <c r="G85" s="34">
        <v>41426</v>
      </c>
      <c r="H85" s="1">
        <v>1.69</v>
      </c>
      <c r="I85" s="34">
        <v>41426</v>
      </c>
      <c r="J85" s="1">
        <v>153.94999999999999</v>
      </c>
      <c r="K85" s="34">
        <v>41426</v>
      </c>
      <c r="L85" s="1">
        <v>478.9</v>
      </c>
      <c r="M85" s="34">
        <v>41426</v>
      </c>
      <c r="N85" s="1">
        <v>60.8</v>
      </c>
    </row>
    <row r="86" spans="1:14" x14ac:dyDescent="0.25">
      <c r="A86" s="34">
        <v>41456</v>
      </c>
      <c r="B86" s="1">
        <v>472.2</v>
      </c>
      <c r="C86" s="34">
        <v>41456</v>
      </c>
      <c r="D86" s="1">
        <v>76</v>
      </c>
      <c r="E86" s="34">
        <v>41456</v>
      </c>
      <c r="F86" s="1">
        <v>9.6</v>
      </c>
      <c r="G86" s="34">
        <v>41456</v>
      </c>
      <c r="H86" s="1">
        <v>0.81</v>
      </c>
      <c r="I86" s="34">
        <v>41456</v>
      </c>
      <c r="J86" s="1">
        <v>153.91</v>
      </c>
      <c r="K86" s="34">
        <v>41456</v>
      </c>
      <c r="L86" s="1">
        <v>471.8</v>
      </c>
      <c r="M86" s="34">
        <v>41456</v>
      </c>
      <c r="N86" s="1">
        <v>56.9</v>
      </c>
    </row>
    <row r="87" spans="1:14" x14ac:dyDescent="0.25">
      <c r="A87" s="34">
        <v>41487</v>
      </c>
      <c r="B87" s="1">
        <v>472.2</v>
      </c>
      <c r="C87" s="34">
        <v>41487</v>
      </c>
      <c r="D87" s="1">
        <v>82</v>
      </c>
      <c r="E87" s="34">
        <v>41487</v>
      </c>
      <c r="F87" s="1">
        <v>9.6</v>
      </c>
      <c r="G87" s="34">
        <v>41487</v>
      </c>
      <c r="H87" s="1">
        <v>0.61</v>
      </c>
      <c r="I87" s="34">
        <v>41487</v>
      </c>
      <c r="J87" s="1">
        <v>154.15</v>
      </c>
      <c r="K87" s="34">
        <v>41487</v>
      </c>
      <c r="L87" s="1">
        <v>472.4</v>
      </c>
      <c r="M87" s="34">
        <v>41487</v>
      </c>
      <c r="N87" s="1">
        <v>56.8</v>
      </c>
    </row>
    <row r="88" spans="1:14" x14ac:dyDescent="0.25">
      <c r="A88" s="34">
        <v>41518</v>
      </c>
      <c r="B88" s="1">
        <v>473</v>
      </c>
      <c r="C88" s="34">
        <v>41518</v>
      </c>
      <c r="D88" s="1">
        <v>58</v>
      </c>
      <c r="E88" s="34">
        <v>41518</v>
      </c>
      <c r="F88" s="1">
        <v>9.5</v>
      </c>
      <c r="G88" s="34">
        <v>41518</v>
      </c>
      <c r="H88" s="1">
        <v>1.33</v>
      </c>
      <c r="I88" s="34">
        <v>41518</v>
      </c>
      <c r="J88" s="1">
        <v>154.71</v>
      </c>
      <c r="K88" s="34">
        <v>41518</v>
      </c>
      <c r="L88" s="1">
        <v>478.1</v>
      </c>
      <c r="M88" s="34">
        <v>41518</v>
      </c>
      <c r="N88" s="1">
        <v>59.8</v>
      </c>
    </row>
    <row r="89" spans="1:14" x14ac:dyDescent="0.25">
      <c r="A89" s="34">
        <v>41548</v>
      </c>
      <c r="B89" s="1">
        <v>472.9</v>
      </c>
      <c r="C89" s="34">
        <v>41548</v>
      </c>
      <c r="D89" s="1">
        <v>93</v>
      </c>
      <c r="E89" s="34">
        <v>41548</v>
      </c>
      <c r="F89" s="1">
        <v>9.4</v>
      </c>
      <c r="G89" s="34">
        <v>41548</v>
      </c>
      <c r="H89" s="1">
        <v>1.78</v>
      </c>
      <c r="I89" s="34">
        <v>41548</v>
      </c>
      <c r="J89" s="1">
        <v>155.22</v>
      </c>
      <c r="K89" s="34">
        <v>41548</v>
      </c>
      <c r="L89" s="1">
        <v>479.2</v>
      </c>
      <c r="M89" s="34">
        <v>41548</v>
      </c>
      <c r="N89" s="1">
        <v>60.9</v>
      </c>
    </row>
    <row r="90" spans="1:14" x14ac:dyDescent="0.25">
      <c r="A90" s="34">
        <v>41579</v>
      </c>
      <c r="B90" s="1">
        <v>473.9</v>
      </c>
      <c r="C90" s="34">
        <v>41579</v>
      </c>
      <c r="D90" s="1">
        <v>73</v>
      </c>
      <c r="E90" s="34">
        <v>41579</v>
      </c>
      <c r="F90" s="1">
        <v>9.4</v>
      </c>
      <c r="G90" s="34">
        <v>41579</v>
      </c>
      <c r="H90" s="1">
        <v>1.17</v>
      </c>
      <c r="I90" s="34">
        <v>41579</v>
      </c>
      <c r="J90" s="1">
        <v>155.4</v>
      </c>
      <c r="K90" s="34">
        <v>41579</v>
      </c>
      <c r="L90" s="1">
        <v>478.2</v>
      </c>
      <c r="M90" s="34">
        <v>41579</v>
      </c>
      <c r="N90" s="1">
        <v>61.2</v>
      </c>
    </row>
    <row r="91" spans="1:14" x14ac:dyDescent="0.25">
      <c r="A91" s="34">
        <v>41609</v>
      </c>
      <c r="B91" s="1">
        <v>471.2</v>
      </c>
      <c r="C91" s="34">
        <v>41609</v>
      </c>
      <c r="D91" s="1">
        <v>73</v>
      </c>
      <c r="E91" s="34">
        <v>41609</v>
      </c>
      <c r="F91" s="1">
        <v>9.3000000000000007</v>
      </c>
      <c r="G91" s="34">
        <v>41609</v>
      </c>
      <c r="H91" s="1">
        <v>1.53</v>
      </c>
      <c r="I91" s="34">
        <v>41609</v>
      </c>
      <c r="J91" s="1">
        <v>155.83000000000001</v>
      </c>
      <c r="K91" s="34">
        <v>41609</v>
      </c>
      <c r="L91" s="1">
        <v>473</v>
      </c>
      <c r="M91" s="34">
        <v>41609</v>
      </c>
      <c r="N91" s="1">
        <v>61.1</v>
      </c>
    </row>
    <row r="92" spans="1:14" x14ac:dyDescent="0.25">
      <c r="A92" s="34">
        <v>41640</v>
      </c>
      <c r="B92" s="1">
        <v>475.2</v>
      </c>
      <c r="C92" s="34">
        <v>41640</v>
      </c>
      <c r="D92" s="1">
        <v>49</v>
      </c>
      <c r="E92" s="34">
        <v>41640</v>
      </c>
      <c r="F92" s="1">
        <v>9.1999999999999993</v>
      </c>
      <c r="G92" s="34">
        <v>41640</v>
      </c>
      <c r="H92" s="1">
        <v>2.08</v>
      </c>
      <c r="I92" s="34">
        <v>41640</v>
      </c>
      <c r="J92" s="1">
        <v>156.35</v>
      </c>
      <c r="K92" s="34">
        <v>41640</v>
      </c>
      <c r="L92" s="1">
        <v>461.3</v>
      </c>
      <c r="M92" s="34">
        <v>41640</v>
      </c>
      <c r="N92" s="1">
        <v>60.5</v>
      </c>
    </row>
    <row r="93" spans="1:14" x14ac:dyDescent="0.25">
      <c r="A93" s="34">
        <v>41671</v>
      </c>
      <c r="B93" s="1">
        <v>476.6</v>
      </c>
      <c r="C93" s="34">
        <v>41671</v>
      </c>
      <c r="D93" s="1">
        <v>26</v>
      </c>
      <c r="E93" s="34">
        <v>41671</v>
      </c>
      <c r="F93" s="1">
        <v>9</v>
      </c>
      <c r="G93" s="34">
        <v>41671</v>
      </c>
      <c r="H93" s="1">
        <v>2.46</v>
      </c>
      <c r="I93" s="34">
        <v>41671</v>
      </c>
      <c r="J93" s="1">
        <v>157.06</v>
      </c>
      <c r="K93" s="34">
        <v>41671</v>
      </c>
      <c r="L93" s="1">
        <v>464.8</v>
      </c>
      <c r="M93" s="34">
        <v>41671</v>
      </c>
      <c r="N93" s="1">
        <v>60.5</v>
      </c>
    </row>
    <row r="94" spans="1:14" x14ac:dyDescent="0.25">
      <c r="A94" s="34">
        <v>41699</v>
      </c>
      <c r="B94" s="1">
        <v>475.3</v>
      </c>
      <c r="C94" s="34">
        <v>41699</v>
      </c>
      <c r="D94" s="1">
        <v>94</v>
      </c>
      <c r="E94" s="34">
        <v>41699</v>
      </c>
      <c r="F94" s="1">
        <v>8.6999999999999993</v>
      </c>
      <c r="G94" s="34">
        <v>41699</v>
      </c>
      <c r="H94" s="1">
        <v>3.31</v>
      </c>
      <c r="I94" s="34">
        <v>41699</v>
      </c>
      <c r="J94" s="1">
        <v>158.08000000000001</v>
      </c>
      <c r="K94" s="34">
        <v>41699</v>
      </c>
      <c r="L94" s="1">
        <v>467</v>
      </c>
      <c r="M94" s="34">
        <v>41699</v>
      </c>
      <c r="N94" s="1">
        <v>60.8</v>
      </c>
    </row>
    <row r="95" spans="1:14" x14ac:dyDescent="0.25">
      <c r="A95" s="34">
        <v>41730</v>
      </c>
      <c r="B95" s="1">
        <v>475.6</v>
      </c>
      <c r="C95" s="34">
        <v>41730</v>
      </c>
      <c r="D95" s="1">
        <v>76</v>
      </c>
      <c r="E95" s="34">
        <v>41730</v>
      </c>
      <c r="F95" s="1">
        <v>8.3000000000000007</v>
      </c>
      <c r="G95" s="34">
        <v>41730</v>
      </c>
      <c r="H95" s="1">
        <v>4.38</v>
      </c>
      <c r="I95" s="34">
        <v>41730</v>
      </c>
      <c r="J95" s="1">
        <v>159.38</v>
      </c>
      <c r="K95" s="34">
        <v>41730</v>
      </c>
      <c r="L95" s="1">
        <v>474.6</v>
      </c>
      <c r="M95" s="34">
        <v>41730</v>
      </c>
      <c r="N95" s="1">
        <v>60.9</v>
      </c>
    </row>
    <row r="96" spans="1:14" x14ac:dyDescent="0.25">
      <c r="A96" s="34">
        <v>41760</v>
      </c>
      <c r="B96" s="1">
        <v>477.5</v>
      </c>
      <c r="C96" s="34">
        <v>41760</v>
      </c>
      <c r="D96" s="1">
        <v>89</v>
      </c>
      <c r="E96" s="34">
        <v>41760</v>
      </c>
      <c r="F96" s="1">
        <v>8.1999999999999993</v>
      </c>
      <c r="G96" s="34">
        <v>41760</v>
      </c>
      <c r="H96" s="1">
        <v>2.64</v>
      </c>
      <c r="I96" s="34">
        <v>41760</v>
      </c>
      <c r="J96" s="1">
        <v>159.72</v>
      </c>
      <c r="K96" s="34">
        <v>41760</v>
      </c>
      <c r="L96" s="1">
        <v>481.6</v>
      </c>
      <c r="M96" s="34">
        <v>41760</v>
      </c>
      <c r="N96" s="1">
        <v>61.6</v>
      </c>
    </row>
    <row r="97" spans="1:14" x14ac:dyDescent="0.25">
      <c r="A97" s="34">
        <v>41791</v>
      </c>
      <c r="B97" s="1">
        <v>476.6</v>
      </c>
      <c r="C97" s="34">
        <v>41791</v>
      </c>
      <c r="D97" s="1">
        <v>89</v>
      </c>
      <c r="E97" s="34">
        <v>41791</v>
      </c>
      <c r="F97" s="1">
        <v>7.9</v>
      </c>
      <c r="G97" s="34">
        <v>41791</v>
      </c>
      <c r="H97" s="1">
        <v>2.96</v>
      </c>
      <c r="I97" s="34">
        <v>41791</v>
      </c>
      <c r="J97" s="1">
        <v>160.69999999999999</v>
      </c>
      <c r="K97" s="34">
        <v>41791</v>
      </c>
      <c r="L97" s="1">
        <v>484.7</v>
      </c>
      <c r="M97" s="34">
        <v>41791</v>
      </c>
      <c r="N97" s="1">
        <v>60.8</v>
      </c>
    </row>
    <row r="98" spans="1:14" x14ac:dyDescent="0.25">
      <c r="A98" s="34">
        <v>41821</v>
      </c>
      <c r="B98" s="1">
        <v>477.8</v>
      </c>
      <c r="C98" s="34">
        <v>41821</v>
      </c>
      <c r="D98" s="1">
        <v>102</v>
      </c>
      <c r="E98" s="34">
        <v>41821</v>
      </c>
      <c r="F98" s="1">
        <v>7.7</v>
      </c>
      <c r="G98" s="34">
        <v>41821</v>
      </c>
      <c r="H98" s="1">
        <v>3.02</v>
      </c>
      <c r="I98" s="34">
        <v>41821</v>
      </c>
      <c r="J98" s="1">
        <v>161.41</v>
      </c>
      <c r="K98" s="34">
        <v>41821</v>
      </c>
      <c r="L98" s="1">
        <v>480.5</v>
      </c>
      <c r="M98" s="34">
        <v>41821</v>
      </c>
      <c r="N98" s="1">
        <v>56.6</v>
      </c>
    </row>
    <row r="99" spans="1:14" x14ac:dyDescent="0.25">
      <c r="A99" s="34">
        <v>41852</v>
      </c>
      <c r="B99" s="1">
        <v>478.5</v>
      </c>
      <c r="C99" s="34">
        <v>41852</v>
      </c>
      <c r="D99" s="1">
        <v>82</v>
      </c>
      <c r="E99" s="34">
        <v>41852</v>
      </c>
      <c r="F99" s="1">
        <v>7.6</v>
      </c>
      <c r="G99" s="34">
        <v>41852</v>
      </c>
      <c r="H99" s="1">
        <v>2.2000000000000002</v>
      </c>
      <c r="I99" s="34">
        <v>41852</v>
      </c>
      <c r="J99" s="1">
        <v>161.71</v>
      </c>
      <c r="K99" s="34">
        <v>41852</v>
      </c>
      <c r="L99" s="1">
        <v>481</v>
      </c>
      <c r="M99" s="34">
        <v>41852</v>
      </c>
      <c r="N99" s="1">
        <v>56.3</v>
      </c>
    </row>
    <row r="100" spans="1:14" x14ac:dyDescent="0.25">
      <c r="A100" s="34">
        <v>41883</v>
      </c>
      <c r="B100" s="1">
        <v>479.1</v>
      </c>
      <c r="C100" s="34">
        <v>41883</v>
      </c>
      <c r="D100" s="1">
        <v>73</v>
      </c>
      <c r="E100" s="34">
        <v>41883</v>
      </c>
      <c r="F100" s="1">
        <v>7.6</v>
      </c>
      <c r="G100" s="34">
        <v>41883</v>
      </c>
      <c r="H100" s="1">
        <v>0.76</v>
      </c>
      <c r="I100" s="34">
        <v>41883</v>
      </c>
      <c r="J100" s="1">
        <v>161.69</v>
      </c>
      <c r="K100" s="34">
        <v>41883</v>
      </c>
      <c r="L100" s="1">
        <v>485</v>
      </c>
      <c r="M100" s="34">
        <v>41883</v>
      </c>
      <c r="N100" s="1">
        <v>59.4</v>
      </c>
    </row>
    <row r="101" spans="1:14" x14ac:dyDescent="0.25">
      <c r="A101" s="34">
        <v>41913</v>
      </c>
      <c r="B101" s="1">
        <v>476.9</v>
      </c>
      <c r="C101" s="34">
        <v>41913</v>
      </c>
      <c r="D101" s="1">
        <v>98</v>
      </c>
      <c r="E101" s="34">
        <v>41913</v>
      </c>
      <c r="F101" s="1">
        <v>7.4</v>
      </c>
      <c r="G101" s="34">
        <v>41913</v>
      </c>
      <c r="H101" s="1">
        <v>1.66</v>
      </c>
      <c r="I101" s="34">
        <v>41913</v>
      </c>
      <c r="J101" s="1">
        <v>162.32</v>
      </c>
      <c r="K101" s="34">
        <v>41913</v>
      </c>
      <c r="L101" s="1">
        <v>483.9</v>
      </c>
      <c r="M101" s="34">
        <v>41913</v>
      </c>
      <c r="N101" s="1">
        <v>60.4</v>
      </c>
    </row>
    <row r="102" spans="1:14" x14ac:dyDescent="0.25">
      <c r="A102" s="34">
        <v>41944</v>
      </c>
      <c r="B102" s="1">
        <v>479</v>
      </c>
      <c r="C102" s="34">
        <v>41944</v>
      </c>
      <c r="D102" s="1">
        <v>60</v>
      </c>
      <c r="E102" s="34">
        <v>41944</v>
      </c>
      <c r="F102" s="1">
        <v>7.1</v>
      </c>
      <c r="G102" s="34">
        <v>41944</v>
      </c>
      <c r="H102" s="1">
        <v>3.19</v>
      </c>
      <c r="I102" s="34">
        <v>41944</v>
      </c>
      <c r="J102" s="1">
        <v>163.35</v>
      </c>
      <c r="K102" s="34">
        <v>41944</v>
      </c>
      <c r="L102" s="1">
        <v>483.4</v>
      </c>
      <c r="M102" s="34">
        <v>41944</v>
      </c>
      <c r="N102" s="1">
        <v>60.8</v>
      </c>
    </row>
    <row r="103" spans="1:14" x14ac:dyDescent="0.25">
      <c r="A103" s="34">
        <v>41974</v>
      </c>
      <c r="B103" s="1">
        <v>478.9</v>
      </c>
      <c r="E103" s="34">
        <v>41974</v>
      </c>
      <c r="F103" s="1">
        <v>6.8</v>
      </c>
      <c r="K103" s="34">
        <v>41974</v>
      </c>
      <c r="L103" s="1">
        <v>480.9</v>
      </c>
      <c r="M103" s="34">
        <v>41974</v>
      </c>
      <c r="N103" s="1">
        <v>60.8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P103"/>
  <sheetViews>
    <sheetView topLeftCell="A77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273</v>
      </c>
      <c r="C1" s="34" t="s">
        <v>274</v>
      </c>
      <c r="E1" s="34" t="s">
        <v>275</v>
      </c>
      <c r="G1" s="34" t="s">
        <v>276</v>
      </c>
      <c r="I1" s="34" t="s">
        <v>277</v>
      </c>
      <c r="K1" s="34" t="str">
        <f>CONCATENATE(LEFT(A1,2), "NAN")</f>
        <v>SCNAN</v>
      </c>
      <c r="M1" s="34" t="str">
        <f>CONCATENATE(LEFT(A1,2), "GOVTN")</f>
        <v>SCGOVTN</v>
      </c>
      <c r="O1" s="34" t="str">
        <f>CONCATENATE(LEFT($A$1,2), "RGSP")</f>
        <v>SCRGSP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924</v>
      </c>
      <c r="C5" s="35" t="s">
        <v>359</v>
      </c>
      <c r="E5" s="35" t="s">
        <v>360</v>
      </c>
      <c r="G5" s="35" t="s">
        <v>361</v>
      </c>
      <c r="I5" s="35" t="s">
        <v>362</v>
      </c>
      <c r="K5" s="35" t="s">
        <v>924</v>
      </c>
      <c r="M5" s="35" t="s">
        <v>925</v>
      </c>
      <c r="O5" s="35" t="s">
        <v>780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1937.8</v>
      </c>
      <c r="C8" s="34">
        <v>39083</v>
      </c>
      <c r="D8" s="1">
        <v>3536</v>
      </c>
      <c r="E8" s="34">
        <v>39083</v>
      </c>
      <c r="F8" s="1">
        <v>5.9</v>
      </c>
      <c r="G8" s="34">
        <v>39083</v>
      </c>
      <c r="H8" s="1">
        <v>2.1800000000000002</v>
      </c>
      <c r="I8" s="34">
        <v>39083</v>
      </c>
      <c r="J8" s="1">
        <v>155.88999999999999</v>
      </c>
      <c r="K8" s="34">
        <v>39083</v>
      </c>
      <c r="L8" s="1">
        <v>1902</v>
      </c>
      <c r="M8" s="34">
        <v>39083</v>
      </c>
      <c r="N8" s="1">
        <v>338.1</v>
      </c>
      <c r="O8" s="34">
        <v>39083</v>
      </c>
      <c r="P8" s="1">
        <v>167868</v>
      </c>
    </row>
    <row r="9" spans="1:16" x14ac:dyDescent="0.25">
      <c r="A9" s="34">
        <v>39114</v>
      </c>
      <c r="B9" s="1">
        <v>1937.4</v>
      </c>
      <c r="C9" s="34">
        <v>39114</v>
      </c>
      <c r="D9" s="1">
        <v>3242</v>
      </c>
      <c r="E9" s="34">
        <v>39114</v>
      </c>
      <c r="F9" s="1">
        <v>5.7</v>
      </c>
      <c r="G9" s="34">
        <v>39114</v>
      </c>
      <c r="H9" s="1">
        <v>1.94</v>
      </c>
      <c r="I9" s="34">
        <v>39114</v>
      </c>
      <c r="J9" s="1">
        <v>156.62</v>
      </c>
      <c r="K9" s="34">
        <v>39114</v>
      </c>
      <c r="L9" s="1">
        <v>1910.6</v>
      </c>
      <c r="M9" s="34">
        <v>39114</v>
      </c>
      <c r="N9" s="1">
        <v>338</v>
      </c>
      <c r="O9" s="34">
        <v>39448</v>
      </c>
      <c r="P9" s="1">
        <v>166467</v>
      </c>
    </row>
    <row r="10" spans="1:16" x14ac:dyDescent="0.25">
      <c r="A10" s="34">
        <v>39142</v>
      </c>
      <c r="B10" s="1">
        <v>1941.8</v>
      </c>
      <c r="C10" s="34">
        <v>39142</v>
      </c>
      <c r="D10" s="1">
        <v>3732</v>
      </c>
      <c r="E10" s="34">
        <v>39142</v>
      </c>
      <c r="F10" s="1">
        <v>5.6</v>
      </c>
      <c r="G10" s="34">
        <v>39142</v>
      </c>
      <c r="H10" s="1">
        <v>1</v>
      </c>
      <c r="I10" s="34">
        <v>39142</v>
      </c>
      <c r="J10" s="1">
        <v>157.07</v>
      </c>
      <c r="K10" s="34">
        <v>39142</v>
      </c>
      <c r="L10" s="1">
        <v>1936.1</v>
      </c>
      <c r="M10" s="34">
        <v>39142</v>
      </c>
      <c r="N10" s="1">
        <v>342.4</v>
      </c>
      <c r="O10" s="34">
        <v>39814</v>
      </c>
      <c r="P10" s="1">
        <v>160046</v>
      </c>
    </row>
    <row r="11" spans="1:16" x14ac:dyDescent="0.25">
      <c r="A11" s="34">
        <v>39173</v>
      </c>
      <c r="B11" s="1">
        <v>1939.7</v>
      </c>
      <c r="C11" s="34">
        <v>39173</v>
      </c>
      <c r="D11" s="1">
        <v>3956</v>
      </c>
      <c r="E11" s="34">
        <v>39173</v>
      </c>
      <c r="F11" s="1">
        <v>5.5</v>
      </c>
      <c r="G11" s="34">
        <v>39173</v>
      </c>
      <c r="H11" s="1">
        <v>0.51</v>
      </c>
      <c r="I11" s="34">
        <v>39173</v>
      </c>
      <c r="J11" s="1">
        <v>157.47</v>
      </c>
      <c r="K11" s="34">
        <v>39173</v>
      </c>
      <c r="L11" s="1">
        <v>1944.2</v>
      </c>
      <c r="M11" s="34">
        <v>39173</v>
      </c>
      <c r="N11" s="1">
        <v>341.2</v>
      </c>
      <c r="O11" s="34">
        <v>40179</v>
      </c>
      <c r="P11" s="1">
        <v>162616</v>
      </c>
    </row>
    <row r="12" spans="1:16" x14ac:dyDescent="0.25">
      <c r="A12" s="34">
        <v>39203</v>
      </c>
      <c r="B12" s="1">
        <v>1939.2</v>
      </c>
      <c r="C12" s="34">
        <v>39203</v>
      </c>
      <c r="D12" s="1">
        <v>4835</v>
      </c>
      <c r="E12" s="34">
        <v>39203</v>
      </c>
      <c r="F12" s="1">
        <v>5.5</v>
      </c>
      <c r="G12" s="34">
        <v>39203</v>
      </c>
      <c r="H12" s="1">
        <v>0.28999999999999998</v>
      </c>
      <c r="I12" s="34">
        <v>39203</v>
      </c>
      <c r="J12" s="1">
        <v>157.68</v>
      </c>
      <c r="K12" s="34">
        <v>39203</v>
      </c>
      <c r="L12" s="1">
        <v>1957.3</v>
      </c>
      <c r="M12" s="34">
        <v>39203</v>
      </c>
      <c r="N12" s="1">
        <v>341.9</v>
      </c>
      <c r="O12" s="34">
        <v>40544</v>
      </c>
      <c r="P12" s="1">
        <v>167704</v>
      </c>
    </row>
    <row r="13" spans="1:16" x14ac:dyDescent="0.25">
      <c r="A13" s="34">
        <v>39234</v>
      </c>
      <c r="B13" s="1">
        <v>1948.7</v>
      </c>
      <c r="C13" s="34">
        <v>39234</v>
      </c>
      <c r="D13" s="1">
        <v>3224</v>
      </c>
      <c r="E13" s="34">
        <v>39234</v>
      </c>
      <c r="F13" s="1">
        <v>5.5</v>
      </c>
      <c r="G13" s="34">
        <v>39234</v>
      </c>
      <c r="H13" s="1">
        <v>0.26</v>
      </c>
      <c r="I13" s="34">
        <v>39234</v>
      </c>
      <c r="J13" s="1">
        <v>157.91999999999999</v>
      </c>
      <c r="K13" s="34">
        <v>39234</v>
      </c>
      <c r="L13" s="1">
        <v>1959.3</v>
      </c>
      <c r="M13" s="34">
        <v>39234</v>
      </c>
      <c r="N13" s="1">
        <v>331.7</v>
      </c>
      <c r="O13" s="34">
        <v>40909</v>
      </c>
      <c r="P13" s="1">
        <v>170212</v>
      </c>
    </row>
    <row r="14" spans="1:16" x14ac:dyDescent="0.25">
      <c r="A14" s="34">
        <v>39264</v>
      </c>
      <c r="B14" s="1">
        <v>1942.9</v>
      </c>
      <c r="C14" s="34">
        <v>39264</v>
      </c>
      <c r="D14" s="1">
        <v>2996</v>
      </c>
      <c r="E14" s="34">
        <v>39264</v>
      </c>
      <c r="F14" s="1">
        <v>5.5</v>
      </c>
      <c r="G14" s="34">
        <v>39264</v>
      </c>
      <c r="H14" s="1">
        <v>0.15</v>
      </c>
      <c r="I14" s="34">
        <v>39264</v>
      </c>
      <c r="J14" s="1">
        <v>158.03</v>
      </c>
      <c r="K14" s="34">
        <v>39264</v>
      </c>
      <c r="L14" s="1">
        <v>1932.4</v>
      </c>
      <c r="M14" s="34">
        <v>39264</v>
      </c>
      <c r="N14" s="1">
        <v>315</v>
      </c>
      <c r="O14" s="34">
        <v>41275</v>
      </c>
      <c r="P14" s="1">
        <v>172176</v>
      </c>
    </row>
    <row r="15" spans="1:16" x14ac:dyDescent="0.25">
      <c r="A15" s="34">
        <v>39295</v>
      </c>
      <c r="B15" s="1">
        <v>1942.5</v>
      </c>
      <c r="C15" s="34">
        <v>39295</v>
      </c>
      <c r="D15" s="1">
        <v>2911</v>
      </c>
      <c r="E15" s="34">
        <v>39295</v>
      </c>
      <c r="F15" s="1">
        <v>5.5</v>
      </c>
      <c r="G15" s="34">
        <v>39295</v>
      </c>
      <c r="H15" s="1">
        <v>0.08</v>
      </c>
      <c r="I15" s="34">
        <v>39295</v>
      </c>
      <c r="J15" s="1">
        <v>158.16999999999999</v>
      </c>
      <c r="K15" s="34">
        <v>39295</v>
      </c>
      <c r="L15" s="1">
        <v>1941.5</v>
      </c>
      <c r="M15" s="34">
        <v>39295</v>
      </c>
      <c r="N15" s="1">
        <v>322.89999999999998</v>
      </c>
    </row>
    <row r="16" spans="1:16" x14ac:dyDescent="0.25">
      <c r="A16" s="34">
        <v>39326</v>
      </c>
      <c r="B16" s="1">
        <v>1945.3</v>
      </c>
      <c r="C16" s="34">
        <v>39326</v>
      </c>
      <c r="D16" s="1">
        <v>2523</v>
      </c>
      <c r="E16" s="34">
        <v>39326</v>
      </c>
      <c r="F16" s="1">
        <v>5.6</v>
      </c>
      <c r="G16" s="34">
        <v>39326</v>
      </c>
      <c r="H16" s="1">
        <v>-0.36</v>
      </c>
      <c r="I16" s="34">
        <v>39326</v>
      </c>
      <c r="J16" s="1">
        <v>158.1</v>
      </c>
      <c r="K16" s="34">
        <v>39326</v>
      </c>
      <c r="L16" s="1">
        <v>1954.6</v>
      </c>
      <c r="M16" s="34">
        <v>39326</v>
      </c>
      <c r="N16" s="1">
        <v>344.2</v>
      </c>
    </row>
    <row r="17" spans="1:14" x14ac:dyDescent="0.25">
      <c r="A17" s="34">
        <v>39356</v>
      </c>
      <c r="B17" s="1">
        <v>1943</v>
      </c>
      <c r="C17" s="34">
        <v>39356</v>
      </c>
      <c r="D17" s="1">
        <v>2223</v>
      </c>
      <c r="E17" s="34">
        <v>39356</v>
      </c>
      <c r="F17" s="1">
        <v>5.6</v>
      </c>
      <c r="G17" s="34">
        <v>39356</v>
      </c>
      <c r="H17" s="1">
        <v>-0.18</v>
      </c>
      <c r="I17" s="34">
        <v>39356</v>
      </c>
      <c r="J17" s="1">
        <v>158.18</v>
      </c>
      <c r="K17" s="34">
        <v>39356</v>
      </c>
      <c r="L17" s="1">
        <v>1952.9</v>
      </c>
      <c r="M17" s="34">
        <v>39356</v>
      </c>
      <c r="N17" s="1">
        <v>348.7</v>
      </c>
    </row>
    <row r="18" spans="1:14" x14ac:dyDescent="0.25">
      <c r="A18" s="34">
        <v>39387</v>
      </c>
      <c r="B18" s="1">
        <v>1943.2</v>
      </c>
      <c r="C18" s="34">
        <v>39387</v>
      </c>
      <c r="D18" s="1">
        <v>2535</v>
      </c>
      <c r="E18" s="34">
        <v>39387</v>
      </c>
      <c r="F18" s="1">
        <v>5.6</v>
      </c>
      <c r="G18" s="34">
        <v>39387</v>
      </c>
      <c r="H18" s="1">
        <v>-0.21</v>
      </c>
      <c r="I18" s="34">
        <v>39387</v>
      </c>
      <c r="J18" s="1">
        <v>158.13999999999999</v>
      </c>
      <c r="K18" s="34">
        <v>39387</v>
      </c>
      <c r="L18" s="1">
        <v>1957.6</v>
      </c>
      <c r="M18" s="34">
        <v>39387</v>
      </c>
      <c r="N18" s="1">
        <v>351.7</v>
      </c>
    </row>
    <row r="19" spans="1:14" x14ac:dyDescent="0.25">
      <c r="A19" s="34">
        <v>39417</v>
      </c>
      <c r="B19" s="1">
        <v>1945.1</v>
      </c>
      <c r="C19" s="34">
        <v>39417</v>
      </c>
      <c r="D19" s="1">
        <v>2592</v>
      </c>
      <c r="E19" s="34">
        <v>39417</v>
      </c>
      <c r="F19" s="1">
        <v>5.5</v>
      </c>
      <c r="G19" s="34">
        <v>39417</v>
      </c>
      <c r="H19" s="1">
        <v>0.03</v>
      </c>
      <c r="I19" s="34">
        <v>39417</v>
      </c>
      <c r="J19" s="1">
        <v>158.22999999999999</v>
      </c>
      <c r="K19" s="34">
        <v>39417</v>
      </c>
      <c r="L19" s="1">
        <v>1956.6</v>
      </c>
      <c r="M19" s="34">
        <v>39417</v>
      </c>
      <c r="N19" s="1">
        <v>352</v>
      </c>
    </row>
    <row r="20" spans="1:14" x14ac:dyDescent="0.25">
      <c r="A20" s="34">
        <v>39448</v>
      </c>
      <c r="B20" s="1">
        <v>1951.5</v>
      </c>
      <c r="C20" s="34">
        <v>39448</v>
      </c>
      <c r="D20" s="1">
        <v>2492</v>
      </c>
      <c r="E20" s="34">
        <v>39448</v>
      </c>
      <c r="F20" s="1">
        <v>5.5</v>
      </c>
      <c r="G20" s="34">
        <v>39448</v>
      </c>
      <c r="H20" s="1">
        <v>-0.42</v>
      </c>
      <c r="I20" s="34">
        <v>39448</v>
      </c>
      <c r="J20" s="1">
        <v>158.13999999999999</v>
      </c>
      <c r="K20" s="34">
        <v>39448</v>
      </c>
      <c r="L20" s="1">
        <v>1916.6</v>
      </c>
      <c r="M20" s="34">
        <v>39448</v>
      </c>
      <c r="N20" s="1">
        <v>347.8</v>
      </c>
    </row>
    <row r="21" spans="1:14" x14ac:dyDescent="0.25">
      <c r="A21" s="34">
        <v>39479</v>
      </c>
      <c r="B21" s="1">
        <v>1950.7</v>
      </c>
      <c r="C21" s="34">
        <v>39479</v>
      </c>
      <c r="D21" s="1">
        <v>2081</v>
      </c>
      <c r="E21" s="34">
        <v>39479</v>
      </c>
      <c r="F21" s="1">
        <v>5.5</v>
      </c>
      <c r="G21" s="34">
        <v>39479</v>
      </c>
      <c r="H21" s="1">
        <v>-0.91</v>
      </c>
      <c r="I21" s="34">
        <v>39479</v>
      </c>
      <c r="J21" s="1">
        <v>158.03</v>
      </c>
      <c r="K21" s="34">
        <v>39479</v>
      </c>
      <c r="L21" s="1">
        <v>1923.8</v>
      </c>
      <c r="M21" s="34">
        <v>39479</v>
      </c>
      <c r="N21" s="1">
        <v>347.8</v>
      </c>
    </row>
    <row r="22" spans="1:14" x14ac:dyDescent="0.25">
      <c r="A22" s="34">
        <v>39508</v>
      </c>
      <c r="B22" s="1">
        <v>1948</v>
      </c>
      <c r="C22" s="34">
        <v>39508</v>
      </c>
      <c r="D22" s="1">
        <v>2487</v>
      </c>
      <c r="E22" s="34">
        <v>39508</v>
      </c>
      <c r="F22" s="1">
        <v>5.5</v>
      </c>
      <c r="G22" s="34">
        <v>39508</v>
      </c>
      <c r="H22" s="1">
        <v>-1.07</v>
      </c>
      <c r="I22" s="34">
        <v>39508</v>
      </c>
      <c r="J22" s="1">
        <v>157.78</v>
      </c>
      <c r="K22" s="34">
        <v>39508</v>
      </c>
      <c r="L22" s="1">
        <v>1941</v>
      </c>
      <c r="M22" s="34">
        <v>39508</v>
      </c>
      <c r="N22" s="1">
        <v>351</v>
      </c>
    </row>
    <row r="23" spans="1:14" x14ac:dyDescent="0.25">
      <c r="A23" s="34">
        <v>39539</v>
      </c>
      <c r="B23" s="1">
        <v>1940.5</v>
      </c>
      <c r="C23" s="34">
        <v>39539</v>
      </c>
      <c r="D23" s="1">
        <v>2993</v>
      </c>
      <c r="E23" s="34">
        <v>39539</v>
      </c>
      <c r="F23" s="1">
        <v>5.7</v>
      </c>
      <c r="G23" s="34">
        <v>39539</v>
      </c>
      <c r="H23" s="1">
        <v>-2.0699999999999998</v>
      </c>
      <c r="I23" s="34">
        <v>39539</v>
      </c>
      <c r="J23" s="1">
        <v>157.09</v>
      </c>
      <c r="K23" s="34">
        <v>39539</v>
      </c>
      <c r="L23" s="1">
        <v>1944.5</v>
      </c>
      <c r="M23" s="34">
        <v>39539</v>
      </c>
      <c r="N23" s="1">
        <v>352.1</v>
      </c>
    </row>
    <row r="24" spans="1:14" x14ac:dyDescent="0.25">
      <c r="A24" s="34">
        <v>39569</v>
      </c>
      <c r="B24" s="1">
        <v>1939.6</v>
      </c>
      <c r="C24" s="34">
        <v>39569</v>
      </c>
      <c r="D24" s="1">
        <v>2471</v>
      </c>
      <c r="E24" s="34">
        <v>39569</v>
      </c>
      <c r="F24" s="1">
        <v>6</v>
      </c>
      <c r="G24" s="34">
        <v>39569</v>
      </c>
      <c r="H24" s="1">
        <v>-2.66</v>
      </c>
      <c r="I24" s="34">
        <v>39569</v>
      </c>
      <c r="J24" s="1">
        <v>156.30000000000001</v>
      </c>
      <c r="K24" s="34">
        <v>39569</v>
      </c>
      <c r="L24" s="1">
        <v>1957.9</v>
      </c>
      <c r="M24" s="34">
        <v>39569</v>
      </c>
      <c r="N24" s="1">
        <v>354</v>
      </c>
    </row>
    <row r="25" spans="1:14" x14ac:dyDescent="0.25">
      <c r="A25" s="34">
        <v>39600</v>
      </c>
      <c r="B25" s="1">
        <v>1932.8</v>
      </c>
      <c r="C25" s="34">
        <v>39600</v>
      </c>
      <c r="D25" s="1">
        <v>2602</v>
      </c>
      <c r="E25" s="34">
        <v>39600</v>
      </c>
      <c r="F25" s="1">
        <v>6.3</v>
      </c>
      <c r="G25" s="34">
        <v>39600</v>
      </c>
      <c r="H25" s="1">
        <v>-2.4300000000000002</v>
      </c>
      <c r="I25" s="34">
        <v>39600</v>
      </c>
      <c r="J25" s="1">
        <v>155.49</v>
      </c>
      <c r="K25" s="34">
        <v>39600</v>
      </c>
      <c r="L25" s="1">
        <v>1946.3</v>
      </c>
      <c r="M25" s="34">
        <v>39600</v>
      </c>
      <c r="N25" s="1">
        <v>343.2</v>
      </c>
    </row>
    <row r="26" spans="1:14" x14ac:dyDescent="0.25">
      <c r="A26" s="34">
        <v>39630</v>
      </c>
      <c r="B26" s="1">
        <v>1919.9</v>
      </c>
      <c r="C26" s="34">
        <v>39630</v>
      </c>
      <c r="D26" s="1">
        <v>2972</v>
      </c>
      <c r="E26" s="34">
        <v>39630</v>
      </c>
      <c r="F26" s="1">
        <v>6.7</v>
      </c>
      <c r="G26" s="34">
        <v>39630</v>
      </c>
      <c r="H26" s="1">
        <v>-3.2</v>
      </c>
      <c r="I26" s="34">
        <v>39630</v>
      </c>
      <c r="J26" s="1">
        <v>154.41999999999999</v>
      </c>
      <c r="K26" s="34">
        <v>39630</v>
      </c>
      <c r="L26" s="1">
        <v>1912.1</v>
      </c>
      <c r="M26" s="34">
        <v>39630</v>
      </c>
      <c r="N26" s="1">
        <v>323.7</v>
      </c>
    </row>
    <row r="27" spans="1:14" x14ac:dyDescent="0.25">
      <c r="A27" s="34">
        <v>39661</v>
      </c>
      <c r="B27" s="1">
        <v>1914.2</v>
      </c>
      <c r="C27" s="34">
        <v>39661</v>
      </c>
      <c r="D27" s="1">
        <v>1922</v>
      </c>
      <c r="E27" s="34">
        <v>39661</v>
      </c>
      <c r="F27" s="1">
        <v>7.1</v>
      </c>
      <c r="G27" s="34">
        <v>39661</v>
      </c>
      <c r="H27" s="1">
        <v>-3.32</v>
      </c>
      <c r="I27" s="34">
        <v>39661</v>
      </c>
      <c r="J27" s="1">
        <v>153.37</v>
      </c>
      <c r="K27" s="34">
        <v>39661</v>
      </c>
      <c r="L27" s="1">
        <v>1912.9</v>
      </c>
      <c r="M27" s="34">
        <v>39661</v>
      </c>
      <c r="N27" s="1">
        <v>325.39999999999998</v>
      </c>
    </row>
    <row r="28" spans="1:14" x14ac:dyDescent="0.25">
      <c r="A28" s="34">
        <v>39692</v>
      </c>
      <c r="B28" s="1">
        <v>1912.9</v>
      </c>
      <c r="C28" s="34">
        <v>39692</v>
      </c>
      <c r="D28" s="1">
        <v>1812</v>
      </c>
      <c r="E28" s="34">
        <v>39692</v>
      </c>
      <c r="F28" s="1">
        <v>7.5</v>
      </c>
      <c r="G28" s="34">
        <v>39692</v>
      </c>
      <c r="H28" s="1">
        <v>-3.12</v>
      </c>
      <c r="I28" s="34">
        <v>39692</v>
      </c>
      <c r="J28" s="1">
        <v>152.33000000000001</v>
      </c>
      <c r="K28" s="34">
        <v>39692</v>
      </c>
      <c r="L28" s="1">
        <v>1922.3</v>
      </c>
      <c r="M28" s="34">
        <v>39692</v>
      </c>
      <c r="N28" s="1">
        <v>352</v>
      </c>
    </row>
    <row r="29" spans="1:14" x14ac:dyDescent="0.25">
      <c r="A29" s="34">
        <v>39722</v>
      </c>
      <c r="B29" s="1">
        <v>1901.3</v>
      </c>
      <c r="C29" s="34">
        <v>39722</v>
      </c>
      <c r="D29" s="1">
        <v>1600</v>
      </c>
      <c r="E29" s="34">
        <v>39722</v>
      </c>
      <c r="F29" s="1">
        <v>8</v>
      </c>
      <c r="G29" s="34">
        <v>39722</v>
      </c>
      <c r="H29" s="1">
        <v>-4.1900000000000004</v>
      </c>
      <c r="I29" s="34">
        <v>39722</v>
      </c>
      <c r="J29" s="1">
        <v>150.99</v>
      </c>
      <c r="K29" s="34">
        <v>39722</v>
      </c>
      <c r="L29" s="1">
        <v>1911.4</v>
      </c>
      <c r="M29" s="34">
        <v>39722</v>
      </c>
      <c r="N29" s="1">
        <v>356.7</v>
      </c>
    </row>
    <row r="30" spans="1:14" x14ac:dyDescent="0.25">
      <c r="A30" s="34">
        <v>39753</v>
      </c>
      <c r="B30" s="1">
        <v>1889.9</v>
      </c>
      <c r="C30" s="34">
        <v>39753</v>
      </c>
      <c r="D30" s="1">
        <v>959</v>
      </c>
      <c r="E30" s="34">
        <v>39753</v>
      </c>
      <c r="F30" s="1">
        <v>8.6</v>
      </c>
      <c r="G30" s="34">
        <v>39753</v>
      </c>
      <c r="H30" s="1">
        <v>-5.27</v>
      </c>
      <c r="I30" s="34">
        <v>39753</v>
      </c>
      <c r="J30" s="1">
        <v>149.38</v>
      </c>
      <c r="K30" s="34">
        <v>39753</v>
      </c>
      <c r="L30" s="1">
        <v>1903.4</v>
      </c>
      <c r="M30" s="34">
        <v>39753</v>
      </c>
      <c r="N30" s="1">
        <v>358.8</v>
      </c>
    </row>
    <row r="31" spans="1:14" x14ac:dyDescent="0.25">
      <c r="A31" s="34">
        <v>39783</v>
      </c>
      <c r="B31" s="1">
        <v>1878.7</v>
      </c>
      <c r="C31" s="34">
        <v>39783</v>
      </c>
      <c r="D31" s="1">
        <v>882</v>
      </c>
      <c r="E31" s="34">
        <v>39783</v>
      </c>
      <c r="F31" s="1">
        <v>9.3000000000000007</v>
      </c>
      <c r="G31" s="34">
        <v>39783</v>
      </c>
      <c r="H31" s="1">
        <v>-6.09</v>
      </c>
      <c r="I31" s="34">
        <v>39783</v>
      </c>
      <c r="J31" s="1">
        <v>147.53</v>
      </c>
      <c r="K31" s="34">
        <v>39783</v>
      </c>
      <c r="L31" s="1">
        <v>1888.6</v>
      </c>
      <c r="M31" s="34">
        <v>39783</v>
      </c>
      <c r="N31" s="1">
        <v>359.1</v>
      </c>
    </row>
    <row r="32" spans="1:14" x14ac:dyDescent="0.25">
      <c r="A32" s="34">
        <v>39814</v>
      </c>
      <c r="B32" s="1">
        <v>1858</v>
      </c>
      <c r="C32" s="34">
        <v>39814</v>
      </c>
      <c r="D32" s="1">
        <v>1190</v>
      </c>
      <c r="E32" s="34">
        <v>39814</v>
      </c>
      <c r="F32" s="1">
        <v>9.9</v>
      </c>
      <c r="G32" s="34">
        <v>39814</v>
      </c>
      <c r="H32" s="1">
        <v>-6.02</v>
      </c>
      <c r="I32" s="34">
        <v>39814</v>
      </c>
      <c r="J32" s="1">
        <v>145.74</v>
      </c>
      <c r="K32" s="34">
        <v>39814</v>
      </c>
      <c r="L32" s="1">
        <v>1825.5</v>
      </c>
      <c r="M32" s="34">
        <v>39814</v>
      </c>
      <c r="N32" s="1">
        <v>351.3</v>
      </c>
    </row>
    <row r="33" spans="1:14" x14ac:dyDescent="0.25">
      <c r="A33" s="34">
        <v>39845</v>
      </c>
      <c r="B33" s="1">
        <v>1844.2</v>
      </c>
      <c r="C33" s="34">
        <v>39845</v>
      </c>
      <c r="D33" s="1">
        <v>1133</v>
      </c>
      <c r="E33" s="34">
        <v>39845</v>
      </c>
      <c r="F33" s="1">
        <v>10.5</v>
      </c>
      <c r="G33" s="34">
        <v>39845</v>
      </c>
      <c r="H33" s="1">
        <v>-5.56</v>
      </c>
      <c r="I33" s="34">
        <v>39845</v>
      </c>
      <c r="J33" s="1">
        <v>143.9</v>
      </c>
      <c r="K33" s="34">
        <v>39845</v>
      </c>
      <c r="L33" s="1">
        <v>1817</v>
      </c>
      <c r="M33" s="34">
        <v>39845</v>
      </c>
      <c r="N33" s="1">
        <v>349.6</v>
      </c>
    </row>
    <row r="34" spans="1:14" x14ac:dyDescent="0.25">
      <c r="A34" s="34">
        <v>39873</v>
      </c>
      <c r="B34" s="1">
        <v>1829.8</v>
      </c>
      <c r="C34" s="34">
        <v>39873</v>
      </c>
      <c r="D34" s="1">
        <v>1259</v>
      </c>
      <c r="E34" s="34">
        <v>39873</v>
      </c>
      <c r="F34" s="1">
        <v>11</v>
      </c>
      <c r="G34" s="34">
        <v>39873</v>
      </c>
      <c r="H34" s="1">
        <v>-4.71</v>
      </c>
      <c r="I34" s="34">
        <v>39873</v>
      </c>
      <c r="J34" s="1">
        <v>142.38999999999999</v>
      </c>
      <c r="K34" s="34">
        <v>39873</v>
      </c>
      <c r="L34" s="1">
        <v>1823.3</v>
      </c>
      <c r="M34" s="34">
        <v>39873</v>
      </c>
      <c r="N34" s="1">
        <v>352.4</v>
      </c>
    </row>
    <row r="35" spans="1:14" x14ac:dyDescent="0.25">
      <c r="A35" s="34">
        <v>39904</v>
      </c>
      <c r="B35" s="1">
        <v>1817.5</v>
      </c>
      <c r="C35" s="34">
        <v>39904</v>
      </c>
      <c r="D35" s="1">
        <v>1307</v>
      </c>
      <c r="E35" s="34">
        <v>39904</v>
      </c>
      <c r="F35" s="1">
        <v>11.4</v>
      </c>
      <c r="G35" s="34">
        <v>39904</v>
      </c>
      <c r="H35" s="1">
        <v>-3.25</v>
      </c>
      <c r="I35" s="34">
        <v>39904</v>
      </c>
      <c r="J35" s="1">
        <v>141.13</v>
      </c>
      <c r="K35" s="34">
        <v>39904</v>
      </c>
      <c r="L35" s="1">
        <v>1827.2</v>
      </c>
      <c r="M35" s="34">
        <v>39904</v>
      </c>
      <c r="N35" s="1">
        <v>354.4</v>
      </c>
    </row>
    <row r="36" spans="1:14" x14ac:dyDescent="0.25">
      <c r="A36" s="34">
        <v>39934</v>
      </c>
      <c r="B36" s="1">
        <v>1813.8</v>
      </c>
      <c r="C36" s="34">
        <v>39934</v>
      </c>
      <c r="D36" s="1">
        <v>1179</v>
      </c>
      <c r="E36" s="34">
        <v>39934</v>
      </c>
      <c r="F36" s="1">
        <v>11.6</v>
      </c>
      <c r="G36" s="34">
        <v>39934</v>
      </c>
      <c r="H36" s="1">
        <v>-1.89</v>
      </c>
      <c r="I36" s="34">
        <v>39934</v>
      </c>
      <c r="J36" s="1">
        <v>140.27000000000001</v>
      </c>
      <c r="K36" s="34">
        <v>39934</v>
      </c>
      <c r="L36" s="1">
        <v>1831.8</v>
      </c>
      <c r="M36" s="34">
        <v>39934</v>
      </c>
      <c r="N36" s="1">
        <v>353.8</v>
      </c>
    </row>
    <row r="37" spans="1:14" x14ac:dyDescent="0.25">
      <c r="A37" s="34">
        <v>39965</v>
      </c>
      <c r="B37" s="1">
        <v>1805.1</v>
      </c>
      <c r="C37" s="34">
        <v>39965</v>
      </c>
      <c r="D37" s="1">
        <v>1606</v>
      </c>
      <c r="E37" s="34">
        <v>39965</v>
      </c>
      <c r="F37" s="1">
        <v>11.7</v>
      </c>
      <c r="G37" s="34">
        <v>39965</v>
      </c>
      <c r="H37" s="1">
        <v>-0.96</v>
      </c>
      <c r="I37" s="34">
        <v>39965</v>
      </c>
      <c r="J37" s="1">
        <v>139.55000000000001</v>
      </c>
      <c r="K37" s="34">
        <v>39965</v>
      </c>
      <c r="L37" s="1">
        <v>1818.2</v>
      </c>
      <c r="M37" s="34">
        <v>39965</v>
      </c>
      <c r="N37" s="1">
        <v>341.9</v>
      </c>
    </row>
    <row r="38" spans="1:14" x14ac:dyDescent="0.25">
      <c r="A38" s="34">
        <v>39995</v>
      </c>
      <c r="B38" s="1">
        <v>1800.9</v>
      </c>
      <c r="C38" s="34">
        <v>39995</v>
      </c>
      <c r="D38" s="1">
        <v>1389</v>
      </c>
      <c r="E38" s="34">
        <v>39995</v>
      </c>
      <c r="F38" s="1">
        <v>11.7</v>
      </c>
      <c r="G38" s="34">
        <v>39995</v>
      </c>
      <c r="H38" s="1">
        <v>-0.02</v>
      </c>
      <c r="I38" s="34">
        <v>39995</v>
      </c>
      <c r="J38" s="1">
        <v>139.16</v>
      </c>
      <c r="K38" s="34">
        <v>39995</v>
      </c>
      <c r="L38" s="1">
        <v>1794.8</v>
      </c>
      <c r="M38" s="34">
        <v>39995</v>
      </c>
      <c r="N38" s="1">
        <v>327.39999999999998</v>
      </c>
    </row>
    <row r="39" spans="1:14" x14ac:dyDescent="0.25">
      <c r="A39" s="34">
        <v>40026</v>
      </c>
      <c r="B39" s="1">
        <v>1796.9</v>
      </c>
      <c r="C39" s="34">
        <v>40026</v>
      </c>
      <c r="D39" s="1">
        <v>1594</v>
      </c>
      <c r="E39" s="34">
        <v>40026</v>
      </c>
      <c r="F39" s="1">
        <v>11.8</v>
      </c>
      <c r="G39" s="34">
        <v>40026</v>
      </c>
      <c r="H39" s="1">
        <v>-0.53</v>
      </c>
      <c r="I39" s="34">
        <v>40026</v>
      </c>
      <c r="J39" s="1">
        <v>138.63999999999999</v>
      </c>
      <c r="K39" s="34">
        <v>40026</v>
      </c>
      <c r="L39" s="1">
        <v>1796</v>
      </c>
      <c r="M39" s="34">
        <v>40026</v>
      </c>
      <c r="N39" s="1">
        <v>331.8</v>
      </c>
    </row>
    <row r="40" spans="1:14" x14ac:dyDescent="0.25">
      <c r="A40" s="34">
        <v>40057</v>
      </c>
      <c r="B40" s="1">
        <v>1790.6</v>
      </c>
      <c r="C40" s="34">
        <v>40057</v>
      </c>
      <c r="D40" s="1">
        <v>1382</v>
      </c>
      <c r="E40" s="34">
        <v>40057</v>
      </c>
      <c r="F40" s="1">
        <v>11.8</v>
      </c>
      <c r="G40" s="34">
        <v>40057</v>
      </c>
      <c r="H40" s="1">
        <v>-0.18</v>
      </c>
      <c r="I40" s="34">
        <v>40057</v>
      </c>
      <c r="J40" s="1">
        <v>138.34</v>
      </c>
      <c r="K40" s="34">
        <v>40057</v>
      </c>
      <c r="L40" s="1">
        <v>1799.5</v>
      </c>
      <c r="M40" s="34">
        <v>40057</v>
      </c>
      <c r="N40" s="1">
        <v>347.5</v>
      </c>
    </row>
    <row r="41" spans="1:14" x14ac:dyDescent="0.25">
      <c r="A41" s="34">
        <v>40087</v>
      </c>
      <c r="B41" s="1">
        <v>1789.9</v>
      </c>
      <c r="C41" s="34">
        <v>40087</v>
      </c>
      <c r="D41" s="1">
        <v>1460</v>
      </c>
      <c r="E41" s="34">
        <v>40087</v>
      </c>
      <c r="F41" s="1">
        <v>11.8</v>
      </c>
      <c r="G41" s="34">
        <v>40087</v>
      </c>
      <c r="H41" s="1">
        <v>-0.1</v>
      </c>
      <c r="I41" s="34">
        <v>40087</v>
      </c>
      <c r="J41" s="1">
        <v>138.12</v>
      </c>
      <c r="K41" s="34">
        <v>40087</v>
      </c>
      <c r="L41" s="1">
        <v>1798.9</v>
      </c>
      <c r="M41" s="34">
        <v>40087</v>
      </c>
      <c r="N41" s="1">
        <v>352.6</v>
      </c>
    </row>
    <row r="42" spans="1:14" x14ac:dyDescent="0.25">
      <c r="A42" s="34">
        <v>40118</v>
      </c>
      <c r="B42" s="1">
        <v>1788.3</v>
      </c>
      <c r="C42" s="34">
        <v>40118</v>
      </c>
      <c r="D42" s="1">
        <v>1146</v>
      </c>
      <c r="E42" s="34">
        <v>40118</v>
      </c>
      <c r="F42" s="1">
        <v>11.8</v>
      </c>
      <c r="G42" s="34">
        <v>40118</v>
      </c>
      <c r="H42" s="1">
        <v>0.6</v>
      </c>
      <c r="I42" s="34">
        <v>40118</v>
      </c>
      <c r="J42" s="1">
        <v>138.08000000000001</v>
      </c>
      <c r="K42" s="34">
        <v>40118</v>
      </c>
      <c r="L42" s="1">
        <v>1800.3</v>
      </c>
      <c r="M42" s="34">
        <v>40118</v>
      </c>
      <c r="N42" s="1">
        <v>353.8</v>
      </c>
    </row>
    <row r="43" spans="1:14" x14ac:dyDescent="0.25">
      <c r="A43" s="34">
        <v>40148</v>
      </c>
      <c r="B43" s="1">
        <v>1784.1</v>
      </c>
      <c r="C43" s="34">
        <v>40148</v>
      </c>
      <c r="D43" s="1">
        <v>1198</v>
      </c>
      <c r="E43" s="34">
        <v>40148</v>
      </c>
      <c r="F43" s="1">
        <v>11.9</v>
      </c>
      <c r="G43" s="34">
        <v>40148</v>
      </c>
      <c r="H43" s="1">
        <v>7.0000000000000007E-2</v>
      </c>
      <c r="I43" s="34">
        <v>40148</v>
      </c>
      <c r="J43" s="1">
        <v>137.93</v>
      </c>
      <c r="K43" s="34">
        <v>40148</v>
      </c>
      <c r="L43" s="1">
        <v>1794.7</v>
      </c>
      <c r="M43" s="34">
        <v>40148</v>
      </c>
      <c r="N43" s="1">
        <v>354.4</v>
      </c>
    </row>
    <row r="44" spans="1:14" x14ac:dyDescent="0.25">
      <c r="A44" s="34">
        <v>40179</v>
      </c>
      <c r="B44" s="1">
        <v>1790.7</v>
      </c>
      <c r="C44" s="34">
        <v>40179</v>
      </c>
      <c r="D44" s="1">
        <v>1104</v>
      </c>
      <c r="E44" s="34">
        <v>40179</v>
      </c>
      <c r="F44" s="1">
        <v>11.8</v>
      </c>
      <c r="G44" s="34">
        <v>40179</v>
      </c>
      <c r="H44" s="1">
        <v>1.01</v>
      </c>
      <c r="I44" s="34">
        <v>40179</v>
      </c>
      <c r="J44" s="1">
        <v>138.18</v>
      </c>
      <c r="K44" s="34">
        <v>40179</v>
      </c>
      <c r="L44" s="1">
        <v>1758.1</v>
      </c>
      <c r="M44" s="34">
        <v>40179</v>
      </c>
      <c r="N44" s="1">
        <v>349</v>
      </c>
    </row>
    <row r="45" spans="1:14" x14ac:dyDescent="0.25">
      <c r="A45" s="34">
        <v>40210</v>
      </c>
      <c r="B45" s="1">
        <v>1792.6</v>
      </c>
      <c r="C45" s="34">
        <v>40210</v>
      </c>
      <c r="D45" s="1">
        <v>1363</v>
      </c>
      <c r="E45" s="34">
        <v>40210</v>
      </c>
      <c r="F45" s="1">
        <v>11.7</v>
      </c>
      <c r="G45" s="34">
        <v>40210</v>
      </c>
      <c r="H45" s="1">
        <v>1.47</v>
      </c>
      <c r="I45" s="34">
        <v>40210</v>
      </c>
      <c r="J45" s="1">
        <v>138.38999999999999</v>
      </c>
      <c r="K45" s="34">
        <v>40210</v>
      </c>
      <c r="L45" s="1">
        <v>1764.9</v>
      </c>
      <c r="M45" s="34">
        <v>40210</v>
      </c>
      <c r="N45" s="1">
        <v>348.5</v>
      </c>
    </row>
    <row r="46" spans="1:14" x14ac:dyDescent="0.25">
      <c r="A46" s="34">
        <v>40238</v>
      </c>
      <c r="B46" s="1">
        <v>1791.8</v>
      </c>
      <c r="C46" s="34">
        <v>40238</v>
      </c>
      <c r="D46" s="1">
        <v>1947</v>
      </c>
      <c r="E46" s="34">
        <v>40238</v>
      </c>
      <c r="F46" s="1">
        <v>11.5</v>
      </c>
      <c r="G46" s="34">
        <v>40238</v>
      </c>
      <c r="H46" s="1">
        <v>2.08</v>
      </c>
      <c r="I46" s="34">
        <v>40238</v>
      </c>
      <c r="J46" s="1">
        <v>138.84</v>
      </c>
      <c r="K46" s="34">
        <v>40238</v>
      </c>
      <c r="L46" s="1">
        <v>1785.1</v>
      </c>
      <c r="M46" s="34">
        <v>40238</v>
      </c>
      <c r="N46" s="1">
        <v>352.4</v>
      </c>
    </row>
    <row r="47" spans="1:14" x14ac:dyDescent="0.25">
      <c r="A47" s="34">
        <v>40269</v>
      </c>
      <c r="B47" s="1">
        <v>1802.5</v>
      </c>
      <c r="C47" s="34">
        <v>40269</v>
      </c>
      <c r="D47" s="1">
        <v>1430</v>
      </c>
      <c r="E47" s="34">
        <v>40269</v>
      </c>
      <c r="F47" s="1">
        <v>11.3</v>
      </c>
      <c r="G47" s="34">
        <v>40269</v>
      </c>
      <c r="H47" s="1">
        <v>2.5299999999999998</v>
      </c>
      <c r="I47" s="34">
        <v>40269</v>
      </c>
      <c r="J47" s="1">
        <v>139.4</v>
      </c>
      <c r="K47" s="34">
        <v>40269</v>
      </c>
      <c r="L47" s="1">
        <v>1813.1</v>
      </c>
      <c r="M47" s="34">
        <v>40269</v>
      </c>
      <c r="N47" s="1">
        <v>353.5</v>
      </c>
    </row>
    <row r="48" spans="1:14" x14ac:dyDescent="0.25">
      <c r="A48" s="34">
        <v>40299</v>
      </c>
      <c r="B48" s="1">
        <v>1815.4</v>
      </c>
      <c r="C48" s="34">
        <v>40299</v>
      </c>
      <c r="D48" s="1">
        <v>1250</v>
      </c>
      <c r="E48" s="34">
        <v>40299</v>
      </c>
      <c r="F48" s="1">
        <v>11.1</v>
      </c>
      <c r="G48" s="34">
        <v>40299</v>
      </c>
      <c r="H48" s="1">
        <v>2.46</v>
      </c>
      <c r="I48" s="34">
        <v>40299</v>
      </c>
      <c r="J48" s="1">
        <v>139.97999999999999</v>
      </c>
      <c r="K48" s="34">
        <v>40299</v>
      </c>
      <c r="L48" s="1">
        <v>1833.8</v>
      </c>
      <c r="M48" s="34">
        <v>40299</v>
      </c>
      <c r="N48" s="1">
        <v>363.5</v>
      </c>
    </row>
    <row r="49" spans="1:14" x14ac:dyDescent="0.25">
      <c r="A49" s="34">
        <v>40330</v>
      </c>
      <c r="B49" s="1">
        <v>1810</v>
      </c>
      <c r="C49" s="34">
        <v>40330</v>
      </c>
      <c r="D49" s="1">
        <v>1279</v>
      </c>
      <c r="E49" s="34">
        <v>40330</v>
      </c>
      <c r="F49" s="1">
        <v>11</v>
      </c>
      <c r="G49" s="34">
        <v>40330</v>
      </c>
      <c r="H49" s="1">
        <v>1.24</v>
      </c>
      <c r="I49" s="34">
        <v>40330</v>
      </c>
      <c r="J49" s="1">
        <v>140.30000000000001</v>
      </c>
      <c r="K49" s="34">
        <v>40330</v>
      </c>
      <c r="L49" s="1">
        <v>1824.2</v>
      </c>
      <c r="M49" s="34">
        <v>40330</v>
      </c>
      <c r="N49" s="1">
        <v>346.3</v>
      </c>
    </row>
    <row r="50" spans="1:14" x14ac:dyDescent="0.25">
      <c r="A50" s="34">
        <v>40360</v>
      </c>
      <c r="B50" s="1">
        <v>1813.2</v>
      </c>
      <c r="C50" s="34">
        <v>40360</v>
      </c>
      <c r="D50" s="1">
        <v>1192</v>
      </c>
      <c r="E50" s="34">
        <v>40360</v>
      </c>
      <c r="F50" s="1">
        <v>10.9</v>
      </c>
      <c r="G50" s="34">
        <v>40360</v>
      </c>
      <c r="H50" s="1">
        <v>1.08</v>
      </c>
      <c r="I50" s="34">
        <v>40360</v>
      </c>
      <c r="J50" s="1">
        <v>140.63</v>
      </c>
      <c r="K50" s="34">
        <v>40360</v>
      </c>
      <c r="L50" s="1">
        <v>1808.5</v>
      </c>
      <c r="M50" s="34">
        <v>40360</v>
      </c>
      <c r="N50" s="1">
        <v>330.1</v>
      </c>
    </row>
    <row r="51" spans="1:14" x14ac:dyDescent="0.25">
      <c r="A51" s="34">
        <v>40391</v>
      </c>
      <c r="B51" s="1">
        <v>1812.6</v>
      </c>
      <c r="C51" s="34">
        <v>40391</v>
      </c>
      <c r="D51" s="1">
        <v>1181</v>
      </c>
      <c r="E51" s="34">
        <v>40391</v>
      </c>
      <c r="F51" s="1">
        <v>10.8</v>
      </c>
      <c r="G51" s="34">
        <v>40391</v>
      </c>
      <c r="H51" s="1">
        <v>0.86</v>
      </c>
      <c r="I51" s="34">
        <v>40391</v>
      </c>
      <c r="J51" s="1">
        <v>140.9</v>
      </c>
      <c r="K51" s="34">
        <v>40391</v>
      </c>
      <c r="L51" s="1">
        <v>1812.4</v>
      </c>
      <c r="M51" s="34">
        <v>40391</v>
      </c>
      <c r="N51" s="1">
        <v>333.2</v>
      </c>
    </row>
    <row r="52" spans="1:14" x14ac:dyDescent="0.25">
      <c r="A52" s="34">
        <v>40422</v>
      </c>
      <c r="B52" s="1">
        <v>1810.2</v>
      </c>
      <c r="C52" s="34">
        <v>40422</v>
      </c>
      <c r="D52" s="1">
        <v>998</v>
      </c>
      <c r="E52" s="34">
        <v>40422</v>
      </c>
      <c r="F52" s="1">
        <v>10.8</v>
      </c>
      <c r="G52" s="34">
        <v>40422</v>
      </c>
      <c r="H52" s="1">
        <v>-0.01</v>
      </c>
      <c r="I52" s="34">
        <v>40422</v>
      </c>
      <c r="J52" s="1">
        <v>140.94</v>
      </c>
      <c r="K52" s="34">
        <v>40422</v>
      </c>
      <c r="L52" s="1">
        <v>1815.4</v>
      </c>
      <c r="M52" s="34">
        <v>40422</v>
      </c>
      <c r="N52" s="1">
        <v>345.6</v>
      </c>
    </row>
    <row r="53" spans="1:14" x14ac:dyDescent="0.25">
      <c r="A53" s="34">
        <v>40452</v>
      </c>
      <c r="B53" s="1">
        <v>1811.1</v>
      </c>
      <c r="C53" s="34">
        <v>40452</v>
      </c>
      <c r="D53" s="1">
        <v>1060</v>
      </c>
      <c r="E53" s="34">
        <v>40452</v>
      </c>
      <c r="F53" s="1">
        <v>10.8</v>
      </c>
      <c r="G53" s="34">
        <v>40452</v>
      </c>
      <c r="H53" s="1">
        <v>0.04</v>
      </c>
      <c r="I53" s="34">
        <v>40452</v>
      </c>
      <c r="J53" s="1">
        <v>140.99</v>
      </c>
      <c r="K53" s="34">
        <v>40452</v>
      </c>
      <c r="L53" s="1">
        <v>1818.7</v>
      </c>
      <c r="M53" s="34">
        <v>40452</v>
      </c>
      <c r="N53" s="1">
        <v>348</v>
      </c>
    </row>
    <row r="54" spans="1:14" x14ac:dyDescent="0.25">
      <c r="A54" s="34">
        <v>40483</v>
      </c>
      <c r="B54" s="1">
        <v>1810.7</v>
      </c>
      <c r="C54" s="34">
        <v>40483</v>
      </c>
      <c r="D54" s="1">
        <v>924</v>
      </c>
      <c r="E54" s="34">
        <v>40483</v>
      </c>
      <c r="F54" s="1">
        <v>10.7</v>
      </c>
      <c r="G54" s="34">
        <v>40483</v>
      </c>
      <c r="H54" s="1">
        <v>0.82</v>
      </c>
      <c r="I54" s="34">
        <v>40483</v>
      </c>
      <c r="J54" s="1">
        <v>141.22</v>
      </c>
      <c r="K54" s="34">
        <v>40483</v>
      </c>
      <c r="L54" s="1">
        <v>1822.4</v>
      </c>
      <c r="M54" s="34">
        <v>40483</v>
      </c>
      <c r="N54" s="1">
        <v>348.6</v>
      </c>
    </row>
    <row r="55" spans="1:14" x14ac:dyDescent="0.25">
      <c r="A55" s="34">
        <v>40513</v>
      </c>
      <c r="B55" s="1">
        <v>1817</v>
      </c>
      <c r="C55" s="34">
        <v>40513</v>
      </c>
      <c r="D55" s="1">
        <v>886</v>
      </c>
      <c r="E55" s="34">
        <v>40513</v>
      </c>
      <c r="F55" s="1">
        <v>10.6</v>
      </c>
      <c r="G55" s="34">
        <v>40513</v>
      </c>
      <c r="H55" s="1">
        <v>1.1100000000000001</v>
      </c>
      <c r="I55" s="34">
        <v>40513</v>
      </c>
      <c r="J55" s="1">
        <v>141.41999999999999</v>
      </c>
      <c r="K55" s="34">
        <v>40513</v>
      </c>
      <c r="L55" s="1">
        <v>1822.6</v>
      </c>
      <c r="M55" s="34">
        <v>40513</v>
      </c>
      <c r="N55" s="1">
        <v>349.2</v>
      </c>
    </row>
    <row r="56" spans="1:14" x14ac:dyDescent="0.25">
      <c r="A56" s="34">
        <v>40544</v>
      </c>
      <c r="B56" s="1">
        <v>1810.5</v>
      </c>
      <c r="C56" s="34">
        <v>40544</v>
      </c>
      <c r="D56" s="1">
        <v>915</v>
      </c>
      <c r="E56" s="34">
        <v>40544</v>
      </c>
      <c r="F56" s="1">
        <v>10.5</v>
      </c>
      <c r="G56" s="34">
        <v>40544</v>
      </c>
      <c r="H56" s="1">
        <v>1.26</v>
      </c>
      <c r="I56" s="34">
        <v>40544</v>
      </c>
      <c r="J56" s="1">
        <v>141.69999999999999</v>
      </c>
      <c r="K56" s="34">
        <v>40544</v>
      </c>
      <c r="L56" s="1">
        <v>1775.3</v>
      </c>
      <c r="M56" s="34">
        <v>40544</v>
      </c>
      <c r="N56" s="1">
        <v>343</v>
      </c>
    </row>
    <row r="57" spans="1:14" x14ac:dyDescent="0.25">
      <c r="A57" s="34">
        <v>40575</v>
      </c>
      <c r="B57" s="1">
        <v>1819.8</v>
      </c>
      <c r="C57" s="34">
        <v>40575</v>
      </c>
      <c r="D57" s="1">
        <v>1122</v>
      </c>
      <c r="E57" s="34">
        <v>40575</v>
      </c>
      <c r="F57" s="1">
        <v>10.4</v>
      </c>
      <c r="G57" s="34">
        <v>40575</v>
      </c>
      <c r="H57" s="1">
        <v>1.68</v>
      </c>
      <c r="I57" s="34">
        <v>40575</v>
      </c>
      <c r="J57" s="1">
        <v>142.11000000000001</v>
      </c>
      <c r="K57" s="34">
        <v>40575</v>
      </c>
      <c r="L57" s="1">
        <v>1791</v>
      </c>
      <c r="M57" s="34">
        <v>40575</v>
      </c>
      <c r="N57" s="1">
        <v>342.4</v>
      </c>
    </row>
    <row r="58" spans="1:14" x14ac:dyDescent="0.25">
      <c r="A58" s="34">
        <v>40603</v>
      </c>
      <c r="B58" s="1">
        <v>1820.7</v>
      </c>
      <c r="C58" s="34">
        <v>40603</v>
      </c>
      <c r="D58" s="1">
        <v>1532</v>
      </c>
      <c r="E58" s="34">
        <v>40603</v>
      </c>
      <c r="F58" s="1">
        <v>10.4</v>
      </c>
      <c r="G58" s="34">
        <v>40603</v>
      </c>
      <c r="H58" s="1">
        <v>1.49</v>
      </c>
      <c r="I58" s="34">
        <v>40603</v>
      </c>
      <c r="J58" s="1">
        <v>142.37</v>
      </c>
      <c r="K58" s="34">
        <v>40603</v>
      </c>
      <c r="L58" s="1">
        <v>1813.3</v>
      </c>
      <c r="M58" s="34">
        <v>40603</v>
      </c>
      <c r="N58" s="1">
        <v>345.7</v>
      </c>
    </row>
    <row r="59" spans="1:14" x14ac:dyDescent="0.25">
      <c r="A59" s="34">
        <v>40634</v>
      </c>
      <c r="B59" s="1">
        <v>1825.5</v>
      </c>
      <c r="C59" s="34">
        <v>40634</v>
      </c>
      <c r="D59" s="1">
        <v>1490</v>
      </c>
      <c r="E59" s="34">
        <v>40634</v>
      </c>
      <c r="F59" s="1">
        <v>10.4</v>
      </c>
      <c r="G59" s="34">
        <v>40634</v>
      </c>
      <c r="H59" s="1">
        <v>1.2</v>
      </c>
      <c r="I59" s="34">
        <v>40634</v>
      </c>
      <c r="J59" s="1">
        <v>142.66999999999999</v>
      </c>
      <c r="K59" s="34">
        <v>40634</v>
      </c>
      <c r="L59" s="1">
        <v>1837.1</v>
      </c>
      <c r="M59" s="34">
        <v>40634</v>
      </c>
      <c r="N59" s="1">
        <v>346.9</v>
      </c>
    </row>
    <row r="60" spans="1:14" x14ac:dyDescent="0.25">
      <c r="A60" s="34">
        <v>40664</v>
      </c>
      <c r="B60" s="1">
        <v>1827.4</v>
      </c>
      <c r="C60" s="34">
        <v>40664</v>
      </c>
      <c r="D60" s="1">
        <v>1316</v>
      </c>
      <c r="E60" s="34">
        <v>40664</v>
      </c>
      <c r="F60" s="1">
        <v>10.4</v>
      </c>
      <c r="G60" s="34">
        <v>40664</v>
      </c>
      <c r="H60" s="1">
        <v>1.46</v>
      </c>
      <c r="I60" s="34">
        <v>40664</v>
      </c>
      <c r="J60" s="1">
        <v>142.97999999999999</v>
      </c>
      <c r="K60" s="34">
        <v>40664</v>
      </c>
      <c r="L60" s="1">
        <v>1846.4</v>
      </c>
      <c r="M60" s="34">
        <v>40664</v>
      </c>
      <c r="N60" s="1">
        <v>346.4</v>
      </c>
    </row>
    <row r="61" spans="1:14" x14ac:dyDescent="0.25">
      <c r="A61" s="34">
        <v>40695</v>
      </c>
      <c r="B61" s="1">
        <v>1828.6</v>
      </c>
      <c r="C61" s="34">
        <v>40695</v>
      </c>
      <c r="D61" s="1">
        <v>1326</v>
      </c>
      <c r="E61" s="34">
        <v>40695</v>
      </c>
      <c r="F61" s="1">
        <v>10.5</v>
      </c>
      <c r="G61" s="34">
        <v>40695</v>
      </c>
      <c r="H61" s="1">
        <v>0.72</v>
      </c>
      <c r="I61" s="34">
        <v>40695</v>
      </c>
      <c r="J61" s="1">
        <v>143.07</v>
      </c>
      <c r="K61" s="34">
        <v>40695</v>
      </c>
      <c r="L61" s="1">
        <v>1841.1</v>
      </c>
      <c r="M61" s="34">
        <v>40695</v>
      </c>
      <c r="N61" s="1">
        <v>336.2</v>
      </c>
    </row>
    <row r="62" spans="1:14" x14ac:dyDescent="0.25">
      <c r="A62" s="34">
        <v>40725</v>
      </c>
      <c r="B62" s="1">
        <v>1830.4</v>
      </c>
      <c r="C62" s="34">
        <v>40725</v>
      </c>
      <c r="D62" s="1">
        <v>1229</v>
      </c>
      <c r="E62" s="34">
        <v>40725</v>
      </c>
      <c r="F62" s="1">
        <v>10.5</v>
      </c>
      <c r="G62" s="34">
        <v>40725</v>
      </c>
      <c r="H62" s="1">
        <v>0.84</v>
      </c>
      <c r="I62" s="34">
        <v>40725</v>
      </c>
      <c r="J62" s="1">
        <v>143.25</v>
      </c>
      <c r="K62" s="34">
        <v>40725</v>
      </c>
      <c r="L62" s="1">
        <v>1824.3</v>
      </c>
      <c r="M62" s="34">
        <v>40725</v>
      </c>
      <c r="N62" s="1">
        <v>322.10000000000002</v>
      </c>
    </row>
    <row r="63" spans="1:14" x14ac:dyDescent="0.25">
      <c r="A63" s="34">
        <v>40756</v>
      </c>
      <c r="B63" s="1">
        <v>1830.6</v>
      </c>
      <c r="C63" s="34">
        <v>40756</v>
      </c>
      <c r="D63" s="1">
        <v>1331</v>
      </c>
      <c r="E63" s="34">
        <v>40756</v>
      </c>
      <c r="F63" s="1">
        <v>10.5</v>
      </c>
      <c r="G63" s="34">
        <v>40756</v>
      </c>
      <c r="H63" s="1">
        <v>1.22</v>
      </c>
      <c r="I63" s="34">
        <v>40756</v>
      </c>
      <c r="J63" s="1">
        <v>143.38</v>
      </c>
      <c r="K63" s="34">
        <v>40756</v>
      </c>
      <c r="L63" s="1">
        <v>1830.9</v>
      </c>
      <c r="M63" s="34">
        <v>40756</v>
      </c>
      <c r="N63" s="1">
        <v>326.10000000000002</v>
      </c>
    </row>
    <row r="64" spans="1:14" x14ac:dyDescent="0.25">
      <c r="A64" s="34">
        <v>40787</v>
      </c>
      <c r="B64" s="1">
        <v>1832.9</v>
      </c>
      <c r="C64" s="34">
        <v>40787</v>
      </c>
      <c r="D64" s="1">
        <v>1078</v>
      </c>
      <c r="E64" s="34">
        <v>40787</v>
      </c>
      <c r="F64" s="1">
        <v>10.4</v>
      </c>
      <c r="G64" s="34">
        <v>40787</v>
      </c>
      <c r="H64" s="1">
        <v>1.47</v>
      </c>
      <c r="I64" s="34">
        <v>40787</v>
      </c>
      <c r="J64" s="1">
        <v>143.65</v>
      </c>
      <c r="K64" s="34">
        <v>40787</v>
      </c>
      <c r="L64" s="1">
        <v>1837.8</v>
      </c>
      <c r="M64" s="34">
        <v>40787</v>
      </c>
      <c r="N64" s="1">
        <v>344.4</v>
      </c>
    </row>
    <row r="65" spans="1:14" x14ac:dyDescent="0.25">
      <c r="A65" s="34">
        <v>40817</v>
      </c>
      <c r="B65" s="1">
        <v>1830.5</v>
      </c>
      <c r="C65" s="34">
        <v>40817</v>
      </c>
      <c r="D65" s="1">
        <v>1623</v>
      </c>
      <c r="E65" s="34">
        <v>40817</v>
      </c>
      <c r="F65" s="1">
        <v>10.1</v>
      </c>
      <c r="G65" s="34">
        <v>40817</v>
      </c>
      <c r="H65" s="1">
        <v>2.52</v>
      </c>
      <c r="I65" s="34">
        <v>40817</v>
      </c>
      <c r="J65" s="1">
        <v>144.19</v>
      </c>
      <c r="K65" s="34">
        <v>40817</v>
      </c>
      <c r="L65" s="1">
        <v>1837.7</v>
      </c>
      <c r="M65" s="34">
        <v>40817</v>
      </c>
      <c r="N65" s="1">
        <v>348.4</v>
      </c>
    </row>
    <row r="66" spans="1:14" x14ac:dyDescent="0.25">
      <c r="A66" s="34">
        <v>40848</v>
      </c>
      <c r="B66" s="1">
        <v>1833.7</v>
      </c>
      <c r="C66" s="34">
        <v>40848</v>
      </c>
      <c r="D66" s="1">
        <v>1095</v>
      </c>
      <c r="E66" s="34">
        <v>40848</v>
      </c>
      <c r="F66" s="1">
        <v>9.9</v>
      </c>
      <c r="G66" s="34">
        <v>40848</v>
      </c>
      <c r="H66" s="1">
        <v>1.88</v>
      </c>
      <c r="I66" s="34">
        <v>40848</v>
      </c>
      <c r="J66" s="1">
        <v>144.49</v>
      </c>
      <c r="K66" s="34">
        <v>40848</v>
      </c>
      <c r="L66" s="1">
        <v>1844.8</v>
      </c>
      <c r="M66" s="34">
        <v>40848</v>
      </c>
      <c r="N66" s="1">
        <v>349.9</v>
      </c>
    </row>
    <row r="67" spans="1:14" x14ac:dyDescent="0.25">
      <c r="A67" s="34">
        <v>40878</v>
      </c>
      <c r="B67" s="1">
        <v>1837.5</v>
      </c>
      <c r="C67" s="34">
        <v>40878</v>
      </c>
      <c r="D67" s="1">
        <v>1520</v>
      </c>
      <c r="E67" s="34">
        <v>40878</v>
      </c>
      <c r="F67" s="1">
        <v>9.6999999999999993</v>
      </c>
      <c r="G67" s="34">
        <v>40878</v>
      </c>
      <c r="H67" s="1">
        <v>1.79</v>
      </c>
      <c r="I67" s="34">
        <v>40878</v>
      </c>
      <c r="J67" s="1">
        <v>144.93</v>
      </c>
      <c r="K67" s="34">
        <v>40878</v>
      </c>
      <c r="L67" s="1">
        <v>1842.3</v>
      </c>
      <c r="M67" s="34">
        <v>40878</v>
      </c>
      <c r="N67" s="1">
        <v>348.3</v>
      </c>
    </row>
    <row r="68" spans="1:14" x14ac:dyDescent="0.25">
      <c r="A68" s="34">
        <v>40909</v>
      </c>
      <c r="B68" s="1">
        <v>1845.2</v>
      </c>
      <c r="C68" s="34">
        <v>40909</v>
      </c>
      <c r="D68" s="1">
        <v>1341</v>
      </c>
      <c r="E68" s="34">
        <v>40909</v>
      </c>
      <c r="F68" s="1">
        <v>9.4</v>
      </c>
      <c r="G68" s="34">
        <v>40909</v>
      </c>
      <c r="H68" s="1">
        <v>3.51</v>
      </c>
      <c r="I68" s="34">
        <v>40909</v>
      </c>
      <c r="J68" s="1">
        <v>145.78</v>
      </c>
      <c r="K68" s="34">
        <v>40909</v>
      </c>
      <c r="L68" s="1">
        <v>1808.4</v>
      </c>
      <c r="M68" s="34">
        <v>40909</v>
      </c>
      <c r="N68" s="1">
        <v>342.8</v>
      </c>
    </row>
    <row r="69" spans="1:14" x14ac:dyDescent="0.25">
      <c r="A69" s="34">
        <v>40940</v>
      </c>
      <c r="B69" s="1">
        <v>1851.6</v>
      </c>
      <c r="C69" s="34">
        <v>40940</v>
      </c>
      <c r="D69" s="1">
        <v>1458</v>
      </c>
      <c r="E69" s="34">
        <v>40940</v>
      </c>
      <c r="F69" s="1">
        <v>9.3000000000000007</v>
      </c>
      <c r="G69" s="34">
        <v>40940</v>
      </c>
      <c r="H69" s="1">
        <v>2.5499999999999998</v>
      </c>
      <c r="I69" s="34">
        <v>40940</v>
      </c>
      <c r="J69" s="1">
        <v>146.24</v>
      </c>
      <c r="K69" s="34">
        <v>40940</v>
      </c>
      <c r="L69" s="1">
        <v>1824.3</v>
      </c>
      <c r="M69" s="34">
        <v>40940</v>
      </c>
      <c r="N69" s="1">
        <v>347.9</v>
      </c>
    </row>
    <row r="70" spans="1:14" x14ac:dyDescent="0.25">
      <c r="A70" s="34">
        <v>40969</v>
      </c>
      <c r="B70" s="1">
        <v>1856.8</v>
      </c>
      <c r="C70" s="34">
        <v>40969</v>
      </c>
      <c r="D70" s="1">
        <v>1618</v>
      </c>
      <c r="E70" s="34">
        <v>40969</v>
      </c>
      <c r="F70" s="1">
        <v>9.1999999999999993</v>
      </c>
      <c r="G70" s="34">
        <v>40969</v>
      </c>
      <c r="H70" s="1">
        <v>1.96</v>
      </c>
      <c r="I70" s="34">
        <v>40969</v>
      </c>
      <c r="J70" s="1">
        <v>146.71</v>
      </c>
      <c r="K70" s="34">
        <v>40969</v>
      </c>
      <c r="L70" s="1">
        <v>1849.4</v>
      </c>
      <c r="M70" s="34">
        <v>40969</v>
      </c>
      <c r="N70" s="1">
        <v>352.5</v>
      </c>
    </row>
    <row r="71" spans="1:14" x14ac:dyDescent="0.25">
      <c r="A71" s="34">
        <v>41000</v>
      </c>
      <c r="B71" s="1">
        <v>1856.1</v>
      </c>
      <c r="C71" s="34">
        <v>41000</v>
      </c>
      <c r="D71" s="1">
        <v>1449</v>
      </c>
      <c r="E71" s="34">
        <v>41000</v>
      </c>
      <c r="F71" s="1">
        <v>9.1999999999999993</v>
      </c>
      <c r="G71" s="34">
        <v>41000</v>
      </c>
      <c r="H71" s="1">
        <v>1.36</v>
      </c>
      <c r="I71" s="34">
        <v>41000</v>
      </c>
      <c r="J71" s="1">
        <v>146.97999999999999</v>
      </c>
      <c r="K71" s="34">
        <v>41000</v>
      </c>
      <c r="L71" s="1">
        <v>1863.1</v>
      </c>
      <c r="M71" s="34">
        <v>41000</v>
      </c>
      <c r="N71" s="1">
        <v>351.9</v>
      </c>
    </row>
    <row r="72" spans="1:14" x14ac:dyDescent="0.25">
      <c r="A72" s="34">
        <v>41030</v>
      </c>
      <c r="B72" s="1">
        <v>1855.9</v>
      </c>
      <c r="C72" s="34">
        <v>41030</v>
      </c>
      <c r="D72" s="1">
        <v>2332</v>
      </c>
      <c r="E72" s="34">
        <v>41030</v>
      </c>
      <c r="F72" s="1">
        <v>9.1999999999999993</v>
      </c>
      <c r="G72" s="34">
        <v>41030</v>
      </c>
      <c r="H72" s="1">
        <v>1.22</v>
      </c>
      <c r="I72" s="34">
        <v>41030</v>
      </c>
      <c r="J72" s="1">
        <v>147.22</v>
      </c>
      <c r="K72" s="34">
        <v>41030</v>
      </c>
      <c r="L72" s="1">
        <v>1875.2</v>
      </c>
      <c r="M72" s="34">
        <v>41030</v>
      </c>
      <c r="N72" s="1">
        <v>352.4</v>
      </c>
    </row>
    <row r="73" spans="1:14" x14ac:dyDescent="0.25">
      <c r="A73" s="34">
        <v>41061</v>
      </c>
      <c r="B73" s="1">
        <v>1859.3</v>
      </c>
      <c r="C73" s="34">
        <v>41061</v>
      </c>
      <c r="D73" s="1">
        <v>1704</v>
      </c>
      <c r="E73" s="34">
        <v>41061</v>
      </c>
      <c r="F73" s="1">
        <v>9.1999999999999993</v>
      </c>
      <c r="G73" s="34">
        <v>41061</v>
      </c>
      <c r="H73" s="1">
        <v>1.32</v>
      </c>
      <c r="I73" s="34">
        <v>41061</v>
      </c>
      <c r="J73" s="1">
        <v>147.44999999999999</v>
      </c>
      <c r="K73" s="34">
        <v>41061</v>
      </c>
      <c r="L73" s="1">
        <v>1872.9</v>
      </c>
      <c r="M73" s="34">
        <v>41061</v>
      </c>
      <c r="N73" s="1">
        <v>343.6</v>
      </c>
    </row>
    <row r="74" spans="1:14" x14ac:dyDescent="0.25">
      <c r="A74" s="34">
        <v>41091</v>
      </c>
      <c r="B74" s="1">
        <v>1856.4</v>
      </c>
      <c r="C74" s="34">
        <v>41091</v>
      </c>
      <c r="D74" s="1">
        <v>1468</v>
      </c>
      <c r="E74" s="34">
        <v>41091</v>
      </c>
      <c r="F74" s="1">
        <v>9.1</v>
      </c>
      <c r="G74" s="34">
        <v>41091</v>
      </c>
      <c r="H74" s="1">
        <v>1.88</v>
      </c>
      <c r="I74" s="34">
        <v>41091</v>
      </c>
      <c r="J74" s="1">
        <v>147.84</v>
      </c>
      <c r="K74" s="34">
        <v>41091</v>
      </c>
      <c r="L74" s="1">
        <v>1850.9</v>
      </c>
      <c r="M74" s="34">
        <v>41091</v>
      </c>
      <c r="N74" s="1">
        <v>329.1</v>
      </c>
    </row>
    <row r="75" spans="1:14" x14ac:dyDescent="0.25">
      <c r="A75" s="34">
        <v>41122</v>
      </c>
      <c r="B75" s="1">
        <v>1858.3</v>
      </c>
      <c r="C75" s="34">
        <v>41122</v>
      </c>
      <c r="D75" s="1">
        <v>1561</v>
      </c>
      <c r="E75" s="34">
        <v>41122</v>
      </c>
      <c r="F75" s="1">
        <v>8.9</v>
      </c>
      <c r="G75" s="34">
        <v>41122</v>
      </c>
      <c r="H75" s="1">
        <v>2.57</v>
      </c>
      <c r="I75" s="34">
        <v>41122</v>
      </c>
      <c r="J75" s="1">
        <v>148.4</v>
      </c>
      <c r="K75" s="34">
        <v>41122</v>
      </c>
      <c r="L75" s="1">
        <v>1857.2</v>
      </c>
      <c r="M75" s="34">
        <v>41122</v>
      </c>
      <c r="N75" s="1">
        <v>330.1</v>
      </c>
    </row>
    <row r="76" spans="1:14" x14ac:dyDescent="0.25">
      <c r="A76" s="34">
        <v>41153</v>
      </c>
      <c r="B76" s="1">
        <v>1858.8</v>
      </c>
      <c r="C76" s="34">
        <v>41153</v>
      </c>
      <c r="D76" s="1">
        <v>1582</v>
      </c>
      <c r="E76" s="34">
        <v>41153</v>
      </c>
      <c r="F76" s="1">
        <v>8.6999999999999993</v>
      </c>
      <c r="G76" s="34">
        <v>41153</v>
      </c>
      <c r="H76" s="1">
        <v>2.73</v>
      </c>
      <c r="I76" s="34">
        <v>41153</v>
      </c>
      <c r="J76" s="1">
        <v>149</v>
      </c>
      <c r="K76" s="34">
        <v>41153</v>
      </c>
      <c r="L76" s="1">
        <v>1867</v>
      </c>
      <c r="M76" s="34">
        <v>41153</v>
      </c>
      <c r="N76" s="1">
        <v>349.3</v>
      </c>
    </row>
    <row r="77" spans="1:14" x14ac:dyDescent="0.25">
      <c r="A77" s="34">
        <v>41183</v>
      </c>
      <c r="B77" s="1">
        <v>1863.9</v>
      </c>
      <c r="C77" s="34">
        <v>41183</v>
      </c>
      <c r="D77" s="1">
        <v>1638</v>
      </c>
      <c r="E77" s="34">
        <v>41183</v>
      </c>
      <c r="F77" s="1">
        <v>8.6</v>
      </c>
      <c r="G77" s="34">
        <v>41183</v>
      </c>
      <c r="H77" s="1">
        <v>2.25</v>
      </c>
      <c r="I77" s="34">
        <v>41183</v>
      </c>
      <c r="J77" s="1">
        <v>149.47</v>
      </c>
      <c r="K77" s="34">
        <v>41183</v>
      </c>
      <c r="L77" s="1">
        <v>1870.8</v>
      </c>
      <c r="M77" s="34">
        <v>41183</v>
      </c>
      <c r="N77" s="1">
        <v>353.6</v>
      </c>
    </row>
    <row r="78" spans="1:14" x14ac:dyDescent="0.25">
      <c r="A78" s="34">
        <v>41214</v>
      </c>
      <c r="B78" s="1">
        <v>1875.8</v>
      </c>
      <c r="C78" s="34">
        <v>41214</v>
      </c>
      <c r="D78" s="1">
        <v>1548</v>
      </c>
      <c r="E78" s="34">
        <v>41214</v>
      </c>
      <c r="F78" s="1">
        <v>8.5</v>
      </c>
      <c r="G78" s="34">
        <v>41214</v>
      </c>
      <c r="H78" s="1">
        <v>2.19</v>
      </c>
      <c r="I78" s="34">
        <v>41214</v>
      </c>
      <c r="J78" s="1">
        <v>150</v>
      </c>
      <c r="K78" s="34">
        <v>41214</v>
      </c>
      <c r="L78" s="1">
        <v>1886.8</v>
      </c>
      <c r="M78" s="34">
        <v>41214</v>
      </c>
      <c r="N78" s="1">
        <v>357.5</v>
      </c>
    </row>
    <row r="79" spans="1:14" x14ac:dyDescent="0.25">
      <c r="A79" s="34">
        <v>41244</v>
      </c>
      <c r="B79" s="1">
        <v>1875</v>
      </c>
      <c r="C79" s="34">
        <v>41244</v>
      </c>
      <c r="D79" s="1">
        <v>1385</v>
      </c>
      <c r="E79" s="34">
        <v>41244</v>
      </c>
      <c r="F79" s="1">
        <v>8.3000000000000007</v>
      </c>
      <c r="G79" s="34">
        <v>41244</v>
      </c>
      <c r="H79" s="1">
        <v>2.66</v>
      </c>
      <c r="I79" s="34">
        <v>41244</v>
      </c>
      <c r="J79" s="1">
        <v>150.66</v>
      </c>
      <c r="K79" s="34">
        <v>41244</v>
      </c>
      <c r="L79" s="1">
        <v>1883.2</v>
      </c>
      <c r="M79" s="34">
        <v>41244</v>
      </c>
      <c r="N79" s="1">
        <v>355.1</v>
      </c>
    </row>
    <row r="80" spans="1:14" x14ac:dyDescent="0.25">
      <c r="A80" s="34">
        <v>41275</v>
      </c>
      <c r="B80" s="1">
        <v>1879.3</v>
      </c>
      <c r="C80" s="34">
        <v>41275</v>
      </c>
      <c r="D80" s="1">
        <v>1705</v>
      </c>
      <c r="E80" s="34">
        <v>41275</v>
      </c>
      <c r="F80" s="1">
        <v>8.1999999999999993</v>
      </c>
      <c r="G80" s="34">
        <v>41275</v>
      </c>
      <c r="H80" s="1">
        <v>2.02</v>
      </c>
      <c r="I80" s="34">
        <v>41275</v>
      </c>
      <c r="J80" s="1">
        <v>151.07</v>
      </c>
      <c r="K80" s="34">
        <v>41275</v>
      </c>
      <c r="L80" s="1">
        <v>1842</v>
      </c>
      <c r="M80" s="34">
        <v>41275</v>
      </c>
      <c r="N80" s="1">
        <v>350.1</v>
      </c>
    </row>
    <row r="81" spans="1:14" x14ac:dyDescent="0.25">
      <c r="A81" s="34">
        <v>41306</v>
      </c>
      <c r="B81" s="1">
        <v>1884.9</v>
      </c>
      <c r="C81" s="34">
        <v>41306</v>
      </c>
      <c r="D81" s="1">
        <v>1612</v>
      </c>
      <c r="E81" s="34">
        <v>41306</v>
      </c>
      <c r="F81" s="1">
        <v>8.1</v>
      </c>
      <c r="G81" s="34">
        <v>41306</v>
      </c>
      <c r="H81" s="1">
        <v>1.79</v>
      </c>
      <c r="I81" s="34">
        <v>41306</v>
      </c>
      <c r="J81" s="1">
        <v>151.56</v>
      </c>
      <c r="K81" s="34">
        <v>41306</v>
      </c>
      <c r="L81" s="1">
        <v>1857.3</v>
      </c>
      <c r="M81" s="34">
        <v>41306</v>
      </c>
      <c r="N81" s="1">
        <v>353.7</v>
      </c>
    </row>
    <row r="82" spans="1:14" x14ac:dyDescent="0.25">
      <c r="A82" s="34">
        <v>41334</v>
      </c>
      <c r="B82" s="1">
        <v>1885</v>
      </c>
      <c r="C82" s="34">
        <v>41334</v>
      </c>
      <c r="D82" s="1">
        <v>1890</v>
      </c>
      <c r="E82" s="34">
        <v>41334</v>
      </c>
      <c r="F82" s="1">
        <v>8</v>
      </c>
      <c r="G82" s="34">
        <v>41334</v>
      </c>
      <c r="H82" s="1">
        <v>1.84</v>
      </c>
      <c r="I82" s="34">
        <v>41334</v>
      </c>
      <c r="J82" s="1">
        <v>152.02000000000001</v>
      </c>
      <c r="K82" s="34">
        <v>41334</v>
      </c>
      <c r="L82" s="1">
        <v>1877.7</v>
      </c>
      <c r="M82" s="34">
        <v>41334</v>
      </c>
      <c r="N82" s="1">
        <v>358.1</v>
      </c>
    </row>
    <row r="83" spans="1:14" x14ac:dyDescent="0.25">
      <c r="A83" s="34">
        <v>41365</v>
      </c>
      <c r="B83" s="1">
        <v>1889.3</v>
      </c>
      <c r="C83" s="34">
        <v>41365</v>
      </c>
      <c r="D83" s="1">
        <v>1855</v>
      </c>
      <c r="E83" s="34">
        <v>41365</v>
      </c>
      <c r="F83" s="1">
        <v>7.9</v>
      </c>
      <c r="G83" s="34">
        <v>41365</v>
      </c>
      <c r="H83" s="1">
        <v>1.98</v>
      </c>
      <c r="I83" s="34">
        <v>41365</v>
      </c>
      <c r="J83" s="1">
        <v>152.5</v>
      </c>
      <c r="K83" s="34">
        <v>41365</v>
      </c>
      <c r="L83" s="1">
        <v>1897.1</v>
      </c>
      <c r="M83" s="34">
        <v>41365</v>
      </c>
      <c r="N83" s="1">
        <v>359.2</v>
      </c>
    </row>
    <row r="84" spans="1:14" x14ac:dyDescent="0.25">
      <c r="A84" s="34">
        <v>41395</v>
      </c>
      <c r="B84" s="1">
        <v>1891.1</v>
      </c>
      <c r="C84" s="34">
        <v>41395</v>
      </c>
      <c r="D84" s="1">
        <v>2342</v>
      </c>
      <c r="E84" s="34">
        <v>41395</v>
      </c>
      <c r="F84" s="1">
        <v>7.9</v>
      </c>
      <c r="G84" s="34">
        <v>41395</v>
      </c>
      <c r="H84" s="1">
        <v>1.44</v>
      </c>
      <c r="I84" s="34">
        <v>41395</v>
      </c>
      <c r="J84" s="1">
        <v>152.74</v>
      </c>
      <c r="K84" s="34">
        <v>41395</v>
      </c>
      <c r="L84" s="1">
        <v>1911.8</v>
      </c>
      <c r="M84" s="34">
        <v>41395</v>
      </c>
      <c r="N84" s="1">
        <v>358.8</v>
      </c>
    </row>
    <row r="85" spans="1:14" x14ac:dyDescent="0.25">
      <c r="A85" s="34">
        <v>41426</v>
      </c>
      <c r="B85" s="1">
        <v>1890.6</v>
      </c>
      <c r="C85" s="34">
        <v>41426</v>
      </c>
      <c r="D85" s="1">
        <v>2063</v>
      </c>
      <c r="E85" s="34">
        <v>41426</v>
      </c>
      <c r="F85" s="1">
        <v>7.8</v>
      </c>
      <c r="G85" s="34">
        <v>41426</v>
      </c>
      <c r="H85" s="1">
        <v>1.71</v>
      </c>
      <c r="I85" s="34">
        <v>41426</v>
      </c>
      <c r="J85" s="1">
        <v>153.16999999999999</v>
      </c>
      <c r="K85" s="34">
        <v>41426</v>
      </c>
      <c r="L85" s="1">
        <v>1908</v>
      </c>
      <c r="M85" s="34">
        <v>41426</v>
      </c>
      <c r="N85" s="1">
        <v>345.7</v>
      </c>
    </row>
    <row r="86" spans="1:14" x14ac:dyDescent="0.25">
      <c r="A86" s="34">
        <v>41456</v>
      </c>
      <c r="B86" s="1">
        <v>1896.1</v>
      </c>
      <c r="C86" s="34">
        <v>41456</v>
      </c>
      <c r="D86" s="1">
        <v>2018</v>
      </c>
      <c r="E86" s="34">
        <v>41456</v>
      </c>
      <c r="F86" s="1">
        <v>7.7</v>
      </c>
      <c r="G86" s="34">
        <v>41456</v>
      </c>
      <c r="H86" s="1">
        <v>1.87</v>
      </c>
      <c r="I86" s="34">
        <v>41456</v>
      </c>
      <c r="J86" s="1">
        <v>153.57</v>
      </c>
      <c r="K86" s="34">
        <v>41456</v>
      </c>
      <c r="L86" s="1">
        <v>1891</v>
      </c>
      <c r="M86" s="34">
        <v>41456</v>
      </c>
      <c r="N86" s="1">
        <v>331.2</v>
      </c>
    </row>
    <row r="87" spans="1:14" x14ac:dyDescent="0.25">
      <c r="A87" s="34">
        <v>41487</v>
      </c>
      <c r="B87" s="1">
        <v>1898</v>
      </c>
      <c r="C87" s="34">
        <v>41487</v>
      </c>
      <c r="D87" s="1">
        <v>1814</v>
      </c>
      <c r="E87" s="34">
        <v>41487</v>
      </c>
      <c r="F87" s="1">
        <v>7.5</v>
      </c>
      <c r="G87" s="34">
        <v>41487</v>
      </c>
      <c r="H87" s="1">
        <v>2.41</v>
      </c>
      <c r="I87" s="34">
        <v>41487</v>
      </c>
      <c r="J87" s="1">
        <v>154.16999999999999</v>
      </c>
      <c r="K87" s="34">
        <v>41487</v>
      </c>
      <c r="L87" s="1">
        <v>1896.7</v>
      </c>
      <c r="M87" s="34">
        <v>41487</v>
      </c>
      <c r="N87" s="1">
        <v>332.3</v>
      </c>
    </row>
    <row r="88" spans="1:14" x14ac:dyDescent="0.25">
      <c r="A88" s="34">
        <v>41518</v>
      </c>
      <c r="B88" s="1">
        <v>1903</v>
      </c>
      <c r="C88" s="34">
        <v>41518</v>
      </c>
      <c r="D88" s="1">
        <v>2418</v>
      </c>
      <c r="E88" s="34">
        <v>41518</v>
      </c>
      <c r="F88" s="1">
        <v>7.3</v>
      </c>
      <c r="G88" s="34">
        <v>41518</v>
      </c>
      <c r="H88" s="1">
        <v>2.65</v>
      </c>
      <c r="I88" s="34">
        <v>41518</v>
      </c>
      <c r="J88" s="1">
        <v>154.77000000000001</v>
      </c>
      <c r="K88" s="34">
        <v>41518</v>
      </c>
      <c r="L88" s="1">
        <v>1911.2</v>
      </c>
      <c r="M88" s="34">
        <v>41518</v>
      </c>
      <c r="N88" s="1">
        <v>354.1</v>
      </c>
    </row>
    <row r="89" spans="1:14" x14ac:dyDescent="0.25">
      <c r="A89" s="34">
        <v>41548</v>
      </c>
      <c r="B89" s="1">
        <v>1912.4</v>
      </c>
      <c r="C89" s="34">
        <v>41548</v>
      </c>
      <c r="D89" s="1">
        <v>2197</v>
      </c>
      <c r="E89" s="34">
        <v>41548</v>
      </c>
      <c r="F89" s="1">
        <v>7</v>
      </c>
      <c r="G89" s="34">
        <v>41548</v>
      </c>
      <c r="H89" s="1">
        <v>3.25</v>
      </c>
      <c r="I89" s="34">
        <v>41548</v>
      </c>
      <c r="J89" s="1">
        <v>155.58000000000001</v>
      </c>
      <c r="K89" s="34">
        <v>41548</v>
      </c>
      <c r="L89" s="1">
        <v>1919.2</v>
      </c>
      <c r="M89" s="34">
        <v>41548</v>
      </c>
      <c r="N89" s="1">
        <v>357.9</v>
      </c>
    </row>
    <row r="90" spans="1:14" x14ac:dyDescent="0.25">
      <c r="A90" s="34">
        <v>41579</v>
      </c>
      <c r="B90" s="1">
        <v>1916.5</v>
      </c>
      <c r="C90" s="34">
        <v>41579</v>
      </c>
      <c r="D90" s="1">
        <v>1770</v>
      </c>
      <c r="E90" s="34">
        <v>41579</v>
      </c>
      <c r="F90" s="1">
        <v>6.8</v>
      </c>
      <c r="G90" s="34">
        <v>41579</v>
      </c>
      <c r="H90" s="1">
        <v>2.59</v>
      </c>
      <c r="I90" s="34">
        <v>41579</v>
      </c>
      <c r="J90" s="1">
        <v>156.18</v>
      </c>
      <c r="K90" s="34">
        <v>41579</v>
      </c>
      <c r="L90" s="1">
        <v>1923.9</v>
      </c>
      <c r="M90" s="34">
        <v>41579</v>
      </c>
      <c r="N90" s="1">
        <v>359.8</v>
      </c>
    </row>
    <row r="91" spans="1:14" x14ac:dyDescent="0.25">
      <c r="A91" s="34">
        <v>41609</v>
      </c>
      <c r="B91" s="1">
        <v>1921.5</v>
      </c>
      <c r="C91" s="34">
        <v>41609</v>
      </c>
      <c r="D91" s="1">
        <v>1686</v>
      </c>
      <c r="E91" s="34">
        <v>41609</v>
      </c>
      <c r="F91" s="1">
        <v>6.6</v>
      </c>
      <c r="G91" s="34">
        <v>41609</v>
      </c>
      <c r="H91" s="1">
        <v>2.5499999999999998</v>
      </c>
      <c r="I91" s="34">
        <v>41609</v>
      </c>
      <c r="J91" s="1">
        <v>156.87</v>
      </c>
      <c r="K91" s="34">
        <v>41609</v>
      </c>
      <c r="L91" s="1">
        <v>1923.2</v>
      </c>
      <c r="M91" s="34">
        <v>41609</v>
      </c>
      <c r="N91" s="1">
        <v>359</v>
      </c>
    </row>
    <row r="92" spans="1:14" x14ac:dyDescent="0.25">
      <c r="A92" s="34">
        <v>41640</v>
      </c>
      <c r="B92" s="1">
        <v>1918.6</v>
      </c>
      <c r="C92" s="34">
        <v>41640</v>
      </c>
      <c r="D92" s="1">
        <v>2210</v>
      </c>
      <c r="E92" s="34">
        <v>41640</v>
      </c>
      <c r="F92" s="1">
        <v>6.4</v>
      </c>
      <c r="G92" s="34">
        <v>41640</v>
      </c>
      <c r="H92" s="1">
        <v>1.98</v>
      </c>
      <c r="I92" s="34">
        <v>41640</v>
      </c>
      <c r="J92" s="1">
        <v>157.36000000000001</v>
      </c>
      <c r="K92" s="34">
        <v>41640</v>
      </c>
      <c r="L92" s="1">
        <v>1889.9</v>
      </c>
      <c r="M92" s="34">
        <v>41640</v>
      </c>
      <c r="N92" s="1">
        <v>353.3</v>
      </c>
    </row>
    <row r="93" spans="1:14" x14ac:dyDescent="0.25">
      <c r="A93" s="34">
        <v>41671</v>
      </c>
      <c r="B93" s="1">
        <v>1913.1</v>
      </c>
      <c r="C93" s="34">
        <v>41671</v>
      </c>
      <c r="D93" s="1">
        <v>2486</v>
      </c>
      <c r="E93" s="34">
        <v>41671</v>
      </c>
      <c r="F93" s="1">
        <v>5.7</v>
      </c>
      <c r="G93" s="34">
        <v>41671</v>
      </c>
      <c r="H93" s="1">
        <v>4.8600000000000003</v>
      </c>
      <c r="I93" s="34">
        <v>41671</v>
      </c>
      <c r="J93" s="1">
        <v>158.86000000000001</v>
      </c>
      <c r="K93" s="34">
        <v>41671</v>
      </c>
      <c r="L93" s="1">
        <v>1891.8</v>
      </c>
      <c r="M93" s="34">
        <v>41671</v>
      </c>
      <c r="N93" s="1">
        <v>353.6</v>
      </c>
    </row>
    <row r="94" spans="1:14" x14ac:dyDescent="0.25">
      <c r="A94" s="34">
        <v>41699</v>
      </c>
      <c r="B94" s="1">
        <v>1924.9</v>
      </c>
      <c r="C94" s="34">
        <v>41699</v>
      </c>
      <c r="D94" s="1">
        <v>2241</v>
      </c>
      <c r="E94" s="34">
        <v>41699</v>
      </c>
      <c r="F94" s="1">
        <v>5.5</v>
      </c>
      <c r="G94" s="34">
        <v>41699</v>
      </c>
      <c r="H94" s="1">
        <v>2.82</v>
      </c>
      <c r="I94" s="34">
        <v>41699</v>
      </c>
      <c r="J94" s="1">
        <v>159.34</v>
      </c>
      <c r="K94" s="34">
        <v>41699</v>
      </c>
      <c r="L94" s="1">
        <v>1919.4</v>
      </c>
      <c r="M94" s="34">
        <v>41699</v>
      </c>
      <c r="N94" s="1">
        <v>357.8</v>
      </c>
    </row>
    <row r="95" spans="1:14" x14ac:dyDescent="0.25">
      <c r="A95" s="34">
        <v>41730</v>
      </c>
      <c r="B95" s="1">
        <v>1927</v>
      </c>
      <c r="C95" s="34">
        <v>41730</v>
      </c>
      <c r="D95" s="1">
        <v>2376</v>
      </c>
      <c r="E95" s="34">
        <v>41730</v>
      </c>
      <c r="F95" s="1">
        <v>5.3</v>
      </c>
      <c r="G95" s="34">
        <v>41730</v>
      </c>
      <c r="H95" s="1">
        <v>1.94</v>
      </c>
      <c r="I95" s="34">
        <v>41730</v>
      </c>
      <c r="J95" s="1">
        <v>160.05000000000001</v>
      </c>
      <c r="K95" s="34">
        <v>41730</v>
      </c>
      <c r="L95" s="1">
        <v>1935.2</v>
      </c>
      <c r="M95" s="34">
        <v>41730</v>
      </c>
      <c r="N95" s="1">
        <v>358.7</v>
      </c>
    </row>
    <row r="96" spans="1:14" x14ac:dyDescent="0.25">
      <c r="A96" s="34">
        <v>41760</v>
      </c>
      <c r="B96" s="1">
        <v>1929.6</v>
      </c>
      <c r="C96" s="34">
        <v>41760</v>
      </c>
      <c r="D96" s="1">
        <v>2188</v>
      </c>
      <c r="E96" s="34">
        <v>41760</v>
      </c>
      <c r="F96" s="1">
        <v>5.3</v>
      </c>
      <c r="G96" s="34">
        <v>41760</v>
      </c>
      <c r="H96" s="1">
        <v>1.36</v>
      </c>
      <c r="I96" s="34">
        <v>41760</v>
      </c>
      <c r="J96" s="1">
        <v>160.46</v>
      </c>
      <c r="K96" s="34">
        <v>41760</v>
      </c>
      <c r="L96" s="1">
        <v>1947</v>
      </c>
      <c r="M96" s="34">
        <v>41760</v>
      </c>
      <c r="N96" s="1">
        <v>358.7</v>
      </c>
    </row>
    <row r="97" spans="1:14" x14ac:dyDescent="0.25">
      <c r="A97" s="34">
        <v>41791</v>
      </c>
      <c r="B97" s="1">
        <v>1933.8</v>
      </c>
      <c r="C97" s="34">
        <v>41791</v>
      </c>
      <c r="D97" s="1">
        <v>2129</v>
      </c>
      <c r="E97" s="34">
        <v>41791</v>
      </c>
      <c r="F97" s="1">
        <v>5.3</v>
      </c>
      <c r="G97" s="34">
        <v>41791</v>
      </c>
      <c r="H97" s="1">
        <v>2.36</v>
      </c>
      <c r="I97" s="34">
        <v>41791</v>
      </c>
      <c r="J97" s="1">
        <v>161.16999999999999</v>
      </c>
      <c r="K97" s="34">
        <v>41791</v>
      </c>
      <c r="L97" s="1">
        <v>1950.2</v>
      </c>
      <c r="M97" s="34">
        <v>41791</v>
      </c>
      <c r="N97" s="1">
        <v>348.7</v>
      </c>
    </row>
    <row r="98" spans="1:14" x14ac:dyDescent="0.25">
      <c r="A98" s="34">
        <v>41821</v>
      </c>
      <c r="B98" s="1">
        <v>1928</v>
      </c>
      <c r="C98" s="34">
        <v>41821</v>
      </c>
      <c r="D98" s="1">
        <v>2352</v>
      </c>
      <c r="E98" s="34">
        <v>41821</v>
      </c>
      <c r="F98" s="1">
        <v>5.8</v>
      </c>
      <c r="G98" s="34">
        <v>41821</v>
      </c>
      <c r="H98" s="1">
        <v>0.46</v>
      </c>
      <c r="I98" s="34">
        <v>41821</v>
      </c>
      <c r="J98" s="1">
        <v>161.01</v>
      </c>
      <c r="K98" s="34">
        <v>41821</v>
      </c>
      <c r="L98" s="1">
        <v>1927.9</v>
      </c>
      <c r="M98" s="34">
        <v>41821</v>
      </c>
      <c r="N98" s="1">
        <v>333.5</v>
      </c>
    </row>
    <row r="99" spans="1:14" x14ac:dyDescent="0.25">
      <c r="A99" s="34">
        <v>41852</v>
      </c>
      <c r="B99" s="1">
        <v>1934</v>
      </c>
      <c r="C99" s="34">
        <v>41852</v>
      </c>
      <c r="D99" s="1">
        <v>2151</v>
      </c>
      <c r="E99" s="34">
        <v>41852</v>
      </c>
      <c r="F99" s="1">
        <v>6.3</v>
      </c>
      <c r="G99" s="34">
        <v>41852</v>
      </c>
      <c r="H99" s="1">
        <v>-0.26</v>
      </c>
      <c r="I99" s="34">
        <v>41852</v>
      </c>
      <c r="J99" s="1">
        <v>160.94</v>
      </c>
      <c r="K99" s="34">
        <v>41852</v>
      </c>
      <c r="L99" s="1">
        <v>1931.2</v>
      </c>
      <c r="M99" s="34">
        <v>41852</v>
      </c>
      <c r="N99" s="1">
        <v>335.1</v>
      </c>
    </row>
    <row r="100" spans="1:14" x14ac:dyDescent="0.25">
      <c r="A100" s="34">
        <v>41883</v>
      </c>
      <c r="B100" s="1">
        <v>1945.6</v>
      </c>
      <c r="C100" s="34">
        <v>41883</v>
      </c>
      <c r="D100" s="1">
        <v>2524</v>
      </c>
      <c r="E100" s="34">
        <v>41883</v>
      </c>
      <c r="F100" s="1">
        <v>6.6</v>
      </c>
      <c r="G100" s="34">
        <v>41883</v>
      </c>
      <c r="H100" s="1">
        <v>1.05</v>
      </c>
      <c r="I100" s="34">
        <v>41883</v>
      </c>
      <c r="J100" s="1">
        <v>161.18</v>
      </c>
      <c r="K100" s="34">
        <v>41883</v>
      </c>
      <c r="L100" s="1">
        <v>1948.4</v>
      </c>
      <c r="M100" s="34">
        <v>41883</v>
      </c>
      <c r="N100" s="1">
        <v>356.3</v>
      </c>
    </row>
    <row r="101" spans="1:14" x14ac:dyDescent="0.25">
      <c r="A101" s="34">
        <v>41913</v>
      </c>
      <c r="B101" s="1">
        <v>1951.2</v>
      </c>
      <c r="C101" s="34">
        <v>41913</v>
      </c>
      <c r="D101" s="1">
        <v>2606</v>
      </c>
      <c r="E101" s="34">
        <v>41913</v>
      </c>
      <c r="F101" s="1">
        <v>6.7</v>
      </c>
      <c r="G101" s="34">
        <v>41913</v>
      </c>
      <c r="H101" s="1">
        <v>2.75</v>
      </c>
      <c r="I101" s="34">
        <v>41913</v>
      </c>
      <c r="J101" s="1">
        <v>161.82</v>
      </c>
      <c r="K101" s="34">
        <v>41913</v>
      </c>
      <c r="L101" s="1">
        <v>1961.8</v>
      </c>
      <c r="M101" s="34">
        <v>41913</v>
      </c>
      <c r="N101" s="1">
        <v>360.4</v>
      </c>
    </row>
    <row r="102" spans="1:14" x14ac:dyDescent="0.25">
      <c r="A102" s="34">
        <v>41944</v>
      </c>
      <c r="B102" s="1">
        <v>1965.1</v>
      </c>
      <c r="C102" s="34">
        <v>41944</v>
      </c>
      <c r="D102" s="1">
        <v>1634</v>
      </c>
      <c r="E102" s="34">
        <v>41944</v>
      </c>
      <c r="F102" s="1">
        <v>6.7</v>
      </c>
      <c r="G102" s="34">
        <v>41944</v>
      </c>
      <c r="H102" s="1">
        <v>3.17</v>
      </c>
      <c r="I102" s="34">
        <v>41944</v>
      </c>
      <c r="J102" s="1">
        <v>162.63999999999999</v>
      </c>
      <c r="K102" s="34">
        <v>41944</v>
      </c>
      <c r="L102" s="1">
        <v>1974.1</v>
      </c>
      <c r="M102" s="34">
        <v>41944</v>
      </c>
      <c r="N102" s="1">
        <v>363.8</v>
      </c>
    </row>
    <row r="103" spans="1:14" x14ac:dyDescent="0.25">
      <c r="A103" s="34">
        <v>41974</v>
      </c>
      <c r="B103" s="1">
        <v>1968</v>
      </c>
      <c r="E103" s="34">
        <v>41974</v>
      </c>
      <c r="F103" s="1">
        <v>6.5</v>
      </c>
      <c r="K103" s="34">
        <v>41974</v>
      </c>
      <c r="L103" s="1">
        <v>1969.6</v>
      </c>
      <c r="M103" s="34">
        <v>41974</v>
      </c>
      <c r="N103" s="1">
        <v>362.5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P103"/>
  <sheetViews>
    <sheetView topLeftCell="A82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278</v>
      </c>
      <c r="C1" s="34" t="s">
        <v>279</v>
      </c>
      <c r="E1" s="34" t="s">
        <v>280</v>
      </c>
      <c r="G1" s="34" t="s">
        <v>281</v>
      </c>
      <c r="I1" s="34" t="s">
        <v>282</v>
      </c>
      <c r="K1" s="34" t="str">
        <f>CONCATENATE(LEFT(A1,2), "NAN")</f>
        <v>SDNAN</v>
      </c>
      <c r="M1" s="34" t="str">
        <f>CONCATENATE(LEFT(A1,2), "GOVTN")</f>
        <v>SDGOVTN</v>
      </c>
      <c r="O1" s="34" t="str">
        <f>CONCATENATE(LEFT($A$1,2), "RGSP")</f>
        <v>SDRGSP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926</v>
      </c>
      <c r="C5" s="35" t="s">
        <v>355</v>
      </c>
      <c r="E5" s="35" t="s">
        <v>356</v>
      </c>
      <c r="G5" s="35" t="s">
        <v>357</v>
      </c>
      <c r="I5" s="35" t="s">
        <v>358</v>
      </c>
      <c r="K5" s="35" t="s">
        <v>926</v>
      </c>
      <c r="M5" s="35" t="s">
        <v>927</v>
      </c>
      <c r="O5" s="35" t="s">
        <v>779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403</v>
      </c>
      <c r="C8" s="34">
        <v>39083</v>
      </c>
      <c r="D8" s="1">
        <v>234</v>
      </c>
      <c r="E8" s="34">
        <v>39083</v>
      </c>
      <c r="F8" s="1">
        <v>3</v>
      </c>
      <c r="G8" s="34">
        <v>39083</v>
      </c>
      <c r="H8" s="1">
        <v>1.59</v>
      </c>
      <c r="I8" s="34">
        <v>39083</v>
      </c>
      <c r="J8" s="1">
        <v>144.59</v>
      </c>
      <c r="K8" s="34">
        <v>39083</v>
      </c>
      <c r="L8" s="1">
        <v>391.9</v>
      </c>
      <c r="M8" s="34">
        <v>39083</v>
      </c>
      <c r="N8" s="1">
        <v>74.2</v>
      </c>
      <c r="O8" s="34">
        <v>39083</v>
      </c>
      <c r="P8" s="1">
        <v>35008</v>
      </c>
    </row>
    <row r="9" spans="1:16" x14ac:dyDescent="0.25">
      <c r="A9" s="34">
        <v>39114</v>
      </c>
      <c r="B9" s="1">
        <v>403.9</v>
      </c>
      <c r="C9" s="34">
        <v>39114</v>
      </c>
      <c r="D9" s="1">
        <v>177</v>
      </c>
      <c r="E9" s="34">
        <v>39114</v>
      </c>
      <c r="F9" s="1">
        <v>2.9</v>
      </c>
      <c r="G9" s="34">
        <v>39114</v>
      </c>
      <c r="H9" s="1">
        <v>1.49</v>
      </c>
      <c r="I9" s="34">
        <v>39114</v>
      </c>
      <c r="J9" s="1">
        <v>145</v>
      </c>
      <c r="K9" s="34">
        <v>39114</v>
      </c>
      <c r="L9" s="1">
        <v>392.8</v>
      </c>
      <c r="M9" s="34">
        <v>39114</v>
      </c>
      <c r="N9" s="1">
        <v>75.8</v>
      </c>
      <c r="O9" s="34">
        <v>39448</v>
      </c>
      <c r="P9" s="1">
        <v>36467</v>
      </c>
    </row>
    <row r="10" spans="1:16" x14ac:dyDescent="0.25">
      <c r="A10" s="34">
        <v>39142</v>
      </c>
      <c r="B10" s="1">
        <v>405</v>
      </c>
      <c r="C10" s="34">
        <v>39142</v>
      </c>
      <c r="D10" s="1">
        <v>466</v>
      </c>
      <c r="E10" s="34">
        <v>39142</v>
      </c>
      <c r="F10" s="1">
        <v>2.9</v>
      </c>
      <c r="G10" s="34">
        <v>39142</v>
      </c>
      <c r="H10" s="1">
        <v>1.57</v>
      </c>
      <c r="I10" s="34">
        <v>39142</v>
      </c>
      <c r="J10" s="1">
        <v>145.49</v>
      </c>
      <c r="K10" s="34">
        <v>39142</v>
      </c>
      <c r="L10" s="1">
        <v>396.4</v>
      </c>
      <c r="M10" s="34">
        <v>39142</v>
      </c>
      <c r="N10" s="1">
        <v>75.8</v>
      </c>
      <c r="O10" s="34">
        <v>39814</v>
      </c>
      <c r="P10" s="1">
        <v>36979</v>
      </c>
    </row>
    <row r="11" spans="1:16" x14ac:dyDescent="0.25">
      <c r="A11" s="34">
        <v>39173</v>
      </c>
      <c r="B11" s="1">
        <v>405.9</v>
      </c>
      <c r="C11" s="34">
        <v>39173</v>
      </c>
      <c r="D11" s="1">
        <v>565</v>
      </c>
      <c r="E11" s="34">
        <v>39173</v>
      </c>
      <c r="F11" s="1">
        <v>2.9</v>
      </c>
      <c r="G11" s="34">
        <v>39173</v>
      </c>
      <c r="H11" s="1">
        <v>1.23</v>
      </c>
      <c r="I11" s="34">
        <v>39173</v>
      </c>
      <c r="J11" s="1">
        <v>145.69</v>
      </c>
      <c r="K11" s="34">
        <v>39173</v>
      </c>
      <c r="L11" s="1">
        <v>401.5</v>
      </c>
      <c r="M11" s="34">
        <v>39173</v>
      </c>
      <c r="N11" s="1">
        <v>75.8</v>
      </c>
      <c r="O11" s="34">
        <v>40179</v>
      </c>
      <c r="P11" s="1">
        <v>37960</v>
      </c>
    </row>
    <row r="12" spans="1:16" x14ac:dyDescent="0.25">
      <c r="A12" s="34">
        <v>39203</v>
      </c>
      <c r="B12" s="1">
        <v>406.8</v>
      </c>
      <c r="C12" s="34">
        <v>39203</v>
      </c>
      <c r="D12" s="1">
        <v>871</v>
      </c>
      <c r="E12" s="34">
        <v>39203</v>
      </c>
      <c r="F12" s="1">
        <v>2.9</v>
      </c>
      <c r="G12" s="34">
        <v>39203</v>
      </c>
      <c r="H12" s="1">
        <v>1.3</v>
      </c>
      <c r="I12" s="34">
        <v>39203</v>
      </c>
      <c r="J12" s="1">
        <v>146.21</v>
      </c>
      <c r="K12" s="34">
        <v>39203</v>
      </c>
      <c r="L12" s="1">
        <v>411.6</v>
      </c>
      <c r="M12" s="34">
        <v>39203</v>
      </c>
      <c r="N12" s="1">
        <v>77.599999999999994</v>
      </c>
      <c r="O12" s="34">
        <v>40544</v>
      </c>
      <c r="P12" s="1">
        <v>39804</v>
      </c>
    </row>
    <row r="13" spans="1:16" x14ac:dyDescent="0.25">
      <c r="A13" s="34">
        <v>39234</v>
      </c>
      <c r="B13" s="1">
        <v>406.5</v>
      </c>
      <c r="C13" s="34">
        <v>39234</v>
      </c>
      <c r="D13" s="1">
        <v>403</v>
      </c>
      <c r="E13" s="34">
        <v>39234</v>
      </c>
      <c r="F13" s="1">
        <v>2.9</v>
      </c>
      <c r="G13" s="34">
        <v>39234</v>
      </c>
      <c r="H13" s="1">
        <v>0.86</v>
      </c>
      <c r="I13" s="34">
        <v>39234</v>
      </c>
      <c r="J13" s="1">
        <v>146.36000000000001</v>
      </c>
      <c r="K13" s="34">
        <v>39234</v>
      </c>
      <c r="L13" s="1">
        <v>416.7</v>
      </c>
      <c r="M13" s="34">
        <v>39234</v>
      </c>
      <c r="N13" s="1">
        <v>76.8</v>
      </c>
      <c r="O13" s="34">
        <v>40909</v>
      </c>
      <c r="P13" s="1">
        <v>39906</v>
      </c>
    </row>
    <row r="14" spans="1:16" x14ac:dyDescent="0.25">
      <c r="A14" s="34">
        <v>39264</v>
      </c>
      <c r="B14" s="1">
        <v>407.7</v>
      </c>
      <c r="C14" s="34">
        <v>39264</v>
      </c>
      <c r="D14" s="1">
        <v>407</v>
      </c>
      <c r="E14" s="34">
        <v>39264</v>
      </c>
      <c r="F14" s="1">
        <v>2.9</v>
      </c>
      <c r="G14" s="34">
        <v>39264</v>
      </c>
      <c r="H14" s="1">
        <v>1.1299999999999999</v>
      </c>
      <c r="I14" s="34">
        <v>39264</v>
      </c>
      <c r="J14" s="1">
        <v>146.85</v>
      </c>
      <c r="K14" s="34">
        <v>39264</v>
      </c>
      <c r="L14" s="1">
        <v>413.3</v>
      </c>
      <c r="M14" s="34">
        <v>39264</v>
      </c>
      <c r="N14" s="1">
        <v>72.599999999999994</v>
      </c>
      <c r="O14" s="34">
        <v>41275</v>
      </c>
      <c r="P14" s="1">
        <v>41142</v>
      </c>
    </row>
    <row r="15" spans="1:16" x14ac:dyDescent="0.25">
      <c r="A15" s="34">
        <v>39295</v>
      </c>
      <c r="B15" s="1">
        <v>407.7</v>
      </c>
      <c r="C15" s="34">
        <v>39295</v>
      </c>
      <c r="D15" s="1">
        <v>519</v>
      </c>
      <c r="E15" s="34">
        <v>39295</v>
      </c>
      <c r="F15" s="1">
        <v>2.9</v>
      </c>
      <c r="G15" s="34">
        <v>39295</v>
      </c>
      <c r="H15" s="1">
        <v>1.04</v>
      </c>
      <c r="I15" s="34">
        <v>39295</v>
      </c>
      <c r="J15" s="1">
        <v>146.96</v>
      </c>
      <c r="K15" s="34">
        <v>39295</v>
      </c>
      <c r="L15" s="1">
        <v>415.8</v>
      </c>
      <c r="M15" s="34">
        <v>39295</v>
      </c>
      <c r="N15" s="1">
        <v>72.8</v>
      </c>
    </row>
    <row r="16" spans="1:16" x14ac:dyDescent="0.25">
      <c r="A16" s="34">
        <v>39326</v>
      </c>
      <c r="B16" s="1">
        <v>407.5</v>
      </c>
      <c r="C16" s="34">
        <v>39326</v>
      </c>
      <c r="D16" s="1">
        <v>395</v>
      </c>
      <c r="E16" s="34">
        <v>39326</v>
      </c>
      <c r="F16" s="1">
        <v>2.9</v>
      </c>
      <c r="G16" s="34">
        <v>39326</v>
      </c>
      <c r="H16" s="1">
        <v>1.1200000000000001</v>
      </c>
      <c r="I16" s="34">
        <v>39326</v>
      </c>
      <c r="J16" s="1">
        <v>147.1</v>
      </c>
      <c r="K16" s="34">
        <v>39326</v>
      </c>
      <c r="L16" s="1">
        <v>411</v>
      </c>
      <c r="M16" s="34">
        <v>39326</v>
      </c>
      <c r="N16" s="1">
        <v>75.3</v>
      </c>
    </row>
    <row r="17" spans="1:14" x14ac:dyDescent="0.25">
      <c r="A17" s="34">
        <v>39356</v>
      </c>
      <c r="B17" s="1">
        <v>407.8</v>
      </c>
      <c r="C17" s="34">
        <v>39356</v>
      </c>
      <c r="D17" s="1">
        <v>372</v>
      </c>
      <c r="E17" s="34">
        <v>39356</v>
      </c>
      <c r="F17" s="1">
        <v>2.8</v>
      </c>
      <c r="G17" s="34">
        <v>39356</v>
      </c>
      <c r="H17" s="1">
        <v>1.1299999999999999</v>
      </c>
      <c r="I17" s="34">
        <v>39356</v>
      </c>
      <c r="J17" s="1">
        <v>147.30000000000001</v>
      </c>
      <c r="K17" s="34">
        <v>39356</v>
      </c>
      <c r="L17" s="1">
        <v>410.4</v>
      </c>
      <c r="M17" s="34">
        <v>39356</v>
      </c>
      <c r="N17" s="1">
        <v>76.400000000000006</v>
      </c>
    </row>
    <row r="18" spans="1:14" x14ac:dyDescent="0.25">
      <c r="A18" s="34">
        <v>39387</v>
      </c>
      <c r="B18" s="1">
        <v>408.5</v>
      </c>
      <c r="C18" s="34">
        <v>39387</v>
      </c>
      <c r="D18" s="1">
        <v>473</v>
      </c>
      <c r="E18" s="34">
        <v>39387</v>
      </c>
      <c r="F18" s="1">
        <v>2.8</v>
      </c>
      <c r="G18" s="34">
        <v>39387</v>
      </c>
      <c r="H18" s="1">
        <v>1.61</v>
      </c>
      <c r="I18" s="34">
        <v>39387</v>
      </c>
      <c r="J18" s="1">
        <v>147.71</v>
      </c>
      <c r="K18" s="34">
        <v>39387</v>
      </c>
      <c r="L18" s="1">
        <v>409.1</v>
      </c>
      <c r="M18" s="34">
        <v>39387</v>
      </c>
      <c r="N18" s="1">
        <v>76.599999999999994</v>
      </c>
    </row>
    <row r="19" spans="1:14" x14ac:dyDescent="0.25">
      <c r="A19" s="34">
        <v>39417</v>
      </c>
      <c r="B19" s="1">
        <v>408.3</v>
      </c>
      <c r="C19" s="34">
        <v>39417</v>
      </c>
      <c r="D19" s="1">
        <v>154</v>
      </c>
      <c r="E19" s="34">
        <v>39417</v>
      </c>
      <c r="F19" s="1">
        <v>2.7</v>
      </c>
      <c r="G19" s="34">
        <v>39417</v>
      </c>
      <c r="H19" s="1">
        <v>1.53</v>
      </c>
      <c r="I19" s="34">
        <v>39417</v>
      </c>
      <c r="J19" s="1">
        <v>148.09</v>
      </c>
      <c r="K19" s="34">
        <v>39417</v>
      </c>
      <c r="L19" s="1">
        <v>407.8</v>
      </c>
      <c r="M19" s="34">
        <v>39417</v>
      </c>
      <c r="N19" s="1">
        <v>76.3</v>
      </c>
    </row>
    <row r="20" spans="1:14" x14ac:dyDescent="0.25">
      <c r="A20" s="34">
        <v>39448</v>
      </c>
      <c r="B20" s="1">
        <v>411.1</v>
      </c>
      <c r="C20" s="34">
        <v>39448</v>
      </c>
      <c r="D20" s="1">
        <v>112</v>
      </c>
      <c r="E20" s="34">
        <v>39448</v>
      </c>
      <c r="F20" s="1">
        <v>2.7</v>
      </c>
      <c r="G20" s="34">
        <v>39448</v>
      </c>
      <c r="H20" s="1">
        <v>1.63</v>
      </c>
      <c r="I20" s="34">
        <v>39448</v>
      </c>
      <c r="J20" s="1">
        <v>148.61000000000001</v>
      </c>
      <c r="K20" s="34">
        <v>39448</v>
      </c>
      <c r="L20" s="1">
        <v>399.6</v>
      </c>
      <c r="M20" s="34">
        <v>39448</v>
      </c>
      <c r="N20" s="1">
        <v>74.7</v>
      </c>
    </row>
    <row r="21" spans="1:14" x14ac:dyDescent="0.25">
      <c r="A21" s="34">
        <v>39479</v>
      </c>
      <c r="B21" s="1">
        <v>412.1</v>
      </c>
      <c r="C21" s="34">
        <v>39479</v>
      </c>
      <c r="D21" s="1">
        <v>144</v>
      </c>
      <c r="E21" s="34">
        <v>39479</v>
      </c>
      <c r="F21" s="1">
        <v>2.6</v>
      </c>
      <c r="G21" s="34">
        <v>39479</v>
      </c>
      <c r="H21" s="1">
        <v>1.02</v>
      </c>
      <c r="I21" s="34">
        <v>39479</v>
      </c>
      <c r="J21" s="1">
        <v>148.72</v>
      </c>
      <c r="K21" s="34">
        <v>39479</v>
      </c>
      <c r="L21" s="1">
        <v>401.1</v>
      </c>
      <c r="M21" s="34">
        <v>39479</v>
      </c>
      <c r="N21" s="1">
        <v>76.5</v>
      </c>
    </row>
    <row r="22" spans="1:14" x14ac:dyDescent="0.25">
      <c r="A22" s="34">
        <v>39508</v>
      </c>
      <c r="B22" s="1">
        <v>411.9</v>
      </c>
      <c r="C22" s="34">
        <v>39508</v>
      </c>
      <c r="D22" s="1">
        <v>275</v>
      </c>
      <c r="E22" s="34">
        <v>39508</v>
      </c>
      <c r="F22" s="1">
        <v>2.7</v>
      </c>
      <c r="G22" s="34">
        <v>39508</v>
      </c>
      <c r="H22" s="1">
        <v>0.99</v>
      </c>
      <c r="I22" s="34">
        <v>39508</v>
      </c>
      <c r="J22" s="1">
        <v>149.12</v>
      </c>
      <c r="K22" s="34">
        <v>39508</v>
      </c>
      <c r="L22" s="1">
        <v>403.5</v>
      </c>
      <c r="M22" s="34">
        <v>39508</v>
      </c>
      <c r="N22" s="1">
        <v>76.5</v>
      </c>
    </row>
    <row r="23" spans="1:14" x14ac:dyDescent="0.25">
      <c r="A23" s="34">
        <v>39539</v>
      </c>
      <c r="B23" s="1">
        <v>411.1</v>
      </c>
      <c r="C23" s="34">
        <v>39539</v>
      </c>
      <c r="D23" s="1">
        <v>612</v>
      </c>
      <c r="E23" s="34">
        <v>39539</v>
      </c>
      <c r="F23" s="1">
        <v>2.7</v>
      </c>
      <c r="G23" s="34">
        <v>39539</v>
      </c>
      <c r="H23" s="1">
        <v>0.05</v>
      </c>
      <c r="I23" s="34">
        <v>39539</v>
      </c>
      <c r="J23" s="1">
        <v>148.68</v>
      </c>
      <c r="K23" s="34">
        <v>39539</v>
      </c>
      <c r="L23" s="1">
        <v>407.1</v>
      </c>
      <c r="M23" s="34">
        <v>39539</v>
      </c>
      <c r="N23" s="1">
        <v>76.599999999999994</v>
      </c>
    </row>
    <row r="24" spans="1:14" x14ac:dyDescent="0.25">
      <c r="A24" s="34">
        <v>39569</v>
      </c>
      <c r="B24" s="1">
        <v>411.6</v>
      </c>
      <c r="C24" s="34">
        <v>39569</v>
      </c>
      <c r="D24" s="1">
        <v>466</v>
      </c>
      <c r="E24" s="34">
        <v>39569</v>
      </c>
      <c r="F24" s="1">
        <v>2.8</v>
      </c>
      <c r="G24" s="34">
        <v>39569</v>
      </c>
      <c r="H24" s="1">
        <v>0.19</v>
      </c>
      <c r="I24" s="34">
        <v>39569</v>
      </c>
      <c r="J24" s="1">
        <v>148.88</v>
      </c>
      <c r="K24" s="34">
        <v>39569</v>
      </c>
      <c r="L24" s="1">
        <v>416.5</v>
      </c>
      <c r="M24" s="34">
        <v>39569</v>
      </c>
      <c r="N24" s="1">
        <v>78.400000000000006</v>
      </c>
    </row>
    <row r="25" spans="1:14" x14ac:dyDescent="0.25">
      <c r="A25" s="34">
        <v>39600</v>
      </c>
      <c r="B25" s="1">
        <v>411.2</v>
      </c>
      <c r="C25" s="34">
        <v>39600</v>
      </c>
      <c r="D25" s="1">
        <v>522</v>
      </c>
      <c r="E25" s="34">
        <v>39600</v>
      </c>
      <c r="F25" s="1">
        <v>3</v>
      </c>
      <c r="G25" s="34">
        <v>39600</v>
      </c>
      <c r="H25" s="1">
        <v>0.17</v>
      </c>
      <c r="I25" s="34">
        <v>39600</v>
      </c>
      <c r="J25" s="1">
        <v>148.66</v>
      </c>
      <c r="K25" s="34">
        <v>39600</v>
      </c>
      <c r="L25" s="1">
        <v>420.9</v>
      </c>
      <c r="M25" s="34">
        <v>39600</v>
      </c>
      <c r="N25" s="1">
        <v>76.900000000000006</v>
      </c>
    </row>
    <row r="26" spans="1:14" x14ac:dyDescent="0.25">
      <c r="A26" s="34">
        <v>39630</v>
      </c>
      <c r="B26" s="1">
        <v>411.1</v>
      </c>
      <c r="C26" s="34">
        <v>39630</v>
      </c>
      <c r="D26" s="1">
        <v>554</v>
      </c>
      <c r="E26" s="34">
        <v>39630</v>
      </c>
      <c r="F26" s="1">
        <v>3.1</v>
      </c>
      <c r="G26" s="34">
        <v>39630</v>
      </c>
      <c r="H26" s="1">
        <v>0.12</v>
      </c>
      <c r="I26" s="34">
        <v>39630</v>
      </c>
      <c r="J26" s="1">
        <v>148.69</v>
      </c>
      <c r="K26" s="34">
        <v>39630</v>
      </c>
      <c r="L26" s="1">
        <v>416.6</v>
      </c>
      <c r="M26" s="34">
        <v>39630</v>
      </c>
      <c r="N26" s="1">
        <v>72.099999999999994</v>
      </c>
    </row>
    <row r="27" spans="1:14" x14ac:dyDescent="0.25">
      <c r="A27" s="34">
        <v>39661</v>
      </c>
      <c r="B27" s="1">
        <v>412.1</v>
      </c>
      <c r="C27" s="34">
        <v>39661</v>
      </c>
      <c r="D27" s="1">
        <v>372</v>
      </c>
      <c r="E27" s="34">
        <v>39661</v>
      </c>
      <c r="F27" s="1">
        <v>3.1</v>
      </c>
      <c r="G27" s="34">
        <v>39661</v>
      </c>
      <c r="H27" s="1">
        <v>0.64</v>
      </c>
      <c r="I27" s="34">
        <v>39661</v>
      </c>
      <c r="J27" s="1">
        <v>148.91</v>
      </c>
      <c r="K27" s="34">
        <v>39661</v>
      </c>
      <c r="L27" s="1">
        <v>420.1</v>
      </c>
      <c r="M27" s="34">
        <v>39661</v>
      </c>
      <c r="N27" s="1">
        <v>73.3</v>
      </c>
    </row>
    <row r="28" spans="1:14" x14ac:dyDescent="0.25">
      <c r="A28" s="34">
        <v>39692</v>
      </c>
      <c r="B28" s="1">
        <v>412</v>
      </c>
      <c r="C28" s="34">
        <v>39692</v>
      </c>
      <c r="D28" s="1">
        <v>471</v>
      </c>
      <c r="E28" s="34">
        <v>39692</v>
      </c>
      <c r="F28" s="1">
        <v>3.2</v>
      </c>
      <c r="G28" s="34">
        <v>39692</v>
      </c>
      <c r="H28" s="1">
        <v>0.18</v>
      </c>
      <c r="I28" s="34">
        <v>39692</v>
      </c>
      <c r="J28" s="1">
        <v>148.65</v>
      </c>
      <c r="K28" s="34">
        <v>39692</v>
      </c>
      <c r="L28" s="1">
        <v>415.3</v>
      </c>
      <c r="M28" s="34">
        <v>39692</v>
      </c>
      <c r="N28" s="1">
        <v>76</v>
      </c>
    </row>
    <row r="29" spans="1:14" x14ac:dyDescent="0.25">
      <c r="A29" s="34">
        <v>39722</v>
      </c>
      <c r="B29" s="1">
        <v>411.7</v>
      </c>
      <c r="C29" s="34">
        <v>39722</v>
      </c>
      <c r="D29" s="1">
        <v>281</v>
      </c>
      <c r="E29" s="34">
        <v>39722</v>
      </c>
      <c r="F29" s="1">
        <v>3.3</v>
      </c>
      <c r="G29" s="34">
        <v>39722</v>
      </c>
      <c r="H29" s="1">
        <v>-0.36</v>
      </c>
      <c r="I29" s="34">
        <v>39722</v>
      </c>
      <c r="J29" s="1">
        <v>148.55000000000001</v>
      </c>
      <c r="K29" s="34">
        <v>39722</v>
      </c>
      <c r="L29" s="1">
        <v>414.8</v>
      </c>
      <c r="M29" s="34">
        <v>39722</v>
      </c>
      <c r="N29" s="1">
        <v>77.599999999999994</v>
      </c>
    </row>
    <row r="30" spans="1:14" x14ac:dyDescent="0.25">
      <c r="A30" s="34">
        <v>39753</v>
      </c>
      <c r="B30" s="1">
        <v>410.7</v>
      </c>
      <c r="C30" s="34">
        <v>39753</v>
      </c>
      <c r="D30" s="1">
        <v>216</v>
      </c>
      <c r="E30" s="34">
        <v>39753</v>
      </c>
      <c r="F30" s="1">
        <v>3.5</v>
      </c>
      <c r="G30" s="34">
        <v>39753</v>
      </c>
      <c r="H30" s="1">
        <v>-0.85</v>
      </c>
      <c r="I30" s="34">
        <v>39753</v>
      </c>
      <c r="J30" s="1">
        <v>148.06</v>
      </c>
      <c r="K30" s="34">
        <v>39753</v>
      </c>
      <c r="L30" s="1">
        <v>411.6</v>
      </c>
      <c r="M30" s="34">
        <v>39753</v>
      </c>
      <c r="N30" s="1">
        <v>77.7</v>
      </c>
    </row>
    <row r="31" spans="1:14" x14ac:dyDescent="0.25">
      <c r="A31" s="34">
        <v>39783</v>
      </c>
      <c r="B31" s="1">
        <v>410.7</v>
      </c>
      <c r="C31" s="34">
        <v>39783</v>
      </c>
      <c r="D31" s="1">
        <v>143</v>
      </c>
      <c r="E31" s="34">
        <v>39783</v>
      </c>
      <c r="F31" s="1">
        <v>3.7</v>
      </c>
      <c r="G31" s="34">
        <v>39783</v>
      </c>
      <c r="H31" s="1">
        <v>-1.52</v>
      </c>
      <c r="I31" s="34">
        <v>39783</v>
      </c>
      <c r="J31" s="1">
        <v>147.46</v>
      </c>
      <c r="K31" s="34">
        <v>39783</v>
      </c>
      <c r="L31" s="1">
        <v>409.7</v>
      </c>
      <c r="M31" s="34">
        <v>39783</v>
      </c>
      <c r="N31" s="1">
        <v>77.599999999999994</v>
      </c>
    </row>
    <row r="32" spans="1:14" x14ac:dyDescent="0.25">
      <c r="A32" s="34">
        <v>39814</v>
      </c>
      <c r="B32" s="1">
        <v>409.2</v>
      </c>
      <c r="C32" s="34">
        <v>39814</v>
      </c>
      <c r="D32" s="1">
        <v>204</v>
      </c>
      <c r="E32" s="34">
        <v>39814</v>
      </c>
      <c r="F32" s="1">
        <v>4.8</v>
      </c>
      <c r="G32" s="34">
        <v>39814</v>
      </c>
      <c r="H32" s="1">
        <v>-1.94</v>
      </c>
      <c r="I32" s="34">
        <v>39814</v>
      </c>
      <c r="J32" s="1">
        <v>146.65</v>
      </c>
      <c r="K32" s="34">
        <v>39814</v>
      </c>
      <c r="L32" s="1">
        <v>397.5</v>
      </c>
      <c r="M32" s="34">
        <v>39814</v>
      </c>
      <c r="N32" s="1">
        <v>76.099999999999994</v>
      </c>
    </row>
    <row r="33" spans="1:14" x14ac:dyDescent="0.25">
      <c r="A33" s="34">
        <v>39845</v>
      </c>
      <c r="B33" s="1">
        <v>407.7</v>
      </c>
      <c r="C33" s="34">
        <v>39845</v>
      </c>
      <c r="D33" s="1">
        <v>113</v>
      </c>
      <c r="E33" s="34">
        <v>39845</v>
      </c>
      <c r="F33" s="1">
        <v>5</v>
      </c>
      <c r="G33" s="34">
        <v>39845</v>
      </c>
      <c r="H33" s="1">
        <v>-1.67</v>
      </c>
      <c r="I33" s="34">
        <v>39845</v>
      </c>
      <c r="J33" s="1">
        <v>146.19</v>
      </c>
      <c r="K33" s="34">
        <v>39845</v>
      </c>
      <c r="L33" s="1">
        <v>396.9</v>
      </c>
      <c r="M33" s="34">
        <v>39845</v>
      </c>
      <c r="N33" s="1">
        <v>77.3</v>
      </c>
    </row>
    <row r="34" spans="1:14" x14ac:dyDescent="0.25">
      <c r="A34" s="34">
        <v>39873</v>
      </c>
      <c r="B34" s="1">
        <v>405.8</v>
      </c>
      <c r="C34" s="34">
        <v>39873</v>
      </c>
      <c r="D34" s="1">
        <v>251</v>
      </c>
      <c r="E34" s="34">
        <v>39873</v>
      </c>
      <c r="F34" s="1">
        <v>5.2</v>
      </c>
      <c r="G34" s="34">
        <v>39873</v>
      </c>
      <c r="H34" s="1">
        <v>-1.68</v>
      </c>
      <c r="I34" s="34">
        <v>39873</v>
      </c>
      <c r="J34" s="1">
        <v>145.41999999999999</v>
      </c>
      <c r="K34" s="34">
        <v>39873</v>
      </c>
      <c r="L34" s="1">
        <v>397.2</v>
      </c>
      <c r="M34" s="34">
        <v>39873</v>
      </c>
      <c r="N34" s="1">
        <v>77.8</v>
      </c>
    </row>
    <row r="35" spans="1:14" x14ac:dyDescent="0.25">
      <c r="A35" s="34">
        <v>39904</v>
      </c>
      <c r="B35" s="1">
        <v>401.4</v>
      </c>
      <c r="C35" s="34">
        <v>39904</v>
      </c>
      <c r="D35" s="1">
        <v>280</v>
      </c>
      <c r="E35" s="34">
        <v>39904</v>
      </c>
      <c r="F35" s="1">
        <v>5.2</v>
      </c>
      <c r="G35" s="34">
        <v>39904</v>
      </c>
      <c r="H35" s="1">
        <v>-1.26</v>
      </c>
      <c r="I35" s="34">
        <v>39904</v>
      </c>
      <c r="J35" s="1">
        <v>145.12</v>
      </c>
      <c r="K35" s="34">
        <v>39904</v>
      </c>
      <c r="L35" s="1">
        <v>399</v>
      </c>
      <c r="M35" s="34">
        <v>39904</v>
      </c>
      <c r="N35" s="1">
        <v>78.599999999999994</v>
      </c>
    </row>
    <row r="36" spans="1:14" x14ac:dyDescent="0.25">
      <c r="A36" s="34">
        <v>39934</v>
      </c>
      <c r="B36" s="1">
        <v>404.8</v>
      </c>
      <c r="C36" s="34">
        <v>39934</v>
      </c>
      <c r="D36" s="1">
        <v>412</v>
      </c>
      <c r="E36" s="34">
        <v>39934</v>
      </c>
      <c r="F36" s="1">
        <v>5.3</v>
      </c>
      <c r="G36" s="34">
        <v>39934</v>
      </c>
      <c r="H36" s="1">
        <v>-0.45</v>
      </c>
      <c r="I36" s="34">
        <v>39934</v>
      </c>
      <c r="J36" s="1">
        <v>144.78</v>
      </c>
      <c r="K36" s="34">
        <v>39934</v>
      </c>
      <c r="L36" s="1">
        <v>409.2</v>
      </c>
      <c r="M36" s="34">
        <v>39934</v>
      </c>
      <c r="N36" s="1">
        <v>80.400000000000006</v>
      </c>
    </row>
    <row r="37" spans="1:14" x14ac:dyDescent="0.25">
      <c r="A37" s="34">
        <v>39965</v>
      </c>
      <c r="B37" s="1">
        <v>403.4</v>
      </c>
      <c r="C37" s="34">
        <v>39965</v>
      </c>
      <c r="D37" s="1">
        <v>375</v>
      </c>
      <c r="E37" s="34">
        <v>39965</v>
      </c>
      <c r="F37" s="1">
        <v>5.2</v>
      </c>
      <c r="G37" s="34">
        <v>39965</v>
      </c>
      <c r="H37" s="1">
        <v>-0.13</v>
      </c>
      <c r="I37" s="34">
        <v>39965</v>
      </c>
      <c r="J37" s="1">
        <v>144.47999999999999</v>
      </c>
      <c r="K37" s="34">
        <v>39965</v>
      </c>
      <c r="L37" s="1">
        <v>413</v>
      </c>
      <c r="M37" s="34">
        <v>39965</v>
      </c>
      <c r="N37" s="1">
        <v>78.8</v>
      </c>
    </row>
    <row r="38" spans="1:14" x14ac:dyDescent="0.25">
      <c r="A38" s="34">
        <v>39995</v>
      </c>
      <c r="B38" s="1">
        <v>403.7</v>
      </c>
      <c r="C38" s="34">
        <v>39995</v>
      </c>
      <c r="D38" s="1">
        <v>326</v>
      </c>
      <c r="E38" s="34">
        <v>39995</v>
      </c>
      <c r="F38" s="1">
        <v>5.2</v>
      </c>
      <c r="G38" s="34">
        <v>39995</v>
      </c>
      <c r="H38" s="1">
        <v>0.3</v>
      </c>
      <c r="I38" s="34">
        <v>39995</v>
      </c>
      <c r="J38" s="1">
        <v>144.33000000000001</v>
      </c>
      <c r="K38" s="34">
        <v>39995</v>
      </c>
      <c r="L38" s="1">
        <v>408.9</v>
      </c>
      <c r="M38" s="34">
        <v>39995</v>
      </c>
      <c r="N38" s="1">
        <v>74.8</v>
      </c>
    </row>
    <row r="39" spans="1:14" x14ac:dyDescent="0.25">
      <c r="A39" s="34">
        <v>40026</v>
      </c>
      <c r="B39" s="1">
        <v>402.4</v>
      </c>
      <c r="C39" s="34">
        <v>40026</v>
      </c>
      <c r="D39" s="1">
        <v>383</v>
      </c>
      <c r="E39" s="34">
        <v>40026</v>
      </c>
      <c r="F39" s="1">
        <v>5.0999999999999996</v>
      </c>
      <c r="G39" s="34">
        <v>40026</v>
      </c>
      <c r="H39" s="1">
        <v>0.18</v>
      </c>
      <c r="I39" s="34">
        <v>40026</v>
      </c>
      <c r="J39" s="1">
        <v>144.05000000000001</v>
      </c>
      <c r="K39" s="34">
        <v>40026</v>
      </c>
      <c r="L39" s="1">
        <v>409.1</v>
      </c>
      <c r="M39" s="34">
        <v>40026</v>
      </c>
      <c r="N39" s="1">
        <v>74.7</v>
      </c>
    </row>
    <row r="40" spans="1:14" x14ac:dyDescent="0.25">
      <c r="A40" s="34">
        <v>40057</v>
      </c>
      <c r="B40" s="1">
        <v>402.5</v>
      </c>
      <c r="C40" s="34">
        <v>40057</v>
      </c>
      <c r="D40" s="1">
        <v>315</v>
      </c>
      <c r="E40" s="34">
        <v>40057</v>
      </c>
      <c r="F40" s="1">
        <v>5.0999999999999996</v>
      </c>
      <c r="G40" s="34">
        <v>40057</v>
      </c>
      <c r="H40" s="1">
        <v>0.3</v>
      </c>
      <c r="I40" s="34">
        <v>40057</v>
      </c>
      <c r="J40" s="1">
        <v>144.01</v>
      </c>
      <c r="K40" s="34">
        <v>40057</v>
      </c>
      <c r="L40" s="1">
        <v>406.2</v>
      </c>
      <c r="M40" s="34">
        <v>40057</v>
      </c>
      <c r="N40" s="1">
        <v>78.099999999999994</v>
      </c>
    </row>
    <row r="41" spans="1:14" x14ac:dyDescent="0.25">
      <c r="A41" s="34">
        <v>40087</v>
      </c>
      <c r="B41" s="1">
        <v>401.2</v>
      </c>
      <c r="C41" s="34">
        <v>40087</v>
      </c>
      <c r="D41" s="1">
        <v>297</v>
      </c>
      <c r="E41" s="34">
        <v>40087</v>
      </c>
      <c r="F41" s="1">
        <v>5.0999999999999996</v>
      </c>
      <c r="G41" s="34">
        <v>40087</v>
      </c>
      <c r="H41" s="1">
        <v>0.3</v>
      </c>
      <c r="I41" s="34">
        <v>40087</v>
      </c>
      <c r="J41" s="1">
        <v>143.88999999999999</v>
      </c>
      <c r="K41" s="34">
        <v>40087</v>
      </c>
      <c r="L41" s="1">
        <v>404.4</v>
      </c>
      <c r="M41" s="34">
        <v>40087</v>
      </c>
      <c r="N41" s="1">
        <v>79.099999999999994</v>
      </c>
    </row>
    <row r="42" spans="1:14" x14ac:dyDescent="0.25">
      <c r="A42" s="34">
        <v>40118</v>
      </c>
      <c r="B42" s="1">
        <v>401.7</v>
      </c>
      <c r="C42" s="34">
        <v>40118</v>
      </c>
      <c r="D42" s="1">
        <v>359</v>
      </c>
      <c r="E42" s="34">
        <v>40118</v>
      </c>
      <c r="F42" s="1">
        <v>5.2</v>
      </c>
      <c r="G42" s="34">
        <v>40118</v>
      </c>
      <c r="H42" s="1">
        <v>0.23</v>
      </c>
      <c r="I42" s="34">
        <v>40118</v>
      </c>
      <c r="J42" s="1">
        <v>143.74</v>
      </c>
      <c r="K42" s="34">
        <v>40118</v>
      </c>
      <c r="L42" s="1">
        <v>402.8</v>
      </c>
      <c r="M42" s="34">
        <v>40118</v>
      </c>
      <c r="N42" s="1">
        <v>79.3</v>
      </c>
    </row>
    <row r="43" spans="1:14" x14ac:dyDescent="0.25">
      <c r="A43" s="34">
        <v>40148</v>
      </c>
      <c r="B43" s="1">
        <v>400.7</v>
      </c>
      <c r="C43" s="34">
        <v>40148</v>
      </c>
      <c r="D43" s="1">
        <v>217</v>
      </c>
      <c r="E43" s="34">
        <v>40148</v>
      </c>
      <c r="F43" s="1">
        <v>5.3</v>
      </c>
      <c r="G43" s="34">
        <v>40148</v>
      </c>
      <c r="H43" s="1">
        <v>0.24</v>
      </c>
      <c r="I43" s="34">
        <v>40148</v>
      </c>
      <c r="J43" s="1">
        <v>143.63999999999999</v>
      </c>
      <c r="K43" s="34">
        <v>40148</v>
      </c>
      <c r="L43" s="1">
        <v>399.9</v>
      </c>
      <c r="M43" s="34">
        <v>40148</v>
      </c>
      <c r="N43" s="1">
        <v>78.400000000000006</v>
      </c>
    </row>
    <row r="44" spans="1:14" x14ac:dyDescent="0.25">
      <c r="A44" s="34">
        <v>40179</v>
      </c>
      <c r="B44" s="1">
        <v>399.8</v>
      </c>
      <c r="C44" s="34">
        <v>40179</v>
      </c>
      <c r="D44" s="1">
        <v>88</v>
      </c>
      <c r="E44" s="34">
        <v>40179</v>
      </c>
      <c r="F44" s="1">
        <v>5.3</v>
      </c>
      <c r="G44" s="34">
        <v>40179</v>
      </c>
      <c r="H44" s="1">
        <v>0.83</v>
      </c>
      <c r="I44" s="34">
        <v>40179</v>
      </c>
      <c r="J44" s="1">
        <v>143.76</v>
      </c>
      <c r="K44" s="34">
        <v>40179</v>
      </c>
      <c r="L44" s="1">
        <v>388.2</v>
      </c>
      <c r="M44" s="34">
        <v>40179</v>
      </c>
      <c r="N44" s="1">
        <v>77.099999999999994</v>
      </c>
    </row>
    <row r="45" spans="1:14" x14ac:dyDescent="0.25">
      <c r="A45" s="34">
        <v>40210</v>
      </c>
      <c r="B45" s="1">
        <v>399.4</v>
      </c>
      <c r="C45" s="34">
        <v>40210</v>
      </c>
      <c r="D45" s="1">
        <v>117</v>
      </c>
      <c r="E45" s="34">
        <v>40210</v>
      </c>
      <c r="F45" s="1">
        <v>5.3</v>
      </c>
      <c r="G45" s="34">
        <v>40210</v>
      </c>
      <c r="H45" s="1">
        <v>0.85</v>
      </c>
      <c r="I45" s="34">
        <v>40210</v>
      </c>
      <c r="J45" s="1">
        <v>143.80000000000001</v>
      </c>
      <c r="K45" s="34">
        <v>40210</v>
      </c>
      <c r="L45" s="1">
        <v>389.1</v>
      </c>
      <c r="M45" s="34">
        <v>40210</v>
      </c>
      <c r="N45" s="1">
        <v>78.400000000000006</v>
      </c>
    </row>
    <row r="46" spans="1:14" x14ac:dyDescent="0.25">
      <c r="A46" s="34">
        <v>40238</v>
      </c>
      <c r="B46" s="1">
        <v>400.4</v>
      </c>
      <c r="C46" s="34">
        <v>40238</v>
      </c>
      <c r="D46" s="1">
        <v>247</v>
      </c>
      <c r="E46" s="34">
        <v>40238</v>
      </c>
      <c r="F46" s="1">
        <v>5.2</v>
      </c>
      <c r="G46" s="34">
        <v>40238</v>
      </c>
      <c r="H46" s="1">
        <v>1.39</v>
      </c>
      <c r="I46" s="34">
        <v>40238</v>
      </c>
      <c r="J46" s="1">
        <v>144.26</v>
      </c>
      <c r="K46" s="34">
        <v>40238</v>
      </c>
      <c r="L46" s="1">
        <v>392.1</v>
      </c>
      <c r="M46" s="34">
        <v>40238</v>
      </c>
      <c r="N46" s="1">
        <v>79.400000000000006</v>
      </c>
    </row>
    <row r="47" spans="1:14" x14ac:dyDescent="0.25">
      <c r="A47" s="34">
        <v>40269</v>
      </c>
      <c r="B47" s="1">
        <v>401.7</v>
      </c>
      <c r="C47" s="34">
        <v>40269</v>
      </c>
      <c r="D47" s="1">
        <v>585</v>
      </c>
      <c r="E47" s="34">
        <v>40269</v>
      </c>
      <c r="F47" s="1">
        <v>5.0999999999999996</v>
      </c>
      <c r="G47" s="34">
        <v>40269</v>
      </c>
      <c r="H47" s="1">
        <v>1.63</v>
      </c>
      <c r="I47" s="34">
        <v>40269</v>
      </c>
      <c r="J47" s="1">
        <v>144.65</v>
      </c>
      <c r="K47" s="34">
        <v>40269</v>
      </c>
      <c r="L47" s="1">
        <v>399.4</v>
      </c>
      <c r="M47" s="34">
        <v>40269</v>
      </c>
      <c r="N47" s="1">
        <v>79.8</v>
      </c>
    </row>
    <row r="48" spans="1:14" x14ac:dyDescent="0.25">
      <c r="A48" s="34">
        <v>40299</v>
      </c>
      <c r="B48" s="1">
        <v>403.3</v>
      </c>
      <c r="C48" s="34">
        <v>40299</v>
      </c>
      <c r="D48" s="1">
        <v>300</v>
      </c>
      <c r="E48" s="34">
        <v>40299</v>
      </c>
      <c r="F48" s="1">
        <v>5</v>
      </c>
      <c r="G48" s="34">
        <v>40299</v>
      </c>
      <c r="H48" s="1">
        <v>1.77</v>
      </c>
      <c r="I48" s="34">
        <v>40299</v>
      </c>
      <c r="J48" s="1">
        <v>145.12</v>
      </c>
      <c r="K48" s="34">
        <v>40299</v>
      </c>
      <c r="L48" s="1">
        <v>407.5</v>
      </c>
      <c r="M48" s="34">
        <v>40299</v>
      </c>
      <c r="N48" s="1">
        <v>81.2</v>
      </c>
    </row>
    <row r="49" spans="1:14" x14ac:dyDescent="0.25">
      <c r="A49" s="34">
        <v>40330</v>
      </c>
      <c r="B49" s="1">
        <v>403.6</v>
      </c>
      <c r="C49" s="34">
        <v>40330</v>
      </c>
      <c r="D49" s="1">
        <v>315</v>
      </c>
      <c r="E49" s="34">
        <v>40330</v>
      </c>
      <c r="F49" s="1">
        <v>4.9000000000000004</v>
      </c>
      <c r="G49" s="34">
        <v>40330</v>
      </c>
      <c r="H49" s="1">
        <v>1.49</v>
      </c>
      <c r="I49" s="34">
        <v>40330</v>
      </c>
      <c r="J49" s="1">
        <v>145.44999999999999</v>
      </c>
      <c r="K49" s="34">
        <v>40330</v>
      </c>
      <c r="L49" s="1">
        <v>413.1</v>
      </c>
      <c r="M49" s="34">
        <v>40330</v>
      </c>
      <c r="N49" s="1">
        <v>80.3</v>
      </c>
    </row>
    <row r="50" spans="1:14" x14ac:dyDescent="0.25">
      <c r="A50" s="34">
        <v>40360</v>
      </c>
      <c r="B50" s="1">
        <v>404.2</v>
      </c>
      <c r="C50" s="34">
        <v>40360</v>
      </c>
      <c r="D50" s="1">
        <v>257</v>
      </c>
      <c r="E50" s="34">
        <v>40360</v>
      </c>
      <c r="F50" s="1">
        <v>4.9000000000000004</v>
      </c>
      <c r="G50" s="34">
        <v>40360</v>
      </c>
      <c r="H50" s="1">
        <v>1.37</v>
      </c>
      <c r="I50" s="34">
        <v>40360</v>
      </c>
      <c r="J50" s="1">
        <v>145.77000000000001</v>
      </c>
      <c r="K50" s="34">
        <v>40360</v>
      </c>
      <c r="L50" s="1">
        <v>409.1</v>
      </c>
      <c r="M50" s="34">
        <v>40360</v>
      </c>
      <c r="N50" s="1">
        <v>75.2</v>
      </c>
    </row>
    <row r="51" spans="1:14" x14ac:dyDescent="0.25">
      <c r="A51" s="34">
        <v>40391</v>
      </c>
      <c r="B51" s="1">
        <v>404.9</v>
      </c>
      <c r="C51" s="34">
        <v>40391</v>
      </c>
      <c r="D51" s="1">
        <v>290</v>
      </c>
      <c r="E51" s="34">
        <v>40391</v>
      </c>
      <c r="F51" s="1">
        <v>4.9000000000000004</v>
      </c>
      <c r="G51" s="34">
        <v>40391</v>
      </c>
      <c r="H51" s="1">
        <v>1.06</v>
      </c>
      <c r="I51" s="34">
        <v>40391</v>
      </c>
      <c r="J51" s="1">
        <v>146.02000000000001</v>
      </c>
      <c r="K51" s="34">
        <v>40391</v>
      </c>
      <c r="L51" s="1">
        <v>411.6</v>
      </c>
      <c r="M51" s="34">
        <v>40391</v>
      </c>
      <c r="N51" s="1">
        <v>75.3</v>
      </c>
    </row>
    <row r="52" spans="1:14" x14ac:dyDescent="0.25">
      <c r="A52" s="34">
        <v>40422</v>
      </c>
      <c r="B52" s="1">
        <v>404.8</v>
      </c>
      <c r="C52" s="34">
        <v>40422</v>
      </c>
      <c r="D52" s="1">
        <v>279</v>
      </c>
      <c r="E52" s="34">
        <v>40422</v>
      </c>
      <c r="F52" s="1">
        <v>4.9000000000000004</v>
      </c>
      <c r="G52" s="34">
        <v>40422</v>
      </c>
      <c r="H52" s="1">
        <v>0.68</v>
      </c>
      <c r="I52" s="34">
        <v>40422</v>
      </c>
      <c r="J52" s="1">
        <v>146.08000000000001</v>
      </c>
      <c r="K52" s="34">
        <v>40422</v>
      </c>
      <c r="L52" s="1">
        <v>407.9</v>
      </c>
      <c r="M52" s="34">
        <v>40422</v>
      </c>
      <c r="N52" s="1">
        <v>78.7</v>
      </c>
    </row>
    <row r="53" spans="1:14" x14ac:dyDescent="0.25">
      <c r="A53" s="34">
        <v>40452</v>
      </c>
      <c r="B53" s="1">
        <v>405.4</v>
      </c>
      <c r="C53" s="34">
        <v>40452</v>
      </c>
      <c r="D53" s="1">
        <v>285</v>
      </c>
      <c r="E53" s="34">
        <v>40452</v>
      </c>
      <c r="F53" s="1">
        <v>4.9000000000000004</v>
      </c>
      <c r="G53" s="34">
        <v>40452</v>
      </c>
      <c r="H53" s="1">
        <v>0.98</v>
      </c>
      <c r="I53" s="34">
        <v>40452</v>
      </c>
      <c r="J53" s="1">
        <v>146.44999999999999</v>
      </c>
      <c r="K53" s="34">
        <v>40452</v>
      </c>
      <c r="L53" s="1">
        <v>408.8</v>
      </c>
      <c r="M53" s="34">
        <v>40452</v>
      </c>
      <c r="N53" s="1">
        <v>79.7</v>
      </c>
    </row>
    <row r="54" spans="1:14" x14ac:dyDescent="0.25">
      <c r="A54" s="34">
        <v>40483</v>
      </c>
      <c r="B54" s="1">
        <v>405.5</v>
      </c>
      <c r="C54" s="34">
        <v>40483</v>
      </c>
      <c r="D54" s="1">
        <v>178</v>
      </c>
      <c r="E54" s="34">
        <v>40483</v>
      </c>
      <c r="F54" s="1">
        <v>5</v>
      </c>
      <c r="G54" s="34">
        <v>40483</v>
      </c>
      <c r="H54" s="1">
        <v>1.03</v>
      </c>
      <c r="I54" s="34">
        <v>40483</v>
      </c>
      <c r="J54" s="1">
        <v>146.53</v>
      </c>
      <c r="K54" s="34">
        <v>40483</v>
      </c>
      <c r="L54" s="1">
        <v>406.8</v>
      </c>
      <c r="M54" s="34">
        <v>40483</v>
      </c>
      <c r="N54" s="1">
        <v>79.8</v>
      </c>
    </row>
    <row r="55" spans="1:14" x14ac:dyDescent="0.25">
      <c r="A55" s="34">
        <v>40513</v>
      </c>
      <c r="B55" s="1">
        <v>404.7</v>
      </c>
      <c r="C55" s="34">
        <v>40513</v>
      </c>
      <c r="D55" s="1">
        <v>79</v>
      </c>
      <c r="E55" s="34">
        <v>40513</v>
      </c>
      <c r="F55" s="1">
        <v>5</v>
      </c>
      <c r="G55" s="34">
        <v>40513</v>
      </c>
      <c r="H55" s="1">
        <v>0.56999999999999995</v>
      </c>
      <c r="I55" s="34">
        <v>40513</v>
      </c>
      <c r="J55" s="1">
        <v>146.56</v>
      </c>
      <c r="K55" s="34">
        <v>40513</v>
      </c>
      <c r="L55" s="1">
        <v>405</v>
      </c>
      <c r="M55" s="34">
        <v>40513</v>
      </c>
      <c r="N55" s="1">
        <v>79.400000000000006</v>
      </c>
    </row>
    <row r="56" spans="1:14" x14ac:dyDescent="0.25">
      <c r="A56" s="34">
        <v>40544</v>
      </c>
      <c r="B56" s="1">
        <v>404.5</v>
      </c>
      <c r="C56" s="34">
        <v>40544</v>
      </c>
      <c r="D56" s="1">
        <v>57</v>
      </c>
      <c r="E56" s="34">
        <v>40544</v>
      </c>
      <c r="F56" s="1">
        <v>5</v>
      </c>
      <c r="G56" s="34">
        <v>40544</v>
      </c>
      <c r="H56" s="1">
        <v>0.21</v>
      </c>
      <c r="I56" s="34">
        <v>40544</v>
      </c>
      <c r="J56" s="1">
        <v>146.44999999999999</v>
      </c>
      <c r="K56" s="34">
        <v>40544</v>
      </c>
      <c r="L56" s="1">
        <v>393</v>
      </c>
      <c r="M56" s="34">
        <v>40544</v>
      </c>
      <c r="N56" s="1">
        <v>77.599999999999994</v>
      </c>
    </row>
    <row r="57" spans="1:14" x14ac:dyDescent="0.25">
      <c r="A57" s="34">
        <v>40575</v>
      </c>
      <c r="B57" s="1">
        <v>405</v>
      </c>
      <c r="C57" s="34">
        <v>40575</v>
      </c>
      <c r="D57" s="1">
        <v>121</v>
      </c>
      <c r="E57" s="34">
        <v>40575</v>
      </c>
      <c r="F57" s="1">
        <v>5</v>
      </c>
      <c r="G57" s="34">
        <v>40575</v>
      </c>
      <c r="H57" s="1">
        <v>0.85</v>
      </c>
      <c r="I57" s="34">
        <v>40575</v>
      </c>
      <c r="J57" s="1">
        <v>146.78</v>
      </c>
      <c r="K57" s="34">
        <v>40575</v>
      </c>
      <c r="L57" s="1">
        <v>394.4</v>
      </c>
      <c r="M57" s="34">
        <v>40575</v>
      </c>
      <c r="N57" s="1">
        <v>79</v>
      </c>
    </row>
    <row r="58" spans="1:14" x14ac:dyDescent="0.25">
      <c r="A58" s="34">
        <v>40603</v>
      </c>
      <c r="B58" s="1">
        <v>405.1</v>
      </c>
      <c r="C58" s="34">
        <v>40603</v>
      </c>
      <c r="D58" s="1">
        <v>204</v>
      </c>
      <c r="E58" s="34">
        <v>40603</v>
      </c>
      <c r="F58" s="1">
        <v>5</v>
      </c>
      <c r="G58" s="34">
        <v>40603</v>
      </c>
      <c r="H58" s="1">
        <v>1.2</v>
      </c>
      <c r="I58" s="34">
        <v>40603</v>
      </c>
      <c r="J58" s="1">
        <v>146.91999999999999</v>
      </c>
      <c r="K58" s="34">
        <v>40603</v>
      </c>
      <c r="L58" s="1">
        <v>396.8</v>
      </c>
      <c r="M58" s="34">
        <v>40603</v>
      </c>
      <c r="N58" s="1">
        <v>79.099999999999994</v>
      </c>
    </row>
    <row r="59" spans="1:14" x14ac:dyDescent="0.25">
      <c r="A59" s="34">
        <v>40634</v>
      </c>
      <c r="B59" s="1">
        <v>405.6</v>
      </c>
      <c r="C59" s="34">
        <v>40634</v>
      </c>
      <c r="D59" s="1">
        <v>267</v>
      </c>
      <c r="E59" s="34">
        <v>40634</v>
      </c>
      <c r="F59" s="1">
        <v>4.9000000000000004</v>
      </c>
      <c r="G59" s="34">
        <v>40634</v>
      </c>
      <c r="H59" s="1">
        <v>1.33</v>
      </c>
      <c r="I59" s="34">
        <v>40634</v>
      </c>
      <c r="J59" s="1">
        <v>147.27000000000001</v>
      </c>
      <c r="K59" s="34">
        <v>40634</v>
      </c>
      <c r="L59" s="1">
        <v>403.2</v>
      </c>
      <c r="M59" s="34">
        <v>40634</v>
      </c>
      <c r="N59" s="1">
        <v>79.400000000000006</v>
      </c>
    </row>
    <row r="60" spans="1:14" x14ac:dyDescent="0.25">
      <c r="A60" s="34">
        <v>40664</v>
      </c>
      <c r="B60" s="1">
        <v>406.6</v>
      </c>
      <c r="C60" s="34">
        <v>40664</v>
      </c>
      <c r="D60" s="1">
        <v>383</v>
      </c>
      <c r="E60" s="34">
        <v>40664</v>
      </c>
      <c r="F60" s="1">
        <v>4.8</v>
      </c>
      <c r="G60" s="34">
        <v>40664</v>
      </c>
      <c r="H60" s="1">
        <v>1.01</v>
      </c>
      <c r="I60" s="34">
        <v>40664</v>
      </c>
      <c r="J60" s="1">
        <v>147.41</v>
      </c>
      <c r="K60" s="34">
        <v>40664</v>
      </c>
      <c r="L60" s="1">
        <v>411.1</v>
      </c>
      <c r="M60" s="34">
        <v>40664</v>
      </c>
      <c r="N60" s="1">
        <v>79.8</v>
      </c>
    </row>
    <row r="61" spans="1:14" x14ac:dyDescent="0.25">
      <c r="A61" s="34">
        <v>40695</v>
      </c>
      <c r="B61" s="1">
        <v>407</v>
      </c>
      <c r="C61" s="34">
        <v>40695</v>
      </c>
      <c r="D61" s="1">
        <v>285</v>
      </c>
      <c r="E61" s="34">
        <v>40695</v>
      </c>
      <c r="F61" s="1">
        <v>4.7</v>
      </c>
      <c r="G61" s="34">
        <v>40695</v>
      </c>
      <c r="H61" s="1">
        <v>1.1299999999999999</v>
      </c>
      <c r="I61" s="34">
        <v>40695</v>
      </c>
      <c r="J61" s="1">
        <v>147.77000000000001</v>
      </c>
      <c r="K61" s="34">
        <v>40695</v>
      </c>
      <c r="L61" s="1">
        <v>417.1</v>
      </c>
      <c r="M61" s="34">
        <v>40695</v>
      </c>
      <c r="N61" s="1">
        <v>79.900000000000006</v>
      </c>
    </row>
    <row r="62" spans="1:14" x14ac:dyDescent="0.25">
      <c r="A62" s="34">
        <v>40725</v>
      </c>
      <c r="B62" s="1">
        <v>407.4</v>
      </c>
      <c r="C62" s="34">
        <v>40725</v>
      </c>
      <c r="D62" s="1">
        <v>273</v>
      </c>
      <c r="E62" s="34">
        <v>40725</v>
      </c>
      <c r="F62" s="1">
        <v>4.7</v>
      </c>
      <c r="G62" s="34">
        <v>40725</v>
      </c>
      <c r="H62" s="1">
        <v>1.1499999999999999</v>
      </c>
      <c r="I62" s="34">
        <v>40725</v>
      </c>
      <c r="J62" s="1">
        <v>148.04</v>
      </c>
      <c r="K62" s="34">
        <v>40725</v>
      </c>
      <c r="L62" s="1">
        <v>412.7</v>
      </c>
      <c r="M62" s="34">
        <v>40725</v>
      </c>
      <c r="N62" s="1">
        <v>74.3</v>
      </c>
    </row>
    <row r="63" spans="1:14" x14ac:dyDescent="0.25">
      <c r="A63" s="34">
        <v>40756</v>
      </c>
      <c r="B63" s="1">
        <v>408.2</v>
      </c>
      <c r="C63" s="34">
        <v>40756</v>
      </c>
      <c r="D63" s="1">
        <v>374</v>
      </c>
      <c r="E63" s="34">
        <v>40756</v>
      </c>
      <c r="F63" s="1">
        <v>4.5999999999999996</v>
      </c>
      <c r="G63" s="34">
        <v>40756</v>
      </c>
      <c r="H63" s="1">
        <v>1.22</v>
      </c>
      <c r="I63" s="34">
        <v>40756</v>
      </c>
      <c r="J63" s="1">
        <v>148.29</v>
      </c>
      <c r="K63" s="34">
        <v>40756</v>
      </c>
      <c r="L63" s="1">
        <v>414.9</v>
      </c>
      <c r="M63" s="34">
        <v>40756</v>
      </c>
      <c r="N63" s="1">
        <v>73.5</v>
      </c>
    </row>
    <row r="64" spans="1:14" x14ac:dyDescent="0.25">
      <c r="A64" s="34">
        <v>40787</v>
      </c>
      <c r="B64" s="1">
        <v>408.9</v>
      </c>
      <c r="C64" s="34">
        <v>40787</v>
      </c>
      <c r="D64" s="1">
        <v>466</v>
      </c>
      <c r="E64" s="34">
        <v>40787</v>
      </c>
      <c r="F64" s="1">
        <v>4.5999999999999996</v>
      </c>
      <c r="G64" s="34">
        <v>40787</v>
      </c>
      <c r="H64" s="1">
        <v>1.4</v>
      </c>
      <c r="I64" s="34">
        <v>40787</v>
      </c>
      <c r="J64" s="1">
        <v>148.68</v>
      </c>
      <c r="K64" s="34">
        <v>40787</v>
      </c>
      <c r="L64" s="1">
        <v>412.2</v>
      </c>
      <c r="M64" s="34">
        <v>40787</v>
      </c>
      <c r="N64" s="1">
        <v>77.2</v>
      </c>
    </row>
    <row r="65" spans="1:14" x14ac:dyDescent="0.25">
      <c r="A65" s="34">
        <v>40817</v>
      </c>
      <c r="B65" s="1">
        <v>409.7</v>
      </c>
      <c r="C65" s="34">
        <v>40817</v>
      </c>
      <c r="D65" s="1">
        <v>268</v>
      </c>
      <c r="E65" s="34">
        <v>40817</v>
      </c>
      <c r="F65" s="1">
        <v>4.5</v>
      </c>
      <c r="G65" s="34">
        <v>40817</v>
      </c>
      <c r="H65" s="1">
        <v>1.89</v>
      </c>
      <c r="I65" s="34">
        <v>40817</v>
      </c>
      <c r="J65" s="1">
        <v>149.22</v>
      </c>
      <c r="K65" s="34">
        <v>40817</v>
      </c>
      <c r="L65" s="1">
        <v>412.9</v>
      </c>
      <c r="M65" s="34">
        <v>40817</v>
      </c>
      <c r="N65" s="1">
        <v>78.8</v>
      </c>
    </row>
    <row r="66" spans="1:14" x14ac:dyDescent="0.25">
      <c r="A66" s="34">
        <v>40848</v>
      </c>
      <c r="B66" s="1">
        <v>409.8</v>
      </c>
      <c r="C66" s="34">
        <v>40848</v>
      </c>
      <c r="D66" s="1">
        <v>106</v>
      </c>
      <c r="E66" s="34">
        <v>40848</v>
      </c>
      <c r="F66" s="1">
        <v>4.4000000000000004</v>
      </c>
      <c r="G66" s="34">
        <v>40848</v>
      </c>
      <c r="H66" s="1">
        <v>1.56</v>
      </c>
      <c r="I66" s="34">
        <v>40848</v>
      </c>
      <c r="J66" s="1">
        <v>149.51</v>
      </c>
      <c r="K66" s="34">
        <v>40848</v>
      </c>
      <c r="L66" s="1">
        <v>410.9</v>
      </c>
      <c r="M66" s="34">
        <v>40848</v>
      </c>
      <c r="N66" s="1">
        <v>78.7</v>
      </c>
    </row>
    <row r="67" spans="1:14" x14ac:dyDescent="0.25">
      <c r="A67" s="34">
        <v>40878</v>
      </c>
      <c r="B67" s="1">
        <v>410.7</v>
      </c>
      <c r="C67" s="34">
        <v>40878</v>
      </c>
      <c r="D67" s="1">
        <v>77</v>
      </c>
      <c r="E67" s="34">
        <v>40878</v>
      </c>
      <c r="F67" s="1">
        <v>4.4000000000000004</v>
      </c>
      <c r="G67" s="34">
        <v>40878</v>
      </c>
      <c r="H67" s="1">
        <v>1.65</v>
      </c>
      <c r="I67" s="34">
        <v>40878</v>
      </c>
      <c r="J67" s="1">
        <v>150.07</v>
      </c>
      <c r="K67" s="34">
        <v>40878</v>
      </c>
      <c r="L67" s="1">
        <v>411</v>
      </c>
      <c r="M67" s="34">
        <v>40878</v>
      </c>
      <c r="N67" s="1">
        <v>78.900000000000006</v>
      </c>
    </row>
    <row r="68" spans="1:14" x14ac:dyDescent="0.25">
      <c r="A68" s="34">
        <v>40909</v>
      </c>
      <c r="B68" s="1">
        <v>411.6</v>
      </c>
      <c r="C68" s="34">
        <v>40909</v>
      </c>
      <c r="D68" s="1">
        <v>140</v>
      </c>
      <c r="E68" s="34">
        <v>40909</v>
      </c>
      <c r="F68" s="1">
        <v>4.3</v>
      </c>
      <c r="G68" s="34">
        <v>40909</v>
      </c>
      <c r="H68" s="1">
        <v>1.73</v>
      </c>
      <c r="I68" s="34">
        <v>40909</v>
      </c>
      <c r="J68" s="1">
        <v>150.43</v>
      </c>
      <c r="K68" s="34">
        <v>40909</v>
      </c>
      <c r="L68" s="1">
        <v>399.8</v>
      </c>
      <c r="M68" s="34">
        <v>40909</v>
      </c>
      <c r="N68" s="1">
        <v>76.8</v>
      </c>
    </row>
    <row r="69" spans="1:14" x14ac:dyDescent="0.25">
      <c r="A69" s="34">
        <v>40940</v>
      </c>
      <c r="B69" s="1">
        <v>411.6</v>
      </c>
      <c r="C69" s="34">
        <v>40940</v>
      </c>
      <c r="D69" s="1">
        <v>128</v>
      </c>
      <c r="E69" s="34">
        <v>40940</v>
      </c>
      <c r="F69" s="1">
        <v>4.3</v>
      </c>
      <c r="G69" s="34">
        <v>40940</v>
      </c>
      <c r="H69" s="1">
        <v>1.23</v>
      </c>
      <c r="I69" s="34">
        <v>40940</v>
      </c>
      <c r="J69" s="1">
        <v>150.63999999999999</v>
      </c>
      <c r="K69" s="34">
        <v>40940</v>
      </c>
      <c r="L69" s="1">
        <v>400.6</v>
      </c>
      <c r="M69" s="34">
        <v>40940</v>
      </c>
      <c r="N69" s="1">
        <v>77.7</v>
      </c>
    </row>
    <row r="70" spans="1:14" x14ac:dyDescent="0.25">
      <c r="A70" s="34">
        <v>40969</v>
      </c>
      <c r="B70" s="1">
        <v>413.2</v>
      </c>
      <c r="C70" s="34">
        <v>40969</v>
      </c>
      <c r="D70" s="1">
        <v>298</v>
      </c>
      <c r="E70" s="34">
        <v>40969</v>
      </c>
      <c r="F70" s="1">
        <v>4.2</v>
      </c>
      <c r="G70" s="34">
        <v>40969</v>
      </c>
      <c r="H70" s="1">
        <v>1.81</v>
      </c>
      <c r="I70" s="34">
        <v>40969</v>
      </c>
      <c r="J70" s="1">
        <v>151.34</v>
      </c>
      <c r="K70" s="34">
        <v>40969</v>
      </c>
      <c r="L70" s="1">
        <v>404.6</v>
      </c>
      <c r="M70" s="34">
        <v>40969</v>
      </c>
      <c r="N70" s="1">
        <v>78.400000000000006</v>
      </c>
    </row>
    <row r="71" spans="1:14" x14ac:dyDescent="0.25">
      <c r="A71" s="34">
        <v>41000</v>
      </c>
      <c r="B71" s="1">
        <v>415.3</v>
      </c>
      <c r="C71" s="34">
        <v>41000</v>
      </c>
      <c r="D71" s="1">
        <v>425</v>
      </c>
      <c r="E71" s="34">
        <v>41000</v>
      </c>
      <c r="F71" s="1">
        <v>4.2</v>
      </c>
      <c r="G71" s="34">
        <v>41000</v>
      </c>
      <c r="H71" s="1">
        <v>1.71</v>
      </c>
      <c r="I71" s="34">
        <v>41000</v>
      </c>
      <c r="J71" s="1">
        <v>151.57</v>
      </c>
      <c r="K71" s="34">
        <v>41000</v>
      </c>
      <c r="L71" s="1">
        <v>411.1</v>
      </c>
      <c r="M71" s="34">
        <v>41000</v>
      </c>
      <c r="N71" s="1">
        <v>78.7</v>
      </c>
    </row>
    <row r="72" spans="1:14" x14ac:dyDescent="0.25">
      <c r="A72" s="34">
        <v>41030</v>
      </c>
      <c r="B72" s="1">
        <v>414.2</v>
      </c>
      <c r="C72" s="34">
        <v>41030</v>
      </c>
      <c r="D72" s="1">
        <v>338</v>
      </c>
      <c r="E72" s="34">
        <v>41030</v>
      </c>
      <c r="F72" s="1">
        <v>4.2</v>
      </c>
      <c r="G72" s="34">
        <v>41030</v>
      </c>
      <c r="H72" s="1">
        <v>0.96</v>
      </c>
      <c r="I72" s="34">
        <v>41030</v>
      </c>
      <c r="J72" s="1">
        <v>151.66999999999999</v>
      </c>
      <c r="K72" s="34">
        <v>41030</v>
      </c>
      <c r="L72" s="1">
        <v>418.7</v>
      </c>
      <c r="M72" s="34">
        <v>41030</v>
      </c>
      <c r="N72" s="1">
        <v>78.900000000000006</v>
      </c>
    </row>
    <row r="73" spans="1:14" x14ac:dyDescent="0.25">
      <c r="A73" s="34">
        <v>41061</v>
      </c>
      <c r="B73" s="1">
        <v>414.3</v>
      </c>
      <c r="C73" s="34">
        <v>41061</v>
      </c>
      <c r="D73" s="1">
        <v>551</v>
      </c>
      <c r="E73" s="34">
        <v>41061</v>
      </c>
      <c r="F73" s="1">
        <v>4.3</v>
      </c>
      <c r="G73" s="34">
        <v>41061</v>
      </c>
      <c r="H73" s="1">
        <v>0.82</v>
      </c>
      <c r="I73" s="34">
        <v>41061</v>
      </c>
      <c r="J73" s="1">
        <v>151.86000000000001</v>
      </c>
      <c r="K73" s="34">
        <v>41061</v>
      </c>
      <c r="L73" s="1">
        <v>424.5</v>
      </c>
      <c r="M73" s="34">
        <v>41061</v>
      </c>
      <c r="N73" s="1">
        <v>78.599999999999994</v>
      </c>
    </row>
    <row r="74" spans="1:14" x14ac:dyDescent="0.25">
      <c r="A74" s="34">
        <v>41091</v>
      </c>
      <c r="B74" s="1">
        <v>414</v>
      </c>
      <c r="C74" s="34">
        <v>41091</v>
      </c>
      <c r="D74" s="1">
        <v>391</v>
      </c>
      <c r="E74" s="34">
        <v>41091</v>
      </c>
      <c r="F74" s="1">
        <v>4.3</v>
      </c>
      <c r="G74" s="34">
        <v>41091</v>
      </c>
      <c r="H74" s="1">
        <v>0.71</v>
      </c>
      <c r="I74" s="34">
        <v>41091</v>
      </c>
      <c r="J74" s="1">
        <v>151.88999999999999</v>
      </c>
      <c r="K74" s="34">
        <v>41091</v>
      </c>
      <c r="L74" s="1">
        <v>419.1</v>
      </c>
      <c r="M74" s="34">
        <v>41091</v>
      </c>
      <c r="N74" s="1">
        <v>73.5</v>
      </c>
    </row>
    <row r="75" spans="1:14" x14ac:dyDescent="0.25">
      <c r="A75" s="34">
        <v>41122</v>
      </c>
      <c r="B75" s="1">
        <v>413.9</v>
      </c>
      <c r="C75" s="34">
        <v>41122</v>
      </c>
      <c r="D75" s="1">
        <v>346</v>
      </c>
      <c r="E75" s="34">
        <v>41122</v>
      </c>
      <c r="F75" s="1">
        <v>4.2</v>
      </c>
      <c r="G75" s="34">
        <v>41122</v>
      </c>
      <c r="H75" s="1">
        <v>0.48</v>
      </c>
      <c r="I75" s="34">
        <v>41122</v>
      </c>
      <c r="J75" s="1">
        <v>151.91999999999999</v>
      </c>
      <c r="K75" s="34">
        <v>41122</v>
      </c>
      <c r="L75" s="1">
        <v>420.8</v>
      </c>
      <c r="M75" s="34">
        <v>41122</v>
      </c>
      <c r="N75" s="1">
        <v>73</v>
      </c>
    </row>
    <row r="76" spans="1:14" x14ac:dyDescent="0.25">
      <c r="A76" s="34">
        <v>41153</v>
      </c>
      <c r="B76" s="1">
        <v>414.7</v>
      </c>
      <c r="C76" s="34">
        <v>41153</v>
      </c>
      <c r="D76" s="1">
        <v>559</v>
      </c>
      <c r="E76" s="34">
        <v>41153</v>
      </c>
      <c r="F76" s="1">
        <v>4.0999999999999996</v>
      </c>
      <c r="G76" s="34">
        <v>41153</v>
      </c>
      <c r="H76" s="1">
        <v>1.18</v>
      </c>
      <c r="I76" s="34">
        <v>41153</v>
      </c>
      <c r="J76" s="1">
        <v>152.38</v>
      </c>
      <c r="K76" s="34">
        <v>41153</v>
      </c>
      <c r="L76" s="1">
        <v>418.5</v>
      </c>
      <c r="M76" s="34">
        <v>41153</v>
      </c>
      <c r="N76" s="1">
        <v>77.400000000000006</v>
      </c>
    </row>
    <row r="77" spans="1:14" x14ac:dyDescent="0.25">
      <c r="A77" s="34">
        <v>41183</v>
      </c>
      <c r="B77" s="1">
        <v>414.9</v>
      </c>
      <c r="C77" s="34">
        <v>41183</v>
      </c>
      <c r="D77" s="1">
        <v>539</v>
      </c>
      <c r="E77" s="34">
        <v>41183</v>
      </c>
      <c r="F77" s="1">
        <v>4.0999999999999996</v>
      </c>
      <c r="G77" s="34">
        <v>41183</v>
      </c>
      <c r="H77" s="1">
        <v>1.02</v>
      </c>
      <c r="I77" s="34">
        <v>41183</v>
      </c>
      <c r="J77" s="1">
        <v>152.36000000000001</v>
      </c>
      <c r="K77" s="34">
        <v>41183</v>
      </c>
      <c r="L77" s="1">
        <v>417.9</v>
      </c>
      <c r="M77" s="34">
        <v>41183</v>
      </c>
      <c r="N77" s="1">
        <v>79</v>
      </c>
    </row>
    <row r="78" spans="1:14" x14ac:dyDescent="0.25">
      <c r="A78" s="34">
        <v>41214</v>
      </c>
      <c r="B78" s="1">
        <v>415.6</v>
      </c>
      <c r="C78" s="34">
        <v>41214</v>
      </c>
      <c r="D78" s="1">
        <v>386</v>
      </c>
      <c r="E78" s="34">
        <v>41214</v>
      </c>
      <c r="F78" s="1">
        <v>4</v>
      </c>
      <c r="G78" s="34">
        <v>41214</v>
      </c>
      <c r="H78" s="1">
        <v>1.39</v>
      </c>
      <c r="I78" s="34">
        <v>41214</v>
      </c>
      <c r="J78" s="1">
        <v>152.91</v>
      </c>
      <c r="K78" s="34">
        <v>41214</v>
      </c>
      <c r="L78" s="1">
        <v>417</v>
      </c>
      <c r="M78" s="34">
        <v>41214</v>
      </c>
      <c r="N78" s="1">
        <v>79.2</v>
      </c>
    </row>
    <row r="79" spans="1:14" x14ac:dyDescent="0.25">
      <c r="A79" s="34">
        <v>41244</v>
      </c>
      <c r="B79" s="1">
        <v>416.3</v>
      </c>
      <c r="C79" s="34">
        <v>41244</v>
      </c>
      <c r="D79" s="1">
        <v>175</v>
      </c>
      <c r="E79" s="34">
        <v>41244</v>
      </c>
      <c r="F79" s="1">
        <v>4</v>
      </c>
      <c r="G79" s="34">
        <v>41244</v>
      </c>
      <c r="H79" s="1">
        <v>1.3</v>
      </c>
      <c r="I79" s="34">
        <v>41244</v>
      </c>
      <c r="J79" s="1">
        <v>152.99</v>
      </c>
      <c r="K79" s="34">
        <v>41244</v>
      </c>
      <c r="L79" s="1">
        <v>415.4</v>
      </c>
      <c r="M79" s="34">
        <v>41244</v>
      </c>
      <c r="N79" s="1">
        <v>78.7</v>
      </c>
    </row>
    <row r="80" spans="1:14" x14ac:dyDescent="0.25">
      <c r="A80" s="34">
        <v>41275</v>
      </c>
      <c r="B80" s="1">
        <v>416.3</v>
      </c>
      <c r="C80" s="34">
        <v>41275</v>
      </c>
      <c r="D80" s="1">
        <v>294</v>
      </c>
      <c r="E80" s="34">
        <v>41275</v>
      </c>
      <c r="F80" s="1">
        <v>4</v>
      </c>
      <c r="G80" s="34">
        <v>41275</v>
      </c>
      <c r="H80" s="1">
        <v>1.07</v>
      </c>
      <c r="I80" s="34">
        <v>41275</v>
      </c>
      <c r="J80" s="1">
        <v>153.28</v>
      </c>
      <c r="K80" s="34">
        <v>41275</v>
      </c>
      <c r="L80" s="1">
        <v>404.4</v>
      </c>
      <c r="M80" s="34">
        <v>41275</v>
      </c>
      <c r="N80" s="1">
        <v>76.900000000000006</v>
      </c>
    </row>
    <row r="81" spans="1:14" x14ac:dyDescent="0.25">
      <c r="A81" s="34">
        <v>41306</v>
      </c>
      <c r="B81" s="1">
        <v>417</v>
      </c>
      <c r="C81" s="34">
        <v>41306</v>
      </c>
      <c r="D81" s="1">
        <v>142</v>
      </c>
      <c r="E81" s="34">
        <v>41306</v>
      </c>
      <c r="F81" s="1">
        <v>4</v>
      </c>
      <c r="G81" s="34">
        <v>41306</v>
      </c>
      <c r="H81" s="1">
        <v>1.0900000000000001</v>
      </c>
      <c r="I81" s="34">
        <v>41306</v>
      </c>
      <c r="J81" s="1">
        <v>153.5</v>
      </c>
      <c r="K81" s="34">
        <v>41306</v>
      </c>
      <c r="L81" s="1">
        <v>405.7</v>
      </c>
      <c r="M81" s="34">
        <v>41306</v>
      </c>
      <c r="N81" s="1">
        <v>78.2</v>
      </c>
    </row>
    <row r="82" spans="1:14" x14ac:dyDescent="0.25">
      <c r="A82" s="34">
        <v>41334</v>
      </c>
      <c r="B82" s="1">
        <v>416.8</v>
      </c>
      <c r="C82" s="34">
        <v>41334</v>
      </c>
      <c r="D82" s="1">
        <v>602</v>
      </c>
      <c r="E82" s="34">
        <v>41334</v>
      </c>
      <c r="F82" s="1">
        <v>3.9</v>
      </c>
      <c r="G82" s="34">
        <v>41334</v>
      </c>
      <c r="H82" s="1">
        <v>0.81</v>
      </c>
      <c r="I82" s="34">
        <v>41334</v>
      </c>
      <c r="J82" s="1">
        <v>153.56</v>
      </c>
      <c r="K82" s="34">
        <v>41334</v>
      </c>
      <c r="L82" s="1">
        <v>408.6</v>
      </c>
      <c r="M82" s="34">
        <v>41334</v>
      </c>
      <c r="N82" s="1">
        <v>78.400000000000006</v>
      </c>
    </row>
    <row r="83" spans="1:14" x14ac:dyDescent="0.25">
      <c r="A83" s="34">
        <v>41365</v>
      </c>
      <c r="B83" s="1">
        <v>415.5</v>
      </c>
      <c r="C83" s="34">
        <v>41365</v>
      </c>
      <c r="D83" s="1">
        <v>709</v>
      </c>
      <c r="E83" s="34">
        <v>41365</v>
      </c>
      <c r="F83" s="1">
        <v>3.9</v>
      </c>
      <c r="G83" s="34">
        <v>41365</v>
      </c>
      <c r="H83" s="1">
        <v>0.8</v>
      </c>
      <c r="I83" s="34">
        <v>41365</v>
      </c>
      <c r="J83" s="1">
        <v>153.72999999999999</v>
      </c>
      <c r="K83" s="34">
        <v>41365</v>
      </c>
      <c r="L83" s="1">
        <v>411.3</v>
      </c>
      <c r="M83" s="34">
        <v>41365</v>
      </c>
      <c r="N83" s="1">
        <v>78.2</v>
      </c>
    </row>
    <row r="84" spans="1:14" x14ac:dyDescent="0.25">
      <c r="A84" s="34">
        <v>41395</v>
      </c>
      <c r="B84" s="1">
        <v>417.1</v>
      </c>
      <c r="C84" s="34">
        <v>41395</v>
      </c>
      <c r="D84" s="1">
        <v>405</v>
      </c>
      <c r="E84" s="34">
        <v>41395</v>
      </c>
      <c r="F84" s="1">
        <v>3.9</v>
      </c>
      <c r="G84" s="34">
        <v>41395</v>
      </c>
      <c r="H84" s="1">
        <v>0.88</v>
      </c>
      <c r="I84" s="34">
        <v>41395</v>
      </c>
      <c r="J84" s="1">
        <v>153.87</v>
      </c>
      <c r="K84" s="34">
        <v>41395</v>
      </c>
      <c r="L84" s="1">
        <v>422.9</v>
      </c>
      <c r="M84" s="34">
        <v>41395</v>
      </c>
      <c r="N84" s="1">
        <v>78.900000000000006</v>
      </c>
    </row>
    <row r="85" spans="1:14" x14ac:dyDescent="0.25">
      <c r="A85" s="34">
        <v>41426</v>
      </c>
      <c r="B85" s="1">
        <v>417.2</v>
      </c>
      <c r="C85" s="34">
        <v>41426</v>
      </c>
      <c r="D85" s="1">
        <v>405</v>
      </c>
      <c r="E85" s="34">
        <v>41426</v>
      </c>
      <c r="F85" s="1">
        <v>3.9</v>
      </c>
      <c r="G85" s="34">
        <v>41426</v>
      </c>
      <c r="H85" s="1">
        <v>1.05</v>
      </c>
      <c r="I85" s="34">
        <v>41426</v>
      </c>
      <c r="J85" s="1">
        <v>154.15</v>
      </c>
      <c r="K85" s="34">
        <v>41426</v>
      </c>
      <c r="L85" s="1">
        <v>427.3</v>
      </c>
      <c r="M85" s="34">
        <v>41426</v>
      </c>
      <c r="N85" s="1">
        <v>77.7</v>
      </c>
    </row>
    <row r="86" spans="1:14" x14ac:dyDescent="0.25">
      <c r="A86" s="34">
        <v>41456</v>
      </c>
      <c r="B86" s="1">
        <v>417.1</v>
      </c>
      <c r="C86" s="34">
        <v>41456</v>
      </c>
      <c r="D86" s="1">
        <v>402</v>
      </c>
      <c r="E86" s="34">
        <v>41456</v>
      </c>
      <c r="F86" s="1">
        <v>3.8</v>
      </c>
      <c r="G86" s="34">
        <v>41456</v>
      </c>
      <c r="H86" s="1">
        <v>1.03</v>
      </c>
      <c r="I86" s="34">
        <v>41456</v>
      </c>
      <c r="J86" s="1">
        <v>154.33000000000001</v>
      </c>
      <c r="K86" s="34">
        <v>41456</v>
      </c>
      <c r="L86" s="1">
        <v>422.3</v>
      </c>
      <c r="M86" s="34">
        <v>41456</v>
      </c>
      <c r="N86" s="1">
        <v>72.8</v>
      </c>
    </row>
    <row r="87" spans="1:14" x14ac:dyDescent="0.25">
      <c r="A87" s="34">
        <v>41487</v>
      </c>
      <c r="B87" s="1">
        <v>418.1</v>
      </c>
      <c r="C87" s="34">
        <v>41487</v>
      </c>
      <c r="D87" s="1">
        <v>705</v>
      </c>
      <c r="E87" s="34">
        <v>41487</v>
      </c>
      <c r="F87" s="1">
        <v>3.8</v>
      </c>
      <c r="G87" s="34">
        <v>41487</v>
      </c>
      <c r="H87" s="1">
        <v>1.18</v>
      </c>
      <c r="I87" s="34">
        <v>41487</v>
      </c>
      <c r="J87" s="1">
        <v>154.62</v>
      </c>
      <c r="K87" s="34">
        <v>41487</v>
      </c>
      <c r="L87" s="1">
        <v>425</v>
      </c>
      <c r="M87" s="34">
        <v>41487</v>
      </c>
      <c r="N87" s="1">
        <v>73.5</v>
      </c>
    </row>
    <row r="88" spans="1:14" x14ac:dyDescent="0.25">
      <c r="A88" s="34">
        <v>41518</v>
      </c>
      <c r="B88" s="1">
        <v>418.5</v>
      </c>
      <c r="C88" s="34">
        <v>41518</v>
      </c>
      <c r="D88" s="1">
        <v>769</v>
      </c>
      <c r="E88" s="34">
        <v>41518</v>
      </c>
      <c r="F88" s="1">
        <v>3.7</v>
      </c>
      <c r="G88" s="34">
        <v>41518</v>
      </c>
      <c r="H88" s="1">
        <v>1.48</v>
      </c>
      <c r="I88" s="34">
        <v>41518</v>
      </c>
      <c r="J88" s="1">
        <v>155.01</v>
      </c>
      <c r="K88" s="34">
        <v>41518</v>
      </c>
      <c r="L88" s="1">
        <v>422.5</v>
      </c>
      <c r="M88" s="34">
        <v>41518</v>
      </c>
      <c r="N88" s="1">
        <v>78.099999999999994</v>
      </c>
    </row>
    <row r="89" spans="1:14" x14ac:dyDescent="0.25">
      <c r="A89" s="34">
        <v>41548</v>
      </c>
      <c r="B89" s="1">
        <v>416.7</v>
      </c>
      <c r="C89" s="34">
        <v>41548</v>
      </c>
      <c r="D89" s="1">
        <v>366</v>
      </c>
      <c r="E89" s="34">
        <v>41548</v>
      </c>
      <c r="F89" s="1">
        <v>3.7</v>
      </c>
      <c r="G89" s="34">
        <v>41548</v>
      </c>
      <c r="H89" s="1">
        <v>0.96</v>
      </c>
      <c r="I89" s="34">
        <v>41548</v>
      </c>
      <c r="J89" s="1">
        <v>154.96</v>
      </c>
      <c r="K89" s="34">
        <v>41548</v>
      </c>
      <c r="L89" s="1">
        <v>420.1</v>
      </c>
      <c r="M89" s="34">
        <v>41548</v>
      </c>
      <c r="N89" s="1">
        <v>78.599999999999994</v>
      </c>
    </row>
    <row r="90" spans="1:14" x14ac:dyDescent="0.25">
      <c r="A90" s="34">
        <v>41579</v>
      </c>
      <c r="B90" s="1">
        <v>418.1</v>
      </c>
      <c r="C90" s="34">
        <v>41579</v>
      </c>
      <c r="D90" s="1">
        <v>218</v>
      </c>
      <c r="E90" s="34">
        <v>41579</v>
      </c>
      <c r="F90" s="1">
        <v>3.6</v>
      </c>
      <c r="G90" s="34">
        <v>41579</v>
      </c>
      <c r="H90" s="1">
        <v>0.61</v>
      </c>
      <c r="I90" s="34">
        <v>41579</v>
      </c>
      <c r="J90" s="1">
        <v>155.08000000000001</v>
      </c>
      <c r="K90" s="34">
        <v>41579</v>
      </c>
      <c r="L90" s="1">
        <v>418.7</v>
      </c>
      <c r="M90" s="34">
        <v>41579</v>
      </c>
      <c r="N90" s="1">
        <v>78.7</v>
      </c>
    </row>
    <row r="91" spans="1:14" x14ac:dyDescent="0.25">
      <c r="A91" s="34">
        <v>41609</v>
      </c>
      <c r="B91" s="1">
        <v>418.1</v>
      </c>
      <c r="C91" s="34">
        <v>41609</v>
      </c>
      <c r="D91" s="1">
        <v>195</v>
      </c>
      <c r="E91" s="34">
        <v>41609</v>
      </c>
      <c r="F91" s="1">
        <v>3.6</v>
      </c>
      <c r="G91" s="34">
        <v>41609</v>
      </c>
      <c r="H91" s="1">
        <v>0.86</v>
      </c>
      <c r="I91" s="34">
        <v>41609</v>
      </c>
      <c r="J91" s="1">
        <v>155.32</v>
      </c>
      <c r="K91" s="34">
        <v>41609</v>
      </c>
      <c r="L91" s="1">
        <v>416.3</v>
      </c>
      <c r="M91" s="34">
        <v>41609</v>
      </c>
      <c r="N91" s="1">
        <v>78.2</v>
      </c>
    </row>
    <row r="92" spans="1:14" x14ac:dyDescent="0.25">
      <c r="A92" s="34">
        <v>41640</v>
      </c>
      <c r="B92" s="1">
        <v>418.9</v>
      </c>
      <c r="C92" s="34">
        <v>41640</v>
      </c>
      <c r="D92" s="1">
        <v>264</v>
      </c>
      <c r="E92" s="34">
        <v>41640</v>
      </c>
      <c r="F92" s="1">
        <v>3.6</v>
      </c>
      <c r="G92" s="34">
        <v>41640</v>
      </c>
      <c r="H92" s="1">
        <v>1.04</v>
      </c>
      <c r="I92" s="34">
        <v>41640</v>
      </c>
      <c r="J92" s="1">
        <v>155.54</v>
      </c>
      <c r="K92" s="34">
        <v>41640</v>
      </c>
      <c r="L92" s="1">
        <v>407.6</v>
      </c>
      <c r="M92" s="34">
        <v>41640</v>
      </c>
      <c r="N92" s="1">
        <v>77</v>
      </c>
    </row>
    <row r="93" spans="1:14" x14ac:dyDescent="0.25">
      <c r="A93" s="34">
        <v>41671</v>
      </c>
      <c r="B93" s="1">
        <v>419.9</v>
      </c>
      <c r="C93" s="34">
        <v>41671</v>
      </c>
      <c r="D93" s="1">
        <v>116</v>
      </c>
      <c r="E93" s="34">
        <v>41671</v>
      </c>
      <c r="F93" s="1">
        <v>3.6</v>
      </c>
      <c r="G93" s="34">
        <v>41671</v>
      </c>
      <c r="H93" s="1">
        <v>1.06</v>
      </c>
      <c r="I93" s="34">
        <v>41671</v>
      </c>
      <c r="J93" s="1">
        <v>155.79</v>
      </c>
      <c r="K93" s="34">
        <v>41671</v>
      </c>
      <c r="L93" s="1">
        <v>409.2</v>
      </c>
      <c r="M93" s="34">
        <v>41671</v>
      </c>
      <c r="N93" s="1">
        <v>78.400000000000006</v>
      </c>
    </row>
    <row r="94" spans="1:14" x14ac:dyDescent="0.25">
      <c r="A94" s="34">
        <v>41699</v>
      </c>
      <c r="B94" s="1">
        <v>419.9</v>
      </c>
      <c r="C94" s="34">
        <v>41699</v>
      </c>
      <c r="D94" s="1">
        <v>564</v>
      </c>
      <c r="E94" s="34">
        <v>41699</v>
      </c>
      <c r="F94" s="1">
        <v>3.7</v>
      </c>
      <c r="G94" s="34">
        <v>41699</v>
      </c>
      <c r="H94" s="1">
        <v>1.19</v>
      </c>
      <c r="I94" s="34">
        <v>41699</v>
      </c>
      <c r="J94" s="1">
        <v>156.04</v>
      </c>
      <c r="K94" s="34">
        <v>41699</v>
      </c>
      <c r="L94" s="1">
        <v>410.4</v>
      </c>
      <c r="M94" s="34">
        <v>41699</v>
      </c>
      <c r="N94" s="1">
        <v>78.599999999999994</v>
      </c>
    </row>
    <row r="95" spans="1:14" x14ac:dyDescent="0.25">
      <c r="A95" s="34">
        <v>41730</v>
      </c>
      <c r="B95" s="1">
        <v>421.3</v>
      </c>
      <c r="C95" s="34">
        <v>41730</v>
      </c>
      <c r="D95" s="1">
        <v>745</v>
      </c>
      <c r="E95" s="34">
        <v>41730</v>
      </c>
      <c r="F95" s="1">
        <v>3.7</v>
      </c>
      <c r="G95" s="34">
        <v>41730</v>
      </c>
      <c r="H95" s="1">
        <v>1.25</v>
      </c>
      <c r="I95" s="34">
        <v>41730</v>
      </c>
      <c r="J95" s="1">
        <v>156.31</v>
      </c>
      <c r="K95" s="34">
        <v>41730</v>
      </c>
      <c r="L95" s="1">
        <v>417.1</v>
      </c>
      <c r="M95" s="34">
        <v>41730</v>
      </c>
      <c r="N95" s="1">
        <v>78.599999999999994</v>
      </c>
    </row>
    <row r="96" spans="1:14" x14ac:dyDescent="0.25">
      <c r="A96" s="34">
        <v>41760</v>
      </c>
      <c r="B96" s="1">
        <v>419.6</v>
      </c>
      <c r="C96" s="34">
        <v>41760</v>
      </c>
      <c r="D96" s="1">
        <v>539</v>
      </c>
      <c r="E96" s="34">
        <v>41760</v>
      </c>
      <c r="F96" s="1">
        <v>3.8</v>
      </c>
      <c r="G96" s="34">
        <v>41760</v>
      </c>
      <c r="H96" s="1">
        <v>1.01</v>
      </c>
      <c r="I96" s="34">
        <v>41760</v>
      </c>
      <c r="J96" s="1">
        <v>156.51</v>
      </c>
      <c r="K96" s="34">
        <v>41760</v>
      </c>
      <c r="L96" s="1">
        <v>424.9</v>
      </c>
      <c r="M96" s="34">
        <v>41760</v>
      </c>
      <c r="N96" s="1">
        <v>79.5</v>
      </c>
    </row>
    <row r="97" spans="1:14" x14ac:dyDescent="0.25">
      <c r="A97" s="34">
        <v>41791</v>
      </c>
      <c r="B97" s="1">
        <v>420.5</v>
      </c>
      <c r="C97" s="34">
        <v>41791</v>
      </c>
      <c r="D97" s="1">
        <v>419</v>
      </c>
      <c r="E97" s="34">
        <v>41791</v>
      </c>
      <c r="F97" s="1">
        <v>3.8</v>
      </c>
      <c r="G97" s="34">
        <v>41791</v>
      </c>
      <c r="H97" s="1">
        <v>1.1200000000000001</v>
      </c>
      <c r="I97" s="34">
        <v>41791</v>
      </c>
      <c r="J97" s="1">
        <v>156.80000000000001</v>
      </c>
      <c r="K97" s="34">
        <v>41791</v>
      </c>
      <c r="L97" s="1">
        <v>430.9</v>
      </c>
      <c r="M97" s="34">
        <v>41791</v>
      </c>
      <c r="N97" s="1">
        <v>78.7</v>
      </c>
    </row>
    <row r="98" spans="1:14" x14ac:dyDescent="0.25">
      <c r="A98" s="34">
        <v>41821</v>
      </c>
      <c r="B98" s="1">
        <v>421.7</v>
      </c>
      <c r="C98" s="34">
        <v>41821</v>
      </c>
      <c r="D98" s="1">
        <v>382</v>
      </c>
      <c r="E98" s="34">
        <v>41821</v>
      </c>
      <c r="F98" s="1">
        <v>3.7</v>
      </c>
      <c r="G98" s="34">
        <v>41821</v>
      </c>
      <c r="H98" s="1">
        <v>1.41</v>
      </c>
      <c r="I98" s="34">
        <v>41821</v>
      </c>
      <c r="J98" s="1">
        <v>157.19</v>
      </c>
      <c r="K98" s="34">
        <v>41821</v>
      </c>
      <c r="L98" s="1">
        <v>428.7</v>
      </c>
      <c r="M98" s="34">
        <v>41821</v>
      </c>
      <c r="N98" s="1">
        <v>74</v>
      </c>
    </row>
    <row r="99" spans="1:14" x14ac:dyDescent="0.25">
      <c r="A99" s="34">
        <v>41852</v>
      </c>
      <c r="B99" s="1">
        <v>420.5</v>
      </c>
      <c r="C99" s="34">
        <v>41852</v>
      </c>
      <c r="D99" s="1">
        <v>391</v>
      </c>
      <c r="E99" s="34">
        <v>41852</v>
      </c>
      <c r="F99" s="1">
        <v>3.5</v>
      </c>
      <c r="G99" s="34">
        <v>41852</v>
      </c>
      <c r="H99" s="1">
        <v>1.71</v>
      </c>
      <c r="I99" s="34">
        <v>41852</v>
      </c>
      <c r="J99" s="1">
        <v>157.63</v>
      </c>
      <c r="K99" s="34">
        <v>41852</v>
      </c>
      <c r="L99" s="1">
        <v>429.1</v>
      </c>
      <c r="M99" s="34">
        <v>41852</v>
      </c>
      <c r="N99" s="1">
        <v>74.5</v>
      </c>
    </row>
    <row r="100" spans="1:14" x14ac:dyDescent="0.25">
      <c r="A100" s="34">
        <v>41883</v>
      </c>
      <c r="B100" s="1">
        <v>421.2</v>
      </c>
      <c r="C100" s="34">
        <v>41883</v>
      </c>
      <c r="D100" s="1">
        <v>364</v>
      </c>
      <c r="E100" s="34">
        <v>41883</v>
      </c>
      <c r="F100" s="1">
        <v>3.4</v>
      </c>
      <c r="G100" s="34">
        <v>41883</v>
      </c>
      <c r="H100" s="1">
        <v>1.0900000000000001</v>
      </c>
      <c r="I100" s="34">
        <v>41883</v>
      </c>
      <c r="J100" s="1">
        <v>157.69</v>
      </c>
      <c r="K100" s="34">
        <v>41883</v>
      </c>
      <c r="L100" s="1">
        <v>425.3</v>
      </c>
      <c r="M100" s="34">
        <v>41883</v>
      </c>
      <c r="N100" s="1">
        <v>78.7</v>
      </c>
    </row>
    <row r="101" spans="1:14" x14ac:dyDescent="0.25">
      <c r="A101" s="34">
        <v>41913</v>
      </c>
      <c r="B101" s="1">
        <v>422.5</v>
      </c>
      <c r="C101" s="34">
        <v>41913</v>
      </c>
      <c r="D101" s="1">
        <v>531</v>
      </c>
      <c r="E101" s="34">
        <v>41913</v>
      </c>
      <c r="F101" s="1">
        <v>3.3</v>
      </c>
      <c r="G101" s="34">
        <v>41913</v>
      </c>
      <c r="H101" s="1">
        <v>1.31</v>
      </c>
      <c r="I101" s="34">
        <v>41913</v>
      </c>
      <c r="J101" s="1">
        <v>158.22</v>
      </c>
      <c r="K101" s="34">
        <v>41913</v>
      </c>
      <c r="L101" s="1">
        <v>425.9</v>
      </c>
      <c r="M101" s="34">
        <v>41913</v>
      </c>
      <c r="N101" s="1">
        <v>80.2</v>
      </c>
    </row>
    <row r="102" spans="1:14" x14ac:dyDescent="0.25">
      <c r="A102" s="34">
        <v>41944</v>
      </c>
      <c r="B102" s="1">
        <v>419.9</v>
      </c>
      <c r="C102" s="34">
        <v>41944</v>
      </c>
      <c r="D102" s="1">
        <v>164</v>
      </c>
      <c r="E102" s="34">
        <v>41944</v>
      </c>
      <c r="F102" s="1">
        <v>3.3</v>
      </c>
      <c r="G102" s="34">
        <v>41944</v>
      </c>
      <c r="H102" s="1">
        <v>0.85</v>
      </c>
      <c r="I102" s="34">
        <v>41944</v>
      </c>
      <c r="J102" s="1">
        <v>158.28</v>
      </c>
      <c r="K102" s="34">
        <v>41944</v>
      </c>
      <c r="L102" s="1">
        <v>421</v>
      </c>
      <c r="M102" s="34">
        <v>41944</v>
      </c>
      <c r="N102" s="1">
        <v>79.5</v>
      </c>
    </row>
    <row r="103" spans="1:14" x14ac:dyDescent="0.25">
      <c r="A103" s="34">
        <v>41974</v>
      </c>
      <c r="B103" s="1">
        <v>421.5</v>
      </c>
      <c r="E103" s="34">
        <v>41974</v>
      </c>
      <c r="F103" s="1">
        <v>3.3</v>
      </c>
      <c r="K103" s="34">
        <v>41974</v>
      </c>
      <c r="L103" s="1">
        <v>419.6</v>
      </c>
      <c r="M103" s="34">
        <v>41974</v>
      </c>
      <c r="N103" s="1">
        <v>79.2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P103"/>
  <sheetViews>
    <sheetView topLeftCell="A77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283</v>
      </c>
      <c r="C1" s="34" t="s">
        <v>284</v>
      </c>
      <c r="E1" s="34" t="s">
        <v>285</v>
      </c>
      <c r="G1" s="34" t="s">
        <v>286</v>
      </c>
      <c r="I1" s="34" t="s">
        <v>287</v>
      </c>
      <c r="K1" s="34" t="str">
        <f>CONCATENATE(LEFT(A1,2), "NAN")</f>
        <v>TXNAN</v>
      </c>
      <c r="M1" s="34" t="str">
        <f>CONCATENATE(LEFT(A1,2), "GOVTN")</f>
        <v>TXGOVTN</v>
      </c>
      <c r="O1" s="34" t="str">
        <f>CONCATENATE(LEFT($A$1,2), "RGSP")</f>
        <v>TXRGSP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961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928</v>
      </c>
      <c r="C5" s="35" t="s">
        <v>351</v>
      </c>
      <c r="E5" s="35" t="s">
        <v>352</v>
      </c>
      <c r="G5" s="35" t="s">
        <v>353</v>
      </c>
      <c r="I5" s="35" t="s">
        <v>354</v>
      </c>
      <c r="K5" s="35" t="s">
        <v>928</v>
      </c>
      <c r="M5" s="35" t="s">
        <v>929</v>
      </c>
      <c r="O5" s="35" t="s">
        <v>778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10231.1</v>
      </c>
      <c r="C8" s="34">
        <v>39083</v>
      </c>
      <c r="D8" s="1">
        <v>13270</v>
      </c>
      <c r="E8" s="34">
        <v>39083</v>
      </c>
      <c r="F8" s="1">
        <v>4.5</v>
      </c>
      <c r="G8" s="34">
        <v>39083</v>
      </c>
      <c r="H8" s="1">
        <v>2.27</v>
      </c>
      <c r="I8" s="34">
        <v>39083</v>
      </c>
      <c r="J8" s="1">
        <v>160.22</v>
      </c>
      <c r="K8" s="34">
        <v>39083</v>
      </c>
      <c r="L8" s="1">
        <v>10109.200000000001</v>
      </c>
      <c r="M8" s="34">
        <v>39083</v>
      </c>
      <c r="N8" s="1">
        <v>1712.7</v>
      </c>
      <c r="O8" s="34">
        <v>39083</v>
      </c>
      <c r="P8" s="1">
        <v>1165041</v>
      </c>
    </row>
    <row r="9" spans="1:16" x14ac:dyDescent="0.25">
      <c r="A9" s="34">
        <v>39114</v>
      </c>
      <c r="B9" s="1">
        <v>10269.1</v>
      </c>
      <c r="C9" s="34">
        <v>39114</v>
      </c>
      <c r="D9" s="1">
        <v>15111</v>
      </c>
      <c r="E9" s="34">
        <v>39114</v>
      </c>
      <c r="F9" s="1">
        <v>4.4000000000000004</v>
      </c>
      <c r="G9" s="34">
        <v>39114</v>
      </c>
      <c r="H9" s="1">
        <v>2.42</v>
      </c>
      <c r="I9" s="34">
        <v>39114</v>
      </c>
      <c r="J9" s="1">
        <v>160.91999999999999</v>
      </c>
      <c r="K9" s="34">
        <v>39114</v>
      </c>
      <c r="L9" s="1">
        <v>10209.5</v>
      </c>
      <c r="M9" s="34">
        <v>39114</v>
      </c>
      <c r="N9" s="1">
        <v>1744.2</v>
      </c>
      <c r="O9" s="34">
        <v>39448</v>
      </c>
      <c r="P9" s="1">
        <v>1173481</v>
      </c>
    </row>
    <row r="10" spans="1:16" x14ac:dyDescent="0.25">
      <c r="A10" s="34">
        <v>39142</v>
      </c>
      <c r="B10" s="1">
        <v>10312</v>
      </c>
      <c r="C10" s="34">
        <v>39142</v>
      </c>
      <c r="D10" s="1">
        <v>16433</v>
      </c>
      <c r="E10" s="34">
        <v>39142</v>
      </c>
      <c r="F10" s="1">
        <v>4.3</v>
      </c>
      <c r="G10" s="34">
        <v>39142</v>
      </c>
      <c r="H10" s="1">
        <v>2.2599999999999998</v>
      </c>
      <c r="I10" s="34">
        <v>39142</v>
      </c>
      <c r="J10" s="1">
        <v>161.6</v>
      </c>
      <c r="K10" s="34">
        <v>39142</v>
      </c>
      <c r="L10" s="1">
        <v>10304.799999999999</v>
      </c>
      <c r="M10" s="34">
        <v>39142</v>
      </c>
      <c r="N10" s="1">
        <v>1750.4</v>
      </c>
      <c r="O10" s="34">
        <v>39814</v>
      </c>
      <c r="P10" s="1">
        <v>1167233</v>
      </c>
    </row>
    <row r="11" spans="1:16" x14ac:dyDescent="0.25">
      <c r="A11" s="34">
        <v>39173</v>
      </c>
      <c r="B11" s="1">
        <v>10334.4</v>
      </c>
      <c r="C11" s="34">
        <v>39173</v>
      </c>
      <c r="D11" s="1">
        <v>14143</v>
      </c>
      <c r="E11" s="34">
        <v>39173</v>
      </c>
      <c r="F11" s="1">
        <v>4.3</v>
      </c>
      <c r="G11" s="34">
        <v>39173</v>
      </c>
      <c r="H11" s="1">
        <v>2</v>
      </c>
      <c r="I11" s="34">
        <v>39173</v>
      </c>
      <c r="J11" s="1">
        <v>162.27000000000001</v>
      </c>
      <c r="K11" s="34">
        <v>39173</v>
      </c>
      <c r="L11" s="1">
        <v>10336.5</v>
      </c>
      <c r="M11" s="34">
        <v>39173</v>
      </c>
      <c r="N11" s="1">
        <v>1750</v>
      </c>
      <c r="O11" s="34">
        <v>40179</v>
      </c>
      <c r="P11" s="1">
        <v>1201992</v>
      </c>
    </row>
    <row r="12" spans="1:16" x14ac:dyDescent="0.25">
      <c r="A12" s="34">
        <v>39203</v>
      </c>
      <c r="B12" s="1">
        <v>10358.5</v>
      </c>
      <c r="C12" s="34">
        <v>39203</v>
      </c>
      <c r="D12" s="1">
        <v>18291</v>
      </c>
      <c r="E12" s="34">
        <v>39203</v>
      </c>
      <c r="F12" s="1">
        <v>4.3</v>
      </c>
      <c r="G12" s="34">
        <v>39203</v>
      </c>
      <c r="H12" s="1">
        <v>1.75</v>
      </c>
      <c r="I12" s="34">
        <v>39203</v>
      </c>
      <c r="J12" s="1">
        <v>162.88999999999999</v>
      </c>
      <c r="K12" s="34">
        <v>39203</v>
      </c>
      <c r="L12" s="1">
        <v>10395.1</v>
      </c>
      <c r="M12" s="34">
        <v>39203</v>
      </c>
      <c r="N12" s="1">
        <v>1752.5</v>
      </c>
      <c r="O12" s="34">
        <v>40544</v>
      </c>
      <c r="P12" s="1">
        <v>1252007</v>
      </c>
    </row>
    <row r="13" spans="1:16" x14ac:dyDescent="0.25">
      <c r="A13" s="34">
        <v>39234</v>
      </c>
      <c r="B13" s="1">
        <v>10393.200000000001</v>
      </c>
      <c r="C13" s="34">
        <v>39234</v>
      </c>
      <c r="D13" s="1">
        <v>16656</v>
      </c>
      <c r="E13" s="34">
        <v>39234</v>
      </c>
      <c r="F13" s="1">
        <v>4.3</v>
      </c>
      <c r="G13" s="34">
        <v>39234</v>
      </c>
      <c r="H13" s="1">
        <v>1.65</v>
      </c>
      <c r="I13" s="34">
        <v>39234</v>
      </c>
      <c r="J13" s="1">
        <v>163.47999999999999</v>
      </c>
      <c r="K13" s="34">
        <v>39234</v>
      </c>
      <c r="L13" s="1">
        <v>10435</v>
      </c>
      <c r="M13" s="34">
        <v>39234</v>
      </c>
      <c r="N13" s="1">
        <v>1715.1</v>
      </c>
      <c r="O13" s="34">
        <v>40909</v>
      </c>
      <c r="P13" s="1">
        <v>1338578</v>
      </c>
    </row>
    <row r="14" spans="1:16" x14ac:dyDescent="0.25">
      <c r="A14" s="34">
        <v>39264</v>
      </c>
      <c r="B14" s="1">
        <v>10413.799999999999</v>
      </c>
      <c r="C14" s="34">
        <v>39264</v>
      </c>
      <c r="D14" s="1">
        <v>16459</v>
      </c>
      <c r="E14" s="34">
        <v>39264</v>
      </c>
      <c r="F14" s="1">
        <v>4.3</v>
      </c>
      <c r="G14" s="34">
        <v>39264</v>
      </c>
      <c r="H14" s="1">
        <v>1.53</v>
      </c>
      <c r="I14" s="34">
        <v>39264</v>
      </c>
      <c r="J14" s="1">
        <v>164.02</v>
      </c>
      <c r="K14" s="34">
        <v>39264</v>
      </c>
      <c r="L14" s="1">
        <v>10351.5</v>
      </c>
      <c r="M14" s="34">
        <v>39264</v>
      </c>
      <c r="N14" s="1">
        <v>1644</v>
      </c>
      <c r="O14" s="34">
        <v>41275</v>
      </c>
      <c r="P14" s="1">
        <v>1387598</v>
      </c>
    </row>
    <row r="15" spans="1:16" x14ac:dyDescent="0.25">
      <c r="A15" s="34">
        <v>39295</v>
      </c>
      <c r="B15" s="1">
        <v>10429.6</v>
      </c>
      <c r="C15" s="34">
        <v>39295</v>
      </c>
      <c r="D15" s="1">
        <v>15249</v>
      </c>
      <c r="E15" s="34">
        <v>39295</v>
      </c>
      <c r="F15" s="1">
        <v>4.3</v>
      </c>
      <c r="G15" s="34">
        <v>39295</v>
      </c>
      <c r="H15" s="1">
        <v>1.46</v>
      </c>
      <c r="I15" s="34">
        <v>39295</v>
      </c>
      <c r="J15" s="1">
        <v>164.52</v>
      </c>
      <c r="K15" s="34">
        <v>39295</v>
      </c>
      <c r="L15" s="1">
        <v>10403.700000000001</v>
      </c>
      <c r="M15" s="34">
        <v>39295</v>
      </c>
      <c r="N15" s="1">
        <v>1652.9</v>
      </c>
    </row>
    <row r="16" spans="1:16" x14ac:dyDescent="0.25">
      <c r="A16" s="34">
        <v>39326</v>
      </c>
      <c r="B16" s="1">
        <v>10448.799999999999</v>
      </c>
      <c r="C16" s="34">
        <v>39326</v>
      </c>
      <c r="D16" s="1">
        <v>11531</v>
      </c>
      <c r="E16" s="34">
        <v>39326</v>
      </c>
      <c r="F16" s="1">
        <v>4.3</v>
      </c>
      <c r="G16" s="34">
        <v>39326</v>
      </c>
      <c r="H16" s="1">
        <v>1.43</v>
      </c>
      <c r="I16" s="34">
        <v>39326</v>
      </c>
      <c r="J16" s="1">
        <v>164.99</v>
      </c>
      <c r="K16" s="34">
        <v>39326</v>
      </c>
      <c r="L16" s="1">
        <v>10457</v>
      </c>
      <c r="M16" s="34">
        <v>39326</v>
      </c>
      <c r="N16" s="1">
        <v>1727.8</v>
      </c>
    </row>
    <row r="17" spans="1:14" x14ac:dyDescent="0.25">
      <c r="A17" s="34">
        <v>39356</v>
      </c>
      <c r="B17" s="1">
        <v>10482.4</v>
      </c>
      <c r="C17" s="34">
        <v>39356</v>
      </c>
      <c r="D17" s="1">
        <v>12599</v>
      </c>
      <c r="E17" s="34">
        <v>39356</v>
      </c>
      <c r="F17" s="1">
        <v>4.4000000000000004</v>
      </c>
      <c r="G17" s="34">
        <v>39356</v>
      </c>
      <c r="H17" s="1">
        <v>1.31</v>
      </c>
      <c r="I17" s="34">
        <v>39356</v>
      </c>
      <c r="J17" s="1">
        <v>165.43</v>
      </c>
      <c r="K17" s="34">
        <v>39356</v>
      </c>
      <c r="L17" s="1">
        <v>10511.6</v>
      </c>
      <c r="M17" s="34">
        <v>39356</v>
      </c>
      <c r="N17" s="1">
        <v>1766.7</v>
      </c>
    </row>
    <row r="18" spans="1:14" x14ac:dyDescent="0.25">
      <c r="A18" s="34">
        <v>39387</v>
      </c>
      <c r="B18" s="1">
        <v>10507.2</v>
      </c>
      <c r="C18" s="34">
        <v>39387</v>
      </c>
      <c r="D18" s="1">
        <v>12006</v>
      </c>
      <c r="E18" s="34">
        <v>39387</v>
      </c>
      <c r="F18" s="1">
        <v>4.4000000000000004</v>
      </c>
      <c r="G18" s="34">
        <v>39387</v>
      </c>
      <c r="H18" s="1">
        <v>1.6</v>
      </c>
      <c r="I18" s="34">
        <v>39387</v>
      </c>
      <c r="J18" s="1">
        <v>165.85</v>
      </c>
      <c r="K18" s="34">
        <v>39387</v>
      </c>
      <c r="L18" s="1">
        <v>10582</v>
      </c>
      <c r="M18" s="34">
        <v>39387</v>
      </c>
      <c r="N18" s="1">
        <v>1781.6</v>
      </c>
    </row>
    <row r="19" spans="1:14" x14ac:dyDescent="0.25">
      <c r="A19" s="34">
        <v>39417</v>
      </c>
      <c r="B19" s="1">
        <v>10529.2</v>
      </c>
      <c r="C19" s="34">
        <v>39417</v>
      </c>
      <c r="D19" s="1">
        <v>10707</v>
      </c>
      <c r="E19" s="34">
        <v>39417</v>
      </c>
      <c r="F19" s="1">
        <v>4.4000000000000004</v>
      </c>
      <c r="G19" s="34">
        <v>39417</v>
      </c>
      <c r="H19" s="1">
        <v>1.54</v>
      </c>
      <c r="I19" s="34">
        <v>39417</v>
      </c>
      <c r="J19" s="1">
        <v>166.27</v>
      </c>
      <c r="K19" s="34">
        <v>39417</v>
      </c>
      <c r="L19" s="1">
        <v>10616.7</v>
      </c>
      <c r="M19" s="34">
        <v>39417</v>
      </c>
      <c r="N19" s="1">
        <v>1777.3</v>
      </c>
    </row>
    <row r="20" spans="1:14" x14ac:dyDescent="0.25">
      <c r="A20" s="34">
        <v>39448</v>
      </c>
      <c r="B20" s="1">
        <v>10563.3</v>
      </c>
      <c r="C20" s="34">
        <v>39448</v>
      </c>
      <c r="D20" s="1">
        <v>11666</v>
      </c>
      <c r="E20" s="34">
        <v>39448</v>
      </c>
      <c r="F20" s="1">
        <v>4.4000000000000004</v>
      </c>
      <c r="G20" s="34">
        <v>39448</v>
      </c>
      <c r="H20" s="1">
        <v>1.47</v>
      </c>
      <c r="I20" s="34">
        <v>39448</v>
      </c>
      <c r="J20" s="1">
        <v>166.7</v>
      </c>
      <c r="K20" s="34">
        <v>39448</v>
      </c>
      <c r="L20" s="1">
        <v>10437.9</v>
      </c>
      <c r="M20" s="34">
        <v>39448</v>
      </c>
      <c r="N20" s="1">
        <v>1758.1</v>
      </c>
    </row>
    <row r="21" spans="1:14" x14ac:dyDescent="0.25">
      <c r="A21" s="34">
        <v>39479</v>
      </c>
      <c r="B21" s="1">
        <v>10593.9</v>
      </c>
      <c r="C21" s="34">
        <v>39479</v>
      </c>
      <c r="D21" s="1">
        <v>11216</v>
      </c>
      <c r="E21" s="34">
        <v>39479</v>
      </c>
      <c r="F21" s="1">
        <v>4.3</v>
      </c>
      <c r="G21" s="34">
        <v>39479</v>
      </c>
      <c r="H21" s="1">
        <v>1.24</v>
      </c>
      <c r="I21" s="34">
        <v>39479</v>
      </c>
      <c r="J21" s="1">
        <v>167.11</v>
      </c>
      <c r="K21" s="34">
        <v>39479</v>
      </c>
      <c r="L21" s="1">
        <v>10533</v>
      </c>
      <c r="M21" s="34">
        <v>39479</v>
      </c>
      <c r="N21" s="1">
        <v>1789.5</v>
      </c>
    </row>
    <row r="22" spans="1:14" x14ac:dyDescent="0.25">
      <c r="A22" s="34">
        <v>39508</v>
      </c>
      <c r="B22" s="1">
        <v>10585.4</v>
      </c>
      <c r="C22" s="34">
        <v>39508</v>
      </c>
      <c r="D22" s="1">
        <v>13041</v>
      </c>
      <c r="E22" s="34">
        <v>39508</v>
      </c>
      <c r="F22" s="1">
        <v>4.4000000000000004</v>
      </c>
      <c r="G22" s="34">
        <v>39508</v>
      </c>
      <c r="H22" s="1">
        <v>0.71</v>
      </c>
      <c r="I22" s="34">
        <v>39508</v>
      </c>
      <c r="J22" s="1">
        <v>167.48</v>
      </c>
      <c r="K22" s="34">
        <v>39508</v>
      </c>
      <c r="L22" s="1">
        <v>10577.5</v>
      </c>
      <c r="M22" s="34">
        <v>39508</v>
      </c>
      <c r="N22" s="1">
        <v>1797.6</v>
      </c>
    </row>
    <row r="23" spans="1:14" x14ac:dyDescent="0.25">
      <c r="A23" s="34">
        <v>39539</v>
      </c>
      <c r="B23" s="1">
        <v>10606.1</v>
      </c>
      <c r="C23" s="34">
        <v>39539</v>
      </c>
      <c r="D23" s="1">
        <v>12875</v>
      </c>
      <c r="E23" s="34">
        <v>39539</v>
      </c>
      <c r="F23" s="1">
        <v>4.4000000000000004</v>
      </c>
      <c r="G23" s="34">
        <v>39539</v>
      </c>
      <c r="H23" s="1">
        <v>0.44</v>
      </c>
      <c r="I23" s="34">
        <v>39539</v>
      </c>
      <c r="J23" s="1">
        <v>167.8</v>
      </c>
      <c r="K23" s="34">
        <v>39539</v>
      </c>
      <c r="L23" s="1">
        <v>10607.9</v>
      </c>
      <c r="M23" s="34">
        <v>39539</v>
      </c>
      <c r="N23" s="1">
        <v>1791.4</v>
      </c>
    </row>
    <row r="24" spans="1:14" x14ac:dyDescent="0.25">
      <c r="A24" s="34">
        <v>39569</v>
      </c>
      <c r="B24" s="1">
        <v>10613.8</v>
      </c>
      <c r="C24" s="34">
        <v>39569</v>
      </c>
      <c r="D24" s="1">
        <v>12707</v>
      </c>
      <c r="E24" s="34">
        <v>39569</v>
      </c>
      <c r="F24" s="1">
        <v>4.5999999999999996</v>
      </c>
      <c r="G24" s="34">
        <v>39569</v>
      </c>
      <c r="H24" s="1">
        <v>-0.1</v>
      </c>
      <c r="I24" s="34">
        <v>39569</v>
      </c>
      <c r="J24" s="1">
        <v>168.05</v>
      </c>
      <c r="K24" s="34">
        <v>39569</v>
      </c>
      <c r="L24" s="1">
        <v>10655.1</v>
      </c>
      <c r="M24" s="34">
        <v>39569</v>
      </c>
      <c r="N24" s="1">
        <v>1795.3</v>
      </c>
    </row>
    <row r="25" spans="1:14" x14ac:dyDescent="0.25">
      <c r="A25" s="34">
        <v>39600</v>
      </c>
      <c r="B25" s="1">
        <v>10620.7</v>
      </c>
      <c r="C25" s="34">
        <v>39600</v>
      </c>
      <c r="D25" s="1">
        <v>10680</v>
      </c>
      <c r="E25" s="34">
        <v>39600</v>
      </c>
      <c r="F25" s="1">
        <v>4.7</v>
      </c>
      <c r="G25" s="34">
        <v>39600</v>
      </c>
      <c r="H25" s="1">
        <v>-0.09</v>
      </c>
      <c r="I25" s="34">
        <v>39600</v>
      </c>
      <c r="J25" s="1">
        <v>168.21</v>
      </c>
      <c r="K25" s="34">
        <v>39600</v>
      </c>
      <c r="L25" s="1">
        <v>10657.6</v>
      </c>
      <c r="M25" s="34">
        <v>39600</v>
      </c>
      <c r="N25" s="1">
        <v>1762.1</v>
      </c>
    </row>
    <row r="26" spans="1:14" x14ac:dyDescent="0.25">
      <c r="A26" s="34">
        <v>39630</v>
      </c>
      <c r="B26" s="1">
        <v>10634.1</v>
      </c>
      <c r="C26" s="34">
        <v>39630</v>
      </c>
      <c r="D26" s="1">
        <v>11695</v>
      </c>
      <c r="E26" s="34">
        <v>39630</v>
      </c>
      <c r="F26" s="1">
        <v>4.9000000000000004</v>
      </c>
      <c r="G26" s="34">
        <v>39630</v>
      </c>
      <c r="H26" s="1">
        <v>-0.7</v>
      </c>
      <c r="I26" s="34">
        <v>39630</v>
      </c>
      <c r="J26" s="1">
        <v>168.27</v>
      </c>
      <c r="K26" s="34">
        <v>39630</v>
      </c>
      <c r="L26" s="1">
        <v>10573.9</v>
      </c>
      <c r="M26" s="34">
        <v>39630</v>
      </c>
      <c r="N26" s="1">
        <v>1692</v>
      </c>
    </row>
    <row r="27" spans="1:14" x14ac:dyDescent="0.25">
      <c r="A27" s="34">
        <v>39661</v>
      </c>
      <c r="B27" s="1">
        <v>10638.1</v>
      </c>
      <c r="C27" s="34">
        <v>39661</v>
      </c>
      <c r="D27" s="1">
        <v>12221</v>
      </c>
      <c r="E27" s="34">
        <v>39661</v>
      </c>
      <c r="F27" s="1">
        <v>5.0999999999999996</v>
      </c>
      <c r="G27" s="34">
        <v>39661</v>
      </c>
      <c r="H27" s="1">
        <v>-1.19</v>
      </c>
      <c r="I27" s="34">
        <v>39661</v>
      </c>
      <c r="J27" s="1">
        <v>168.22</v>
      </c>
      <c r="K27" s="34">
        <v>39661</v>
      </c>
      <c r="L27" s="1">
        <v>10612.8</v>
      </c>
      <c r="M27" s="34">
        <v>39661</v>
      </c>
      <c r="N27" s="1">
        <v>1699.5</v>
      </c>
    </row>
    <row r="28" spans="1:14" x14ac:dyDescent="0.25">
      <c r="A28" s="34">
        <v>39692</v>
      </c>
      <c r="B28" s="1">
        <v>10609.7</v>
      </c>
      <c r="C28" s="34">
        <v>39692</v>
      </c>
      <c r="D28" s="1">
        <v>9198</v>
      </c>
      <c r="E28" s="34">
        <v>39692</v>
      </c>
      <c r="F28" s="1">
        <v>5.2</v>
      </c>
      <c r="G28" s="34">
        <v>39692</v>
      </c>
      <c r="H28" s="1">
        <v>-2.19</v>
      </c>
      <c r="I28" s="34">
        <v>39692</v>
      </c>
      <c r="J28" s="1">
        <v>168.04</v>
      </c>
      <c r="K28" s="34">
        <v>39692</v>
      </c>
      <c r="L28" s="1">
        <v>10608.7</v>
      </c>
      <c r="M28" s="34">
        <v>39692</v>
      </c>
      <c r="N28" s="1">
        <v>1770.4</v>
      </c>
    </row>
    <row r="29" spans="1:14" x14ac:dyDescent="0.25">
      <c r="A29" s="34">
        <v>39722</v>
      </c>
      <c r="B29" s="1">
        <v>10622.2</v>
      </c>
      <c r="C29" s="34">
        <v>39722</v>
      </c>
      <c r="D29" s="1">
        <v>8552</v>
      </c>
      <c r="E29" s="34">
        <v>39722</v>
      </c>
      <c r="F29" s="1">
        <v>5.5</v>
      </c>
      <c r="G29" s="34">
        <v>39722</v>
      </c>
      <c r="H29" s="1">
        <v>-2.87</v>
      </c>
      <c r="I29" s="34">
        <v>39722</v>
      </c>
      <c r="J29" s="1">
        <v>167.69</v>
      </c>
      <c r="K29" s="34">
        <v>39722</v>
      </c>
      <c r="L29" s="1">
        <v>10660.4</v>
      </c>
      <c r="M29" s="34">
        <v>39722</v>
      </c>
      <c r="N29" s="1">
        <v>1806.6</v>
      </c>
    </row>
    <row r="30" spans="1:14" x14ac:dyDescent="0.25">
      <c r="A30" s="34">
        <v>39753</v>
      </c>
      <c r="B30" s="1">
        <v>10612.1</v>
      </c>
      <c r="C30" s="34">
        <v>39753</v>
      </c>
      <c r="D30" s="1">
        <v>5402</v>
      </c>
      <c r="E30" s="34">
        <v>39753</v>
      </c>
      <c r="F30" s="1">
        <v>5.7</v>
      </c>
      <c r="G30" s="34">
        <v>39753</v>
      </c>
      <c r="H30" s="1">
        <v>-3.47</v>
      </c>
      <c r="I30" s="34">
        <v>39753</v>
      </c>
      <c r="J30" s="1">
        <v>167.18</v>
      </c>
      <c r="K30" s="34">
        <v>39753</v>
      </c>
      <c r="L30" s="1">
        <v>10681.3</v>
      </c>
      <c r="M30" s="34">
        <v>39753</v>
      </c>
      <c r="N30" s="1">
        <v>1825.6</v>
      </c>
    </row>
    <row r="31" spans="1:14" x14ac:dyDescent="0.25">
      <c r="A31" s="34">
        <v>39783</v>
      </c>
      <c r="B31" s="1">
        <v>10580.3</v>
      </c>
      <c r="C31" s="34">
        <v>39783</v>
      </c>
      <c r="D31" s="1">
        <v>6663</v>
      </c>
      <c r="E31" s="34">
        <v>39783</v>
      </c>
      <c r="F31" s="1">
        <v>6</v>
      </c>
      <c r="G31" s="34">
        <v>39783</v>
      </c>
      <c r="H31" s="1">
        <v>-3.73</v>
      </c>
      <c r="I31" s="34">
        <v>39783</v>
      </c>
      <c r="J31" s="1">
        <v>166.48</v>
      </c>
      <c r="K31" s="34">
        <v>39783</v>
      </c>
      <c r="L31" s="1">
        <v>10669.6</v>
      </c>
      <c r="M31" s="34">
        <v>39783</v>
      </c>
      <c r="N31" s="1">
        <v>1820.4</v>
      </c>
    </row>
    <row r="32" spans="1:14" x14ac:dyDescent="0.25">
      <c r="A32" s="34">
        <v>39814</v>
      </c>
      <c r="B32" s="1">
        <v>10519.9</v>
      </c>
      <c r="C32" s="34">
        <v>39814</v>
      </c>
      <c r="D32" s="1">
        <v>6121</v>
      </c>
      <c r="E32" s="34">
        <v>39814</v>
      </c>
      <c r="F32" s="1">
        <v>6.3</v>
      </c>
      <c r="G32" s="34">
        <v>39814</v>
      </c>
      <c r="H32" s="1">
        <v>-4.0599999999999996</v>
      </c>
      <c r="I32" s="34">
        <v>39814</v>
      </c>
      <c r="J32" s="1">
        <v>165.61</v>
      </c>
      <c r="K32" s="34">
        <v>39814</v>
      </c>
      <c r="L32" s="1">
        <v>10402.1</v>
      </c>
      <c r="M32" s="34">
        <v>39814</v>
      </c>
      <c r="N32" s="1">
        <v>1800.5</v>
      </c>
    </row>
    <row r="33" spans="1:14" x14ac:dyDescent="0.25">
      <c r="A33" s="34">
        <v>39845</v>
      </c>
      <c r="B33" s="1">
        <v>10465.4</v>
      </c>
      <c r="C33" s="34">
        <v>39845</v>
      </c>
      <c r="D33" s="1">
        <v>6587</v>
      </c>
      <c r="E33" s="34">
        <v>39845</v>
      </c>
      <c r="F33" s="1">
        <v>6.6</v>
      </c>
      <c r="G33" s="34">
        <v>39845</v>
      </c>
      <c r="H33" s="1">
        <v>-3.53</v>
      </c>
      <c r="I33" s="34">
        <v>39845</v>
      </c>
      <c r="J33" s="1">
        <v>164.61</v>
      </c>
      <c r="K33" s="34">
        <v>39845</v>
      </c>
      <c r="L33" s="1">
        <v>10397.200000000001</v>
      </c>
      <c r="M33" s="34">
        <v>39845</v>
      </c>
      <c r="N33" s="1">
        <v>1828.5</v>
      </c>
    </row>
    <row r="34" spans="1:14" x14ac:dyDescent="0.25">
      <c r="A34" s="34">
        <v>39873</v>
      </c>
      <c r="B34" s="1">
        <v>10400.299999999999</v>
      </c>
      <c r="C34" s="34">
        <v>39873</v>
      </c>
      <c r="D34" s="1">
        <v>7422</v>
      </c>
      <c r="E34" s="34">
        <v>39873</v>
      </c>
      <c r="F34" s="1">
        <v>6.8</v>
      </c>
      <c r="G34" s="34">
        <v>39873</v>
      </c>
      <c r="H34" s="1">
        <v>-3.18</v>
      </c>
      <c r="I34" s="34">
        <v>39873</v>
      </c>
      <c r="J34" s="1">
        <v>163.56</v>
      </c>
      <c r="K34" s="34">
        <v>39873</v>
      </c>
      <c r="L34" s="1">
        <v>10392.4</v>
      </c>
      <c r="M34" s="34">
        <v>39873</v>
      </c>
      <c r="N34" s="1">
        <v>1835.3</v>
      </c>
    </row>
    <row r="35" spans="1:14" x14ac:dyDescent="0.25">
      <c r="A35" s="34">
        <v>39904</v>
      </c>
      <c r="B35" s="1">
        <v>10327.6</v>
      </c>
      <c r="C35" s="34">
        <v>39904</v>
      </c>
      <c r="D35" s="1">
        <v>7239</v>
      </c>
      <c r="E35" s="34">
        <v>39904</v>
      </c>
      <c r="F35" s="1">
        <v>7.1</v>
      </c>
      <c r="G35" s="34">
        <v>39904</v>
      </c>
      <c r="H35" s="1">
        <v>-3.06</v>
      </c>
      <c r="I35" s="34">
        <v>39904</v>
      </c>
      <c r="J35" s="1">
        <v>162.5</v>
      </c>
      <c r="K35" s="34">
        <v>39904</v>
      </c>
      <c r="L35" s="1">
        <v>10352</v>
      </c>
      <c r="M35" s="34">
        <v>39904</v>
      </c>
      <c r="N35" s="1">
        <v>1844.6</v>
      </c>
    </row>
    <row r="36" spans="1:14" x14ac:dyDescent="0.25">
      <c r="A36" s="34">
        <v>39934</v>
      </c>
      <c r="B36" s="1">
        <v>10312.1</v>
      </c>
      <c r="C36" s="34">
        <v>39934</v>
      </c>
      <c r="D36" s="1">
        <v>6564</v>
      </c>
      <c r="E36" s="34">
        <v>39934</v>
      </c>
      <c r="F36" s="1">
        <v>7.4</v>
      </c>
      <c r="G36" s="34">
        <v>39934</v>
      </c>
      <c r="H36" s="1">
        <v>-2.04</v>
      </c>
      <c r="I36" s="34">
        <v>39934</v>
      </c>
      <c r="J36" s="1">
        <v>161.49</v>
      </c>
      <c r="K36" s="34">
        <v>39934</v>
      </c>
      <c r="L36" s="1">
        <v>10352.6</v>
      </c>
      <c r="M36" s="34">
        <v>39934</v>
      </c>
      <c r="N36" s="1">
        <v>1844.1</v>
      </c>
    </row>
    <row r="37" spans="1:14" x14ac:dyDescent="0.25">
      <c r="A37" s="34">
        <v>39965</v>
      </c>
      <c r="B37" s="1">
        <v>10283.700000000001</v>
      </c>
      <c r="C37" s="34">
        <v>39965</v>
      </c>
      <c r="D37" s="1">
        <v>8318</v>
      </c>
      <c r="E37" s="34">
        <v>39965</v>
      </c>
      <c r="F37" s="1">
        <v>7.6</v>
      </c>
      <c r="G37" s="34">
        <v>39965</v>
      </c>
      <c r="H37" s="1">
        <v>-1.23</v>
      </c>
      <c r="I37" s="34">
        <v>39965</v>
      </c>
      <c r="J37" s="1">
        <v>160.57</v>
      </c>
      <c r="K37" s="34">
        <v>39965</v>
      </c>
      <c r="L37" s="1">
        <v>10320.200000000001</v>
      </c>
      <c r="M37" s="34">
        <v>39965</v>
      </c>
      <c r="N37" s="1">
        <v>1809.6</v>
      </c>
    </row>
    <row r="38" spans="1:14" x14ac:dyDescent="0.25">
      <c r="A38" s="34">
        <v>39995</v>
      </c>
      <c r="B38" s="1">
        <v>10252</v>
      </c>
      <c r="C38" s="34">
        <v>39995</v>
      </c>
      <c r="D38" s="1">
        <v>7721</v>
      </c>
      <c r="E38" s="34">
        <v>39995</v>
      </c>
      <c r="F38" s="1">
        <v>7.8</v>
      </c>
      <c r="G38" s="34">
        <v>39995</v>
      </c>
      <c r="H38" s="1">
        <v>-0.6</v>
      </c>
      <c r="I38" s="34">
        <v>39995</v>
      </c>
      <c r="J38" s="1">
        <v>159.79</v>
      </c>
      <c r="K38" s="34">
        <v>39995</v>
      </c>
      <c r="L38" s="1">
        <v>10198.200000000001</v>
      </c>
      <c r="M38" s="34">
        <v>39995</v>
      </c>
      <c r="N38" s="1">
        <v>1733.4</v>
      </c>
    </row>
    <row r="39" spans="1:14" x14ac:dyDescent="0.25">
      <c r="A39" s="34">
        <v>40026</v>
      </c>
      <c r="B39" s="1">
        <v>10225.4</v>
      </c>
      <c r="C39" s="34">
        <v>40026</v>
      </c>
      <c r="D39" s="1">
        <v>7702</v>
      </c>
      <c r="E39" s="34">
        <v>40026</v>
      </c>
      <c r="F39" s="1">
        <v>8</v>
      </c>
      <c r="G39" s="34">
        <v>40026</v>
      </c>
      <c r="H39" s="1">
        <v>7.0000000000000007E-2</v>
      </c>
      <c r="I39" s="34">
        <v>40026</v>
      </c>
      <c r="J39" s="1">
        <v>159.18</v>
      </c>
      <c r="K39" s="34">
        <v>40026</v>
      </c>
      <c r="L39" s="1">
        <v>10189.700000000001</v>
      </c>
      <c r="M39" s="34">
        <v>40026</v>
      </c>
      <c r="N39" s="1">
        <v>1729.3</v>
      </c>
    </row>
    <row r="40" spans="1:14" x14ac:dyDescent="0.25">
      <c r="A40" s="34">
        <v>40057</v>
      </c>
      <c r="B40" s="1">
        <v>10223.700000000001</v>
      </c>
      <c r="C40" s="34">
        <v>40057</v>
      </c>
      <c r="D40" s="1">
        <v>7307</v>
      </c>
      <c r="E40" s="34">
        <v>40057</v>
      </c>
      <c r="F40" s="1">
        <v>8</v>
      </c>
      <c r="G40" s="34">
        <v>40057</v>
      </c>
      <c r="H40" s="1">
        <v>0.67</v>
      </c>
      <c r="I40" s="34">
        <v>40057</v>
      </c>
      <c r="J40" s="1">
        <v>158.74</v>
      </c>
      <c r="K40" s="34">
        <v>40057</v>
      </c>
      <c r="L40" s="1">
        <v>10214.1</v>
      </c>
      <c r="M40" s="34">
        <v>40057</v>
      </c>
      <c r="N40" s="1">
        <v>1804.8</v>
      </c>
    </row>
    <row r="41" spans="1:14" x14ac:dyDescent="0.25">
      <c r="A41" s="34">
        <v>40087</v>
      </c>
      <c r="B41" s="1">
        <v>10214.299999999999</v>
      </c>
      <c r="C41" s="34">
        <v>40087</v>
      </c>
      <c r="D41" s="1">
        <v>5307</v>
      </c>
      <c r="E41" s="34">
        <v>40087</v>
      </c>
      <c r="F41" s="1">
        <v>8.1</v>
      </c>
      <c r="G41" s="34">
        <v>40087</v>
      </c>
      <c r="H41" s="1">
        <v>0.8</v>
      </c>
      <c r="I41" s="34">
        <v>40087</v>
      </c>
      <c r="J41" s="1">
        <v>158.47</v>
      </c>
      <c r="K41" s="34">
        <v>40087</v>
      </c>
      <c r="L41" s="1">
        <v>10253.1</v>
      </c>
      <c r="M41" s="34">
        <v>40087</v>
      </c>
      <c r="N41" s="1">
        <v>1855.7</v>
      </c>
    </row>
    <row r="42" spans="1:14" x14ac:dyDescent="0.25">
      <c r="A42" s="34">
        <v>40118</v>
      </c>
      <c r="B42" s="1">
        <v>10213.1</v>
      </c>
      <c r="C42" s="34">
        <v>40118</v>
      </c>
      <c r="D42" s="1">
        <v>5622</v>
      </c>
      <c r="E42" s="34">
        <v>40118</v>
      </c>
      <c r="F42" s="1">
        <v>8.1</v>
      </c>
      <c r="G42" s="34">
        <v>40118</v>
      </c>
      <c r="H42" s="1">
        <v>1.35</v>
      </c>
      <c r="I42" s="34">
        <v>40118</v>
      </c>
      <c r="J42" s="1">
        <v>158.37</v>
      </c>
      <c r="K42" s="34">
        <v>40118</v>
      </c>
      <c r="L42" s="1">
        <v>10283.4</v>
      </c>
      <c r="M42" s="34">
        <v>40118</v>
      </c>
      <c r="N42" s="1">
        <v>1868.4</v>
      </c>
    </row>
    <row r="43" spans="1:14" x14ac:dyDescent="0.25">
      <c r="A43" s="34">
        <v>40148</v>
      </c>
      <c r="B43" s="1">
        <v>10207.1</v>
      </c>
      <c r="C43" s="34">
        <v>40148</v>
      </c>
      <c r="D43" s="1">
        <v>6194</v>
      </c>
      <c r="E43" s="34">
        <v>40148</v>
      </c>
      <c r="F43" s="1">
        <v>8.1999999999999993</v>
      </c>
      <c r="G43" s="34">
        <v>40148</v>
      </c>
      <c r="H43" s="1">
        <v>1.72</v>
      </c>
      <c r="I43" s="34">
        <v>40148</v>
      </c>
      <c r="J43" s="1">
        <v>158.43</v>
      </c>
      <c r="K43" s="34">
        <v>40148</v>
      </c>
      <c r="L43" s="1">
        <v>10295.9</v>
      </c>
      <c r="M43" s="34">
        <v>40148</v>
      </c>
      <c r="N43" s="1">
        <v>1860.3</v>
      </c>
    </row>
    <row r="44" spans="1:14" x14ac:dyDescent="0.25">
      <c r="A44" s="34">
        <v>40179</v>
      </c>
      <c r="B44" s="1">
        <v>10232.200000000001</v>
      </c>
      <c r="C44" s="34">
        <v>40179</v>
      </c>
      <c r="D44" s="1">
        <v>6137</v>
      </c>
      <c r="E44" s="34">
        <v>40179</v>
      </c>
      <c r="F44" s="1">
        <v>8.1999999999999993</v>
      </c>
      <c r="G44" s="34">
        <v>40179</v>
      </c>
      <c r="H44" s="1">
        <v>2</v>
      </c>
      <c r="I44" s="34">
        <v>40179</v>
      </c>
      <c r="J44" s="1">
        <v>158.63</v>
      </c>
      <c r="K44" s="34">
        <v>40179</v>
      </c>
      <c r="L44" s="1">
        <v>10113.4</v>
      </c>
      <c r="M44" s="34">
        <v>40179</v>
      </c>
      <c r="N44" s="1">
        <v>1832.6</v>
      </c>
    </row>
    <row r="45" spans="1:14" x14ac:dyDescent="0.25">
      <c r="A45" s="34">
        <v>40210</v>
      </c>
      <c r="B45" s="1">
        <v>10241.1</v>
      </c>
      <c r="C45" s="34">
        <v>40210</v>
      </c>
      <c r="D45" s="1">
        <v>6265</v>
      </c>
      <c r="E45" s="34">
        <v>40210</v>
      </c>
      <c r="F45" s="1">
        <v>8.1999999999999993</v>
      </c>
      <c r="G45" s="34">
        <v>40210</v>
      </c>
      <c r="H45" s="1">
        <v>1.7</v>
      </c>
      <c r="I45" s="34">
        <v>40210</v>
      </c>
      <c r="J45" s="1">
        <v>158.94</v>
      </c>
      <c r="K45" s="34">
        <v>40210</v>
      </c>
      <c r="L45" s="1">
        <v>10172.799999999999</v>
      </c>
      <c r="M45" s="34">
        <v>40210</v>
      </c>
      <c r="N45" s="1">
        <v>1864.9</v>
      </c>
    </row>
    <row r="46" spans="1:14" x14ac:dyDescent="0.25">
      <c r="A46" s="34">
        <v>40238</v>
      </c>
      <c r="B46" s="1">
        <v>10269.799999999999</v>
      </c>
      <c r="C46" s="34">
        <v>40238</v>
      </c>
      <c r="D46" s="1">
        <v>9741</v>
      </c>
      <c r="E46" s="34">
        <v>40238</v>
      </c>
      <c r="F46" s="1">
        <v>8.3000000000000007</v>
      </c>
      <c r="G46" s="34">
        <v>40238</v>
      </c>
      <c r="H46" s="1">
        <v>1.5</v>
      </c>
      <c r="I46" s="34">
        <v>40238</v>
      </c>
      <c r="J46" s="1">
        <v>159.31</v>
      </c>
      <c r="K46" s="34">
        <v>40238</v>
      </c>
      <c r="L46" s="1">
        <v>10261</v>
      </c>
      <c r="M46" s="34">
        <v>40238</v>
      </c>
      <c r="N46" s="1">
        <v>1877.4</v>
      </c>
    </row>
    <row r="47" spans="1:14" x14ac:dyDescent="0.25">
      <c r="A47" s="34">
        <v>40269</v>
      </c>
      <c r="B47" s="1">
        <v>10283.9</v>
      </c>
      <c r="C47" s="34">
        <v>40269</v>
      </c>
      <c r="D47" s="1">
        <v>8056</v>
      </c>
      <c r="E47" s="34">
        <v>40269</v>
      </c>
      <c r="F47" s="1">
        <v>8.1999999999999993</v>
      </c>
      <c r="G47" s="34">
        <v>40269</v>
      </c>
      <c r="H47" s="1">
        <v>1.7</v>
      </c>
      <c r="I47" s="34">
        <v>40269</v>
      </c>
      <c r="J47" s="1">
        <v>159.72</v>
      </c>
      <c r="K47" s="34">
        <v>40269</v>
      </c>
      <c r="L47" s="1">
        <v>10311.5</v>
      </c>
      <c r="M47" s="34">
        <v>40269</v>
      </c>
      <c r="N47" s="1">
        <v>1889</v>
      </c>
    </row>
    <row r="48" spans="1:14" x14ac:dyDescent="0.25">
      <c r="A48" s="34">
        <v>40299</v>
      </c>
      <c r="B48" s="1">
        <v>10349.9</v>
      </c>
      <c r="C48" s="34">
        <v>40299</v>
      </c>
      <c r="D48" s="1">
        <v>7631</v>
      </c>
      <c r="E48" s="34">
        <v>40299</v>
      </c>
      <c r="F48" s="1">
        <v>8.1999999999999993</v>
      </c>
      <c r="G48" s="34">
        <v>40299</v>
      </c>
      <c r="H48" s="1">
        <v>1.6</v>
      </c>
      <c r="I48" s="34">
        <v>40299</v>
      </c>
      <c r="J48" s="1">
        <v>160.16</v>
      </c>
      <c r="K48" s="34">
        <v>40299</v>
      </c>
      <c r="L48" s="1">
        <v>10392.700000000001</v>
      </c>
      <c r="M48" s="34">
        <v>40299</v>
      </c>
      <c r="N48" s="1">
        <v>1923.5</v>
      </c>
    </row>
    <row r="49" spans="1:14" x14ac:dyDescent="0.25">
      <c r="A49" s="34">
        <v>40330</v>
      </c>
      <c r="B49" s="1">
        <v>10352.9</v>
      </c>
      <c r="C49" s="34">
        <v>40330</v>
      </c>
      <c r="D49" s="1">
        <v>8184</v>
      </c>
      <c r="E49" s="34">
        <v>40330</v>
      </c>
      <c r="F49" s="1">
        <v>8.1</v>
      </c>
      <c r="G49" s="34">
        <v>40330</v>
      </c>
      <c r="H49" s="1">
        <v>1.61</v>
      </c>
      <c r="I49" s="34">
        <v>40330</v>
      </c>
      <c r="J49" s="1">
        <v>160.6</v>
      </c>
      <c r="K49" s="34">
        <v>40330</v>
      </c>
      <c r="L49" s="1">
        <v>10390.4</v>
      </c>
      <c r="M49" s="34">
        <v>40330</v>
      </c>
      <c r="N49" s="1">
        <v>1874.1</v>
      </c>
    </row>
    <row r="50" spans="1:14" x14ac:dyDescent="0.25">
      <c r="A50" s="34">
        <v>40360</v>
      </c>
      <c r="B50" s="1">
        <v>10343.1</v>
      </c>
      <c r="C50" s="34">
        <v>40360</v>
      </c>
      <c r="D50" s="1">
        <v>7343</v>
      </c>
      <c r="E50" s="34">
        <v>40360</v>
      </c>
      <c r="F50" s="1">
        <v>8.1</v>
      </c>
      <c r="G50" s="34">
        <v>40360</v>
      </c>
      <c r="H50" s="1">
        <v>1.58</v>
      </c>
      <c r="I50" s="34">
        <v>40360</v>
      </c>
      <c r="J50" s="1">
        <v>161.05000000000001</v>
      </c>
      <c r="K50" s="34">
        <v>40360</v>
      </c>
      <c r="L50" s="1">
        <v>10291</v>
      </c>
      <c r="M50" s="34">
        <v>40360</v>
      </c>
      <c r="N50" s="1">
        <v>1781.7</v>
      </c>
    </row>
    <row r="51" spans="1:14" x14ac:dyDescent="0.25">
      <c r="A51" s="34">
        <v>40391</v>
      </c>
      <c r="B51" s="1">
        <v>10352.299999999999</v>
      </c>
      <c r="C51" s="34">
        <v>40391</v>
      </c>
      <c r="D51" s="1">
        <v>7690</v>
      </c>
      <c r="E51" s="34">
        <v>40391</v>
      </c>
      <c r="F51" s="1">
        <v>8.1</v>
      </c>
      <c r="G51" s="34">
        <v>40391</v>
      </c>
      <c r="H51" s="1">
        <v>1.46</v>
      </c>
      <c r="I51" s="34">
        <v>40391</v>
      </c>
      <c r="J51" s="1">
        <v>161.49</v>
      </c>
      <c r="K51" s="34">
        <v>40391</v>
      </c>
      <c r="L51" s="1">
        <v>10316.5</v>
      </c>
      <c r="M51" s="34">
        <v>40391</v>
      </c>
      <c r="N51" s="1">
        <v>1772.5</v>
      </c>
    </row>
    <row r="52" spans="1:14" x14ac:dyDescent="0.25">
      <c r="A52" s="34">
        <v>40422</v>
      </c>
      <c r="B52" s="1">
        <v>10351.1</v>
      </c>
      <c r="C52" s="34">
        <v>40422</v>
      </c>
      <c r="D52" s="1">
        <v>6364</v>
      </c>
      <c r="E52" s="34">
        <v>40422</v>
      </c>
      <c r="F52" s="1">
        <v>8.1999999999999993</v>
      </c>
      <c r="G52" s="34">
        <v>40422</v>
      </c>
      <c r="H52" s="1">
        <v>1.43</v>
      </c>
      <c r="I52" s="34">
        <v>40422</v>
      </c>
      <c r="J52" s="1">
        <v>161.93</v>
      </c>
      <c r="K52" s="34">
        <v>40422</v>
      </c>
      <c r="L52" s="1">
        <v>10359.4</v>
      </c>
      <c r="M52" s="34">
        <v>40422</v>
      </c>
      <c r="N52" s="1">
        <v>1831.6</v>
      </c>
    </row>
    <row r="53" spans="1:14" x14ac:dyDescent="0.25">
      <c r="A53" s="34">
        <v>40452</v>
      </c>
      <c r="B53" s="1">
        <v>10403.6</v>
      </c>
      <c r="C53" s="34">
        <v>40452</v>
      </c>
      <c r="D53" s="1">
        <v>5015</v>
      </c>
      <c r="E53" s="34">
        <v>40452</v>
      </c>
      <c r="F53" s="1">
        <v>8.1999999999999993</v>
      </c>
      <c r="G53" s="34">
        <v>40452</v>
      </c>
      <c r="H53" s="1">
        <v>1.65</v>
      </c>
      <c r="I53" s="34">
        <v>40452</v>
      </c>
      <c r="J53" s="1">
        <v>162.36000000000001</v>
      </c>
      <c r="K53" s="34">
        <v>40452</v>
      </c>
      <c r="L53" s="1">
        <v>10438.6</v>
      </c>
      <c r="M53" s="34">
        <v>40452</v>
      </c>
      <c r="N53" s="1">
        <v>1874.7</v>
      </c>
    </row>
    <row r="54" spans="1:14" x14ac:dyDescent="0.25">
      <c r="A54" s="34">
        <v>40483</v>
      </c>
      <c r="B54" s="1">
        <v>10413.799999999999</v>
      </c>
      <c r="C54" s="34">
        <v>40483</v>
      </c>
      <c r="D54" s="1">
        <v>5801</v>
      </c>
      <c r="E54" s="34">
        <v>40483</v>
      </c>
      <c r="F54" s="1">
        <v>8.1999999999999993</v>
      </c>
      <c r="G54" s="34">
        <v>40483</v>
      </c>
      <c r="H54" s="1">
        <v>1.39</v>
      </c>
      <c r="I54" s="34">
        <v>40483</v>
      </c>
      <c r="J54" s="1">
        <v>162.79</v>
      </c>
      <c r="K54" s="34">
        <v>40483</v>
      </c>
      <c r="L54" s="1">
        <v>10483.9</v>
      </c>
      <c r="M54" s="34">
        <v>40483</v>
      </c>
      <c r="N54" s="1">
        <v>1885.4</v>
      </c>
    </row>
    <row r="55" spans="1:14" x14ac:dyDescent="0.25">
      <c r="A55" s="34">
        <v>40513</v>
      </c>
      <c r="B55" s="1">
        <v>10435.6</v>
      </c>
      <c r="C55" s="34">
        <v>40513</v>
      </c>
      <c r="D55" s="1">
        <v>5613</v>
      </c>
      <c r="E55" s="34">
        <v>40513</v>
      </c>
      <c r="F55" s="1">
        <v>8.1999999999999993</v>
      </c>
      <c r="G55" s="34">
        <v>40513</v>
      </c>
      <c r="H55" s="1">
        <v>1.47</v>
      </c>
      <c r="I55" s="34">
        <v>40513</v>
      </c>
      <c r="J55" s="1">
        <v>163.19999999999999</v>
      </c>
      <c r="K55" s="34">
        <v>40513</v>
      </c>
      <c r="L55" s="1">
        <v>10512.1</v>
      </c>
      <c r="M55" s="34">
        <v>40513</v>
      </c>
      <c r="N55" s="1">
        <v>1872.2</v>
      </c>
    </row>
    <row r="56" spans="1:14" x14ac:dyDescent="0.25">
      <c r="A56" s="34">
        <v>40544</v>
      </c>
      <c r="B56" s="1">
        <v>10448.6</v>
      </c>
      <c r="C56" s="34">
        <v>40544</v>
      </c>
      <c r="D56" s="1">
        <v>5310</v>
      </c>
      <c r="E56" s="34">
        <v>40544</v>
      </c>
      <c r="F56" s="1">
        <v>8.1</v>
      </c>
      <c r="G56" s="34">
        <v>40544</v>
      </c>
      <c r="H56" s="1">
        <v>1.66</v>
      </c>
      <c r="I56" s="34">
        <v>40544</v>
      </c>
      <c r="J56" s="1">
        <v>163.6</v>
      </c>
      <c r="K56" s="34">
        <v>40544</v>
      </c>
      <c r="L56" s="1">
        <v>10319.299999999999</v>
      </c>
      <c r="M56" s="34">
        <v>40544</v>
      </c>
      <c r="N56" s="1">
        <v>1840.6</v>
      </c>
    </row>
    <row r="57" spans="1:14" x14ac:dyDescent="0.25">
      <c r="A57" s="34">
        <v>40575</v>
      </c>
      <c r="B57" s="1">
        <v>10455.200000000001</v>
      </c>
      <c r="C57" s="34">
        <v>40575</v>
      </c>
      <c r="D57" s="1">
        <v>6406</v>
      </c>
      <c r="E57" s="34">
        <v>40575</v>
      </c>
      <c r="F57" s="1">
        <v>8.1</v>
      </c>
      <c r="G57" s="34">
        <v>40575</v>
      </c>
      <c r="H57" s="1">
        <v>1.59</v>
      </c>
      <c r="I57" s="34">
        <v>40575</v>
      </c>
      <c r="J57" s="1">
        <v>164.01</v>
      </c>
      <c r="K57" s="34">
        <v>40575</v>
      </c>
      <c r="L57" s="1">
        <v>10384</v>
      </c>
      <c r="M57" s="34">
        <v>40575</v>
      </c>
      <c r="N57" s="1">
        <v>1865.1</v>
      </c>
    </row>
    <row r="58" spans="1:14" x14ac:dyDescent="0.25">
      <c r="A58" s="34">
        <v>40603</v>
      </c>
      <c r="B58" s="1">
        <v>10490</v>
      </c>
      <c r="C58" s="34">
        <v>40603</v>
      </c>
      <c r="D58" s="1">
        <v>8381</v>
      </c>
      <c r="E58" s="34">
        <v>40603</v>
      </c>
      <c r="F58" s="1">
        <v>8</v>
      </c>
      <c r="G58" s="34">
        <v>40603</v>
      </c>
      <c r="H58" s="1">
        <v>1.65</v>
      </c>
      <c r="I58" s="34">
        <v>40603</v>
      </c>
      <c r="J58" s="1">
        <v>164.43</v>
      </c>
      <c r="K58" s="34">
        <v>40603</v>
      </c>
      <c r="L58" s="1">
        <v>10479.700000000001</v>
      </c>
      <c r="M58" s="34">
        <v>40603</v>
      </c>
      <c r="N58" s="1">
        <v>1865.7</v>
      </c>
    </row>
    <row r="59" spans="1:14" x14ac:dyDescent="0.25">
      <c r="A59" s="34">
        <v>40634</v>
      </c>
      <c r="B59" s="1">
        <v>10523.1</v>
      </c>
      <c r="C59" s="34">
        <v>40634</v>
      </c>
      <c r="D59" s="1">
        <v>8184</v>
      </c>
      <c r="E59" s="34">
        <v>40634</v>
      </c>
      <c r="F59" s="1">
        <v>8</v>
      </c>
      <c r="G59" s="34">
        <v>40634</v>
      </c>
      <c r="H59" s="1">
        <v>1.43</v>
      </c>
      <c r="I59" s="34">
        <v>40634</v>
      </c>
      <c r="J59" s="1">
        <v>164.85</v>
      </c>
      <c r="K59" s="34">
        <v>40634</v>
      </c>
      <c r="L59" s="1">
        <v>10553.6</v>
      </c>
      <c r="M59" s="34">
        <v>40634</v>
      </c>
      <c r="N59" s="1">
        <v>1866.6</v>
      </c>
    </row>
    <row r="60" spans="1:14" x14ac:dyDescent="0.25">
      <c r="A60" s="34">
        <v>40664</v>
      </c>
      <c r="B60" s="1">
        <v>10537</v>
      </c>
      <c r="C60" s="34">
        <v>40664</v>
      </c>
      <c r="D60" s="1">
        <v>7414</v>
      </c>
      <c r="E60" s="34">
        <v>40664</v>
      </c>
      <c r="F60" s="1">
        <v>8.1</v>
      </c>
      <c r="G60" s="34">
        <v>40664</v>
      </c>
      <c r="H60" s="1">
        <v>1.23</v>
      </c>
      <c r="I60" s="34">
        <v>40664</v>
      </c>
      <c r="J60" s="1">
        <v>165.26</v>
      </c>
      <c r="K60" s="34">
        <v>40664</v>
      </c>
      <c r="L60" s="1">
        <v>10580.8</v>
      </c>
      <c r="M60" s="34">
        <v>40664</v>
      </c>
      <c r="N60" s="1">
        <v>1861.9</v>
      </c>
    </row>
    <row r="61" spans="1:14" x14ac:dyDescent="0.25">
      <c r="A61" s="34">
        <v>40695</v>
      </c>
      <c r="B61" s="1">
        <v>10560.5</v>
      </c>
      <c r="C61" s="34">
        <v>40695</v>
      </c>
      <c r="D61" s="1">
        <v>9943</v>
      </c>
      <c r="E61" s="34">
        <v>40695</v>
      </c>
      <c r="F61" s="1">
        <v>8.1</v>
      </c>
      <c r="G61" s="34">
        <v>40695</v>
      </c>
      <c r="H61" s="1">
        <v>1.36</v>
      </c>
      <c r="I61" s="34">
        <v>40695</v>
      </c>
      <c r="J61" s="1">
        <v>165.66</v>
      </c>
      <c r="K61" s="34">
        <v>40695</v>
      </c>
      <c r="L61" s="1">
        <v>10609.8</v>
      </c>
      <c r="M61" s="34">
        <v>40695</v>
      </c>
      <c r="N61" s="1">
        <v>1830.2</v>
      </c>
    </row>
    <row r="62" spans="1:14" x14ac:dyDescent="0.25">
      <c r="A62" s="34">
        <v>40725</v>
      </c>
      <c r="B62" s="1">
        <v>10599</v>
      </c>
      <c r="C62" s="34">
        <v>40725</v>
      </c>
      <c r="D62" s="1">
        <v>8316</v>
      </c>
      <c r="E62" s="34">
        <v>40725</v>
      </c>
      <c r="F62" s="1">
        <v>8.1</v>
      </c>
      <c r="G62" s="34">
        <v>40725</v>
      </c>
      <c r="H62" s="1">
        <v>1.5</v>
      </c>
      <c r="I62" s="34">
        <v>40725</v>
      </c>
      <c r="J62" s="1">
        <v>166.07</v>
      </c>
      <c r="K62" s="34">
        <v>40725</v>
      </c>
      <c r="L62" s="1">
        <v>10544.6</v>
      </c>
      <c r="M62" s="34">
        <v>40725</v>
      </c>
      <c r="N62" s="1">
        <v>1752.7</v>
      </c>
    </row>
    <row r="63" spans="1:14" x14ac:dyDescent="0.25">
      <c r="A63" s="34">
        <v>40756</v>
      </c>
      <c r="B63" s="1">
        <v>10609.9</v>
      </c>
      <c r="C63" s="34">
        <v>40756</v>
      </c>
      <c r="D63" s="1">
        <v>9822</v>
      </c>
      <c r="E63" s="34">
        <v>40756</v>
      </c>
      <c r="F63" s="1">
        <v>8.1</v>
      </c>
      <c r="G63" s="34">
        <v>40756</v>
      </c>
      <c r="H63" s="1">
        <v>1.64</v>
      </c>
      <c r="I63" s="34">
        <v>40756</v>
      </c>
      <c r="J63" s="1">
        <v>166.48</v>
      </c>
      <c r="K63" s="34">
        <v>40756</v>
      </c>
      <c r="L63" s="1">
        <v>10577.6</v>
      </c>
      <c r="M63" s="34">
        <v>40756</v>
      </c>
      <c r="N63" s="1">
        <v>1735.9</v>
      </c>
    </row>
    <row r="64" spans="1:14" x14ac:dyDescent="0.25">
      <c r="A64" s="34">
        <v>40787</v>
      </c>
      <c r="B64" s="1">
        <v>10624.5</v>
      </c>
      <c r="C64" s="34">
        <v>40787</v>
      </c>
      <c r="D64" s="1">
        <v>7789</v>
      </c>
      <c r="E64" s="34">
        <v>40787</v>
      </c>
      <c r="F64" s="1">
        <v>8</v>
      </c>
      <c r="G64" s="34">
        <v>40787</v>
      </c>
      <c r="H64" s="1">
        <v>2.15</v>
      </c>
      <c r="I64" s="34">
        <v>40787</v>
      </c>
      <c r="J64" s="1">
        <v>166.92</v>
      </c>
      <c r="K64" s="34">
        <v>40787</v>
      </c>
      <c r="L64" s="1">
        <v>10634.6</v>
      </c>
      <c r="M64" s="34">
        <v>40787</v>
      </c>
      <c r="N64" s="1">
        <v>1787.9</v>
      </c>
    </row>
    <row r="65" spans="1:14" x14ac:dyDescent="0.25">
      <c r="A65" s="34">
        <v>40817</v>
      </c>
      <c r="B65" s="1">
        <v>10625.7</v>
      </c>
      <c r="C65" s="34">
        <v>40817</v>
      </c>
      <c r="D65" s="1">
        <v>8174</v>
      </c>
      <c r="E65" s="34">
        <v>40817</v>
      </c>
      <c r="F65" s="1">
        <v>7.8</v>
      </c>
      <c r="G65" s="34">
        <v>40817</v>
      </c>
      <c r="H65" s="1">
        <v>2.67</v>
      </c>
      <c r="I65" s="34">
        <v>40817</v>
      </c>
      <c r="J65" s="1">
        <v>167.43</v>
      </c>
      <c r="K65" s="34">
        <v>40817</v>
      </c>
      <c r="L65" s="1">
        <v>10657.6</v>
      </c>
      <c r="M65" s="34">
        <v>40817</v>
      </c>
      <c r="N65" s="1">
        <v>1812.7</v>
      </c>
    </row>
    <row r="66" spans="1:14" x14ac:dyDescent="0.25">
      <c r="A66" s="34">
        <v>40848</v>
      </c>
      <c r="B66" s="1">
        <v>10650.7</v>
      </c>
      <c r="C66" s="34">
        <v>40848</v>
      </c>
      <c r="D66" s="1">
        <v>5953</v>
      </c>
      <c r="E66" s="34">
        <v>40848</v>
      </c>
      <c r="F66" s="1">
        <v>7.5</v>
      </c>
      <c r="G66" s="34">
        <v>40848</v>
      </c>
      <c r="H66" s="1">
        <v>2.82</v>
      </c>
      <c r="I66" s="34">
        <v>40848</v>
      </c>
      <c r="J66" s="1">
        <v>168.02</v>
      </c>
      <c r="K66" s="34">
        <v>40848</v>
      </c>
      <c r="L66" s="1">
        <v>10718.7</v>
      </c>
      <c r="M66" s="34">
        <v>40848</v>
      </c>
      <c r="N66" s="1">
        <v>1819.9</v>
      </c>
    </row>
    <row r="67" spans="1:14" x14ac:dyDescent="0.25">
      <c r="A67" s="34">
        <v>40878</v>
      </c>
      <c r="B67" s="1">
        <v>10673.3</v>
      </c>
      <c r="C67" s="34">
        <v>40878</v>
      </c>
      <c r="D67" s="1">
        <v>8115</v>
      </c>
      <c r="E67" s="34">
        <v>40878</v>
      </c>
      <c r="F67" s="1">
        <v>7.4</v>
      </c>
      <c r="G67" s="34">
        <v>40878</v>
      </c>
      <c r="H67" s="1">
        <v>2.65</v>
      </c>
      <c r="I67" s="34">
        <v>40878</v>
      </c>
      <c r="J67" s="1">
        <v>168.67</v>
      </c>
      <c r="K67" s="34">
        <v>40878</v>
      </c>
      <c r="L67" s="1">
        <v>10749.7</v>
      </c>
      <c r="M67" s="34">
        <v>40878</v>
      </c>
      <c r="N67" s="1">
        <v>1809.3</v>
      </c>
    </row>
    <row r="68" spans="1:14" x14ac:dyDescent="0.25">
      <c r="A68" s="34">
        <v>40909</v>
      </c>
      <c r="B68" s="1">
        <v>10716</v>
      </c>
      <c r="C68" s="34">
        <v>40909</v>
      </c>
      <c r="D68" s="1">
        <v>8766</v>
      </c>
      <c r="E68" s="34">
        <v>40909</v>
      </c>
      <c r="F68" s="1">
        <v>7.2</v>
      </c>
      <c r="G68" s="34">
        <v>40909</v>
      </c>
      <c r="H68" s="1">
        <v>2.81</v>
      </c>
      <c r="I68" s="34">
        <v>40909</v>
      </c>
      <c r="J68" s="1">
        <v>169.38</v>
      </c>
      <c r="K68" s="34">
        <v>40909</v>
      </c>
      <c r="L68" s="1">
        <v>10579.8</v>
      </c>
      <c r="M68" s="34">
        <v>40909</v>
      </c>
      <c r="N68" s="1">
        <v>1780.8</v>
      </c>
    </row>
    <row r="69" spans="1:14" x14ac:dyDescent="0.25">
      <c r="A69" s="34">
        <v>40940</v>
      </c>
      <c r="B69" s="1">
        <v>10738.6</v>
      </c>
      <c r="C69" s="34">
        <v>40940</v>
      </c>
      <c r="D69" s="1">
        <v>8778</v>
      </c>
      <c r="E69" s="34">
        <v>40940</v>
      </c>
      <c r="F69" s="1">
        <v>7.1</v>
      </c>
      <c r="G69" s="34">
        <v>40940</v>
      </c>
      <c r="H69" s="1">
        <v>2.38</v>
      </c>
      <c r="I69" s="34">
        <v>40940</v>
      </c>
      <c r="J69" s="1">
        <v>170.11</v>
      </c>
      <c r="K69" s="34">
        <v>40940</v>
      </c>
      <c r="L69" s="1">
        <v>10677.2</v>
      </c>
      <c r="M69" s="34">
        <v>40940</v>
      </c>
      <c r="N69" s="1">
        <v>1816.4</v>
      </c>
    </row>
    <row r="70" spans="1:14" x14ac:dyDescent="0.25">
      <c r="A70" s="34">
        <v>40969</v>
      </c>
      <c r="B70" s="1">
        <v>10773.5</v>
      </c>
      <c r="C70" s="34">
        <v>40969</v>
      </c>
      <c r="D70" s="1">
        <v>10969</v>
      </c>
      <c r="E70" s="34">
        <v>40969</v>
      </c>
      <c r="F70" s="1">
        <v>7</v>
      </c>
      <c r="G70" s="34">
        <v>40969</v>
      </c>
      <c r="H70" s="1">
        <v>2.19</v>
      </c>
      <c r="I70" s="34">
        <v>40969</v>
      </c>
      <c r="J70" s="1">
        <v>170.84</v>
      </c>
      <c r="K70" s="34">
        <v>40969</v>
      </c>
      <c r="L70" s="1">
        <v>10762.9</v>
      </c>
      <c r="M70" s="34">
        <v>40969</v>
      </c>
      <c r="N70" s="1">
        <v>1820</v>
      </c>
    </row>
    <row r="71" spans="1:14" x14ac:dyDescent="0.25">
      <c r="A71" s="34">
        <v>41000</v>
      </c>
      <c r="B71" s="1">
        <v>10807.2</v>
      </c>
      <c r="C71" s="34">
        <v>41000</v>
      </c>
      <c r="D71" s="1">
        <v>10178</v>
      </c>
      <c r="E71" s="34">
        <v>41000</v>
      </c>
      <c r="F71" s="1">
        <v>7</v>
      </c>
      <c r="G71" s="34">
        <v>41000</v>
      </c>
      <c r="H71" s="1">
        <v>1.9</v>
      </c>
      <c r="I71" s="34">
        <v>41000</v>
      </c>
      <c r="J71" s="1">
        <v>171.55</v>
      </c>
      <c r="K71" s="34">
        <v>41000</v>
      </c>
      <c r="L71" s="1">
        <v>10816</v>
      </c>
      <c r="M71" s="34">
        <v>41000</v>
      </c>
      <c r="N71" s="1">
        <v>1819.9</v>
      </c>
    </row>
    <row r="72" spans="1:14" x14ac:dyDescent="0.25">
      <c r="A72" s="34">
        <v>41030</v>
      </c>
      <c r="B72" s="1">
        <v>10832</v>
      </c>
      <c r="C72" s="34">
        <v>41030</v>
      </c>
      <c r="D72" s="1">
        <v>11942</v>
      </c>
      <c r="E72" s="34">
        <v>41030</v>
      </c>
      <c r="F72" s="1">
        <v>7</v>
      </c>
      <c r="G72" s="34">
        <v>41030</v>
      </c>
      <c r="H72" s="1">
        <v>1.96</v>
      </c>
      <c r="I72" s="34">
        <v>41030</v>
      </c>
      <c r="J72" s="1">
        <v>172.24</v>
      </c>
      <c r="K72" s="34">
        <v>41030</v>
      </c>
      <c r="L72" s="1">
        <v>10875.4</v>
      </c>
      <c r="M72" s="34">
        <v>41030</v>
      </c>
      <c r="N72" s="1">
        <v>1818.3</v>
      </c>
    </row>
    <row r="73" spans="1:14" x14ac:dyDescent="0.25">
      <c r="A73" s="34">
        <v>41061</v>
      </c>
      <c r="B73" s="1">
        <v>10861.5</v>
      </c>
      <c r="C73" s="34">
        <v>41061</v>
      </c>
      <c r="D73" s="1">
        <v>11176</v>
      </c>
      <c r="E73" s="34">
        <v>41061</v>
      </c>
      <c r="F73" s="1">
        <v>7</v>
      </c>
      <c r="G73" s="34">
        <v>41061</v>
      </c>
      <c r="H73" s="1">
        <v>2.04</v>
      </c>
      <c r="I73" s="34">
        <v>41061</v>
      </c>
      <c r="J73" s="1">
        <v>172.9</v>
      </c>
      <c r="K73" s="34">
        <v>41061</v>
      </c>
      <c r="L73" s="1">
        <v>10913.4</v>
      </c>
      <c r="M73" s="34">
        <v>41061</v>
      </c>
      <c r="N73" s="1">
        <v>1784.4</v>
      </c>
    </row>
    <row r="74" spans="1:14" x14ac:dyDescent="0.25">
      <c r="A74" s="34">
        <v>41091</v>
      </c>
      <c r="B74" s="1">
        <v>10883.4</v>
      </c>
      <c r="C74" s="34">
        <v>41091</v>
      </c>
      <c r="D74" s="1">
        <v>12003</v>
      </c>
      <c r="E74" s="34">
        <v>41091</v>
      </c>
      <c r="F74" s="1">
        <v>7</v>
      </c>
      <c r="G74" s="34">
        <v>41091</v>
      </c>
      <c r="H74" s="1">
        <v>2.17</v>
      </c>
      <c r="I74" s="34">
        <v>41091</v>
      </c>
      <c r="J74" s="1">
        <v>173.55</v>
      </c>
      <c r="K74" s="34">
        <v>41091</v>
      </c>
      <c r="L74" s="1">
        <v>10831.8</v>
      </c>
      <c r="M74" s="34">
        <v>41091</v>
      </c>
      <c r="N74" s="1">
        <v>1726.7</v>
      </c>
    </row>
    <row r="75" spans="1:14" x14ac:dyDescent="0.25">
      <c r="A75" s="34">
        <v>41122</v>
      </c>
      <c r="B75" s="1">
        <v>10918.2</v>
      </c>
      <c r="C75" s="34">
        <v>41122</v>
      </c>
      <c r="D75" s="1">
        <v>13682</v>
      </c>
      <c r="E75" s="34">
        <v>41122</v>
      </c>
      <c r="F75" s="1">
        <v>6.8</v>
      </c>
      <c r="G75" s="34">
        <v>41122</v>
      </c>
      <c r="H75" s="1">
        <v>2.48</v>
      </c>
      <c r="I75" s="34">
        <v>41122</v>
      </c>
      <c r="J75" s="1">
        <v>174.22</v>
      </c>
      <c r="K75" s="34">
        <v>41122</v>
      </c>
      <c r="L75" s="1">
        <v>10893.2</v>
      </c>
      <c r="M75" s="34">
        <v>41122</v>
      </c>
      <c r="N75" s="1">
        <v>1716.9</v>
      </c>
    </row>
    <row r="76" spans="1:14" x14ac:dyDescent="0.25">
      <c r="A76" s="34">
        <v>41153</v>
      </c>
      <c r="B76" s="1">
        <v>10947.2</v>
      </c>
      <c r="C76" s="34">
        <v>41153</v>
      </c>
      <c r="D76" s="1">
        <v>9627</v>
      </c>
      <c r="E76" s="34">
        <v>41153</v>
      </c>
      <c r="F76" s="1">
        <v>6.6</v>
      </c>
      <c r="G76" s="34">
        <v>41153</v>
      </c>
      <c r="H76" s="1">
        <v>2.23</v>
      </c>
      <c r="I76" s="34">
        <v>41153</v>
      </c>
      <c r="J76" s="1">
        <v>174.89</v>
      </c>
      <c r="K76" s="34">
        <v>41153</v>
      </c>
      <c r="L76" s="1">
        <v>10939.3</v>
      </c>
      <c r="M76" s="34">
        <v>41153</v>
      </c>
      <c r="N76" s="1">
        <v>1777.9</v>
      </c>
    </row>
    <row r="77" spans="1:14" x14ac:dyDescent="0.25">
      <c r="A77" s="34">
        <v>41183</v>
      </c>
      <c r="B77" s="1">
        <v>10974.4</v>
      </c>
      <c r="C77" s="34">
        <v>41183</v>
      </c>
      <c r="D77" s="1">
        <v>11773</v>
      </c>
      <c r="E77" s="34">
        <v>41183</v>
      </c>
      <c r="F77" s="1">
        <v>6.6</v>
      </c>
      <c r="G77" s="34">
        <v>41183</v>
      </c>
      <c r="H77" s="1">
        <v>1.75</v>
      </c>
      <c r="I77" s="34">
        <v>41183</v>
      </c>
      <c r="J77" s="1">
        <v>175.55</v>
      </c>
      <c r="K77" s="34">
        <v>41183</v>
      </c>
      <c r="L77" s="1">
        <v>11004.5</v>
      </c>
      <c r="M77" s="34">
        <v>41183</v>
      </c>
      <c r="N77" s="1">
        <v>1815.6</v>
      </c>
    </row>
    <row r="78" spans="1:14" x14ac:dyDescent="0.25">
      <c r="A78" s="34">
        <v>41214</v>
      </c>
      <c r="B78" s="1">
        <v>11010.3</v>
      </c>
      <c r="C78" s="34">
        <v>41214</v>
      </c>
      <c r="D78" s="1">
        <v>10121</v>
      </c>
      <c r="E78" s="34">
        <v>41214</v>
      </c>
      <c r="F78" s="1">
        <v>6.5</v>
      </c>
      <c r="G78" s="34">
        <v>41214</v>
      </c>
      <c r="H78" s="1">
        <v>1.88</v>
      </c>
      <c r="I78" s="34">
        <v>41214</v>
      </c>
      <c r="J78" s="1">
        <v>176.18</v>
      </c>
      <c r="K78" s="34">
        <v>41214</v>
      </c>
      <c r="L78" s="1">
        <v>11090.5</v>
      </c>
      <c r="M78" s="34">
        <v>41214</v>
      </c>
      <c r="N78" s="1">
        <v>1826.6</v>
      </c>
    </row>
    <row r="79" spans="1:14" x14ac:dyDescent="0.25">
      <c r="A79" s="34">
        <v>41244</v>
      </c>
      <c r="B79" s="1">
        <v>11026.6</v>
      </c>
      <c r="C79" s="34">
        <v>41244</v>
      </c>
      <c r="D79" s="1">
        <v>10825</v>
      </c>
      <c r="E79" s="34">
        <v>41244</v>
      </c>
      <c r="F79" s="1">
        <v>6.5</v>
      </c>
      <c r="G79" s="34">
        <v>41244</v>
      </c>
      <c r="H79" s="1">
        <v>1.53</v>
      </c>
      <c r="I79" s="34">
        <v>41244</v>
      </c>
      <c r="J79" s="1">
        <v>176.78</v>
      </c>
      <c r="K79" s="34">
        <v>41244</v>
      </c>
      <c r="L79" s="1">
        <v>11116.1</v>
      </c>
      <c r="M79" s="34">
        <v>41244</v>
      </c>
      <c r="N79" s="1">
        <v>1825.3</v>
      </c>
    </row>
    <row r="80" spans="1:14" x14ac:dyDescent="0.25">
      <c r="A80" s="34">
        <v>41275</v>
      </c>
      <c r="B80" s="1">
        <v>11036.9</v>
      </c>
      <c r="C80" s="34">
        <v>41275</v>
      </c>
      <c r="D80" s="1">
        <v>10962</v>
      </c>
      <c r="E80" s="34">
        <v>41275</v>
      </c>
      <c r="F80" s="1">
        <v>6.5</v>
      </c>
      <c r="G80" s="34">
        <v>41275</v>
      </c>
      <c r="H80" s="1">
        <v>1.45</v>
      </c>
      <c r="I80" s="34">
        <v>41275</v>
      </c>
      <c r="J80" s="1">
        <v>177.34</v>
      </c>
      <c r="K80" s="34">
        <v>41275</v>
      </c>
      <c r="L80" s="1">
        <v>10893.9</v>
      </c>
      <c r="M80" s="34">
        <v>41275</v>
      </c>
      <c r="N80" s="1">
        <v>1786.3</v>
      </c>
    </row>
    <row r="81" spans="1:14" x14ac:dyDescent="0.25">
      <c r="A81" s="34">
        <v>41306</v>
      </c>
      <c r="B81" s="1">
        <v>11091.8</v>
      </c>
      <c r="C81" s="34">
        <v>41306</v>
      </c>
      <c r="D81" s="1">
        <v>11695</v>
      </c>
      <c r="E81" s="34">
        <v>41306</v>
      </c>
      <c r="F81" s="1">
        <v>6.5</v>
      </c>
      <c r="G81" s="34">
        <v>41306</v>
      </c>
      <c r="H81" s="1">
        <v>1.65</v>
      </c>
      <c r="I81" s="34">
        <v>41306</v>
      </c>
      <c r="J81" s="1">
        <v>177.87</v>
      </c>
      <c r="K81" s="34">
        <v>41306</v>
      </c>
      <c r="L81" s="1">
        <v>11028.6</v>
      </c>
      <c r="M81" s="34">
        <v>41306</v>
      </c>
      <c r="N81" s="1">
        <v>1825.8</v>
      </c>
    </row>
    <row r="82" spans="1:14" x14ac:dyDescent="0.25">
      <c r="A82" s="34">
        <v>41334</v>
      </c>
      <c r="B82" s="1">
        <v>11106.6</v>
      </c>
      <c r="C82" s="34">
        <v>41334</v>
      </c>
      <c r="D82" s="1">
        <v>12121</v>
      </c>
      <c r="E82" s="34">
        <v>41334</v>
      </c>
      <c r="F82" s="1">
        <v>6.4</v>
      </c>
      <c r="G82" s="34">
        <v>41334</v>
      </c>
      <c r="H82" s="1">
        <v>1.52</v>
      </c>
      <c r="I82" s="34">
        <v>41334</v>
      </c>
      <c r="J82" s="1">
        <v>178.38</v>
      </c>
      <c r="K82" s="34">
        <v>41334</v>
      </c>
      <c r="L82" s="1">
        <v>11095.7</v>
      </c>
      <c r="M82" s="34">
        <v>41334</v>
      </c>
      <c r="N82" s="1">
        <v>1830.7</v>
      </c>
    </row>
    <row r="83" spans="1:14" x14ac:dyDescent="0.25">
      <c r="A83" s="34">
        <v>41365</v>
      </c>
      <c r="B83" s="1">
        <v>11129.1</v>
      </c>
      <c r="C83" s="34">
        <v>41365</v>
      </c>
      <c r="D83" s="1">
        <v>13600</v>
      </c>
      <c r="E83" s="34">
        <v>41365</v>
      </c>
      <c r="F83" s="1">
        <v>6.4</v>
      </c>
      <c r="G83" s="34">
        <v>41365</v>
      </c>
      <c r="H83" s="1">
        <v>1.4</v>
      </c>
      <c r="I83" s="34">
        <v>41365</v>
      </c>
      <c r="J83" s="1">
        <v>178.86</v>
      </c>
      <c r="K83" s="34">
        <v>41365</v>
      </c>
      <c r="L83" s="1">
        <v>11140.3</v>
      </c>
      <c r="M83" s="34">
        <v>41365</v>
      </c>
      <c r="N83" s="1">
        <v>1833.1</v>
      </c>
    </row>
    <row r="84" spans="1:14" x14ac:dyDescent="0.25">
      <c r="A84" s="34">
        <v>41395</v>
      </c>
      <c r="B84" s="1">
        <v>11148.7</v>
      </c>
      <c r="C84" s="34">
        <v>41395</v>
      </c>
      <c r="D84" s="1">
        <v>12725</v>
      </c>
      <c r="E84" s="34">
        <v>41395</v>
      </c>
      <c r="F84" s="1">
        <v>6.4</v>
      </c>
      <c r="G84" s="34">
        <v>41395</v>
      </c>
      <c r="H84" s="1">
        <v>1.41</v>
      </c>
      <c r="I84" s="34">
        <v>41395</v>
      </c>
      <c r="J84" s="1">
        <v>179.33</v>
      </c>
      <c r="K84" s="34">
        <v>41395</v>
      </c>
      <c r="L84" s="1">
        <v>11188.1</v>
      </c>
      <c r="M84" s="34">
        <v>41395</v>
      </c>
      <c r="N84" s="1">
        <v>1830.5</v>
      </c>
    </row>
    <row r="85" spans="1:14" x14ac:dyDescent="0.25">
      <c r="A85" s="34">
        <v>41426</v>
      </c>
      <c r="B85" s="1">
        <v>11179</v>
      </c>
      <c r="C85" s="34">
        <v>41426</v>
      </c>
      <c r="D85" s="1">
        <v>11311</v>
      </c>
      <c r="E85" s="34">
        <v>41426</v>
      </c>
      <c r="F85" s="1">
        <v>6.4</v>
      </c>
      <c r="G85" s="34">
        <v>41426</v>
      </c>
      <c r="H85" s="1">
        <v>1.57</v>
      </c>
      <c r="I85" s="34">
        <v>41426</v>
      </c>
      <c r="J85" s="1">
        <v>179.78</v>
      </c>
      <c r="K85" s="34">
        <v>41426</v>
      </c>
      <c r="L85" s="1">
        <v>11223.6</v>
      </c>
      <c r="M85" s="34">
        <v>41426</v>
      </c>
      <c r="N85" s="1">
        <v>1801.3</v>
      </c>
    </row>
    <row r="86" spans="1:14" x14ac:dyDescent="0.25">
      <c r="A86" s="34">
        <v>41456</v>
      </c>
      <c r="B86" s="1">
        <v>11211.6</v>
      </c>
      <c r="C86" s="34">
        <v>41456</v>
      </c>
      <c r="D86" s="1">
        <v>12780</v>
      </c>
      <c r="E86" s="34">
        <v>41456</v>
      </c>
      <c r="F86" s="1">
        <v>6.4</v>
      </c>
      <c r="G86" s="34">
        <v>41456</v>
      </c>
      <c r="H86" s="1">
        <v>1.58</v>
      </c>
      <c r="I86" s="34">
        <v>41456</v>
      </c>
      <c r="J86" s="1">
        <v>180.23</v>
      </c>
      <c r="K86" s="34">
        <v>41456</v>
      </c>
      <c r="L86" s="1">
        <v>11159.6</v>
      </c>
      <c r="M86" s="34">
        <v>41456</v>
      </c>
      <c r="N86" s="1">
        <v>1748.2</v>
      </c>
    </row>
    <row r="87" spans="1:14" x14ac:dyDescent="0.25">
      <c r="A87" s="34">
        <v>41487</v>
      </c>
      <c r="B87" s="1">
        <v>11228.2</v>
      </c>
      <c r="C87" s="34">
        <v>41487</v>
      </c>
      <c r="D87" s="1">
        <v>10699</v>
      </c>
      <c r="E87" s="34">
        <v>41487</v>
      </c>
      <c r="F87" s="1">
        <v>6.4</v>
      </c>
      <c r="G87" s="34">
        <v>41487</v>
      </c>
      <c r="H87" s="1">
        <v>2</v>
      </c>
      <c r="I87" s="34">
        <v>41487</v>
      </c>
      <c r="J87" s="1">
        <v>180.71</v>
      </c>
      <c r="K87" s="34">
        <v>41487</v>
      </c>
      <c r="L87" s="1">
        <v>11203.4</v>
      </c>
      <c r="M87" s="34">
        <v>41487</v>
      </c>
      <c r="N87" s="1">
        <v>1734.4</v>
      </c>
    </row>
    <row r="88" spans="1:14" x14ac:dyDescent="0.25">
      <c r="A88" s="34">
        <v>41518</v>
      </c>
      <c r="B88" s="1">
        <v>11258.5</v>
      </c>
      <c r="C88" s="34">
        <v>41518</v>
      </c>
      <c r="D88" s="1">
        <v>12323</v>
      </c>
      <c r="E88" s="34">
        <v>41518</v>
      </c>
      <c r="F88" s="1">
        <v>6.3</v>
      </c>
      <c r="G88" s="34">
        <v>41518</v>
      </c>
      <c r="H88" s="1">
        <v>2.17</v>
      </c>
      <c r="I88" s="34">
        <v>41518</v>
      </c>
      <c r="J88" s="1">
        <v>181.22</v>
      </c>
      <c r="K88" s="34">
        <v>41518</v>
      </c>
      <c r="L88" s="1">
        <v>11251.8</v>
      </c>
      <c r="M88" s="34">
        <v>41518</v>
      </c>
      <c r="N88" s="1">
        <v>1801.1</v>
      </c>
    </row>
    <row r="89" spans="1:14" x14ac:dyDescent="0.25">
      <c r="A89" s="34">
        <v>41548</v>
      </c>
      <c r="B89" s="1">
        <v>11286.5</v>
      </c>
      <c r="C89" s="34">
        <v>41548</v>
      </c>
      <c r="D89" s="1">
        <v>15256</v>
      </c>
      <c r="E89" s="34">
        <v>41548</v>
      </c>
      <c r="F89" s="1">
        <v>6.2</v>
      </c>
      <c r="G89" s="34">
        <v>41548</v>
      </c>
      <c r="H89" s="1">
        <v>2.31</v>
      </c>
      <c r="I89" s="34">
        <v>41548</v>
      </c>
      <c r="J89" s="1">
        <v>181.8</v>
      </c>
      <c r="K89" s="34">
        <v>41548</v>
      </c>
      <c r="L89" s="1">
        <v>11331.6</v>
      </c>
      <c r="M89" s="34">
        <v>41548</v>
      </c>
      <c r="N89" s="1">
        <v>1838.1</v>
      </c>
    </row>
    <row r="90" spans="1:14" x14ac:dyDescent="0.25">
      <c r="A90" s="34">
        <v>41579</v>
      </c>
      <c r="B90" s="1">
        <v>11301</v>
      </c>
      <c r="C90" s="34">
        <v>41579</v>
      </c>
      <c r="D90" s="1">
        <v>10349</v>
      </c>
      <c r="E90" s="34">
        <v>41579</v>
      </c>
      <c r="F90" s="1">
        <v>6.1</v>
      </c>
      <c r="G90" s="34">
        <v>41579</v>
      </c>
      <c r="H90" s="1">
        <v>2.59</v>
      </c>
      <c r="I90" s="34">
        <v>41579</v>
      </c>
      <c r="J90" s="1">
        <v>182.44</v>
      </c>
      <c r="K90" s="34">
        <v>41579</v>
      </c>
      <c r="L90" s="1">
        <v>11378.2</v>
      </c>
      <c r="M90" s="34">
        <v>41579</v>
      </c>
      <c r="N90" s="1">
        <v>1856</v>
      </c>
    </row>
    <row r="91" spans="1:14" x14ac:dyDescent="0.25">
      <c r="A91" s="34">
        <v>41609</v>
      </c>
      <c r="B91" s="1">
        <v>11325.4</v>
      </c>
      <c r="C91" s="34">
        <v>41609</v>
      </c>
      <c r="D91" s="1">
        <v>12733</v>
      </c>
      <c r="E91" s="34">
        <v>41609</v>
      </c>
      <c r="F91" s="1">
        <v>6</v>
      </c>
      <c r="G91" s="34">
        <v>41609</v>
      </c>
      <c r="H91" s="1">
        <v>2.98</v>
      </c>
      <c r="I91" s="34">
        <v>41609</v>
      </c>
      <c r="J91" s="1">
        <v>183.16</v>
      </c>
      <c r="K91" s="34">
        <v>41609</v>
      </c>
      <c r="L91" s="1">
        <v>11387</v>
      </c>
      <c r="M91" s="34">
        <v>41609</v>
      </c>
      <c r="N91" s="1">
        <v>1847.9</v>
      </c>
    </row>
    <row r="92" spans="1:14" x14ac:dyDescent="0.25">
      <c r="A92" s="34">
        <v>41640</v>
      </c>
      <c r="B92" s="1">
        <v>11368.4</v>
      </c>
      <c r="C92" s="34">
        <v>41640</v>
      </c>
      <c r="D92" s="1">
        <v>12373</v>
      </c>
      <c r="E92" s="34">
        <v>41640</v>
      </c>
      <c r="F92" s="1">
        <v>5.7</v>
      </c>
      <c r="G92" s="34">
        <v>41640</v>
      </c>
      <c r="H92" s="1">
        <v>3.1</v>
      </c>
      <c r="I92" s="34">
        <v>41640</v>
      </c>
      <c r="J92" s="1">
        <v>183.96</v>
      </c>
      <c r="K92" s="34">
        <v>41640</v>
      </c>
      <c r="L92" s="1">
        <v>11233.6</v>
      </c>
      <c r="M92" s="34">
        <v>41640</v>
      </c>
      <c r="N92" s="1">
        <v>1822.1</v>
      </c>
    </row>
    <row r="93" spans="1:14" x14ac:dyDescent="0.25">
      <c r="A93" s="34">
        <v>41671</v>
      </c>
      <c r="B93" s="1">
        <v>11407.5</v>
      </c>
      <c r="C93" s="34">
        <v>41671</v>
      </c>
      <c r="D93" s="1">
        <v>12156</v>
      </c>
      <c r="E93" s="34">
        <v>41671</v>
      </c>
      <c r="F93" s="1">
        <v>5.7</v>
      </c>
      <c r="G93" s="34">
        <v>41671</v>
      </c>
      <c r="H93" s="1">
        <v>2.67</v>
      </c>
      <c r="I93" s="34">
        <v>41671</v>
      </c>
      <c r="J93" s="1">
        <v>184.82</v>
      </c>
      <c r="K93" s="34">
        <v>41671</v>
      </c>
      <c r="L93" s="1">
        <v>11331.6</v>
      </c>
      <c r="M93" s="34">
        <v>41671</v>
      </c>
      <c r="N93" s="1">
        <v>1856.2</v>
      </c>
    </row>
    <row r="94" spans="1:14" x14ac:dyDescent="0.25">
      <c r="A94" s="34">
        <v>41699</v>
      </c>
      <c r="B94" s="1">
        <v>11413</v>
      </c>
      <c r="C94" s="34">
        <v>41699</v>
      </c>
      <c r="D94" s="1">
        <v>11650</v>
      </c>
      <c r="E94" s="34">
        <v>41699</v>
      </c>
      <c r="F94" s="1">
        <v>5.5</v>
      </c>
      <c r="G94" s="34">
        <v>41699</v>
      </c>
      <c r="H94" s="1">
        <v>3.23</v>
      </c>
      <c r="I94" s="34">
        <v>41699</v>
      </c>
      <c r="J94" s="1">
        <v>185.73</v>
      </c>
      <c r="K94" s="34">
        <v>41699</v>
      </c>
      <c r="L94" s="1">
        <v>11396.9</v>
      </c>
      <c r="M94" s="34">
        <v>41699</v>
      </c>
      <c r="N94" s="1">
        <v>1859.5</v>
      </c>
    </row>
    <row r="95" spans="1:14" x14ac:dyDescent="0.25">
      <c r="A95" s="34">
        <v>41730</v>
      </c>
      <c r="B95" s="1">
        <v>11475.4</v>
      </c>
      <c r="C95" s="34">
        <v>41730</v>
      </c>
      <c r="D95" s="1">
        <v>17725</v>
      </c>
      <c r="E95" s="34">
        <v>41730</v>
      </c>
      <c r="F95" s="1">
        <v>5.2</v>
      </c>
      <c r="G95" s="34">
        <v>41730</v>
      </c>
      <c r="H95" s="1">
        <v>3.32</v>
      </c>
      <c r="I95" s="34">
        <v>41730</v>
      </c>
      <c r="J95" s="1">
        <v>186.7</v>
      </c>
      <c r="K95" s="34">
        <v>41730</v>
      </c>
      <c r="L95" s="1">
        <v>11494.8</v>
      </c>
      <c r="M95" s="34">
        <v>41730</v>
      </c>
      <c r="N95" s="1">
        <v>1861</v>
      </c>
    </row>
    <row r="96" spans="1:14" x14ac:dyDescent="0.25">
      <c r="A96" s="34">
        <v>41760</v>
      </c>
      <c r="B96" s="1">
        <v>11530.9</v>
      </c>
      <c r="C96" s="34">
        <v>41760</v>
      </c>
      <c r="D96" s="1">
        <v>15440</v>
      </c>
      <c r="E96" s="34">
        <v>41760</v>
      </c>
      <c r="F96" s="1">
        <v>5.0999999999999996</v>
      </c>
      <c r="G96" s="34">
        <v>41760</v>
      </c>
      <c r="H96" s="1">
        <v>2.69</v>
      </c>
      <c r="I96" s="34">
        <v>41760</v>
      </c>
      <c r="J96" s="1">
        <v>187.69</v>
      </c>
      <c r="K96" s="34">
        <v>41760</v>
      </c>
      <c r="L96" s="1">
        <v>11562.5</v>
      </c>
      <c r="M96" s="34">
        <v>41760</v>
      </c>
      <c r="N96" s="1">
        <v>1859.8</v>
      </c>
    </row>
    <row r="97" spans="1:14" x14ac:dyDescent="0.25">
      <c r="A97" s="34">
        <v>41791</v>
      </c>
      <c r="B97" s="1">
        <v>11561.2</v>
      </c>
      <c r="C97" s="34">
        <v>41791</v>
      </c>
      <c r="D97" s="1">
        <v>12948</v>
      </c>
      <c r="E97" s="34">
        <v>41791</v>
      </c>
      <c r="F97" s="1">
        <v>5.0999999999999996</v>
      </c>
      <c r="G97" s="34">
        <v>41791</v>
      </c>
      <c r="H97" s="1">
        <v>2.35</v>
      </c>
      <c r="I97" s="34">
        <v>41791</v>
      </c>
      <c r="J97" s="1">
        <v>188.65</v>
      </c>
      <c r="K97" s="34">
        <v>41791</v>
      </c>
      <c r="L97" s="1">
        <v>11605.3</v>
      </c>
      <c r="M97" s="34">
        <v>41791</v>
      </c>
      <c r="N97" s="1">
        <v>1836.6</v>
      </c>
    </row>
    <row r="98" spans="1:14" x14ac:dyDescent="0.25">
      <c r="A98" s="34">
        <v>41821</v>
      </c>
      <c r="B98" s="1">
        <v>11603.3</v>
      </c>
      <c r="C98" s="34">
        <v>41821</v>
      </c>
      <c r="D98" s="1">
        <v>14717</v>
      </c>
      <c r="E98" s="34">
        <v>41821</v>
      </c>
      <c r="F98" s="1">
        <v>5.0999999999999996</v>
      </c>
      <c r="G98" s="34">
        <v>41821</v>
      </c>
      <c r="H98" s="1">
        <v>2.2599999999999998</v>
      </c>
      <c r="I98" s="34">
        <v>41821</v>
      </c>
      <c r="J98" s="1">
        <v>189.57</v>
      </c>
      <c r="K98" s="34">
        <v>41821</v>
      </c>
      <c r="L98" s="1">
        <v>11563.8</v>
      </c>
      <c r="M98" s="34">
        <v>41821</v>
      </c>
      <c r="N98" s="1">
        <v>1782.1</v>
      </c>
    </row>
    <row r="99" spans="1:14" x14ac:dyDescent="0.25">
      <c r="A99" s="34">
        <v>41852</v>
      </c>
      <c r="B99" s="1">
        <v>11635.8</v>
      </c>
      <c r="C99" s="34">
        <v>41852</v>
      </c>
      <c r="D99" s="1">
        <v>15316</v>
      </c>
      <c r="E99" s="34">
        <v>41852</v>
      </c>
      <c r="F99" s="1">
        <v>5.3</v>
      </c>
      <c r="G99" s="34">
        <v>41852</v>
      </c>
      <c r="H99" s="1">
        <v>2.09</v>
      </c>
      <c r="I99" s="34">
        <v>41852</v>
      </c>
      <c r="J99" s="1">
        <v>190.44</v>
      </c>
      <c r="K99" s="34">
        <v>41852</v>
      </c>
      <c r="L99" s="1">
        <v>11597.3</v>
      </c>
      <c r="M99" s="34">
        <v>41852</v>
      </c>
      <c r="N99" s="1">
        <v>1770.1</v>
      </c>
    </row>
    <row r="100" spans="1:14" x14ac:dyDescent="0.25">
      <c r="A100" s="34">
        <v>41883</v>
      </c>
      <c r="B100" s="1">
        <v>11673.2</v>
      </c>
      <c r="C100" s="34">
        <v>41883</v>
      </c>
      <c r="D100" s="1">
        <v>13610</v>
      </c>
      <c r="E100" s="34">
        <v>41883</v>
      </c>
      <c r="F100" s="1">
        <v>5.2</v>
      </c>
      <c r="G100" s="34">
        <v>41883</v>
      </c>
      <c r="H100" s="1">
        <v>2.61</v>
      </c>
      <c r="I100" s="34">
        <v>41883</v>
      </c>
      <c r="J100" s="1">
        <v>191.27</v>
      </c>
      <c r="K100" s="34">
        <v>41883</v>
      </c>
      <c r="L100" s="1">
        <v>11663.6</v>
      </c>
      <c r="M100" s="34">
        <v>41883</v>
      </c>
      <c r="N100" s="1">
        <v>1839</v>
      </c>
    </row>
    <row r="101" spans="1:14" x14ac:dyDescent="0.25">
      <c r="A101" s="34">
        <v>41913</v>
      </c>
      <c r="B101" s="1">
        <v>11707.4</v>
      </c>
      <c r="C101" s="34">
        <v>41913</v>
      </c>
      <c r="D101" s="1">
        <v>13597</v>
      </c>
      <c r="E101" s="34">
        <v>41913</v>
      </c>
      <c r="F101" s="1">
        <v>5.0999999999999996</v>
      </c>
      <c r="G101" s="34">
        <v>41913</v>
      </c>
      <c r="H101" s="1">
        <v>2.7</v>
      </c>
      <c r="I101" s="34">
        <v>41913</v>
      </c>
      <c r="J101" s="1">
        <v>192.11</v>
      </c>
      <c r="K101" s="34">
        <v>41913</v>
      </c>
      <c r="L101" s="1">
        <v>11767.3</v>
      </c>
      <c r="M101" s="34">
        <v>41913</v>
      </c>
      <c r="N101" s="1">
        <v>1876.1</v>
      </c>
    </row>
    <row r="102" spans="1:14" x14ac:dyDescent="0.25">
      <c r="A102" s="34">
        <v>41944</v>
      </c>
      <c r="B102" s="1">
        <v>11737.6</v>
      </c>
      <c r="C102" s="34">
        <v>41944</v>
      </c>
      <c r="D102" s="1">
        <v>10456</v>
      </c>
      <c r="E102" s="34">
        <v>41944</v>
      </c>
      <c r="F102" s="1">
        <v>4.9000000000000004</v>
      </c>
      <c r="G102" s="34">
        <v>41944</v>
      </c>
      <c r="H102" s="1">
        <v>2.5299999999999998</v>
      </c>
      <c r="I102" s="34">
        <v>41944</v>
      </c>
      <c r="J102" s="1">
        <v>192.94</v>
      </c>
      <c r="K102" s="34">
        <v>41944</v>
      </c>
      <c r="L102" s="1">
        <v>11821.5</v>
      </c>
      <c r="M102" s="34">
        <v>41944</v>
      </c>
      <c r="N102" s="1">
        <v>1890.8</v>
      </c>
    </row>
    <row r="103" spans="1:14" x14ac:dyDescent="0.25">
      <c r="A103" s="34">
        <v>41974</v>
      </c>
      <c r="B103" s="1">
        <v>11783.3</v>
      </c>
      <c r="E103" s="34">
        <v>41974</v>
      </c>
      <c r="F103" s="1">
        <v>4.5999999999999996</v>
      </c>
      <c r="K103" s="34">
        <v>41974</v>
      </c>
      <c r="L103" s="1">
        <v>11847.5</v>
      </c>
      <c r="M103" s="34">
        <v>41974</v>
      </c>
      <c r="N103" s="1">
        <v>1886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P103"/>
  <sheetViews>
    <sheetView topLeftCell="A77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288</v>
      </c>
      <c r="C1" s="34" t="s">
        <v>289</v>
      </c>
      <c r="E1" s="34" t="s">
        <v>290</v>
      </c>
      <c r="G1" s="34" t="s">
        <v>291</v>
      </c>
      <c r="I1" s="34" t="s">
        <v>292</v>
      </c>
      <c r="K1" s="34" t="str">
        <f>CONCATENATE(LEFT(A1,2), "NAN")</f>
        <v>TNNAN</v>
      </c>
      <c r="M1" s="34" t="str">
        <f>CONCATENATE(LEFT(A1,2), "GOVTN")</f>
        <v>TNGOVTN</v>
      </c>
      <c r="O1" s="34" t="str">
        <f>CONCATENATE(LEFT($A$1,2), "RGSP")</f>
        <v>TNRGSP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930</v>
      </c>
      <c r="C5" s="35" t="s">
        <v>347</v>
      </c>
      <c r="E5" s="35" t="s">
        <v>348</v>
      </c>
      <c r="G5" s="35" t="s">
        <v>349</v>
      </c>
      <c r="I5" s="35" t="s">
        <v>350</v>
      </c>
      <c r="K5" s="35" t="s">
        <v>930</v>
      </c>
      <c r="M5" s="35" t="s">
        <v>931</v>
      </c>
      <c r="O5" s="35" t="s">
        <v>777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2789.8</v>
      </c>
      <c r="C8" s="34">
        <v>39083</v>
      </c>
      <c r="D8" s="1">
        <v>3319</v>
      </c>
      <c r="E8" s="34">
        <v>39083</v>
      </c>
      <c r="F8" s="1">
        <v>4.5999999999999996</v>
      </c>
      <c r="G8" s="34">
        <v>39083</v>
      </c>
      <c r="H8" s="1">
        <v>0.93</v>
      </c>
      <c r="I8" s="34">
        <v>39083</v>
      </c>
      <c r="J8" s="1">
        <v>147.36000000000001</v>
      </c>
      <c r="K8" s="34">
        <v>39083</v>
      </c>
      <c r="L8" s="1">
        <v>2744.9</v>
      </c>
      <c r="M8" s="34">
        <v>39083</v>
      </c>
      <c r="N8" s="1">
        <v>418.1</v>
      </c>
      <c r="O8" s="34">
        <v>39083</v>
      </c>
      <c r="P8" s="1">
        <v>255624</v>
      </c>
    </row>
    <row r="9" spans="1:16" x14ac:dyDescent="0.25">
      <c r="A9" s="34">
        <v>39114</v>
      </c>
      <c r="B9" s="1">
        <v>2790.4</v>
      </c>
      <c r="C9" s="34">
        <v>39114</v>
      </c>
      <c r="D9" s="1">
        <v>2868</v>
      </c>
      <c r="E9" s="34">
        <v>39114</v>
      </c>
      <c r="F9" s="1">
        <v>4.5</v>
      </c>
      <c r="G9" s="34">
        <v>39114</v>
      </c>
      <c r="H9" s="1">
        <v>0.38</v>
      </c>
      <c r="I9" s="34">
        <v>39114</v>
      </c>
      <c r="J9" s="1">
        <v>147.59</v>
      </c>
      <c r="K9" s="34">
        <v>39114</v>
      </c>
      <c r="L9" s="1">
        <v>2753.7</v>
      </c>
      <c r="M9" s="34">
        <v>39114</v>
      </c>
      <c r="N9" s="1">
        <v>422.5</v>
      </c>
      <c r="O9" s="34">
        <v>39448</v>
      </c>
      <c r="P9" s="1">
        <v>256518</v>
      </c>
    </row>
    <row r="10" spans="1:16" x14ac:dyDescent="0.25">
      <c r="A10" s="34">
        <v>39142</v>
      </c>
      <c r="B10" s="1">
        <v>2797.6</v>
      </c>
      <c r="C10" s="34">
        <v>39142</v>
      </c>
      <c r="D10" s="1">
        <v>3565</v>
      </c>
      <c r="E10" s="34">
        <v>39142</v>
      </c>
      <c r="F10" s="1">
        <v>4.4000000000000004</v>
      </c>
      <c r="G10" s="34">
        <v>39142</v>
      </c>
      <c r="H10" s="1">
        <v>0.66</v>
      </c>
      <c r="I10" s="34">
        <v>39142</v>
      </c>
      <c r="J10" s="1">
        <v>147.82</v>
      </c>
      <c r="K10" s="34">
        <v>39142</v>
      </c>
      <c r="L10" s="1">
        <v>2784</v>
      </c>
      <c r="M10" s="34">
        <v>39142</v>
      </c>
      <c r="N10" s="1">
        <v>425.3</v>
      </c>
      <c r="O10" s="34">
        <v>39814</v>
      </c>
      <c r="P10" s="1">
        <v>247465</v>
      </c>
    </row>
    <row r="11" spans="1:16" x14ac:dyDescent="0.25">
      <c r="A11" s="34">
        <v>39173</v>
      </c>
      <c r="B11" s="1">
        <v>2789.9</v>
      </c>
      <c r="C11" s="34">
        <v>39173</v>
      </c>
      <c r="D11" s="1">
        <v>3163</v>
      </c>
      <c r="E11" s="34">
        <v>39173</v>
      </c>
      <c r="F11" s="1">
        <v>4.4000000000000004</v>
      </c>
      <c r="G11" s="34">
        <v>39173</v>
      </c>
      <c r="H11" s="1">
        <v>0.69</v>
      </c>
      <c r="I11" s="34">
        <v>39173</v>
      </c>
      <c r="J11" s="1">
        <v>148.05000000000001</v>
      </c>
      <c r="K11" s="34">
        <v>39173</v>
      </c>
      <c r="L11" s="1">
        <v>2787.9</v>
      </c>
      <c r="M11" s="34">
        <v>39173</v>
      </c>
      <c r="N11" s="1">
        <v>422.7</v>
      </c>
      <c r="O11" s="34">
        <v>40179</v>
      </c>
      <c r="P11" s="1">
        <v>252035</v>
      </c>
    </row>
    <row r="12" spans="1:16" x14ac:dyDescent="0.25">
      <c r="A12" s="34">
        <v>39203</v>
      </c>
      <c r="B12" s="1">
        <v>2790.2</v>
      </c>
      <c r="C12" s="34">
        <v>39203</v>
      </c>
      <c r="D12" s="1">
        <v>3648</v>
      </c>
      <c r="E12" s="34">
        <v>39203</v>
      </c>
      <c r="F12" s="1">
        <v>4.4000000000000004</v>
      </c>
      <c r="G12" s="34">
        <v>39203</v>
      </c>
      <c r="H12" s="1">
        <v>0.73</v>
      </c>
      <c r="I12" s="34">
        <v>39203</v>
      </c>
      <c r="J12" s="1">
        <v>148.29</v>
      </c>
      <c r="K12" s="34">
        <v>39203</v>
      </c>
      <c r="L12" s="1">
        <v>2799.3</v>
      </c>
      <c r="M12" s="34">
        <v>39203</v>
      </c>
      <c r="N12" s="1">
        <v>423.3</v>
      </c>
      <c r="O12" s="34">
        <v>40544</v>
      </c>
      <c r="P12" s="1">
        <v>258988</v>
      </c>
    </row>
    <row r="13" spans="1:16" x14ac:dyDescent="0.25">
      <c r="A13" s="34">
        <v>39234</v>
      </c>
      <c r="B13" s="1">
        <v>2795.9</v>
      </c>
      <c r="C13" s="34">
        <v>39234</v>
      </c>
      <c r="D13" s="1">
        <v>2919</v>
      </c>
      <c r="E13" s="34">
        <v>39234</v>
      </c>
      <c r="F13" s="1">
        <v>4.5</v>
      </c>
      <c r="G13" s="34">
        <v>39234</v>
      </c>
      <c r="H13" s="1">
        <v>0.52</v>
      </c>
      <c r="I13" s="34">
        <v>39234</v>
      </c>
      <c r="J13" s="1">
        <v>148.51</v>
      </c>
      <c r="K13" s="34">
        <v>39234</v>
      </c>
      <c r="L13" s="1">
        <v>2798</v>
      </c>
      <c r="M13" s="34">
        <v>39234</v>
      </c>
      <c r="N13" s="1">
        <v>405.2</v>
      </c>
      <c r="O13" s="34">
        <v>40909</v>
      </c>
      <c r="P13" s="1">
        <v>267554</v>
      </c>
    </row>
    <row r="14" spans="1:16" x14ac:dyDescent="0.25">
      <c r="A14" s="34">
        <v>39264</v>
      </c>
      <c r="B14" s="1">
        <v>2801.7</v>
      </c>
      <c r="C14" s="34">
        <v>39264</v>
      </c>
      <c r="D14" s="1">
        <v>3302</v>
      </c>
      <c r="E14" s="34">
        <v>39264</v>
      </c>
      <c r="F14" s="1">
        <v>4.5999999999999996</v>
      </c>
      <c r="G14" s="34">
        <v>39264</v>
      </c>
      <c r="H14" s="1">
        <v>0.5</v>
      </c>
      <c r="I14" s="34">
        <v>39264</v>
      </c>
      <c r="J14" s="1">
        <v>148.71</v>
      </c>
      <c r="K14" s="34">
        <v>39264</v>
      </c>
      <c r="L14" s="1">
        <v>2782.4</v>
      </c>
      <c r="M14" s="34">
        <v>39264</v>
      </c>
      <c r="N14" s="1">
        <v>400.3</v>
      </c>
      <c r="O14" s="34">
        <v>41275</v>
      </c>
      <c r="P14" s="1">
        <v>269602</v>
      </c>
    </row>
    <row r="15" spans="1:16" x14ac:dyDescent="0.25">
      <c r="A15" s="34">
        <v>39295</v>
      </c>
      <c r="B15" s="1">
        <v>2804.1</v>
      </c>
      <c r="C15" s="34">
        <v>39295</v>
      </c>
      <c r="D15" s="1">
        <v>3322</v>
      </c>
      <c r="E15" s="34">
        <v>39295</v>
      </c>
      <c r="F15" s="1">
        <v>4.8</v>
      </c>
      <c r="G15" s="34">
        <v>39295</v>
      </c>
      <c r="H15" s="1">
        <v>0.35</v>
      </c>
      <c r="I15" s="34">
        <v>39295</v>
      </c>
      <c r="J15" s="1">
        <v>148.87</v>
      </c>
      <c r="K15" s="34">
        <v>39295</v>
      </c>
      <c r="L15" s="1">
        <v>2811.2</v>
      </c>
      <c r="M15" s="34">
        <v>39295</v>
      </c>
      <c r="N15" s="1">
        <v>414.5</v>
      </c>
    </row>
    <row r="16" spans="1:16" x14ac:dyDescent="0.25">
      <c r="A16" s="34">
        <v>39326</v>
      </c>
      <c r="B16" s="1">
        <v>2802.6</v>
      </c>
      <c r="C16" s="34">
        <v>39326</v>
      </c>
      <c r="D16" s="1">
        <v>2481</v>
      </c>
      <c r="E16" s="34">
        <v>39326</v>
      </c>
      <c r="F16" s="1">
        <v>5</v>
      </c>
      <c r="G16" s="34">
        <v>39326</v>
      </c>
      <c r="H16" s="1">
        <v>0.31</v>
      </c>
      <c r="I16" s="34">
        <v>39326</v>
      </c>
      <c r="J16" s="1">
        <v>148.97</v>
      </c>
      <c r="K16" s="34">
        <v>39326</v>
      </c>
      <c r="L16" s="1">
        <v>2821.7</v>
      </c>
      <c r="M16" s="34">
        <v>39326</v>
      </c>
      <c r="N16" s="1">
        <v>427.7</v>
      </c>
    </row>
    <row r="17" spans="1:14" x14ac:dyDescent="0.25">
      <c r="A17" s="34">
        <v>39356</v>
      </c>
      <c r="B17" s="1">
        <v>2802</v>
      </c>
      <c r="C17" s="34">
        <v>39356</v>
      </c>
      <c r="D17" s="1">
        <v>2199</v>
      </c>
      <c r="E17" s="34">
        <v>39356</v>
      </c>
      <c r="F17" s="1">
        <v>5.2</v>
      </c>
      <c r="G17" s="34">
        <v>39356</v>
      </c>
      <c r="H17" s="1">
        <v>0.74</v>
      </c>
      <c r="I17" s="34">
        <v>39356</v>
      </c>
      <c r="J17" s="1">
        <v>149.08000000000001</v>
      </c>
      <c r="K17" s="34">
        <v>39356</v>
      </c>
      <c r="L17" s="1">
        <v>2815.9</v>
      </c>
      <c r="M17" s="34">
        <v>39356</v>
      </c>
      <c r="N17" s="1">
        <v>431.4</v>
      </c>
    </row>
    <row r="18" spans="1:14" x14ac:dyDescent="0.25">
      <c r="A18" s="34">
        <v>39387</v>
      </c>
      <c r="B18" s="1">
        <v>2804.9</v>
      </c>
      <c r="C18" s="34">
        <v>39387</v>
      </c>
      <c r="D18" s="1">
        <v>2925</v>
      </c>
      <c r="E18" s="34">
        <v>39387</v>
      </c>
      <c r="F18" s="1">
        <v>5.3</v>
      </c>
      <c r="G18" s="34">
        <v>39387</v>
      </c>
      <c r="H18" s="1">
        <v>1.02</v>
      </c>
      <c r="I18" s="34">
        <v>39387</v>
      </c>
      <c r="J18" s="1">
        <v>149.24</v>
      </c>
      <c r="K18" s="34">
        <v>39387</v>
      </c>
      <c r="L18" s="1">
        <v>2833.6</v>
      </c>
      <c r="M18" s="34">
        <v>39387</v>
      </c>
      <c r="N18" s="1">
        <v>433.3</v>
      </c>
    </row>
    <row r="19" spans="1:14" x14ac:dyDescent="0.25">
      <c r="A19" s="34">
        <v>39417</v>
      </c>
      <c r="B19" s="1">
        <v>2805.7</v>
      </c>
      <c r="C19" s="34">
        <v>39417</v>
      </c>
      <c r="D19" s="1">
        <v>1669</v>
      </c>
      <c r="E19" s="34">
        <v>39417</v>
      </c>
      <c r="F19" s="1">
        <v>5.4</v>
      </c>
      <c r="G19" s="34">
        <v>39417</v>
      </c>
      <c r="H19" s="1">
        <v>0.17</v>
      </c>
      <c r="I19" s="34">
        <v>39417</v>
      </c>
      <c r="J19" s="1">
        <v>149.41</v>
      </c>
      <c r="K19" s="34">
        <v>39417</v>
      </c>
      <c r="L19" s="1">
        <v>2836.4</v>
      </c>
      <c r="M19" s="34">
        <v>39417</v>
      </c>
      <c r="N19" s="1">
        <v>431.1</v>
      </c>
    </row>
    <row r="20" spans="1:14" x14ac:dyDescent="0.25">
      <c r="A20" s="34">
        <v>39448</v>
      </c>
      <c r="B20" s="1">
        <v>2807</v>
      </c>
      <c r="C20" s="34">
        <v>39448</v>
      </c>
      <c r="D20" s="1">
        <v>1749</v>
      </c>
      <c r="E20" s="34">
        <v>39448</v>
      </c>
      <c r="F20" s="1">
        <v>5.5</v>
      </c>
      <c r="G20" s="34">
        <v>39448</v>
      </c>
      <c r="H20" s="1">
        <v>-0.16</v>
      </c>
      <c r="I20" s="34">
        <v>39448</v>
      </c>
      <c r="J20" s="1">
        <v>149.52000000000001</v>
      </c>
      <c r="K20" s="34">
        <v>39448</v>
      </c>
      <c r="L20" s="1">
        <v>2762.4</v>
      </c>
      <c r="M20" s="34">
        <v>39448</v>
      </c>
      <c r="N20" s="1">
        <v>424.7</v>
      </c>
    </row>
    <row r="21" spans="1:14" x14ac:dyDescent="0.25">
      <c r="A21" s="34">
        <v>39479</v>
      </c>
      <c r="B21" s="1">
        <v>2810.2</v>
      </c>
      <c r="C21" s="34">
        <v>39479</v>
      </c>
      <c r="D21" s="1">
        <v>1671</v>
      </c>
      <c r="E21" s="34">
        <v>39479</v>
      </c>
      <c r="F21" s="1">
        <v>5.6</v>
      </c>
      <c r="G21" s="34">
        <v>39479</v>
      </c>
      <c r="H21" s="1">
        <v>-0.43</v>
      </c>
      <c r="I21" s="34">
        <v>39479</v>
      </c>
      <c r="J21" s="1">
        <v>149.54</v>
      </c>
      <c r="K21" s="34">
        <v>39479</v>
      </c>
      <c r="L21" s="1">
        <v>2771.9</v>
      </c>
      <c r="M21" s="34">
        <v>39479</v>
      </c>
      <c r="N21" s="1">
        <v>430.1</v>
      </c>
    </row>
    <row r="22" spans="1:14" x14ac:dyDescent="0.25">
      <c r="A22" s="34">
        <v>39508</v>
      </c>
      <c r="B22" s="1">
        <v>2802.6</v>
      </c>
      <c r="C22" s="34">
        <v>39508</v>
      </c>
      <c r="D22" s="1">
        <v>2439</v>
      </c>
      <c r="E22" s="34">
        <v>39508</v>
      </c>
      <c r="F22" s="1">
        <v>5.8</v>
      </c>
      <c r="G22" s="34">
        <v>39508</v>
      </c>
      <c r="H22" s="1">
        <v>-0.75</v>
      </c>
      <c r="I22" s="34">
        <v>39508</v>
      </c>
      <c r="J22" s="1">
        <v>149.44</v>
      </c>
      <c r="K22" s="34">
        <v>39508</v>
      </c>
      <c r="L22" s="1">
        <v>2790.1</v>
      </c>
      <c r="M22" s="34">
        <v>39508</v>
      </c>
      <c r="N22" s="1">
        <v>432.4</v>
      </c>
    </row>
    <row r="23" spans="1:14" x14ac:dyDescent="0.25">
      <c r="A23" s="34">
        <v>39539</v>
      </c>
      <c r="B23" s="1">
        <v>2797.4</v>
      </c>
      <c r="C23" s="34">
        <v>39539</v>
      </c>
      <c r="D23" s="1">
        <v>1946</v>
      </c>
      <c r="E23" s="34">
        <v>39539</v>
      </c>
      <c r="F23" s="1">
        <v>6</v>
      </c>
      <c r="G23" s="34">
        <v>39539</v>
      </c>
      <c r="H23" s="1">
        <v>-0.79</v>
      </c>
      <c r="I23" s="34">
        <v>39539</v>
      </c>
      <c r="J23" s="1">
        <v>149.22999999999999</v>
      </c>
      <c r="K23" s="34">
        <v>39539</v>
      </c>
      <c r="L23" s="1">
        <v>2797.1</v>
      </c>
      <c r="M23" s="34">
        <v>39539</v>
      </c>
      <c r="N23" s="1">
        <v>433.3</v>
      </c>
    </row>
    <row r="24" spans="1:14" x14ac:dyDescent="0.25">
      <c r="A24" s="34">
        <v>39569</v>
      </c>
      <c r="B24" s="1">
        <v>2793.8</v>
      </c>
      <c r="C24" s="34">
        <v>39569</v>
      </c>
      <c r="D24" s="1">
        <v>1797</v>
      </c>
      <c r="E24" s="34">
        <v>39569</v>
      </c>
      <c r="F24" s="1">
        <v>6.2</v>
      </c>
      <c r="G24" s="34">
        <v>39569</v>
      </c>
      <c r="H24" s="1">
        <v>-1.0900000000000001</v>
      </c>
      <c r="I24" s="34">
        <v>39569</v>
      </c>
      <c r="J24" s="1">
        <v>148.91999999999999</v>
      </c>
      <c r="K24" s="34">
        <v>39569</v>
      </c>
      <c r="L24" s="1">
        <v>2805.4</v>
      </c>
      <c r="M24" s="34">
        <v>39569</v>
      </c>
      <c r="N24" s="1">
        <v>433.9</v>
      </c>
    </row>
    <row r="25" spans="1:14" x14ac:dyDescent="0.25">
      <c r="A25" s="34">
        <v>39600</v>
      </c>
      <c r="B25" s="1">
        <v>2788.4</v>
      </c>
      <c r="C25" s="34">
        <v>39600</v>
      </c>
      <c r="D25" s="1">
        <v>1804</v>
      </c>
      <c r="E25" s="34">
        <v>39600</v>
      </c>
      <c r="F25" s="1">
        <v>6.5</v>
      </c>
      <c r="G25" s="34">
        <v>39600</v>
      </c>
      <c r="H25" s="1">
        <v>-1.35</v>
      </c>
      <c r="I25" s="34">
        <v>39600</v>
      </c>
      <c r="J25" s="1">
        <v>148.53</v>
      </c>
      <c r="K25" s="34">
        <v>39600</v>
      </c>
      <c r="L25" s="1">
        <v>2784.3</v>
      </c>
      <c r="M25" s="34">
        <v>39600</v>
      </c>
      <c r="N25" s="1">
        <v>405.7</v>
      </c>
    </row>
    <row r="26" spans="1:14" x14ac:dyDescent="0.25">
      <c r="A26" s="34">
        <v>39630</v>
      </c>
      <c r="B26" s="1">
        <v>2779.6</v>
      </c>
      <c r="C26" s="34">
        <v>39630</v>
      </c>
      <c r="D26" s="1">
        <v>1969</v>
      </c>
      <c r="E26" s="34">
        <v>39630</v>
      </c>
      <c r="F26" s="1">
        <v>6.7</v>
      </c>
      <c r="G26" s="34">
        <v>39630</v>
      </c>
      <c r="H26" s="1">
        <v>-1.21</v>
      </c>
      <c r="I26" s="34">
        <v>39630</v>
      </c>
      <c r="J26" s="1">
        <v>148.1</v>
      </c>
      <c r="K26" s="34">
        <v>39630</v>
      </c>
      <c r="L26" s="1">
        <v>2758.6</v>
      </c>
      <c r="M26" s="34">
        <v>39630</v>
      </c>
      <c r="N26" s="1">
        <v>405.9</v>
      </c>
    </row>
    <row r="27" spans="1:14" x14ac:dyDescent="0.25">
      <c r="A27" s="34">
        <v>39661</v>
      </c>
      <c r="B27" s="1">
        <v>2771.8</v>
      </c>
      <c r="C27" s="34">
        <v>39661</v>
      </c>
      <c r="D27" s="1">
        <v>1632</v>
      </c>
      <c r="E27" s="34">
        <v>39661</v>
      </c>
      <c r="F27" s="1">
        <v>6.9</v>
      </c>
      <c r="G27" s="34">
        <v>39661</v>
      </c>
      <c r="H27" s="1">
        <v>-1.72</v>
      </c>
      <c r="I27" s="34">
        <v>39661</v>
      </c>
      <c r="J27" s="1">
        <v>147.63</v>
      </c>
      <c r="K27" s="34">
        <v>39661</v>
      </c>
      <c r="L27" s="1">
        <v>2779</v>
      </c>
      <c r="M27" s="34">
        <v>39661</v>
      </c>
      <c r="N27" s="1">
        <v>419</v>
      </c>
    </row>
    <row r="28" spans="1:14" x14ac:dyDescent="0.25">
      <c r="A28" s="34">
        <v>39692</v>
      </c>
      <c r="B28" s="1">
        <v>2761.4</v>
      </c>
      <c r="C28" s="34">
        <v>39692</v>
      </c>
      <c r="D28" s="1">
        <v>2082</v>
      </c>
      <c r="E28" s="34">
        <v>39692</v>
      </c>
      <c r="F28" s="1">
        <v>7.1</v>
      </c>
      <c r="G28" s="34">
        <v>39692</v>
      </c>
      <c r="H28" s="1">
        <v>-2.4500000000000002</v>
      </c>
      <c r="I28" s="34">
        <v>39692</v>
      </c>
      <c r="J28" s="1">
        <v>147.05000000000001</v>
      </c>
      <c r="K28" s="34">
        <v>39692</v>
      </c>
      <c r="L28" s="1">
        <v>2779.4</v>
      </c>
      <c r="M28" s="34">
        <v>39692</v>
      </c>
      <c r="N28" s="1">
        <v>430.6</v>
      </c>
    </row>
    <row r="29" spans="1:14" x14ac:dyDescent="0.25">
      <c r="A29" s="34">
        <v>39722</v>
      </c>
      <c r="B29" s="1">
        <v>2745.9</v>
      </c>
      <c r="C29" s="34">
        <v>39722</v>
      </c>
      <c r="D29" s="1">
        <v>1193</v>
      </c>
      <c r="E29" s="34">
        <v>39722</v>
      </c>
      <c r="F29" s="1">
        <v>7.4</v>
      </c>
      <c r="G29" s="34">
        <v>39722</v>
      </c>
      <c r="H29" s="1">
        <v>-3.26</v>
      </c>
      <c r="I29" s="34">
        <v>39722</v>
      </c>
      <c r="J29" s="1">
        <v>146.29</v>
      </c>
      <c r="K29" s="34">
        <v>39722</v>
      </c>
      <c r="L29" s="1">
        <v>2766.1</v>
      </c>
      <c r="M29" s="34">
        <v>39722</v>
      </c>
      <c r="N29" s="1">
        <v>438.8</v>
      </c>
    </row>
    <row r="30" spans="1:14" x14ac:dyDescent="0.25">
      <c r="A30" s="34">
        <v>39753</v>
      </c>
      <c r="B30" s="1">
        <v>2730.3</v>
      </c>
      <c r="C30" s="34">
        <v>39753</v>
      </c>
      <c r="D30" s="1">
        <v>822</v>
      </c>
      <c r="E30" s="34">
        <v>39753</v>
      </c>
      <c r="F30" s="1">
        <v>7.9</v>
      </c>
      <c r="G30" s="34">
        <v>39753</v>
      </c>
      <c r="H30" s="1">
        <v>-4.16</v>
      </c>
      <c r="I30" s="34">
        <v>39753</v>
      </c>
      <c r="J30" s="1">
        <v>145.32</v>
      </c>
      <c r="K30" s="34">
        <v>39753</v>
      </c>
      <c r="L30" s="1">
        <v>2758.6</v>
      </c>
      <c r="M30" s="34">
        <v>39753</v>
      </c>
      <c r="N30" s="1">
        <v>440</v>
      </c>
    </row>
    <row r="31" spans="1:14" x14ac:dyDescent="0.25">
      <c r="A31" s="34">
        <v>39783</v>
      </c>
      <c r="B31" s="1">
        <v>2715.1</v>
      </c>
      <c r="C31" s="34">
        <v>39783</v>
      </c>
      <c r="D31" s="1">
        <v>1263</v>
      </c>
      <c r="E31" s="34">
        <v>39783</v>
      </c>
      <c r="F31" s="1">
        <v>8.5</v>
      </c>
      <c r="G31" s="34">
        <v>39783</v>
      </c>
      <c r="H31" s="1">
        <v>-4.22</v>
      </c>
      <c r="I31" s="34">
        <v>39783</v>
      </c>
      <c r="J31" s="1">
        <v>144.19</v>
      </c>
      <c r="K31" s="34">
        <v>39783</v>
      </c>
      <c r="L31" s="1">
        <v>2745.1</v>
      </c>
      <c r="M31" s="34">
        <v>39783</v>
      </c>
      <c r="N31" s="1">
        <v>438.6</v>
      </c>
    </row>
    <row r="32" spans="1:14" x14ac:dyDescent="0.25">
      <c r="A32" s="34">
        <v>39814</v>
      </c>
      <c r="B32" s="1">
        <v>2687.2</v>
      </c>
      <c r="C32" s="34">
        <v>39814</v>
      </c>
      <c r="D32" s="1">
        <v>934</v>
      </c>
      <c r="E32" s="34">
        <v>39814</v>
      </c>
      <c r="F32" s="1">
        <v>9.1</v>
      </c>
      <c r="G32" s="34">
        <v>39814</v>
      </c>
      <c r="H32" s="1">
        <v>-4.63</v>
      </c>
      <c r="I32" s="34">
        <v>39814</v>
      </c>
      <c r="J32" s="1">
        <v>142.91</v>
      </c>
      <c r="K32" s="34">
        <v>39814</v>
      </c>
      <c r="L32" s="1">
        <v>2647.6</v>
      </c>
      <c r="M32" s="34">
        <v>39814</v>
      </c>
      <c r="N32" s="1">
        <v>427.9</v>
      </c>
    </row>
    <row r="33" spans="1:14" x14ac:dyDescent="0.25">
      <c r="A33" s="34">
        <v>39845</v>
      </c>
      <c r="B33" s="1">
        <v>2667.3</v>
      </c>
      <c r="C33" s="34">
        <v>39845</v>
      </c>
      <c r="D33" s="1">
        <v>984</v>
      </c>
      <c r="E33" s="34">
        <v>39845</v>
      </c>
      <c r="F33" s="1">
        <v>9.8000000000000007</v>
      </c>
      <c r="G33" s="34">
        <v>39845</v>
      </c>
      <c r="H33" s="1">
        <v>-4.01</v>
      </c>
      <c r="I33" s="34">
        <v>39845</v>
      </c>
      <c r="J33" s="1">
        <v>141.6</v>
      </c>
      <c r="K33" s="34">
        <v>39845</v>
      </c>
      <c r="L33" s="1">
        <v>2636.8</v>
      </c>
      <c r="M33" s="34">
        <v>39845</v>
      </c>
      <c r="N33" s="1">
        <v>432.7</v>
      </c>
    </row>
    <row r="34" spans="1:14" x14ac:dyDescent="0.25">
      <c r="A34" s="34">
        <v>39873</v>
      </c>
      <c r="B34" s="1">
        <v>2646.1</v>
      </c>
      <c r="C34" s="34">
        <v>39873</v>
      </c>
      <c r="D34" s="1">
        <v>1287</v>
      </c>
      <c r="E34" s="34">
        <v>39873</v>
      </c>
      <c r="F34" s="1">
        <v>10.3</v>
      </c>
      <c r="G34" s="34">
        <v>39873</v>
      </c>
      <c r="H34" s="1">
        <v>-3.13</v>
      </c>
      <c r="I34" s="34">
        <v>39873</v>
      </c>
      <c r="J34" s="1">
        <v>140.38</v>
      </c>
      <c r="K34" s="34">
        <v>39873</v>
      </c>
      <c r="L34" s="1">
        <v>2634.6</v>
      </c>
      <c r="M34" s="34">
        <v>39873</v>
      </c>
      <c r="N34" s="1">
        <v>434.5</v>
      </c>
    </row>
    <row r="35" spans="1:14" x14ac:dyDescent="0.25">
      <c r="A35" s="34">
        <v>39904</v>
      </c>
      <c r="B35" s="1">
        <v>2623.3</v>
      </c>
      <c r="C35" s="34">
        <v>39904</v>
      </c>
      <c r="D35" s="1">
        <v>1104</v>
      </c>
      <c r="E35" s="34">
        <v>39904</v>
      </c>
      <c r="F35" s="1">
        <v>10.7</v>
      </c>
      <c r="G35" s="34">
        <v>39904</v>
      </c>
      <c r="H35" s="1">
        <v>-2.29</v>
      </c>
      <c r="I35" s="34">
        <v>39904</v>
      </c>
      <c r="J35" s="1">
        <v>139.36000000000001</v>
      </c>
      <c r="K35" s="34">
        <v>39904</v>
      </c>
      <c r="L35" s="1">
        <v>2629.9</v>
      </c>
      <c r="M35" s="34">
        <v>39904</v>
      </c>
      <c r="N35" s="1">
        <v>436.1</v>
      </c>
    </row>
    <row r="36" spans="1:14" x14ac:dyDescent="0.25">
      <c r="A36" s="34">
        <v>39934</v>
      </c>
      <c r="B36" s="1">
        <v>2619.9</v>
      </c>
      <c r="C36" s="34">
        <v>39934</v>
      </c>
      <c r="D36" s="1">
        <v>1125</v>
      </c>
      <c r="E36" s="34">
        <v>39934</v>
      </c>
      <c r="F36" s="1">
        <v>10.9</v>
      </c>
      <c r="G36" s="34">
        <v>39934</v>
      </c>
      <c r="H36" s="1">
        <v>-1.42</v>
      </c>
      <c r="I36" s="34">
        <v>39934</v>
      </c>
      <c r="J36" s="1">
        <v>138.55000000000001</v>
      </c>
      <c r="K36" s="34">
        <v>39934</v>
      </c>
      <c r="L36" s="1">
        <v>2630.3</v>
      </c>
      <c r="M36" s="34">
        <v>39934</v>
      </c>
      <c r="N36" s="1">
        <v>435.2</v>
      </c>
    </row>
    <row r="37" spans="1:14" x14ac:dyDescent="0.25">
      <c r="A37" s="34">
        <v>39965</v>
      </c>
      <c r="B37" s="1">
        <v>2605.6999999999998</v>
      </c>
      <c r="C37" s="34">
        <v>39965</v>
      </c>
      <c r="D37" s="1">
        <v>1735</v>
      </c>
      <c r="E37" s="34">
        <v>39965</v>
      </c>
      <c r="F37" s="1">
        <v>11</v>
      </c>
      <c r="G37" s="34">
        <v>39965</v>
      </c>
      <c r="H37" s="1">
        <v>-0.66</v>
      </c>
      <c r="I37" s="34">
        <v>39965</v>
      </c>
      <c r="J37" s="1">
        <v>137.97</v>
      </c>
      <c r="K37" s="34">
        <v>39965</v>
      </c>
      <c r="L37" s="1">
        <v>2599.3000000000002</v>
      </c>
      <c r="M37" s="34">
        <v>39965</v>
      </c>
      <c r="N37" s="1">
        <v>403.7</v>
      </c>
    </row>
    <row r="38" spans="1:14" x14ac:dyDescent="0.25">
      <c r="A38" s="34">
        <v>39995</v>
      </c>
      <c r="B38" s="1">
        <v>2601.1</v>
      </c>
      <c r="C38" s="34">
        <v>39995</v>
      </c>
      <c r="D38" s="1">
        <v>1257</v>
      </c>
      <c r="E38" s="34">
        <v>39995</v>
      </c>
      <c r="F38" s="1">
        <v>11</v>
      </c>
      <c r="G38" s="34">
        <v>39995</v>
      </c>
      <c r="H38" s="1">
        <v>0.27</v>
      </c>
      <c r="I38" s="34">
        <v>39995</v>
      </c>
      <c r="J38" s="1">
        <v>137.63</v>
      </c>
      <c r="K38" s="34">
        <v>39995</v>
      </c>
      <c r="L38" s="1">
        <v>2582.6</v>
      </c>
      <c r="M38" s="34">
        <v>39995</v>
      </c>
      <c r="N38" s="1">
        <v>404.6</v>
      </c>
    </row>
    <row r="39" spans="1:14" x14ac:dyDescent="0.25">
      <c r="A39" s="34">
        <v>40026</v>
      </c>
      <c r="B39" s="1">
        <v>2597.9</v>
      </c>
      <c r="C39" s="34">
        <v>40026</v>
      </c>
      <c r="D39" s="1">
        <v>1280</v>
      </c>
      <c r="E39" s="34">
        <v>40026</v>
      </c>
      <c r="F39" s="1">
        <v>10.9</v>
      </c>
      <c r="G39" s="34">
        <v>40026</v>
      </c>
      <c r="H39" s="1">
        <v>0.36</v>
      </c>
      <c r="I39" s="34">
        <v>40026</v>
      </c>
      <c r="J39" s="1">
        <v>137.49</v>
      </c>
      <c r="K39" s="34">
        <v>40026</v>
      </c>
      <c r="L39" s="1">
        <v>2600.1999999999998</v>
      </c>
      <c r="M39" s="34">
        <v>40026</v>
      </c>
      <c r="N39" s="1">
        <v>417.1</v>
      </c>
    </row>
    <row r="40" spans="1:14" x14ac:dyDescent="0.25">
      <c r="A40" s="34">
        <v>40057</v>
      </c>
      <c r="B40" s="1">
        <v>2593.9</v>
      </c>
      <c r="C40" s="34">
        <v>40057</v>
      </c>
      <c r="D40" s="1">
        <v>1228</v>
      </c>
      <c r="E40" s="34">
        <v>40057</v>
      </c>
      <c r="F40" s="1">
        <v>10.8</v>
      </c>
      <c r="G40" s="34">
        <v>40057</v>
      </c>
      <c r="H40" s="1">
        <v>0.52</v>
      </c>
      <c r="I40" s="34">
        <v>40057</v>
      </c>
      <c r="J40" s="1">
        <v>137.49</v>
      </c>
      <c r="K40" s="34">
        <v>40057</v>
      </c>
      <c r="L40" s="1">
        <v>2609.6</v>
      </c>
      <c r="M40" s="34">
        <v>40057</v>
      </c>
      <c r="N40" s="1">
        <v>431.6</v>
      </c>
    </row>
    <row r="41" spans="1:14" x14ac:dyDescent="0.25">
      <c r="A41" s="34">
        <v>40087</v>
      </c>
      <c r="B41" s="1">
        <v>2595.8000000000002</v>
      </c>
      <c r="C41" s="34">
        <v>40087</v>
      </c>
      <c r="D41" s="1">
        <v>1200</v>
      </c>
      <c r="E41" s="34">
        <v>40087</v>
      </c>
      <c r="F41" s="1">
        <v>10.7</v>
      </c>
      <c r="G41" s="34">
        <v>40087</v>
      </c>
      <c r="H41" s="1">
        <v>0.81</v>
      </c>
      <c r="I41" s="34">
        <v>40087</v>
      </c>
      <c r="J41" s="1">
        <v>137.59</v>
      </c>
      <c r="K41" s="34">
        <v>40087</v>
      </c>
      <c r="L41" s="1">
        <v>2616.1999999999998</v>
      </c>
      <c r="M41" s="34">
        <v>40087</v>
      </c>
      <c r="N41" s="1">
        <v>440</v>
      </c>
    </row>
    <row r="42" spans="1:14" x14ac:dyDescent="0.25">
      <c r="A42" s="34">
        <v>40118</v>
      </c>
      <c r="B42" s="1">
        <v>2599.4</v>
      </c>
      <c r="C42" s="34">
        <v>40118</v>
      </c>
      <c r="D42" s="1">
        <v>987</v>
      </c>
      <c r="E42" s="34">
        <v>40118</v>
      </c>
      <c r="F42" s="1">
        <v>10.6</v>
      </c>
      <c r="G42" s="34">
        <v>40118</v>
      </c>
      <c r="H42" s="1">
        <v>0.69</v>
      </c>
      <c r="I42" s="34">
        <v>40118</v>
      </c>
      <c r="J42" s="1">
        <v>137.72</v>
      </c>
      <c r="K42" s="34">
        <v>40118</v>
      </c>
      <c r="L42" s="1">
        <v>2629</v>
      </c>
      <c r="M42" s="34">
        <v>40118</v>
      </c>
      <c r="N42" s="1">
        <v>441.1</v>
      </c>
    </row>
    <row r="43" spans="1:14" x14ac:dyDescent="0.25">
      <c r="A43" s="34">
        <v>40148</v>
      </c>
      <c r="B43" s="1">
        <v>2592.3000000000002</v>
      </c>
      <c r="C43" s="34">
        <v>40148</v>
      </c>
      <c r="D43" s="1">
        <v>1147</v>
      </c>
      <c r="E43" s="34">
        <v>40148</v>
      </c>
      <c r="F43" s="1">
        <v>10.6</v>
      </c>
      <c r="G43" s="34">
        <v>40148</v>
      </c>
      <c r="H43" s="1">
        <v>0.88</v>
      </c>
      <c r="I43" s="34">
        <v>40148</v>
      </c>
      <c r="J43" s="1">
        <v>137.86000000000001</v>
      </c>
      <c r="K43" s="34">
        <v>40148</v>
      </c>
      <c r="L43" s="1">
        <v>2621.9</v>
      </c>
      <c r="M43" s="34">
        <v>40148</v>
      </c>
      <c r="N43" s="1">
        <v>437.7</v>
      </c>
    </row>
    <row r="44" spans="1:14" x14ac:dyDescent="0.25">
      <c r="A44" s="34">
        <v>40179</v>
      </c>
      <c r="B44" s="1">
        <v>2595.1</v>
      </c>
      <c r="C44" s="34">
        <v>40179</v>
      </c>
      <c r="D44" s="1">
        <v>1185</v>
      </c>
      <c r="E44" s="34">
        <v>40179</v>
      </c>
      <c r="F44" s="1">
        <v>10.6</v>
      </c>
      <c r="G44" s="34">
        <v>40179</v>
      </c>
      <c r="H44" s="1">
        <v>1.64</v>
      </c>
      <c r="I44" s="34">
        <v>40179</v>
      </c>
      <c r="J44" s="1">
        <v>138.05000000000001</v>
      </c>
      <c r="K44" s="34">
        <v>40179</v>
      </c>
      <c r="L44" s="1">
        <v>2556.9</v>
      </c>
      <c r="M44" s="34">
        <v>40179</v>
      </c>
      <c r="N44" s="1">
        <v>430.6</v>
      </c>
    </row>
    <row r="45" spans="1:14" x14ac:dyDescent="0.25">
      <c r="A45" s="34">
        <v>40210</v>
      </c>
      <c r="B45" s="1">
        <v>2590.5</v>
      </c>
      <c r="C45" s="34">
        <v>40210</v>
      </c>
      <c r="D45" s="1">
        <v>1729</v>
      </c>
      <c r="E45" s="34">
        <v>40210</v>
      </c>
      <c r="F45" s="1">
        <v>10.5</v>
      </c>
      <c r="G45" s="34">
        <v>40210</v>
      </c>
      <c r="H45" s="1">
        <v>1.77</v>
      </c>
      <c r="I45" s="34">
        <v>40210</v>
      </c>
      <c r="J45" s="1">
        <v>138.33000000000001</v>
      </c>
      <c r="K45" s="34">
        <v>40210</v>
      </c>
      <c r="L45" s="1">
        <v>2562.4</v>
      </c>
      <c r="M45" s="34">
        <v>40210</v>
      </c>
      <c r="N45" s="1">
        <v>434.9</v>
      </c>
    </row>
    <row r="46" spans="1:14" x14ac:dyDescent="0.25">
      <c r="A46" s="34">
        <v>40238</v>
      </c>
      <c r="B46" s="1">
        <v>2596.1</v>
      </c>
      <c r="C46" s="34">
        <v>40238</v>
      </c>
      <c r="D46" s="1">
        <v>1899</v>
      </c>
      <c r="E46" s="34">
        <v>40238</v>
      </c>
      <c r="F46" s="1">
        <v>10.3</v>
      </c>
      <c r="G46" s="34">
        <v>40238</v>
      </c>
      <c r="H46" s="1">
        <v>2.21</v>
      </c>
      <c r="I46" s="34">
        <v>40238</v>
      </c>
      <c r="J46" s="1">
        <v>138.72</v>
      </c>
      <c r="K46" s="34">
        <v>40238</v>
      </c>
      <c r="L46" s="1">
        <v>2585.1999999999998</v>
      </c>
      <c r="M46" s="34">
        <v>40238</v>
      </c>
      <c r="N46" s="1">
        <v>436.8</v>
      </c>
    </row>
    <row r="47" spans="1:14" x14ac:dyDescent="0.25">
      <c r="A47" s="34">
        <v>40269</v>
      </c>
      <c r="B47" s="1">
        <v>2606.8000000000002</v>
      </c>
      <c r="C47" s="34">
        <v>40269</v>
      </c>
      <c r="D47" s="1">
        <v>1323</v>
      </c>
      <c r="E47" s="34">
        <v>40269</v>
      </c>
      <c r="F47" s="1">
        <v>9.9</v>
      </c>
      <c r="G47" s="34">
        <v>40269</v>
      </c>
      <c r="H47" s="1">
        <v>2.0099999999999998</v>
      </c>
      <c r="I47" s="34">
        <v>40269</v>
      </c>
      <c r="J47" s="1">
        <v>139.18</v>
      </c>
      <c r="K47" s="34">
        <v>40269</v>
      </c>
      <c r="L47" s="1">
        <v>2614.9</v>
      </c>
      <c r="M47" s="34">
        <v>40269</v>
      </c>
      <c r="N47" s="1">
        <v>440.8</v>
      </c>
    </row>
    <row r="48" spans="1:14" x14ac:dyDescent="0.25">
      <c r="A48" s="34">
        <v>40299</v>
      </c>
      <c r="B48" s="1">
        <v>2626.1</v>
      </c>
      <c r="C48" s="34">
        <v>40299</v>
      </c>
      <c r="D48" s="1">
        <v>1603</v>
      </c>
      <c r="E48" s="34">
        <v>40299</v>
      </c>
      <c r="F48" s="1">
        <v>9.6999999999999993</v>
      </c>
      <c r="G48" s="34">
        <v>40299</v>
      </c>
      <c r="H48" s="1">
        <v>0.92</v>
      </c>
      <c r="I48" s="34">
        <v>40299</v>
      </c>
      <c r="J48" s="1">
        <v>139.58000000000001</v>
      </c>
      <c r="K48" s="34">
        <v>40299</v>
      </c>
      <c r="L48" s="1">
        <v>2638</v>
      </c>
      <c r="M48" s="34">
        <v>40299</v>
      </c>
      <c r="N48" s="1">
        <v>449.8</v>
      </c>
    </row>
    <row r="49" spans="1:14" x14ac:dyDescent="0.25">
      <c r="A49" s="34">
        <v>40330</v>
      </c>
      <c r="B49" s="1">
        <v>2622.1</v>
      </c>
      <c r="C49" s="34">
        <v>40330</v>
      </c>
      <c r="D49" s="1">
        <v>1617</v>
      </c>
      <c r="E49" s="34">
        <v>40330</v>
      </c>
      <c r="F49" s="1">
        <v>9.6</v>
      </c>
      <c r="G49" s="34">
        <v>40330</v>
      </c>
      <c r="H49" s="1">
        <v>0.97</v>
      </c>
      <c r="I49" s="34">
        <v>40330</v>
      </c>
      <c r="J49" s="1">
        <v>139.91</v>
      </c>
      <c r="K49" s="34">
        <v>40330</v>
      </c>
      <c r="L49" s="1">
        <v>2613.1999999999998</v>
      </c>
      <c r="M49" s="34">
        <v>40330</v>
      </c>
      <c r="N49" s="1">
        <v>413.6</v>
      </c>
    </row>
    <row r="50" spans="1:14" x14ac:dyDescent="0.25">
      <c r="A50" s="34">
        <v>40360</v>
      </c>
      <c r="B50" s="1">
        <v>2621</v>
      </c>
      <c r="C50" s="34">
        <v>40360</v>
      </c>
      <c r="D50" s="1">
        <v>985</v>
      </c>
      <c r="E50" s="34">
        <v>40360</v>
      </c>
      <c r="F50" s="1">
        <v>9.5</v>
      </c>
      <c r="G50" s="34">
        <v>40360</v>
      </c>
      <c r="H50" s="1">
        <v>1.08</v>
      </c>
      <c r="I50" s="34">
        <v>40360</v>
      </c>
      <c r="J50" s="1">
        <v>140.16</v>
      </c>
      <c r="K50" s="34">
        <v>40360</v>
      </c>
      <c r="L50" s="1">
        <v>2600.4</v>
      </c>
      <c r="M50" s="34">
        <v>40360</v>
      </c>
      <c r="N50" s="1">
        <v>409</v>
      </c>
    </row>
    <row r="51" spans="1:14" x14ac:dyDescent="0.25">
      <c r="A51" s="34">
        <v>40391</v>
      </c>
      <c r="B51" s="1">
        <v>2619.3000000000002</v>
      </c>
      <c r="C51" s="34">
        <v>40391</v>
      </c>
      <c r="D51" s="1">
        <v>1677</v>
      </c>
      <c r="E51" s="34">
        <v>40391</v>
      </c>
      <c r="F51" s="1">
        <v>9.5</v>
      </c>
      <c r="G51" s="34">
        <v>40391</v>
      </c>
      <c r="H51" s="1">
        <v>1.02</v>
      </c>
      <c r="I51" s="34">
        <v>40391</v>
      </c>
      <c r="J51" s="1">
        <v>140.38</v>
      </c>
      <c r="K51" s="34">
        <v>40391</v>
      </c>
      <c r="L51" s="1">
        <v>2619.4</v>
      </c>
      <c r="M51" s="34">
        <v>40391</v>
      </c>
      <c r="N51" s="1">
        <v>421.1</v>
      </c>
    </row>
    <row r="52" spans="1:14" x14ac:dyDescent="0.25">
      <c r="A52" s="34">
        <v>40422</v>
      </c>
      <c r="B52" s="1">
        <v>2619.5</v>
      </c>
      <c r="C52" s="34">
        <v>40422</v>
      </c>
      <c r="D52" s="1">
        <v>1249</v>
      </c>
      <c r="E52" s="34">
        <v>40422</v>
      </c>
      <c r="F52" s="1">
        <v>9.5</v>
      </c>
      <c r="G52" s="34">
        <v>40422</v>
      </c>
      <c r="H52" s="1">
        <v>1.23</v>
      </c>
      <c r="I52" s="34">
        <v>40422</v>
      </c>
      <c r="J52" s="1">
        <v>140.59</v>
      </c>
      <c r="K52" s="34">
        <v>40422</v>
      </c>
      <c r="L52" s="1">
        <v>2635.4</v>
      </c>
      <c r="M52" s="34">
        <v>40422</v>
      </c>
      <c r="N52" s="1">
        <v>438.3</v>
      </c>
    </row>
    <row r="53" spans="1:14" x14ac:dyDescent="0.25">
      <c r="A53" s="34">
        <v>40452</v>
      </c>
      <c r="B53" s="1">
        <v>2627.9</v>
      </c>
      <c r="C53" s="34">
        <v>40452</v>
      </c>
      <c r="D53" s="1">
        <v>931</v>
      </c>
      <c r="E53" s="34">
        <v>40452</v>
      </c>
      <c r="F53" s="1">
        <v>9.6</v>
      </c>
      <c r="G53" s="34">
        <v>40452</v>
      </c>
      <c r="H53" s="1">
        <v>0.96</v>
      </c>
      <c r="I53" s="34">
        <v>40452</v>
      </c>
      <c r="J53" s="1">
        <v>140.81</v>
      </c>
      <c r="K53" s="34">
        <v>40452</v>
      </c>
      <c r="L53" s="1">
        <v>2645.7</v>
      </c>
      <c r="M53" s="34">
        <v>40452</v>
      </c>
      <c r="N53" s="1">
        <v>440.5</v>
      </c>
    </row>
    <row r="54" spans="1:14" x14ac:dyDescent="0.25">
      <c r="A54" s="34">
        <v>40483</v>
      </c>
      <c r="B54" s="1">
        <v>2626.8</v>
      </c>
      <c r="C54" s="34">
        <v>40483</v>
      </c>
      <c r="D54" s="1">
        <v>750</v>
      </c>
      <c r="E54" s="34">
        <v>40483</v>
      </c>
      <c r="F54" s="1">
        <v>9.6999999999999993</v>
      </c>
      <c r="G54" s="34">
        <v>40483</v>
      </c>
      <c r="H54" s="1">
        <v>1.07</v>
      </c>
      <c r="I54" s="34">
        <v>40483</v>
      </c>
      <c r="J54" s="1">
        <v>141.04</v>
      </c>
      <c r="K54" s="34">
        <v>40483</v>
      </c>
      <c r="L54" s="1">
        <v>2657.1</v>
      </c>
      <c r="M54" s="34">
        <v>40483</v>
      </c>
      <c r="N54" s="1">
        <v>441.2</v>
      </c>
    </row>
    <row r="55" spans="1:14" x14ac:dyDescent="0.25">
      <c r="A55" s="34">
        <v>40513</v>
      </c>
      <c r="B55" s="1">
        <v>2630.7</v>
      </c>
      <c r="C55" s="34">
        <v>40513</v>
      </c>
      <c r="D55" s="1">
        <v>914</v>
      </c>
      <c r="E55" s="34">
        <v>40513</v>
      </c>
      <c r="F55" s="1">
        <v>9.6999999999999993</v>
      </c>
      <c r="G55" s="34">
        <v>40513</v>
      </c>
      <c r="H55" s="1">
        <v>1.74</v>
      </c>
      <c r="I55" s="34">
        <v>40513</v>
      </c>
      <c r="J55" s="1">
        <v>141.33000000000001</v>
      </c>
      <c r="K55" s="34">
        <v>40513</v>
      </c>
      <c r="L55" s="1">
        <v>2655.6</v>
      </c>
      <c r="M55" s="34">
        <v>40513</v>
      </c>
      <c r="N55" s="1">
        <v>438.1</v>
      </c>
    </row>
    <row r="56" spans="1:14" x14ac:dyDescent="0.25">
      <c r="A56" s="34">
        <v>40544</v>
      </c>
      <c r="B56" s="1">
        <v>2629.5</v>
      </c>
      <c r="C56" s="34">
        <v>40544</v>
      </c>
      <c r="D56" s="1">
        <v>697</v>
      </c>
      <c r="E56" s="34">
        <v>40544</v>
      </c>
      <c r="F56" s="1">
        <v>9.6999999999999993</v>
      </c>
      <c r="G56" s="34">
        <v>40544</v>
      </c>
      <c r="H56" s="1">
        <v>1.82</v>
      </c>
      <c r="I56" s="34">
        <v>40544</v>
      </c>
      <c r="J56" s="1">
        <v>141.69</v>
      </c>
      <c r="K56" s="34">
        <v>40544</v>
      </c>
      <c r="L56" s="1">
        <v>2587.5</v>
      </c>
      <c r="M56" s="34">
        <v>40544</v>
      </c>
      <c r="N56" s="1">
        <v>431.2</v>
      </c>
    </row>
    <row r="57" spans="1:14" x14ac:dyDescent="0.25">
      <c r="A57" s="34">
        <v>40575</v>
      </c>
      <c r="B57" s="1">
        <v>2637.5</v>
      </c>
      <c r="C57" s="34">
        <v>40575</v>
      </c>
      <c r="D57" s="1">
        <v>950</v>
      </c>
      <c r="E57" s="34">
        <v>40575</v>
      </c>
      <c r="F57" s="1">
        <v>9.6</v>
      </c>
      <c r="G57" s="34">
        <v>40575</v>
      </c>
      <c r="H57" s="1">
        <v>2.02</v>
      </c>
      <c r="I57" s="34">
        <v>40575</v>
      </c>
      <c r="J57" s="1">
        <v>142.11000000000001</v>
      </c>
      <c r="K57" s="34">
        <v>40575</v>
      </c>
      <c r="L57" s="1">
        <v>2609.6</v>
      </c>
      <c r="M57" s="34">
        <v>40575</v>
      </c>
      <c r="N57" s="1">
        <v>436.5</v>
      </c>
    </row>
    <row r="58" spans="1:14" x14ac:dyDescent="0.25">
      <c r="A58" s="34">
        <v>40603</v>
      </c>
      <c r="B58" s="1">
        <v>2642.4</v>
      </c>
      <c r="C58" s="34">
        <v>40603</v>
      </c>
      <c r="D58" s="1">
        <v>1475</v>
      </c>
      <c r="E58" s="34">
        <v>40603</v>
      </c>
      <c r="F58" s="1">
        <v>9.6</v>
      </c>
      <c r="G58" s="34">
        <v>40603</v>
      </c>
      <c r="H58" s="1">
        <v>1.61</v>
      </c>
      <c r="I58" s="34">
        <v>40603</v>
      </c>
      <c r="J58" s="1">
        <v>142.53</v>
      </c>
      <c r="K58" s="34">
        <v>40603</v>
      </c>
      <c r="L58" s="1">
        <v>2632.1</v>
      </c>
      <c r="M58" s="34">
        <v>40603</v>
      </c>
      <c r="N58" s="1">
        <v>437.6</v>
      </c>
    </row>
    <row r="59" spans="1:14" x14ac:dyDescent="0.25">
      <c r="A59" s="34">
        <v>40634</v>
      </c>
      <c r="B59" s="1">
        <v>2650.9</v>
      </c>
      <c r="C59" s="34">
        <v>40634</v>
      </c>
      <c r="D59" s="1">
        <v>1078</v>
      </c>
      <c r="E59" s="34">
        <v>40634</v>
      </c>
      <c r="F59" s="1">
        <v>9.5</v>
      </c>
      <c r="G59" s="34">
        <v>40634</v>
      </c>
      <c r="H59" s="1">
        <v>1.86</v>
      </c>
      <c r="I59" s="34">
        <v>40634</v>
      </c>
      <c r="J59" s="1">
        <v>142.96</v>
      </c>
      <c r="K59" s="34">
        <v>40634</v>
      </c>
      <c r="L59" s="1">
        <v>2660.6</v>
      </c>
      <c r="M59" s="34">
        <v>40634</v>
      </c>
      <c r="N59" s="1">
        <v>437</v>
      </c>
    </row>
    <row r="60" spans="1:14" x14ac:dyDescent="0.25">
      <c r="A60" s="34">
        <v>40664</v>
      </c>
      <c r="B60" s="1">
        <v>2656.9</v>
      </c>
      <c r="C60" s="34">
        <v>40664</v>
      </c>
      <c r="D60" s="1">
        <v>1049</v>
      </c>
      <c r="E60" s="34">
        <v>40664</v>
      </c>
      <c r="F60" s="1">
        <v>9.5</v>
      </c>
      <c r="G60" s="34">
        <v>40664</v>
      </c>
      <c r="H60" s="1">
        <v>1.61</v>
      </c>
      <c r="I60" s="34">
        <v>40664</v>
      </c>
      <c r="J60" s="1">
        <v>143.37</v>
      </c>
      <c r="K60" s="34">
        <v>40664</v>
      </c>
      <c r="L60" s="1">
        <v>2669.3</v>
      </c>
      <c r="M60" s="34">
        <v>40664</v>
      </c>
      <c r="N60" s="1">
        <v>435.2</v>
      </c>
    </row>
    <row r="61" spans="1:14" x14ac:dyDescent="0.25">
      <c r="A61" s="34">
        <v>40695</v>
      </c>
      <c r="B61" s="1">
        <v>2655.5</v>
      </c>
      <c r="C61" s="34">
        <v>40695</v>
      </c>
      <c r="D61" s="1">
        <v>1397</v>
      </c>
      <c r="E61" s="34">
        <v>40695</v>
      </c>
      <c r="F61" s="1">
        <v>9.5</v>
      </c>
      <c r="G61" s="34">
        <v>40695</v>
      </c>
      <c r="H61" s="1">
        <v>1.65</v>
      </c>
      <c r="I61" s="34">
        <v>40695</v>
      </c>
      <c r="J61" s="1">
        <v>143.77000000000001</v>
      </c>
      <c r="K61" s="34">
        <v>40695</v>
      </c>
      <c r="L61" s="1">
        <v>2646.1</v>
      </c>
      <c r="M61" s="34">
        <v>40695</v>
      </c>
      <c r="N61" s="1">
        <v>402.3</v>
      </c>
    </row>
    <row r="62" spans="1:14" x14ac:dyDescent="0.25">
      <c r="A62" s="34">
        <v>40725</v>
      </c>
      <c r="B62" s="1">
        <v>2668.1</v>
      </c>
      <c r="C62" s="34">
        <v>40725</v>
      </c>
      <c r="D62" s="1">
        <v>949</v>
      </c>
      <c r="E62" s="34">
        <v>40725</v>
      </c>
      <c r="F62" s="1">
        <v>9.5</v>
      </c>
      <c r="G62" s="34">
        <v>40725</v>
      </c>
      <c r="H62" s="1">
        <v>1.93</v>
      </c>
      <c r="I62" s="34">
        <v>40725</v>
      </c>
      <c r="J62" s="1">
        <v>144.16999999999999</v>
      </c>
      <c r="K62" s="34">
        <v>40725</v>
      </c>
      <c r="L62" s="1">
        <v>2643</v>
      </c>
      <c r="M62" s="34">
        <v>40725</v>
      </c>
      <c r="N62" s="1">
        <v>398.3</v>
      </c>
    </row>
    <row r="63" spans="1:14" x14ac:dyDescent="0.25">
      <c r="A63" s="34">
        <v>40756</v>
      </c>
      <c r="B63" s="1">
        <v>2671.9</v>
      </c>
      <c r="C63" s="34">
        <v>40756</v>
      </c>
      <c r="D63" s="1">
        <v>1189</v>
      </c>
      <c r="E63" s="34">
        <v>40756</v>
      </c>
      <c r="F63" s="1">
        <v>9.4</v>
      </c>
      <c r="G63" s="34">
        <v>40756</v>
      </c>
      <c r="H63" s="1">
        <v>2.1</v>
      </c>
      <c r="I63" s="34">
        <v>40756</v>
      </c>
      <c r="J63" s="1">
        <v>144.61000000000001</v>
      </c>
      <c r="K63" s="34">
        <v>40756</v>
      </c>
      <c r="L63" s="1">
        <v>2670.7</v>
      </c>
      <c r="M63" s="34">
        <v>40756</v>
      </c>
      <c r="N63" s="1">
        <v>416.6</v>
      </c>
    </row>
    <row r="64" spans="1:14" x14ac:dyDescent="0.25">
      <c r="A64" s="34">
        <v>40787</v>
      </c>
      <c r="B64" s="1">
        <v>2673.1</v>
      </c>
      <c r="C64" s="34">
        <v>40787</v>
      </c>
      <c r="D64" s="1">
        <v>1678</v>
      </c>
      <c r="E64" s="34">
        <v>40787</v>
      </c>
      <c r="F64" s="1">
        <v>9.1999999999999993</v>
      </c>
      <c r="G64" s="34">
        <v>40787</v>
      </c>
      <c r="H64" s="1">
        <v>1.82</v>
      </c>
      <c r="I64" s="34">
        <v>40787</v>
      </c>
      <c r="J64" s="1">
        <v>145.04</v>
      </c>
      <c r="K64" s="34">
        <v>40787</v>
      </c>
      <c r="L64" s="1">
        <v>2688.2</v>
      </c>
      <c r="M64" s="34">
        <v>40787</v>
      </c>
      <c r="N64" s="1">
        <v>431.8</v>
      </c>
    </row>
    <row r="65" spans="1:14" x14ac:dyDescent="0.25">
      <c r="A65" s="34">
        <v>40817</v>
      </c>
      <c r="B65" s="1">
        <v>2678.7</v>
      </c>
      <c r="C65" s="34">
        <v>40817</v>
      </c>
      <c r="D65" s="1">
        <v>908</v>
      </c>
      <c r="E65" s="34">
        <v>40817</v>
      </c>
      <c r="F65" s="1">
        <v>9</v>
      </c>
      <c r="G65" s="34">
        <v>40817</v>
      </c>
      <c r="H65" s="1">
        <v>1.77</v>
      </c>
      <c r="I65" s="34">
        <v>40817</v>
      </c>
      <c r="J65" s="1">
        <v>145.47999999999999</v>
      </c>
      <c r="K65" s="34">
        <v>40817</v>
      </c>
      <c r="L65" s="1">
        <v>2697.4</v>
      </c>
      <c r="M65" s="34">
        <v>40817</v>
      </c>
      <c r="N65" s="1">
        <v>435.9</v>
      </c>
    </row>
    <row r="66" spans="1:14" x14ac:dyDescent="0.25">
      <c r="A66" s="34">
        <v>40848</v>
      </c>
      <c r="B66" s="1">
        <v>2685.2</v>
      </c>
      <c r="C66" s="34">
        <v>40848</v>
      </c>
      <c r="D66" s="1">
        <v>1397</v>
      </c>
      <c r="E66" s="34">
        <v>40848</v>
      </c>
      <c r="F66" s="1">
        <v>8.6999999999999993</v>
      </c>
      <c r="G66" s="34">
        <v>40848</v>
      </c>
      <c r="H66" s="1">
        <v>2.0699999999999998</v>
      </c>
      <c r="I66" s="34">
        <v>40848</v>
      </c>
      <c r="J66" s="1">
        <v>145.93</v>
      </c>
      <c r="K66" s="34">
        <v>40848</v>
      </c>
      <c r="L66" s="1">
        <v>2716.7</v>
      </c>
      <c r="M66" s="34">
        <v>40848</v>
      </c>
      <c r="N66" s="1">
        <v>436.7</v>
      </c>
    </row>
    <row r="67" spans="1:14" x14ac:dyDescent="0.25">
      <c r="A67" s="34">
        <v>40878</v>
      </c>
      <c r="B67" s="1">
        <v>2689.6</v>
      </c>
      <c r="C67" s="34">
        <v>40878</v>
      </c>
      <c r="D67" s="1">
        <v>1446</v>
      </c>
      <c r="E67" s="34">
        <v>40878</v>
      </c>
      <c r="F67" s="1">
        <v>8.5</v>
      </c>
      <c r="G67" s="34">
        <v>40878</v>
      </c>
      <c r="H67" s="1">
        <v>1.96</v>
      </c>
      <c r="I67" s="34">
        <v>40878</v>
      </c>
      <c r="J67" s="1">
        <v>146.38999999999999</v>
      </c>
      <c r="K67" s="34">
        <v>40878</v>
      </c>
      <c r="L67" s="1">
        <v>2715.5</v>
      </c>
      <c r="M67" s="34">
        <v>40878</v>
      </c>
      <c r="N67" s="1">
        <v>433.9</v>
      </c>
    </row>
    <row r="68" spans="1:14" x14ac:dyDescent="0.25">
      <c r="A68" s="34">
        <v>40909</v>
      </c>
      <c r="B68" s="1">
        <v>2693.2</v>
      </c>
      <c r="C68" s="34">
        <v>40909</v>
      </c>
      <c r="D68" s="1">
        <v>1266</v>
      </c>
      <c r="E68" s="34">
        <v>40909</v>
      </c>
      <c r="F68" s="1">
        <v>8.3000000000000007</v>
      </c>
      <c r="G68" s="34">
        <v>40909</v>
      </c>
      <c r="H68" s="1">
        <v>2.36</v>
      </c>
      <c r="I68" s="34">
        <v>40909</v>
      </c>
      <c r="J68" s="1">
        <v>146.87</v>
      </c>
      <c r="K68" s="34">
        <v>40909</v>
      </c>
      <c r="L68" s="1">
        <v>2648.9</v>
      </c>
      <c r="M68" s="34">
        <v>40909</v>
      </c>
      <c r="N68" s="1">
        <v>424.4</v>
      </c>
    </row>
    <row r="69" spans="1:14" x14ac:dyDescent="0.25">
      <c r="A69" s="34">
        <v>40940</v>
      </c>
      <c r="B69" s="1">
        <v>2699.4</v>
      </c>
      <c r="C69" s="34">
        <v>40940</v>
      </c>
      <c r="D69" s="1">
        <v>1209</v>
      </c>
      <c r="E69" s="34">
        <v>40940</v>
      </c>
      <c r="F69" s="1">
        <v>8.1</v>
      </c>
      <c r="G69" s="34">
        <v>40940</v>
      </c>
      <c r="H69" s="1">
        <v>1.96</v>
      </c>
      <c r="I69" s="34">
        <v>40940</v>
      </c>
      <c r="J69" s="1">
        <v>147.35</v>
      </c>
      <c r="K69" s="34">
        <v>40940</v>
      </c>
      <c r="L69" s="1">
        <v>2667.6</v>
      </c>
      <c r="M69" s="34">
        <v>40940</v>
      </c>
      <c r="N69" s="1">
        <v>432.7</v>
      </c>
    </row>
    <row r="70" spans="1:14" x14ac:dyDescent="0.25">
      <c r="A70" s="34">
        <v>40969</v>
      </c>
      <c r="B70" s="1">
        <v>2708.4</v>
      </c>
      <c r="C70" s="34">
        <v>40969</v>
      </c>
      <c r="D70" s="1">
        <v>2033</v>
      </c>
      <c r="E70" s="34">
        <v>40969</v>
      </c>
      <c r="F70" s="1">
        <v>8.1</v>
      </c>
      <c r="G70" s="34">
        <v>40969</v>
      </c>
      <c r="H70" s="1">
        <v>1.31</v>
      </c>
      <c r="I70" s="34">
        <v>40969</v>
      </c>
      <c r="J70" s="1">
        <v>147.77000000000001</v>
      </c>
      <c r="K70" s="34">
        <v>40969</v>
      </c>
      <c r="L70" s="1">
        <v>2698.8</v>
      </c>
      <c r="M70" s="34">
        <v>40969</v>
      </c>
      <c r="N70" s="1">
        <v>435.8</v>
      </c>
    </row>
    <row r="71" spans="1:14" x14ac:dyDescent="0.25">
      <c r="A71" s="34">
        <v>41000</v>
      </c>
      <c r="B71" s="1">
        <v>2709.5</v>
      </c>
      <c r="C71" s="34">
        <v>41000</v>
      </c>
      <c r="D71" s="1">
        <v>1378</v>
      </c>
      <c r="E71" s="34">
        <v>41000</v>
      </c>
      <c r="F71" s="1">
        <v>8.1999999999999993</v>
      </c>
      <c r="G71" s="34">
        <v>41000</v>
      </c>
      <c r="H71" s="1">
        <v>1.36</v>
      </c>
      <c r="I71" s="34">
        <v>41000</v>
      </c>
      <c r="J71" s="1">
        <v>148.1</v>
      </c>
      <c r="K71" s="34">
        <v>41000</v>
      </c>
      <c r="L71" s="1">
        <v>2715.1</v>
      </c>
      <c r="M71" s="34">
        <v>41000</v>
      </c>
      <c r="N71" s="1">
        <v>434.9</v>
      </c>
    </row>
    <row r="72" spans="1:14" x14ac:dyDescent="0.25">
      <c r="A72" s="34">
        <v>41030</v>
      </c>
      <c r="B72" s="1">
        <v>2712.1</v>
      </c>
      <c r="C72" s="34">
        <v>41030</v>
      </c>
      <c r="D72" s="1">
        <v>1722</v>
      </c>
      <c r="E72" s="34">
        <v>41030</v>
      </c>
      <c r="F72" s="1">
        <v>8.3000000000000007</v>
      </c>
      <c r="G72" s="34">
        <v>41030</v>
      </c>
      <c r="H72" s="1">
        <v>1.51</v>
      </c>
      <c r="I72" s="34">
        <v>41030</v>
      </c>
      <c r="J72" s="1">
        <v>148.38</v>
      </c>
      <c r="K72" s="34">
        <v>41030</v>
      </c>
      <c r="L72" s="1">
        <v>2724.6</v>
      </c>
      <c r="M72" s="34">
        <v>41030</v>
      </c>
      <c r="N72" s="1">
        <v>429.2</v>
      </c>
    </row>
    <row r="73" spans="1:14" x14ac:dyDescent="0.25">
      <c r="A73" s="34">
        <v>41061</v>
      </c>
      <c r="B73" s="1">
        <v>2714.4</v>
      </c>
      <c r="C73" s="34">
        <v>41061</v>
      </c>
      <c r="D73" s="1">
        <v>1848</v>
      </c>
      <c r="E73" s="34">
        <v>41061</v>
      </c>
      <c r="F73" s="1">
        <v>8.3000000000000007</v>
      </c>
      <c r="G73" s="34">
        <v>41061</v>
      </c>
      <c r="H73" s="1">
        <v>1.37</v>
      </c>
      <c r="I73" s="34">
        <v>41061</v>
      </c>
      <c r="J73" s="1">
        <v>148.66</v>
      </c>
      <c r="K73" s="34">
        <v>41061</v>
      </c>
      <c r="L73" s="1">
        <v>2704.8</v>
      </c>
      <c r="M73" s="34">
        <v>41061</v>
      </c>
      <c r="N73" s="1">
        <v>397.9</v>
      </c>
    </row>
    <row r="74" spans="1:14" x14ac:dyDescent="0.25">
      <c r="A74" s="34">
        <v>41091</v>
      </c>
      <c r="B74" s="1">
        <v>2712.8</v>
      </c>
      <c r="C74" s="34">
        <v>41091</v>
      </c>
      <c r="D74" s="1">
        <v>1204</v>
      </c>
      <c r="E74" s="34">
        <v>41091</v>
      </c>
      <c r="F74" s="1">
        <v>8.3000000000000007</v>
      </c>
      <c r="G74" s="34">
        <v>41091</v>
      </c>
      <c r="H74" s="1">
        <v>1.1399999999999999</v>
      </c>
      <c r="I74" s="34">
        <v>41091</v>
      </c>
      <c r="J74" s="1">
        <v>148.91</v>
      </c>
      <c r="K74" s="34">
        <v>41091</v>
      </c>
      <c r="L74" s="1">
        <v>2686.5</v>
      </c>
      <c r="M74" s="34">
        <v>41091</v>
      </c>
      <c r="N74" s="1">
        <v>394.7</v>
      </c>
    </row>
    <row r="75" spans="1:14" x14ac:dyDescent="0.25">
      <c r="A75" s="34">
        <v>41122</v>
      </c>
      <c r="B75" s="1">
        <v>2714.1</v>
      </c>
      <c r="C75" s="34">
        <v>41122</v>
      </c>
      <c r="D75" s="1">
        <v>1767</v>
      </c>
      <c r="E75" s="34">
        <v>41122</v>
      </c>
      <c r="F75" s="1">
        <v>8.3000000000000007</v>
      </c>
      <c r="G75" s="34">
        <v>41122</v>
      </c>
      <c r="H75" s="1">
        <v>1.57</v>
      </c>
      <c r="I75" s="34">
        <v>41122</v>
      </c>
      <c r="J75" s="1">
        <v>149.19999999999999</v>
      </c>
      <c r="K75" s="34">
        <v>41122</v>
      </c>
      <c r="L75" s="1">
        <v>2713.4</v>
      </c>
      <c r="M75" s="34">
        <v>41122</v>
      </c>
      <c r="N75" s="1">
        <v>407.1</v>
      </c>
    </row>
    <row r="76" spans="1:14" x14ac:dyDescent="0.25">
      <c r="A76" s="34">
        <v>41153</v>
      </c>
      <c r="B76" s="1">
        <v>2718.2</v>
      </c>
      <c r="C76" s="34">
        <v>41153</v>
      </c>
      <c r="D76" s="1">
        <v>1437</v>
      </c>
      <c r="E76" s="34">
        <v>41153</v>
      </c>
      <c r="F76" s="1">
        <v>8.1999999999999993</v>
      </c>
      <c r="G76" s="34">
        <v>41153</v>
      </c>
      <c r="H76" s="1">
        <v>2</v>
      </c>
      <c r="I76" s="34">
        <v>41153</v>
      </c>
      <c r="J76" s="1">
        <v>149.55000000000001</v>
      </c>
      <c r="K76" s="34">
        <v>41153</v>
      </c>
      <c r="L76" s="1">
        <v>2732.5</v>
      </c>
      <c r="M76" s="34">
        <v>41153</v>
      </c>
      <c r="N76" s="1">
        <v>427.6</v>
      </c>
    </row>
    <row r="77" spans="1:14" x14ac:dyDescent="0.25">
      <c r="A77" s="34">
        <v>41183</v>
      </c>
      <c r="B77" s="1">
        <v>2725.3</v>
      </c>
      <c r="C77" s="34">
        <v>41183</v>
      </c>
      <c r="D77" s="1">
        <v>1655</v>
      </c>
      <c r="E77" s="34">
        <v>41183</v>
      </c>
      <c r="F77" s="1">
        <v>8.1</v>
      </c>
      <c r="G77" s="34">
        <v>41183</v>
      </c>
      <c r="H77" s="1">
        <v>1.73</v>
      </c>
      <c r="I77" s="34">
        <v>41183</v>
      </c>
      <c r="J77" s="1">
        <v>149.97</v>
      </c>
      <c r="K77" s="34">
        <v>41183</v>
      </c>
      <c r="L77" s="1">
        <v>2743.7</v>
      </c>
      <c r="M77" s="34">
        <v>41183</v>
      </c>
      <c r="N77" s="1">
        <v>433.7</v>
      </c>
    </row>
    <row r="78" spans="1:14" x14ac:dyDescent="0.25">
      <c r="A78" s="34">
        <v>41214</v>
      </c>
      <c r="B78" s="1">
        <v>2731.8</v>
      </c>
      <c r="C78" s="34">
        <v>41214</v>
      </c>
      <c r="D78" s="1">
        <v>1469</v>
      </c>
      <c r="E78" s="34">
        <v>41214</v>
      </c>
      <c r="F78" s="1">
        <v>8</v>
      </c>
      <c r="G78" s="34">
        <v>41214</v>
      </c>
      <c r="H78" s="1">
        <v>1.32</v>
      </c>
      <c r="I78" s="34">
        <v>41214</v>
      </c>
      <c r="J78" s="1">
        <v>150.37</v>
      </c>
      <c r="K78" s="34">
        <v>41214</v>
      </c>
      <c r="L78" s="1">
        <v>2764.7</v>
      </c>
      <c r="M78" s="34">
        <v>41214</v>
      </c>
      <c r="N78" s="1">
        <v>435.7</v>
      </c>
    </row>
    <row r="79" spans="1:14" x14ac:dyDescent="0.25">
      <c r="A79" s="34">
        <v>41244</v>
      </c>
      <c r="B79" s="1">
        <v>2733.9</v>
      </c>
      <c r="C79" s="34">
        <v>41244</v>
      </c>
      <c r="D79" s="1">
        <v>1812</v>
      </c>
      <c r="E79" s="34">
        <v>41244</v>
      </c>
      <c r="F79" s="1">
        <v>8.1</v>
      </c>
      <c r="G79" s="34">
        <v>41244</v>
      </c>
      <c r="H79" s="1">
        <v>0.92</v>
      </c>
      <c r="I79" s="34">
        <v>41244</v>
      </c>
      <c r="J79" s="1">
        <v>150.72</v>
      </c>
      <c r="K79" s="34">
        <v>41244</v>
      </c>
      <c r="L79" s="1">
        <v>2766.9</v>
      </c>
      <c r="M79" s="34">
        <v>41244</v>
      </c>
      <c r="N79" s="1">
        <v>434.7</v>
      </c>
    </row>
    <row r="80" spans="1:14" x14ac:dyDescent="0.25">
      <c r="A80" s="34">
        <v>41275</v>
      </c>
      <c r="B80" s="1">
        <v>2734.5</v>
      </c>
      <c r="C80" s="34">
        <v>41275</v>
      </c>
      <c r="D80" s="1">
        <v>1491</v>
      </c>
      <c r="E80" s="34">
        <v>41275</v>
      </c>
      <c r="F80" s="1">
        <v>8.1</v>
      </c>
      <c r="G80" s="34">
        <v>41275</v>
      </c>
      <c r="H80" s="1">
        <v>1.2</v>
      </c>
      <c r="I80" s="34">
        <v>41275</v>
      </c>
      <c r="J80" s="1">
        <v>151.01</v>
      </c>
      <c r="K80" s="34">
        <v>41275</v>
      </c>
      <c r="L80" s="1">
        <v>2688.8</v>
      </c>
      <c r="M80" s="34">
        <v>41275</v>
      </c>
      <c r="N80" s="1">
        <v>420.4</v>
      </c>
    </row>
    <row r="81" spans="1:14" x14ac:dyDescent="0.25">
      <c r="A81" s="34">
        <v>41306</v>
      </c>
      <c r="B81" s="1">
        <v>2740.2</v>
      </c>
      <c r="C81" s="34">
        <v>41306</v>
      </c>
      <c r="D81" s="1">
        <v>1536</v>
      </c>
      <c r="E81" s="34">
        <v>41306</v>
      </c>
      <c r="F81" s="1">
        <v>8.1999999999999993</v>
      </c>
      <c r="G81" s="34">
        <v>41306</v>
      </c>
      <c r="H81" s="1">
        <v>0.69</v>
      </c>
      <c r="I81" s="34">
        <v>41306</v>
      </c>
      <c r="J81" s="1">
        <v>151.24</v>
      </c>
      <c r="K81" s="34">
        <v>41306</v>
      </c>
      <c r="L81" s="1">
        <v>2708.4</v>
      </c>
      <c r="M81" s="34">
        <v>41306</v>
      </c>
      <c r="N81" s="1">
        <v>429.5</v>
      </c>
    </row>
    <row r="82" spans="1:14" x14ac:dyDescent="0.25">
      <c r="A82" s="34">
        <v>41334</v>
      </c>
      <c r="B82" s="1">
        <v>2739.4</v>
      </c>
      <c r="C82" s="34">
        <v>41334</v>
      </c>
      <c r="D82" s="1">
        <v>1734</v>
      </c>
      <c r="E82" s="34">
        <v>41334</v>
      </c>
      <c r="F82" s="1">
        <v>8.3000000000000007</v>
      </c>
      <c r="G82" s="34">
        <v>41334</v>
      </c>
      <c r="H82" s="1">
        <v>0.88</v>
      </c>
      <c r="I82" s="34">
        <v>41334</v>
      </c>
      <c r="J82" s="1">
        <v>151.41999999999999</v>
      </c>
      <c r="K82" s="34">
        <v>41334</v>
      </c>
      <c r="L82" s="1">
        <v>2730.4</v>
      </c>
      <c r="M82" s="34">
        <v>41334</v>
      </c>
      <c r="N82" s="1">
        <v>431.2</v>
      </c>
    </row>
    <row r="83" spans="1:14" x14ac:dyDescent="0.25">
      <c r="A83" s="34">
        <v>41365</v>
      </c>
      <c r="B83" s="1">
        <v>2741.4</v>
      </c>
      <c r="C83" s="34">
        <v>41365</v>
      </c>
      <c r="D83" s="1">
        <v>2148</v>
      </c>
      <c r="E83" s="34">
        <v>41365</v>
      </c>
      <c r="F83" s="1">
        <v>8.3000000000000007</v>
      </c>
      <c r="G83" s="34">
        <v>41365</v>
      </c>
      <c r="H83" s="1">
        <v>1.23</v>
      </c>
      <c r="I83" s="34">
        <v>41365</v>
      </c>
      <c r="J83" s="1">
        <v>151.6</v>
      </c>
      <c r="K83" s="34">
        <v>41365</v>
      </c>
      <c r="L83" s="1">
        <v>2747.7</v>
      </c>
      <c r="M83" s="34">
        <v>41365</v>
      </c>
      <c r="N83" s="1">
        <v>432</v>
      </c>
    </row>
    <row r="84" spans="1:14" x14ac:dyDescent="0.25">
      <c r="A84" s="34">
        <v>41395</v>
      </c>
      <c r="B84" s="1">
        <v>2742.5</v>
      </c>
      <c r="C84" s="34">
        <v>41395</v>
      </c>
      <c r="D84" s="1">
        <v>2486</v>
      </c>
      <c r="E84" s="34">
        <v>41395</v>
      </c>
      <c r="F84" s="1">
        <v>8.4</v>
      </c>
      <c r="G84" s="34">
        <v>41395</v>
      </c>
      <c r="H84" s="1">
        <v>1.03</v>
      </c>
      <c r="I84" s="34">
        <v>41395</v>
      </c>
      <c r="J84" s="1">
        <v>151.80000000000001</v>
      </c>
      <c r="K84" s="34">
        <v>41395</v>
      </c>
      <c r="L84" s="1">
        <v>2756.7</v>
      </c>
      <c r="M84" s="34">
        <v>41395</v>
      </c>
      <c r="N84" s="1">
        <v>427.1</v>
      </c>
    </row>
    <row r="85" spans="1:14" x14ac:dyDescent="0.25">
      <c r="A85" s="34">
        <v>41426</v>
      </c>
      <c r="B85" s="1">
        <v>2745.6</v>
      </c>
      <c r="C85" s="34">
        <v>41426</v>
      </c>
      <c r="D85" s="1">
        <v>1872</v>
      </c>
      <c r="E85" s="34">
        <v>41426</v>
      </c>
      <c r="F85" s="1">
        <v>8.4</v>
      </c>
      <c r="G85" s="34">
        <v>41426</v>
      </c>
      <c r="H85" s="1">
        <v>1.51</v>
      </c>
      <c r="I85" s="34">
        <v>41426</v>
      </c>
      <c r="J85" s="1">
        <v>152.05000000000001</v>
      </c>
      <c r="K85" s="34">
        <v>41426</v>
      </c>
      <c r="L85" s="1">
        <v>2737</v>
      </c>
      <c r="M85" s="34">
        <v>41426</v>
      </c>
      <c r="N85" s="1">
        <v>394.9</v>
      </c>
    </row>
    <row r="86" spans="1:14" x14ac:dyDescent="0.25">
      <c r="A86" s="34">
        <v>41456</v>
      </c>
      <c r="B86" s="1">
        <v>2748.8</v>
      </c>
      <c r="C86" s="34">
        <v>41456</v>
      </c>
      <c r="D86" s="1">
        <v>2017</v>
      </c>
      <c r="E86" s="34">
        <v>41456</v>
      </c>
      <c r="F86" s="1">
        <v>8.4</v>
      </c>
      <c r="G86" s="34">
        <v>41456</v>
      </c>
      <c r="H86" s="1">
        <v>1.37</v>
      </c>
      <c r="I86" s="34">
        <v>41456</v>
      </c>
      <c r="J86" s="1">
        <v>152.35</v>
      </c>
      <c r="K86" s="34">
        <v>41456</v>
      </c>
      <c r="L86" s="1">
        <v>2722.2</v>
      </c>
      <c r="M86" s="34">
        <v>41456</v>
      </c>
      <c r="N86" s="1">
        <v>392.1</v>
      </c>
    </row>
    <row r="87" spans="1:14" x14ac:dyDescent="0.25">
      <c r="A87" s="34">
        <v>41487</v>
      </c>
      <c r="B87" s="1">
        <v>2751.2</v>
      </c>
      <c r="C87" s="34">
        <v>41487</v>
      </c>
      <c r="D87" s="1">
        <v>1820</v>
      </c>
      <c r="E87" s="34">
        <v>41487</v>
      </c>
      <c r="F87" s="1">
        <v>8.4</v>
      </c>
      <c r="G87" s="34">
        <v>41487</v>
      </c>
      <c r="H87" s="1">
        <v>1.69</v>
      </c>
      <c r="I87" s="34">
        <v>41487</v>
      </c>
      <c r="J87" s="1">
        <v>152.69999999999999</v>
      </c>
      <c r="K87" s="34">
        <v>41487</v>
      </c>
      <c r="L87" s="1">
        <v>2749.6</v>
      </c>
      <c r="M87" s="34">
        <v>41487</v>
      </c>
      <c r="N87" s="1">
        <v>403.7</v>
      </c>
    </row>
    <row r="88" spans="1:14" x14ac:dyDescent="0.25">
      <c r="A88" s="34">
        <v>41518</v>
      </c>
      <c r="B88" s="1">
        <v>2756</v>
      </c>
      <c r="C88" s="34">
        <v>41518</v>
      </c>
      <c r="D88" s="1">
        <v>1862</v>
      </c>
      <c r="E88" s="34">
        <v>41518</v>
      </c>
      <c r="F88" s="1">
        <v>8.1999999999999993</v>
      </c>
      <c r="G88" s="34">
        <v>41518</v>
      </c>
      <c r="H88" s="1">
        <v>2.2599999999999998</v>
      </c>
      <c r="I88" s="34">
        <v>41518</v>
      </c>
      <c r="J88" s="1">
        <v>153.13</v>
      </c>
      <c r="K88" s="34">
        <v>41518</v>
      </c>
      <c r="L88" s="1">
        <v>2769.9</v>
      </c>
      <c r="M88" s="34">
        <v>41518</v>
      </c>
      <c r="N88" s="1">
        <v>424.4</v>
      </c>
    </row>
    <row r="89" spans="1:14" x14ac:dyDescent="0.25">
      <c r="A89" s="34">
        <v>41548</v>
      </c>
      <c r="B89" s="1">
        <v>2765.7</v>
      </c>
      <c r="C89" s="34">
        <v>41548</v>
      </c>
      <c r="D89" s="1">
        <v>2434</v>
      </c>
      <c r="E89" s="34">
        <v>41548</v>
      </c>
      <c r="F89" s="1">
        <v>8.1</v>
      </c>
      <c r="G89" s="34">
        <v>41548</v>
      </c>
      <c r="H89" s="1">
        <v>1.78</v>
      </c>
      <c r="I89" s="34">
        <v>41548</v>
      </c>
      <c r="J89" s="1">
        <v>153.58000000000001</v>
      </c>
      <c r="K89" s="34">
        <v>41548</v>
      </c>
      <c r="L89" s="1">
        <v>2782.7</v>
      </c>
      <c r="M89" s="34">
        <v>41548</v>
      </c>
      <c r="N89" s="1">
        <v>428.1</v>
      </c>
    </row>
    <row r="90" spans="1:14" x14ac:dyDescent="0.25">
      <c r="A90" s="34">
        <v>41579</v>
      </c>
      <c r="B90" s="1">
        <v>2772.8</v>
      </c>
      <c r="C90" s="34">
        <v>41579</v>
      </c>
      <c r="D90" s="1">
        <v>1431</v>
      </c>
      <c r="E90" s="34">
        <v>41579</v>
      </c>
      <c r="F90" s="1">
        <v>7.9</v>
      </c>
      <c r="G90" s="34">
        <v>41579</v>
      </c>
      <c r="H90" s="1">
        <v>1.95</v>
      </c>
      <c r="I90" s="34">
        <v>41579</v>
      </c>
      <c r="J90" s="1">
        <v>154.05000000000001</v>
      </c>
      <c r="K90" s="34">
        <v>41579</v>
      </c>
      <c r="L90" s="1">
        <v>2805.3</v>
      </c>
      <c r="M90" s="34">
        <v>41579</v>
      </c>
      <c r="N90" s="1">
        <v>428.8</v>
      </c>
    </row>
    <row r="91" spans="1:14" x14ac:dyDescent="0.25">
      <c r="A91" s="34">
        <v>41609</v>
      </c>
      <c r="B91" s="1">
        <v>2774.4</v>
      </c>
      <c r="C91" s="34">
        <v>41609</v>
      </c>
      <c r="D91" s="1">
        <v>1608</v>
      </c>
      <c r="E91" s="34">
        <v>41609</v>
      </c>
      <c r="F91" s="1">
        <v>7.7</v>
      </c>
      <c r="G91" s="34">
        <v>41609</v>
      </c>
      <c r="H91" s="1">
        <v>2.2999999999999998</v>
      </c>
      <c r="I91" s="34">
        <v>41609</v>
      </c>
      <c r="J91" s="1">
        <v>154.58000000000001</v>
      </c>
      <c r="K91" s="34">
        <v>41609</v>
      </c>
      <c r="L91" s="1">
        <v>2798.2</v>
      </c>
      <c r="M91" s="34">
        <v>41609</v>
      </c>
      <c r="N91" s="1">
        <v>426.3</v>
      </c>
    </row>
    <row r="92" spans="1:14" x14ac:dyDescent="0.25">
      <c r="A92" s="34">
        <v>41640</v>
      </c>
      <c r="B92" s="1">
        <v>2771</v>
      </c>
      <c r="C92" s="34">
        <v>41640</v>
      </c>
      <c r="D92" s="1">
        <v>2422</v>
      </c>
      <c r="E92" s="34">
        <v>41640</v>
      </c>
      <c r="F92" s="1">
        <v>7.2</v>
      </c>
      <c r="G92" s="34">
        <v>41640</v>
      </c>
      <c r="H92" s="1">
        <v>2.59</v>
      </c>
      <c r="I92" s="34">
        <v>41640</v>
      </c>
      <c r="J92" s="1">
        <v>155.18</v>
      </c>
      <c r="K92" s="34">
        <v>41640</v>
      </c>
      <c r="L92" s="1">
        <v>2733.4</v>
      </c>
      <c r="M92" s="34">
        <v>41640</v>
      </c>
      <c r="N92" s="1">
        <v>416.9</v>
      </c>
    </row>
    <row r="93" spans="1:14" x14ac:dyDescent="0.25">
      <c r="A93" s="34">
        <v>41671</v>
      </c>
      <c r="B93" s="1">
        <v>2781.3</v>
      </c>
      <c r="C93" s="34">
        <v>41671</v>
      </c>
      <c r="D93" s="1">
        <v>1959</v>
      </c>
      <c r="E93" s="34">
        <v>41671</v>
      </c>
      <c r="F93" s="1">
        <v>6.9</v>
      </c>
      <c r="G93" s="34">
        <v>41671</v>
      </c>
      <c r="H93" s="1">
        <v>1.69</v>
      </c>
      <c r="I93" s="34">
        <v>41671</v>
      </c>
      <c r="J93" s="1">
        <v>155.76</v>
      </c>
      <c r="K93" s="34">
        <v>41671</v>
      </c>
      <c r="L93" s="1">
        <v>2752.7</v>
      </c>
      <c r="M93" s="34">
        <v>41671</v>
      </c>
      <c r="N93" s="1">
        <v>425.5</v>
      </c>
    </row>
    <row r="94" spans="1:14" x14ac:dyDescent="0.25">
      <c r="A94" s="34">
        <v>41699</v>
      </c>
      <c r="B94" s="1">
        <v>2787</v>
      </c>
      <c r="C94" s="34">
        <v>41699</v>
      </c>
      <c r="D94" s="1">
        <v>2030</v>
      </c>
      <c r="E94" s="34">
        <v>41699</v>
      </c>
      <c r="F94" s="1">
        <v>6.7</v>
      </c>
      <c r="G94" s="34">
        <v>41699</v>
      </c>
      <c r="H94" s="1">
        <v>2.15</v>
      </c>
      <c r="I94" s="34">
        <v>41699</v>
      </c>
      <c r="J94" s="1">
        <v>156.33000000000001</v>
      </c>
      <c r="K94" s="34">
        <v>41699</v>
      </c>
      <c r="L94" s="1">
        <v>2776.4</v>
      </c>
      <c r="M94" s="34">
        <v>41699</v>
      </c>
      <c r="N94" s="1">
        <v>427</v>
      </c>
    </row>
    <row r="95" spans="1:14" x14ac:dyDescent="0.25">
      <c r="A95" s="34">
        <v>41730</v>
      </c>
      <c r="B95" s="1">
        <v>2792.7</v>
      </c>
      <c r="C95" s="34">
        <v>41730</v>
      </c>
      <c r="D95" s="1">
        <v>2445</v>
      </c>
      <c r="E95" s="34">
        <v>41730</v>
      </c>
      <c r="F95" s="1">
        <v>6.3</v>
      </c>
      <c r="G95" s="34">
        <v>41730</v>
      </c>
      <c r="H95" s="1">
        <v>2.42</v>
      </c>
      <c r="I95" s="34">
        <v>41730</v>
      </c>
      <c r="J95" s="1">
        <v>156.9</v>
      </c>
      <c r="K95" s="34">
        <v>41730</v>
      </c>
      <c r="L95" s="1">
        <v>2802.8</v>
      </c>
      <c r="M95" s="34">
        <v>41730</v>
      </c>
      <c r="N95" s="1">
        <v>428.6</v>
      </c>
    </row>
    <row r="96" spans="1:14" x14ac:dyDescent="0.25">
      <c r="A96" s="34">
        <v>41760</v>
      </c>
      <c r="B96" s="1">
        <v>2801.8</v>
      </c>
      <c r="C96" s="34">
        <v>41760</v>
      </c>
      <c r="D96" s="1">
        <v>2045</v>
      </c>
      <c r="E96" s="34">
        <v>41760</v>
      </c>
      <c r="F96" s="1">
        <v>6.4</v>
      </c>
      <c r="G96" s="34">
        <v>41760</v>
      </c>
      <c r="H96" s="1">
        <v>0.79</v>
      </c>
      <c r="I96" s="34">
        <v>41760</v>
      </c>
      <c r="J96" s="1">
        <v>157.35</v>
      </c>
      <c r="K96" s="34">
        <v>41760</v>
      </c>
      <c r="L96" s="1">
        <v>2817.3</v>
      </c>
      <c r="M96" s="34">
        <v>41760</v>
      </c>
      <c r="N96" s="1">
        <v>423.2</v>
      </c>
    </row>
    <row r="97" spans="1:14" x14ac:dyDescent="0.25">
      <c r="A97" s="34">
        <v>41791</v>
      </c>
      <c r="B97" s="1">
        <v>2797.4</v>
      </c>
      <c r="C97" s="34">
        <v>41791</v>
      </c>
      <c r="D97" s="1">
        <v>2050</v>
      </c>
      <c r="E97" s="34">
        <v>41791</v>
      </c>
      <c r="F97" s="1">
        <v>6.6</v>
      </c>
      <c r="G97" s="34">
        <v>41791</v>
      </c>
      <c r="H97" s="1">
        <v>1.06</v>
      </c>
      <c r="I97" s="34">
        <v>41791</v>
      </c>
      <c r="J97" s="1">
        <v>157.66999999999999</v>
      </c>
      <c r="K97" s="34">
        <v>41791</v>
      </c>
      <c r="L97" s="1">
        <v>2791.6</v>
      </c>
      <c r="M97" s="34">
        <v>41791</v>
      </c>
      <c r="N97" s="1">
        <v>391.4</v>
      </c>
    </row>
    <row r="98" spans="1:14" x14ac:dyDescent="0.25">
      <c r="A98" s="34">
        <v>41821</v>
      </c>
      <c r="B98" s="1">
        <v>2803.5</v>
      </c>
      <c r="C98" s="34">
        <v>41821</v>
      </c>
      <c r="D98" s="1">
        <v>1748</v>
      </c>
      <c r="E98" s="34">
        <v>41821</v>
      </c>
      <c r="F98" s="1">
        <v>7.1</v>
      </c>
      <c r="G98" s="34">
        <v>41821</v>
      </c>
      <c r="H98" s="1">
        <v>1.26</v>
      </c>
      <c r="I98" s="34">
        <v>41821</v>
      </c>
      <c r="J98" s="1">
        <v>157.9</v>
      </c>
      <c r="K98" s="34">
        <v>41821</v>
      </c>
      <c r="L98" s="1">
        <v>2784.3</v>
      </c>
      <c r="M98" s="34">
        <v>41821</v>
      </c>
      <c r="N98" s="1">
        <v>388.3</v>
      </c>
    </row>
    <row r="99" spans="1:14" x14ac:dyDescent="0.25">
      <c r="A99" s="34">
        <v>41852</v>
      </c>
      <c r="B99" s="1">
        <v>2809.5</v>
      </c>
      <c r="C99" s="34">
        <v>41852</v>
      </c>
      <c r="D99" s="1">
        <v>1840</v>
      </c>
      <c r="E99" s="34">
        <v>41852</v>
      </c>
      <c r="F99" s="1">
        <v>7.4</v>
      </c>
      <c r="G99" s="34">
        <v>41852</v>
      </c>
      <c r="H99" s="1">
        <v>2.31</v>
      </c>
      <c r="I99" s="34">
        <v>41852</v>
      </c>
      <c r="J99" s="1">
        <v>158.21</v>
      </c>
      <c r="K99" s="34">
        <v>41852</v>
      </c>
      <c r="L99" s="1">
        <v>2806.1</v>
      </c>
      <c r="M99" s="34">
        <v>41852</v>
      </c>
      <c r="N99" s="1">
        <v>399.7</v>
      </c>
    </row>
    <row r="100" spans="1:14" x14ac:dyDescent="0.25">
      <c r="A100" s="34">
        <v>41883</v>
      </c>
      <c r="B100" s="1">
        <v>2817.6</v>
      </c>
      <c r="C100" s="34">
        <v>41883</v>
      </c>
      <c r="D100" s="1">
        <v>1796</v>
      </c>
      <c r="E100" s="34">
        <v>41883</v>
      </c>
      <c r="F100" s="1">
        <v>7.3</v>
      </c>
      <c r="G100" s="34">
        <v>41883</v>
      </c>
      <c r="H100" s="1">
        <v>2.4300000000000002</v>
      </c>
      <c r="I100" s="34">
        <v>41883</v>
      </c>
      <c r="J100" s="1">
        <v>158.65</v>
      </c>
      <c r="K100" s="34">
        <v>41883</v>
      </c>
      <c r="L100" s="1">
        <v>2831.9</v>
      </c>
      <c r="M100" s="34">
        <v>41883</v>
      </c>
      <c r="N100" s="1">
        <v>420.5</v>
      </c>
    </row>
    <row r="101" spans="1:14" x14ac:dyDescent="0.25">
      <c r="A101" s="34">
        <v>41913</v>
      </c>
      <c r="B101" s="1">
        <v>2828.6</v>
      </c>
      <c r="C101" s="34">
        <v>41913</v>
      </c>
      <c r="D101" s="1">
        <v>3395</v>
      </c>
      <c r="E101" s="34">
        <v>41913</v>
      </c>
      <c r="F101" s="1">
        <v>7.1</v>
      </c>
      <c r="G101" s="34">
        <v>41913</v>
      </c>
      <c r="H101" s="1">
        <v>1.53</v>
      </c>
      <c r="I101" s="34">
        <v>41913</v>
      </c>
      <c r="J101" s="1">
        <v>159.13999999999999</v>
      </c>
      <c r="K101" s="34">
        <v>41913</v>
      </c>
      <c r="L101" s="1">
        <v>2845.3</v>
      </c>
      <c r="M101" s="34">
        <v>41913</v>
      </c>
      <c r="N101" s="1">
        <v>425.7</v>
      </c>
    </row>
    <row r="102" spans="1:14" x14ac:dyDescent="0.25">
      <c r="A102" s="34">
        <v>41944</v>
      </c>
      <c r="B102" s="1">
        <v>2828.1</v>
      </c>
      <c r="C102" s="34">
        <v>41944</v>
      </c>
      <c r="D102" s="1">
        <v>1802</v>
      </c>
      <c r="E102" s="34">
        <v>41944</v>
      </c>
      <c r="F102" s="1">
        <v>6.8</v>
      </c>
      <c r="G102" s="34">
        <v>41944</v>
      </c>
      <c r="H102" s="1">
        <v>1.48</v>
      </c>
      <c r="I102" s="34">
        <v>41944</v>
      </c>
      <c r="J102" s="1">
        <v>159.61000000000001</v>
      </c>
      <c r="K102" s="34">
        <v>41944</v>
      </c>
      <c r="L102" s="1">
        <v>2862</v>
      </c>
      <c r="M102" s="34">
        <v>41944</v>
      </c>
      <c r="N102" s="1">
        <v>428.4</v>
      </c>
    </row>
    <row r="103" spans="1:14" x14ac:dyDescent="0.25">
      <c r="A103" s="34">
        <v>41974</v>
      </c>
      <c r="B103" s="1">
        <v>2840.6</v>
      </c>
      <c r="E103" s="34">
        <v>41974</v>
      </c>
      <c r="F103" s="1">
        <v>6.6</v>
      </c>
      <c r="K103" s="34">
        <v>41974</v>
      </c>
      <c r="L103" s="1">
        <v>2865.5</v>
      </c>
      <c r="M103" s="34">
        <v>41974</v>
      </c>
      <c r="N103" s="1">
        <v>427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P103"/>
  <sheetViews>
    <sheetView topLeftCell="A77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293</v>
      </c>
      <c r="C1" s="34" t="s">
        <v>294</v>
      </c>
      <c r="E1" s="34" t="s">
        <v>295</v>
      </c>
      <c r="G1" s="34" t="s">
        <v>296</v>
      </c>
      <c r="I1" s="34" t="s">
        <v>297</v>
      </c>
      <c r="K1" s="34" t="str">
        <f>CONCATENATE(LEFT(A1,2), "NAN")</f>
        <v>UTNAN</v>
      </c>
      <c r="M1" s="34" t="str">
        <f>CONCATENATE(LEFT(A1,2), "GOVTN")</f>
        <v>UTGOVTN</v>
      </c>
      <c r="O1" s="34" t="str">
        <f>CONCATENATE(LEFT($A$1,2), "RGSP")</f>
        <v>UTRGSP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932</v>
      </c>
      <c r="C5" s="35" t="s">
        <v>343</v>
      </c>
      <c r="E5" s="35" t="s">
        <v>344</v>
      </c>
      <c r="G5" s="35" t="s">
        <v>345</v>
      </c>
      <c r="I5" s="35" t="s">
        <v>346</v>
      </c>
      <c r="K5" s="35" t="s">
        <v>932</v>
      </c>
      <c r="M5" s="35" t="s">
        <v>933</v>
      </c>
      <c r="O5" s="35" t="s">
        <v>776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1236.4000000000001</v>
      </c>
      <c r="C8" s="34">
        <v>39083</v>
      </c>
      <c r="D8" s="1">
        <v>1546</v>
      </c>
      <c r="E8" s="34">
        <v>39083</v>
      </c>
      <c r="F8" s="1">
        <v>2.4</v>
      </c>
      <c r="G8" s="34">
        <v>39083</v>
      </c>
      <c r="H8" s="1">
        <v>2.75</v>
      </c>
      <c r="I8" s="34">
        <v>39083</v>
      </c>
      <c r="J8" s="1">
        <v>175.79</v>
      </c>
      <c r="K8" s="34">
        <v>39083</v>
      </c>
      <c r="L8" s="1">
        <v>1219.2</v>
      </c>
      <c r="M8" s="34">
        <v>39083</v>
      </c>
      <c r="N8" s="1">
        <v>206</v>
      </c>
      <c r="O8" s="34">
        <v>39083</v>
      </c>
      <c r="P8" s="1">
        <v>118592</v>
      </c>
    </row>
    <row r="9" spans="1:16" x14ac:dyDescent="0.25">
      <c r="A9" s="34">
        <v>39114</v>
      </c>
      <c r="B9" s="1">
        <v>1242.0999999999999</v>
      </c>
      <c r="C9" s="34">
        <v>39114</v>
      </c>
      <c r="D9" s="1">
        <v>1829</v>
      </c>
      <c r="E9" s="34">
        <v>39114</v>
      </c>
      <c r="F9" s="1">
        <v>2.4</v>
      </c>
      <c r="G9" s="34">
        <v>39114</v>
      </c>
      <c r="H9" s="1">
        <v>2.0299999999999998</v>
      </c>
      <c r="I9" s="34">
        <v>39114</v>
      </c>
      <c r="J9" s="1">
        <v>176.63</v>
      </c>
      <c r="K9" s="34">
        <v>39114</v>
      </c>
      <c r="L9" s="1">
        <v>1226.7</v>
      </c>
      <c r="M9" s="34">
        <v>39114</v>
      </c>
      <c r="N9" s="1">
        <v>208</v>
      </c>
      <c r="O9" s="34">
        <v>39448</v>
      </c>
      <c r="P9" s="1">
        <v>116272</v>
      </c>
    </row>
    <row r="10" spans="1:16" x14ac:dyDescent="0.25">
      <c r="A10" s="34">
        <v>39142</v>
      </c>
      <c r="B10" s="1">
        <v>1246.5</v>
      </c>
      <c r="C10" s="34">
        <v>39142</v>
      </c>
      <c r="D10" s="1">
        <v>1858</v>
      </c>
      <c r="E10" s="34">
        <v>39142</v>
      </c>
      <c r="F10" s="1">
        <v>2.4</v>
      </c>
      <c r="G10" s="34">
        <v>39142</v>
      </c>
      <c r="H10" s="1">
        <v>1.91</v>
      </c>
      <c r="I10" s="34">
        <v>39142</v>
      </c>
      <c r="J10" s="1">
        <v>177.35</v>
      </c>
      <c r="K10" s="34">
        <v>39142</v>
      </c>
      <c r="L10" s="1">
        <v>1238.5</v>
      </c>
      <c r="M10" s="34">
        <v>39142</v>
      </c>
      <c r="N10" s="1">
        <v>208.7</v>
      </c>
      <c r="O10" s="34">
        <v>39814</v>
      </c>
      <c r="P10" s="1">
        <v>114433</v>
      </c>
    </row>
    <row r="11" spans="1:16" x14ac:dyDescent="0.25">
      <c r="A11" s="34">
        <v>39173</v>
      </c>
      <c r="B11" s="1">
        <v>1248.0999999999999</v>
      </c>
      <c r="C11" s="34">
        <v>39173</v>
      </c>
      <c r="D11" s="1">
        <v>2029</v>
      </c>
      <c r="E11" s="34">
        <v>39173</v>
      </c>
      <c r="F11" s="1">
        <v>2.5</v>
      </c>
      <c r="G11" s="34">
        <v>39173</v>
      </c>
      <c r="H11" s="1">
        <v>1.45</v>
      </c>
      <c r="I11" s="34">
        <v>39173</v>
      </c>
      <c r="J11" s="1">
        <v>177.95</v>
      </c>
      <c r="K11" s="34">
        <v>39173</v>
      </c>
      <c r="L11" s="1">
        <v>1247</v>
      </c>
      <c r="M11" s="34">
        <v>39173</v>
      </c>
      <c r="N11" s="1">
        <v>210</v>
      </c>
      <c r="O11" s="34">
        <v>40179</v>
      </c>
      <c r="P11" s="1">
        <v>116761</v>
      </c>
    </row>
    <row r="12" spans="1:16" x14ac:dyDescent="0.25">
      <c r="A12" s="34">
        <v>39203</v>
      </c>
      <c r="B12" s="1">
        <v>1251.4000000000001</v>
      </c>
      <c r="C12" s="34">
        <v>39203</v>
      </c>
      <c r="D12" s="1">
        <v>2175</v>
      </c>
      <c r="E12" s="34">
        <v>39203</v>
      </c>
      <c r="F12" s="1">
        <v>2.5</v>
      </c>
      <c r="G12" s="34">
        <v>39203</v>
      </c>
      <c r="H12" s="1">
        <v>1.65</v>
      </c>
      <c r="I12" s="34">
        <v>39203</v>
      </c>
      <c r="J12" s="1">
        <v>178.52</v>
      </c>
      <c r="K12" s="34">
        <v>39203</v>
      </c>
      <c r="L12" s="1">
        <v>1250.3</v>
      </c>
      <c r="M12" s="34">
        <v>39203</v>
      </c>
      <c r="N12" s="1">
        <v>209.5</v>
      </c>
      <c r="O12" s="34">
        <v>40544</v>
      </c>
      <c r="P12" s="1">
        <v>120211</v>
      </c>
    </row>
    <row r="13" spans="1:16" x14ac:dyDescent="0.25">
      <c r="A13" s="34">
        <v>39234</v>
      </c>
      <c r="B13" s="1">
        <v>1254.2</v>
      </c>
      <c r="C13" s="34">
        <v>39234</v>
      </c>
      <c r="D13" s="1">
        <v>1985</v>
      </c>
      <c r="E13" s="34">
        <v>39234</v>
      </c>
      <c r="F13" s="1">
        <v>2.6</v>
      </c>
      <c r="G13" s="34">
        <v>39234</v>
      </c>
      <c r="H13" s="1">
        <v>0.86</v>
      </c>
      <c r="I13" s="34">
        <v>39234</v>
      </c>
      <c r="J13" s="1">
        <v>178.99</v>
      </c>
      <c r="K13" s="34">
        <v>39234</v>
      </c>
      <c r="L13" s="1">
        <v>1261.9000000000001</v>
      </c>
      <c r="M13" s="34">
        <v>39234</v>
      </c>
      <c r="N13" s="1">
        <v>209.6</v>
      </c>
      <c r="O13" s="34">
        <v>40909</v>
      </c>
      <c r="P13" s="1">
        <v>126193</v>
      </c>
    </row>
    <row r="14" spans="1:16" x14ac:dyDescent="0.25">
      <c r="A14" s="34">
        <v>39264</v>
      </c>
      <c r="B14" s="1">
        <v>1255.7</v>
      </c>
      <c r="C14" s="34">
        <v>39264</v>
      </c>
      <c r="D14" s="1">
        <v>2123</v>
      </c>
      <c r="E14" s="34">
        <v>39264</v>
      </c>
      <c r="F14" s="1">
        <v>2.6</v>
      </c>
      <c r="G14" s="34">
        <v>39264</v>
      </c>
      <c r="H14" s="1">
        <v>0.56000000000000005</v>
      </c>
      <c r="I14" s="34">
        <v>39264</v>
      </c>
      <c r="J14" s="1">
        <v>179.34</v>
      </c>
      <c r="K14" s="34">
        <v>39264</v>
      </c>
      <c r="L14" s="1">
        <v>1244.5999999999999</v>
      </c>
      <c r="M14" s="34">
        <v>39264</v>
      </c>
      <c r="N14" s="1">
        <v>192.3</v>
      </c>
      <c r="O14" s="34">
        <v>41275</v>
      </c>
      <c r="P14" s="1">
        <v>131017</v>
      </c>
    </row>
    <row r="15" spans="1:16" x14ac:dyDescent="0.25">
      <c r="A15" s="34">
        <v>39295</v>
      </c>
      <c r="B15" s="1">
        <v>1257.2</v>
      </c>
      <c r="C15" s="34">
        <v>39295</v>
      </c>
      <c r="D15" s="1">
        <v>2209</v>
      </c>
      <c r="E15" s="34">
        <v>39295</v>
      </c>
      <c r="F15" s="1">
        <v>2.7</v>
      </c>
      <c r="G15" s="34">
        <v>39295</v>
      </c>
      <c r="H15" s="1">
        <v>0.39</v>
      </c>
      <c r="I15" s="34">
        <v>39295</v>
      </c>
      <c r="J15" s="1">
        <v>179.59</v>
      </c>
      <c r="K15" s="34">
        <v>39295</v>
      </c>
      <c r="L15" s="1">
        <v>1256.2</v>
      </c>
      <c r="M15" s="34">
        <v>39295</v>
      </c>
      <c r="N15" s="1">
        <v>196</v>
      </c>
    </row>
    <row r="16" spans="1:16" x14ac:dyDescent="0.25">
      <c r="A16" s="34">
        <v>39326</v>
      </c>
      <c r="B16" s="1">
        <v>1257.7</v>
      </c>
      <c r="C16" s="34">
        <v>39326</v>
      </c>
      <c r="D16" s="1">
        <v>1208</v>
      </c>
      <c r="E16" s="34">
        <v>39326</v>
      </c>
      <c r="F16" s="1">
        <v>2.7</v>
      </c>
      <c r="G16" s="34">
        <v>39326</v>
      </c>
      <c r="H16" s="1">
        <v>0.21</v>
      </c>
      <c r="I16" s="34">
        <v>39326</v>
      </c>
      <c r="J16" s="1">
        <v>179.79</v>
      </c>
      <c r="K16" s="34">
        <v>39326</v>
      </c>
      <c r="L16" s="1">
        <v>1266.5</v>
      </c>
      <c r="M16" s="34">
        <v>39326</v>
      </c>
      <c r="N16" s="1">
        <v>208.6</v>
      </c>
    </row>
    <row r="17" spans="1:14" x14ac:dyDescent="0.25">
      <c r="A17" s="34">
        <v>39356</v>
      </c>
      <c r="B17" s="1">
        <v>1260.2</v>
      </c>
      <c r="C17" s="34">
        <v>39356</v>
      </c>
      <c r="D17" s="1">
        <v>1263</v>
      </c>
      <c r="E17" s="34">
        <v>39356</v>
      </c>
      <c r="F17" s="1">
        <v>2.7</v>
      </c>
      <c r="G17" s="34">
        <v>39356</v>
      </c>
      <c r="H17" s="1">
        <v>0.7</v>
      </c>
      <c r="I17" s="34">
        <v>39356</v>
      </c>
      <c r="J17" s="1">
        <v>180.03</v>
      </c>
      <c r="K17" s="34">
        <v>39356</v>
      </c>
      <c r="L17" s="1">
        <v>1270.5</v>
      </c>
      <c r="M17" s="34">
        <v>39356</v>
      </c>
      <c r="N17" s="1">
        <v>211</v>
      </c>
    </row>
    <row r="18" spans="1:14" x14ac:dyDescent="0.25">
      <c r="A18" s="34">
        <v>39387</v>
      </c>
      <c r="B18" s="1">
        <v>1263.0999999999999</v>
      </c>
      <c r="C18" s="34">
        <v>39387</v>
      </c>
      <c r="D18" s="1">
        <v>1006</v>
      </c>
      <c r="E18" s="34">
        <v>39387</v>
      </c>
      <c r="F18" s="1">
        <v>2.8</v>
      </c>
      <c r="G18" s="34">
        <v>39387</v>
      </c>
      <c r="H18" s="1">
        <v>7.0000000000000007E-2</v>
      </c>
      <c r="I18" s="34">
        <v>39387</v>
      </c>
      <c r="J18" s="1">
        <v>180.24</v>
      </c>
      <c r="K18" s="34">
        <v>39387</v>
      </c>
      <c r="L18" s="1">
        <v>1276.5999999999999</v>
      </c>
      <c r="M18" s="34">
        <v>39387</v>
      </c>
      <c r="N18" s="1">
        <v>211.9</v>
      </c>
    </row>
    <row r="19" spans="1:14" x14ac:dyDescent="0.25">
      <c r="A19" s="34">
        <v>39417</v>
      </c>
      <c r="B19" s="1">
        <v>1265.2</v>
      </c>
      <c r="C19" s="34">
        <v>39417</v>
      </c>
      <c r="D19" s="1">
        <v>531</v>
      </c>
      <c r="E19" s="34">
        <v>39417</v>
      </c>
      <c r="F19" s="1">
        <v>2.8</v>
      </c>
      <c r="G19" s="34">
        <v>39417</v>
      </c>
      <c r="H19" s="1">
        <v>-0.6</v>
      </c>
      <c r="I19" s="34">
        <v>39417</v>
      </c>
      <c r="J19" s="1">
        <v>180.31</v>
      </c>
      <c r="K19" s="34">
        <v>39417</v>
      </c>
      <c r="L19" s="1">
        <v>1281</v>
      </c>
      <c r="M19" s="34">
        <v>39417</v>
      </c>
      <c r="N19" s="1">
        <v>211</v>
      </c>
    </row>
    <row r="20" spans="1:14" x14ac:dyDescent="0.25">
      <c r="A20" s="34">
        <v>39448</v>
      </c>
      <c r="B20" s="1">
        <v>1261.3</v>
      </c>
      <c r="C20" s="34">
        <v>39448</v>
      </c>
      <c r="D20" s="1">
        <v>763</v>
      </c>
      <c r="E20" s="34">
        <v>39448</v>
      </c>
      <c r="F20" s="1">
        <v>2.9</v>
      </c>
      <c r="G20" s="34">
        <v>39448</v>
      </c>
      <c r="H20" s="1">
        <v>-1.1399999999999999</v>
      </c>
      <c r="I20" s="34">
        <v>39448</v>
      </c>
      <c r="J20" s="1">
        <v>180.19</v>
      </c>
      <c r="K20" s="34">
        <v>39448</v>
      </c>
      <c r="L20" s="1">
        <v>1244.5</v>
      </c>
      <c r="M20" s="34">
        <v>39448</v>
      </c>
      <c r="N20" s="1">
        <v>210.1</v>
      </c>
    </row>
    <row r="21" spans="1:14" x14ac:dyDescent="0.25">
      <c r="A21" s="34">
        <v>39479</v>
      </c>
      <c r="B21" s="1">
        <v>1261.9000000000001</v>
      </c>
      <c r="C21" s="34">
        <v>39479</v>
      </c>
      <c r="D21" s="1">
        <v>698</v>
      </c>
      <c r="E21" s="34">
        <v>39479</v>
      </c>
      <c r="F21" s="1">
        <v>2.9</v>
      </c>
      <c r="G21" s="34">
        <v>39479</v>
      </c>
      <c r="H21" s="1">
        <v>-0.88</v>
      </c>
      <c r="I21" s="34">
        <v>39479</v>
      </c>
      <c r="J21" s="1">
        <v>180.05</v>
      </c>
      <c r="K21" s="34">
        <v>39479</v>
      </c>
      <c r="L21" s="1">
        <v>1248</v>
      </c>
      <c r="M21" s="34">
        <v>39479</v>
      </c>
      <c r="N21" s="1">
        <v>212.1</v>
      </c>
    </row>
    <row r="22" spans="1:14" x14ac:dyDescent="0.25">
      <c r="A22" s="34">
        <v>39508</v>
      </c>
      <c r="B22" s="1">
        <v>1260.4000000000001</v>
      </c>
      <c r="C22" s="34">
        <v>39508</v>
      </c>
      <c r="D22" s="1">
        <v>931</v>
      </c>
      <c r="E22" s="34">
        <v>39508</v>
      </c>
      <c r="F22" s="1">
        <v>3</v>
      </c>
      <c r="G22" s="34">
        <v>39508</v>
      </c>
      <c r="H22" s="1">
        <v>-1.17</v>
      </c>
      <c r="I22" s="34">
        <v>39508</v>
      </c>
      <c r="J22" s="1">
        <v>179.85</v>
      </c>
      <c r="K22" s="34">
        <v>39508</v>
      </c>
      <c r="L22" s="1">
        <v>1253.3</v>
      </c>
      <c r="M22" s="34">
        <v>39508</v>
      </c>
      <c r="N22" s="1">
        <v>213</v>
      </c>
    </row>
    <row r="23" spans="1:14" x14ac:dyDescent="0.25">
      <c r="A23" s="34">
        <v>39539</v>
      </c>
      <c r="B23" s="1">
        <v>1260.0999999999999</v>
      </c>
      <c r="C23" s="34">
        <v>39539</v>
      </c>
      <c r="D23" s="1">
        <v>1297</v>
      </c>
      <c r="E23" s="34">
        <v>39539</v>
      </c>
      <c r="F23" s="1">
        <v>3</v>
      </c>
      <c r="G23" s="34">
        <v>39539</v>
      </c>
      <c r="H23" s="1">
        <v>-1.08</v>
      </c>
      <c r="I23" s="34">
        <v>39539</v>
      </c>
      <c r="J23" s="1">
        <v>179.63</v>
      </c>
      <c r="K23" s="34">
        <v>39539</v>
      </c>
      <c r="L23" s="1">
        <v>1259.0999999999999</v>
      </c>
      <c r="M23" s="34">
        <v>39539</v>
      </c>
      <c r="N23" s="1">
        <v>214.4</v>
      </c>
    </row>
    <row r="24" spans="1:14" x14ac:dyDescent="0.25">
      <c r="A24" s="34">
        <v>39569</v>
      </c>
      <c r="B24" s="1">
        <v>1258.2</v>
      </c>
      <c r="C24" s="34">
        <v>39569</v>
      </c>
      <c r="D24" s="1">
        <v>1246</v>
      </c>
      <c r="E24" s="34">
        <v>39569</v>
      </c>
      <c r="F24" s="1">
        <v>3.1</v>
      </c>
      <c r="G24" s="34">
        <v>39569</v>
      </c>
      <c r="H24" s="1">
        <v>-0.81</v>
      </c>
      <c r="I24" s="34">
        <v>39569</v>
      </c>
      <c r="J24" s="1">
        <v>179.37</v>
      </c>
      <c r="K24" s="34">
        <v>39569</v>
      </c>
      <c r="L24" s="1">
        <v>1256.5999999999999</v>
      </c>
      <c r="M24" s="34">
        <v>39569</v>
      </c>
      <c r="N24" s="1">
        <v>214.3</v>
      </c>
    </row>
    <row r="25" spans="1:14" x14ac:dyDescent="0.25">
      <c r="A25" s="34">
        <v>39600</v>
      </c>
      <c r="B25" s="1">
        <v>1256.4000000000001</v>
      </c>
      <c r="C25" s="34">
        <v>39600</v>
      </c>
      <c r="D25" s="1">
        <v>1052</v>
      </c>
      <c r="E25" s="34">
        <v>39600</v>
      </c>
      <c r="F25" s="1">
        <v>3.2</v>
      </c>
      <c r="G25" s="34">
        <v>39600</v>
      </c>
      <c r="H25" s="1">
        <v>-0.86</v>
      </c>
      <c r="I25" s="34">
        <v>39600</v>
      </c>
      <c r="J25" s="1">
        <v>179.08</v>
      </c>
      <c r="K25" s="34">
        <v>39600</v>
      </c>
      <c r="L25" s="1">
        <v>1261.4000000000001</v>
      </c>
      <c r="M25" s="34">
        <v>39600</v>
      </c>
      <c r="N25" s="1">
        <v>213.6</v>
      </c>
    </row>
    <row r="26" spans="1:14" x14ac:dyDescent="0.25">
      <c r="A26" s="34">
        <v>39630</v>
      </c>
      <c r="B26" s="1">
        <v>1255.2</v>
      </c>
      <c r="C26" s="34">
        <v>39630</v>
      </c>
      <c r="D26" s="1">
        <v>1114</v>
      </c>
      <c r="E26" s="34">
        <v>39630</v>
      </c>
      <c r="F26" s="1">
        <v>3.2</v>
      </c>
      <c r="G26" s="34">
        <v>39630</v>
      </c>
      <c r="H26" s="1">
        <v>-0.91</v>
      </c>
      <c r="I26" s="34">
        <v>39630</v>
      </c>
      <c r="J26" s="1">
        <v>178.77</v>
      </c>
      <c r="K26" s="34">
        <v>39630</v>
      </c>
      <c r="L26" s="1">
        <v>1242.8</v>
      </c>
      <c r="M26" s="34">
        <v>39630</v>
      </c>
      <c r="N26" s="1">
        <v>196.3</v>
      </c>
    </row>
    <row r="27" spans="1:14" x14ac:dyDescent="0.25">
      <c r="A27" s="34">
        <v>39661</v>
      </c>
      <c r="B27" s="1">
        <v>1255.0999999999999</v>
      </c>
      <c r="C27" s="34">
        <v>39661</v>
      </c>
      <c r="D27" s="1">
        <v>852</v>
      </c>
      <c r="E27" s="34">
        <v>39661</v>
      </c>
      <c r="F27" s="1">
        <v>3.3</v>
      </c>
      <c r="G27" s="34">
        <v>39661</v>
      </c>
      <c r="H27" s="1">
        <v>-1.64</v>
      </c>
      <c r="I27" s="34">
        <v>39661</v>
      </c>
      <c r="J27" s="1">
        <v>178.36</v>
      </c>
      <c r="K27" s="34">
        <v>39661</v>
      </c>
      <c r="L27" s="1">
        <v>1252.3</v>
      </c>
      <c r="M27" s="34">
        <v>39661</v>
      </c>
      <c r="N27" s="1">
        <v>201</v>
      </c>
    </row>
    <row r="28" spans="1:14" x14ac:dyDescent="0.25">
      <c r="A28" s="34">
        <v>39692</v>
      </c>
      <c r="B28" s="1">
        <v>1252.5999999999999</v>
      </c>
      <c r="C28" s="34">
        <v>39692</v>
      </c>
      <c r="D28" s="1">
        <v>876</v>
      </c>
      <c r="E28" s="34">
        <v>39692</v>
      </c>
      <c r="F28" s="1">
        <v>3.3</v>
      </c>
      <c r="G28" s="34">
        <v>39692</v>
      </c>
      <c r="H28" s="1">
        <v>-2.09</v>
      </c>
      <c r="I28" s="34">
        <v>39692</v>
      </c>
      <c r="J28" s="1">
        <v>177.79</v>
      </c>
      <c r="K28" s="34">
        <v>39692</v>
      </c>
      <c r="L28" s="1">
        <v>1261.4000000000001</v>
      </c>
      <c r="M28" s="34">
        <v>39692</v>
      </c>
      <c r="N28" s="1">
        <v>214.7</v>
      </c>
    </row>
    <row r="29" spans="1:14" x14ac:dyDescent="0.25">
      <c r="A29" s="34">
        <v>39722</v>
      </c>
      <c r="B29" s="1">
        <v>1243.9000000000001</v>
      </c>
      <c r="C29" s="34">
        <v>39722</v>
      </c>
      <c r="D29" s="1">
        <v>1015</v>
      </c>
      <c r="E29" s="34">
        <v>39722</v>
      </c>
      <c r="F29" s="1">
        <v>3.4</v>
      </c>
      <c r="G29" s="34">
        <v>39722</v>
      </c>
      <c r="H29" s="1">
        <v>-2.87</v>
      </c>
      <c r="I29" s="34">
        <v>39722</v>
      </c>
      <c r="J29" s="1">
        <v>177.03</v>
      </c>
      <c r="K29" s="34">
        <v>39722</v>
      </c>
      <c r="L29" s="1">
        <v>1254.9000000000001</v>
      </c>
      <c r="M29" s="34">
        <v>39722</v>
      </c>
      <c r="N29" s="1">
        <v>216.9</v>
      </c>
    </row>
    <row r="30" spans="1:14" x14ac:dyDescent="0.25">
      <c r="A30" s="34">
        <v>39753</v>
      </c>
      <c r="B30" s="1">
        <v>1236.8</v>
      </c>
      <c r="C30" s="34">
        <v>39753</v>
      </c>
      <c r="D30" s="1">
        <v>745</v>
      </c>
      <c r="E30" s="34">
        <v>39753</v>
      </c>
      <c r="F30" s="1">
        <v>3.4</v>
      </c>
      <c r="G30" s="34">
        <v>39753</v>
      </c>
      <c r="H30" s="1">
        <v>-4.07</v>
      </c>
      <c r="I30" s="34">
        <v>39753</v>
      </c>
      <c r="J30" s="1">
        <v>175.96</v>
      </c>
      <c r="K30" s="34">
        <v>39753</v>
      </c>
      <c r="L30" s="1">
        <v>1249.0999999999999</v>
      </c>
      <c r="M30" s="34">
        <v>39753</v>
      </c>
      <c r="N30" s="1">
        <v>217.5</v>
      </c>
    </row>
    <row r="31" spans="1:14" x14ac:dyDescent="0.25">
      <c r="A31" s="34">
        <v>39783</v>
      </c>
      <c r="B31" s="1">
        <v>1230.5999999999999</v>
      </c>
      <c r="C31" s="34">
        <v>39783</v>
      </c>
      <c r="D31" s="1">
        <v>539</v>
      </c>
      <c r="E31" s="34">
        <v>39783</v>
      </c>
      <c r="F31" s="1">
        <v>5.5</v>
      </c>
      <c r="G31" s="34">
        <v>39783</v>
      </c>
      <c r="H31" s="1">
        <v>-5.13</v>
      </c>
      <c r="I31" s="34">
        <v>39783</v>
      </c>
      <c r="J31" s="1">
        <v>174.48</v>
      </c>
      <c r="K31" s="34">
        <v>39783</v>
      </c>
      <c r="L31" s="1">
        <v>1246.7</v>
      </c>
      <c r="M31" s="34">
        <v>39783</v>
      </c>
      <c r="N31" s="1">
        <v>216.6</v>
      </c>
    </row>
    <row r="32" spans="1:14" x14ac:dyDescent="0.25">
      <c r="A32" s="34">
        <v>39814</v>
      </c>
      <c r="B32" s="1">
        <v>1218.8</v>
      </c>
      <c r="C32" s="34">
        <v>39814</v>
      </c>
      <c r="D32" s="1">
        <v>801</v>
      </c>
      <c r="E32" s="34">
        <v>39814</v>
      </c>
      <c r="F32" s="1">
        <v>6.5</v>
      </c>
      <c r="G32" s="34">
        <v>39814</v>
      </c>
      <c r="H32" s="1">
        <v>-3.75</v>
      </c>
      <c r="I32" s="34">
        <v>39814</v>
      </c>
      <c r="J32" s="1">
        <v>173.02</v>
      </c>
      <c r="K32" s="34">
        <v>39814</v>
      </c>
      <c r="L32" s="1">
        <v>1203.3</v>
      </c>
      <c r="M32" s="34">
        <v>39814</v>
      </c>
      <c r="N32" s="1">
        <v>214.4</v>
      </c>
    </row>
    <row r="33" spans="1:14" x14ac:dyDescent="0.25">
      <c r="A33" s="34">
        <v>39845</v>
      </c>
      <c r="B33" s="1">
        <v>1211</v>
      </c>
      <c r="C33" s="34">
        <v>39845</v>
      </c>
      <c r="D33" s="1">
        <v>800</v>
      </c>
      <c r="E33" s="34">
        <v>39845</v>
      </c>
      <c r="F33" s="1">
        <v>7.1</v>
      </c>
      <c r="G33" s="34">
        <v>39845</v>
      </c>
      <c r="H33" s="1">
        <v>-3.77</v>
      </c>
      <c r="I33" s="34">
        <v>39845</v>
      </c>
      <c r="J33" s="1">
        <v>171.69</v>
      </c>
      <c r="K33" s="34">
        <v>39845</v>
      </c>
      <c r="L33" s="1">
        <v>1197</v>
      </c>
      <c r="M33" s="34">
        <v>39845</v>
      </c>
      <c r="N33" s="1">
        <v>216.3</v>
      </c>
    </row>
    <row r="34" spans="1:14" x14ac:dyDescent="0.25">
      <c r="A34" s="34">
        <v>39873</v>
      </c>
      <c r="B34" s="1">
        <v>1202.9000000000001</v>
      </c>
      <c r="C34" s="34">
        <v>39873</v>
      </c>
      <c r="D34" s="1">
        <v>779</v>
      </c>
      <c r="E34" s="34">
        <v>39873</v>
      </c>
      <c r="F34" s="1">
        <v>7.4</v>
      </c>
      <c r="G34" s="34">
        <v>39873</v>
      </c>
      <c r="H34" s="1">
        <v>-3.39</v>
      </c>
      <c r="I34" s="34">
        <v>39873</v>
      </c>
      <c r="J34" s="1">
        <v>170.51</v>
      </c>
      <c r="K34" s="34">
        <v>39873</v>
      </c>
      <c r="L34" s="1">
        <v>1195.9000000000001</v>
      </c>
      <c r="M34" s="34">
        <v>39873</v>
      </c>
      <c r="N34" s="1">
        <v>216.5</v>
      </c>
    </row>
    <row r="35" spans="1:14" x14ac:dyDescent="0.25">
      <c r="A35" s="34">
        <v>39904</v>
      </c>
      <c r="B35" s="1">
        <v>1191.5999999999999</v>
      </c>
      <c r="C35" s="34">
        <v>39904</v>
      </c>
      <c r="D35" s="1">
        <v>1064</v>
      </c>
      <c r="E35" s="34">
        <v>39904</v>
      </c>
      <c r="F35" s="1">
        <v>7.4</v>
      </c>
      <c r="G35" s="34">
        <v>39904</v>
      </c>
      <c r="H35" s="1">
        <v>-3.11</v>
      </c>
      <c r="I35" s="34">
        <v>39904</v>
      </c>
      <c r="J35" s="1">
        <v>169.48</v>
      </c>
      <c r="K35" s="34">
        <v>39904</v>
      </c>
      <c r="L35" s="1">
        <v>1194.2</v>
      </c>
      <c r="M35" s="34">
        <v>39904</v>
      </c>
      <c r="N35" s="1">
        <v>219.3</v>
      </c>
    </row>
    <row r="36" spans="1:14" x14ac:dyDescent="0.25">
      <c r="A36" s="34">
        <v>39934</v>
      </c>
      <c r="B36" s="1">
        <v>1190</v>
      </c>
      <c r="C36" s="34">
        <v>39934</v>
      </c>
      <c r="D36" s="1">
        <v>1040</v>
      </c>
      <c r="E36" s="34">
        <v>39934</v>
      </c>
      <c r="F36" s="1">
        <v>7.7</v>
      </c>
      <c r="G36" s="34">
        <v>39934</v>
      </c>
      <c r="H36" s="1">
        <v>-2.61</v>
      </c>
      <c r="I36" s="34">
        <v>39934</v>
      </c>
      <c r="J36" s="1">
        <v>168.54</v>
      </c>
      <c r="K36" s="34">
        <v>39934</v>
      </c>
      <c r="L36" s="1">
        <v>1189.7</v>
      </c>
      <c r="M36" s="34">
        <v>39934</v>
      </c>
      <c r="N36" s="1">
        <v>218.5</v>
      </c>
    </row>
    <row r="37" spans="1:14" x14ac:dyDescent="0.25">
      <c r="A37" s="34">
        <v>39965</v>
      </c>
      <c r="B37" s="1">
        <v>1186.2</v>
      </c>
      <c r="C37" s="34">
        <v>39965</v>
      </c>
      <c r="D37" s="1">
        <v>1213</v>
      </c>
      <c r="E37" s="34">
        <v>39965</v>
      </c>
      <c r="F37" s="1">
        <v>7.9</v>
      </c>
      <c r="G37" s="34">
        <v>39965</v>
      </c>
      <c r="H37" s="1">
        <v>-1.67</v>
      </c>
      <c r="I37" s="34">
        <v>39965</v>
      </c>
      <c r="J37" s="1">
        <v>167.72</v>
      </c>
      <c r="K37" s="34">
        <v>39965</v>
      </c>
      <c r="L37" s="1">
        <v>1190.4000000000001</v>
      </c>
      <c r="M37" s="34">
        <v>39965</v>
      </c>
      <c r="N37" s="1">
        <v>216.6</v>
      </c>
    </row>
    <row r="38" spans="1:14" x14ac:dyDescent="0.25">
      <c r="A38" s="34">
        <v>39995</v>
      </c>
      <c r="B38" s="1">
        <v>1181</v>
      </c>
      <c r="C38" s="34">
        <v>39995</v>
      </c>
      <c r="D38" s="1">
        <v>1051</v>
      </c>
      <c r="E38" s="34">
        <v>39995</v>
      </c>
      <c r="F38" s="1">
        <v>8</v>
      </c>
      <c r="G38" s="34">
        <v>39995</v>
      </c>
      <c r="H38" s="1">
        <v>-1.02</v>
      </c>
      <c r="I38" s="34">
        <v>39995</v>
      </c>
      <c r="J38" s="1">
        <v>167.06</v>
      </c>
      <c r="K38" s="34">
        <v>39995</v>
      </c>
      <c r="L38" s="1">
        <v>1168.5</v>
      </c>
      <c r="M38" s="34">
        <v>39995</v>
      </c>
      <c r="N38" s="1">
        <v>198.8</v>
      </c>
    </row>
    <row r="39" spans="1:14" x14ac:dyDescent="0.25">
      <c r="A39" s="34">
        <v>40026</v>
      </c>
      <c r="B39" s="1">
        <v>1178.9000000000001</v>
      </c>
      <c r="C39" s="34">
        <v>40026</v>
      </c>
      <c r="D39" s="1">
        <v>802</v>
      </c>
      <c r="E39" s="34">
        <v>40026</v>
      </c>
      <c r="F39" s="1">
        <v>8.1999999999999993</v>
      </c>
      <c r="G39" s="34">
        <v>40026</v>
      </c>
      <c r="H39" s="1">
        <v>-0.11</v>
      </c>
      <c r="I39" s="34">
        <v>40026</v>
      </c>
      <c r="J39" s="1">
        <v>166.59</v>
      </c>
      <c r="K39" s="34">
        <v>40026</v>
      </c>
      <c r="L39" s="1">
        <v>1174.4000000000001</v>
      </c>
      <c r="M39" s="34">
        <v>40026</v>
      </c>
      <c r="N39" s="1">
        <v>202.8</v>
      </c>
    </row>
    <row r="40" spans="1:14" x14ac:dyDescent="0.25">
      <c r="A40" s="34">
        <v>40057</v>
      </c>
      <c r="B40" s="1">
        <v>1178.3</v>
      </c>
      <c r="C40" s="34">
        <v>40057</v>
      </c>
      <c r="D40" s="1">
        <v>1361</v>
      </c>
      <c r="E40" s="34">
        <v>40057</v>
      </c>
      <c r="F40" s="1">
        <v>8.1999999999999993</v>
      </c>
      <c r="G40" s="34">
        <v>40057</v>
      </c>
      <c r="H40" s="1">
        <v>0.28999999999999998</v>
      </c>
      <c r="I40" s="34">
        <v>40057</v>
      </c>
      <c r="J40" s="1">
        <v>166.31</v>
      </c>
      <c r="K40" s="34">
        <v>40057</v>
      </c>
      <c r="L40" s="1">
        <v>1187.3</v>
      </c>
      <c r="M40" s="34">
        <v>40057</v>
      </c>
      <c r="N40" s="1">
        <v>216.6</v>
      </c>
    </row>
    <row r="41" spans="1:14" x14ac:dyDescent="0.25">
      <c r="A41" s="34">
        <v>40087</v>
      </c>
      <c r="B41" s="1">
        <v>1177.3</v>
      </c>
      <c r="C41" s="34">
        <v>40087</v>
      </c>
      <c r="D41" s="1">
        <v>731</v>
      </c>
      <c r="E41" s="34">
        <v>40087</v>
      </c>
      <c r="F41" s="1">
        <v>8.3000000000000007</v>
      </c>
      <c r="G41" s="34">
        <v>40087</v>
      </c>
      <c r="H41" s="1">
        <v>0.27</v>
      </c>
      <c r="I41" s="34">
        <v>40087</v>
      </c>
      <c r="J41" s="1">
        <v>166.16</v>
      </c>
      <c r="K41" s="34">
        <v>40087</v>
      </c>
      <c r="L41" s="1">
        <v>1187.8</v>
      </c>
      <c r="M41" s="34">
        <v>40087</v>
      </c>
      <c r="N41" s="1">
        <v>219</v>
      </c>
    </row>
    <row r="42" spans="1:14" x14ac:dyDescent="0.25">
      <c r="A42" s="34">
        <v>40118</v>
      </c>
      <c r="B42" s="1">
        <v>1175.8</v>
      </c>
      <c r="C42" s="34">
        <v>40118</v>
      </c>
      <c r="D42" s="1">
        <v>570</v>
      </c>
      <c r="E42" s="34">
        <v>40118</v>
      </c>
      <c r="F42" s="1">
        <v>8.3000000000000007</v>
      </c>
      <c r="G42" s="34">
        <v>40118</v>
      </c>
      <c r="H42" s="1">
        <v>0.02</v>
      </c>
      <c r="I42" s="34">
        <v>40118</v>
      </c>
      <c r="J42" s="1">
        <v>166.05</v>
      </c>
      <c r="K42" s="34">
        <v>40118</v>
      </c>
      <c r="L42" s="1">
        <v>1187.5</v>
      </c>
      <c r="M42" s="34">
        <v>40118</v>
      </c>
      <c r="N42" s="1">
        <v>219</v>
      </c>
    </row>
    <row r="43" spans="1:14" x14ac:dyDescent="0.25">
      <c r="A43" s="34">
        <v>40148</v>
      </c>
      <c r="B43" s="1">
        <v>1174.2</v>
      </c>
      <c r="C43" s="34">
        <v>40148</v>
      </c>
      <c r="D43" s="1">
        <v>661</v>
      </c>
      <c r="E43" s="34">
        <v>40148</v>
      </c>
      <c r="F43" s="1">
        <v>8.4</v>
      </c>
      <c r="G43" s="34">
        <v>40148</v>
      </c>
      <c r="H43" s="1">
        <v>0.54</v>
      </c>
      <c r="I43" s="34">
        <v>40148</v>
      </c>
      <c r="J43" s="1">
        <v>166.01</v>
      </c>
      <c r="K43" s="34">
        <v>40148</v>
      </c>
      <c r="L43" s="1">
        <v>1190</v>
      </c>
      <c r="M43" s="34">
        <v>40148</v>
      </c>
      <c r="N43" s="1">
        <v>218.2</v>
      </c>
    </row>
    <row r="44" spans="1:14" x14ac:dyDescent="0.25">
      <c r="A44" s="34">
        <v>40179</v>
      </c>
      <c r="B44" s="1">
        <v>1174.4000000000001</v>
      </c>
      <c r="C44" s="34">
        <v>40179</v>
      </c>
      <c r="D44" s="1">
        <v>498</v>
      </c>
      <c r="E44" s="34">
        <v>40179</v>
      </c>
      <c r="F44" s="1">
        <v>8.4</v>
      </c>
      <c r="G44" s="34">
        <v>40179</v>
      </c>
      <c r="H44" s="1">
        <v>0.75</v>
      </c>
      <c r="I44" s="34">
        <v>40179</v>
      </c>
      <c r="J44" s="1">
        <v>166.06</v>
      </c>
      <c r="K44" s="34">
        <v>40179</v>
      </c>
      <c r="L44" s="1">
        <v>1159.7</v>
      </c>
      <c r="M44" s="34">
        <v>40179</v>
      </c>
      <c r="N44" s="1">
        <v>216.3</v>
      </c>
    </row>
    <row r="45" spans="1:14" x14ac:dyDescent="0.25">
      <c r="A45" s="34">
        <v>40210</v>
      </c>
      <c r="B45" s="1">
        <v>1172.9000000000001</v>
      </c>
      <c r="C45" s="34">
        <v>40210</v>
      </c>
      <c r="D45" s="1">
        <v>714</v>
      </c>
      <c r="E45" s="34">
        <v>40210</v>
      </c>
      <c r="F45" s="1">
        <v>8.3000000000000007</v>
      </c>
      <c r="G45" s="34">
        <v>40210</v>
      </c>
      <c r="H45" s="1">
        <v>1.25</v>
      </c>
      <c r="I45" s="34">
        <v>40210</v>
      </c>
      <c r="J45" s="1">
        <v>166.21</v>
      </c>
      <c r="K45" s="34">
        <v>40210</v>
      </c>
      <c r="L45" s="1">
        <v>1159.9000000000001</v>
      </c>
      <c r="M45" s="34">
        <v>40210</v>
      </c>
      <c r="N45" s="1">
        <v>217.7</v>
      </c>
    </row>
    <row r="46" spans="1:14" x14ac:dyDescent="0.25">
      <c r="A46" s="34">
        <v>40238</v>
      </c>
      <c r="B46" s="1">
        <v>1175.3</v>
      </c>
      <c r="C46" s="34">
        <v>40238</v>
      </c>
      <c r="D46" s="1">
        <v>1005</v>
      </c>
      <c r="E46" s="34">
        <v>40238</v>
      </c>
      <c r="F46" s="1">
        <v>8.3000000000000007</v>
      </c>
      <c r="G46" s="34">
        <v>40238</v>
      </c>
      <c r="H46" s="1">
        <v>1.27</v>
      </c>
      <c r="I46" s="34">
        <v>40238</v>
      </c>
      <c r="J46" s="1">
        <v>166.43</v>
      </c>
      <c r="K46" s="34">
        <v>40238</v>
      </c>
      <c r="L46" s="1">
        <v>1168.9000000000001</v>
      </c>
      <c r="M46" s="34">
        <v>40238</v>
      </c>
      <c r="N46" s="1">
        <v>218.7</v>
      </c>
    </row>
    <row r="47" spans="1:14" x14ac:dyDescent="0.25">
      <c r="A47" s="34">
        <v>40269</v>
      </c>
      <c r="B47" s="1">
        <v>1179.2</v>
      </c>
      <c r="C47" s="34">
        <v>40269</v>
      </c>
      <c r="D47" s="1">
        <v>940</v>
      </c>
      <c r="E47" s="34">
        <v>40269</v>
      </c>
      <c r="F47" s="1">
        <v>8.1999999999999993</v>
      </c>
      <c r="G47" s="34">
        <v>40269</v>
      </c>
      <c r="H47" s="1">
        <v>1.3</v>
      </c>
      <c r="I47" s="34">
        <v>40269</v>
      </c>
      <c r="J47" s="1">
        <v>166.7</v>
      </c>
      <c r="K47" s="34">
        <v>40269</v>
      </c>
      <c r="L47" s="1">
        <v>1182.2</v>
      </c>
      <c r="M47" s="34">
        <v>40269</v>
      </c>
      <c r="N47" s="1">
        <v>221</v>
      </c>
    </row>
    <row r="48" spans="1:14" x14ac:dyDescent="0.25">
      <c r="A48" s="34">
        <v>40299</v>
      </c>
      <c r="B48" s="1">
        <v>1183.5999999999999</v>
      </c>
      <c r="C48" s="34">
        <v>40299</v>
      </c>
      <c r="D48" s="1">
        <v>862</v>
      </c>
      <c r="E48" s="34">
        <v>40299</v>
      </c>
      <c r="F48" s="1">
        <v>8.1</v>
      </c>
      <c r="G48" s="34">
        <v>40299</v>
      </c>
      <c r="H48" s="1">
        <v>1.1000000000000001</v>
      </c>
      <c r="I48" s="34">
        <v>40299</v>
      </c>
      <c r="J48" s="1">
        <v>166.95</v>
      </c>
      <c r="K48" s="34">
        <v>40299</v>
      </c>
      <c r="L48" s="1">
        <v>1183.9000000000001</v>
      </c>
      <c r="M48" s="34">
        <v>40299</v>
      </c>
      <c r="N48" s="1">
        <v>224.7</v>
      </c>
    </row>
    <row r="49" spans="1:14" x14ac:dyDescent="0.25">
      <c r="A49" s="34">
        <v>40330</v>
      </c>
      <c r="B49" s="1">
        <v>1183.2</v>
      </c>
      <c r="C49" s="34">
        <v>40330</v>
      </c>
      <c r="D49" s="1">
        <v>644</v>
      </c>
      <c r="E49" s="34">
        <v>40330</v>
      </c>
      <c r="F49" s="1">
        <v>8.1</v>
      </c>
      <c r="G49" s="34">
        <v>40330</v>
      </c>
      <c r="H49" s="1">
        <v>0.42</v>
      </c>
      <c r="I49" s="34">
        <v>40330</v>
      </c>
      <c r="J49" s="1">
        <v>167.11</v>
      </c>
      <c r="K49" s="34">
        <v>40330</v>
      </c>
      <c r="L49" s="1">
        <v>1187.0999999999999</v>
      </c>
      <c r="M49" s="34">
        <v>40330</v>
      </c>
      <c r="N49" s="1">
        <v>220.6</v>
      </c>
    </row>
    <row r="50" spans="1:14" x14ac:dyDescent="0.25">
      <c r="A50" s="34">
        <v>40360</v>
      </c>
      <c r="B50" s="1">
        <v>1184.5999999999999</v>
      </c>
      <c r="C50" s="34">
        <v>40360</v>
      </c>
      <c r="D50" s="1">
        <v>658</v>
      </c>
      <c r="E50" s="34">
        <v>40360</v>
      </c>
      <c r="F50" s="1">
        <v>8.1</v>
      </c>
      <c r="G50" s="34">
        <v>40360</v>
      </c>
      <c r="H50" s="1">
        <v>0.95</v>
      </c>
      <c r="I50" s="34">
        <v>40360</v>
      </c>
      <c r="J50" s="1">
        <v>167.27</v>
      </c>
      <c r="K50" s="34">
        <v>40360</v>
      </c>
      <c r="L50" s="1">
        <v>1171.9000000000001</v>
      </c>
      <c r="M50" s="34">
        <v>40360</v>
      </c>
      <c r="N50" s="1">
        <v>202.3</v>
      </c>
    </row>
    <row r="51" spans="1:14" x14ac:dyDescent="0.25">
      <c r="A51" s="34">
        <v>40391</v>
      </c>
      <c r="B51" s="1">
        <v>1183.9000000000001</v>
      </c>
      <c r="C51" s="34">
        <v>40391</v>
      </c>
      <c r="D51" s="1">
        <v>1240</v>
      </c>
      <c r="E51" s="34">
        <v>40391</v>
      </c>
      <c r="F51" s="1">
        <v>8.1</v>
      </c>
      <c r="G51" s="34">
        <v>40391</v>
      </c>
      <c r="H51" s="1">
        <v>0.95</v>
      </c>
      <c r="I51" s="34">
        <v>40391</v>
      </c>
      <c r="J51" s="1">
        <v>167.48</v>
      </c>
      <c r="K51" s="34">
        <v>40391</v>
      </c>
      <c r="L51" s="1">
        <v>1179.0999999999999</v>
      </c>
      <c r="M51" s="34">
        <v>40391</v>
      </c>
      <c r="N51" s="1">
        <v>206</v>
      </c>
    </row>
    <row r="52" spans="1:14" x14ac:dyDescent="0.25">
      <c r="A52" s="34">
        <v>40422</v>
      </c>
      <c r="B52" s="1">
        <v>1184.7</v>
      </c>
      <c r="C52" s="34">
        <v>40422</v>
      </c>
      <c r="D52" s="1">
        <v>863</v>
      </c>
      <c r="E52" s="34">
        <v>40422</v>
      </c>
      <c r="F52" s="1">
        <v>7.9</v>
      </c>
      <c r="G52" s="34">
        <v>40422</v>
      </c>
      <c r="H52" s="1">
        <v>1.06</v>
      </c>
      <c r="I52" s="34">
        <v>40422</v>
      </c>
      <c r="J52" s="1">
        <v>167.78</v>
      </c>
      <c r="K52" s="34">
        <v>40422</v>
      </c>
      <c r="L52" s="1">
        <v>1193.0999999999999</v>
      </c>
      <c r="M52" s="34">
        <v>40422</v>
      </c>
      <c r="N52" s="1">
        <v>219.8</v>
      </c>
    </row>
    <row r="53" spans="1:14" x14ac:dyDescent="0.25">
      <c r="A53" s="34">
        <v>40452</v>
      </c>
      <c r="B53" s="1">
        <v>1188.5</v>
      </c>
      <c r="C53" s="34">
        <v>40452</v>
      </c>
      <c r="D53" s="1">
        <v>574</v>
      </c>
      <c r="E53" s="34">
        <v>40452</v>
      </c>
      <c r="F53" s="1">
        <v>7.8</v>
      </c>
      <c r="G53" s="34">
        <v>40452</v>
      </c>
      <c r="H53" s="1">
        <v>0.91</v>
      </c>
      <c r="I53" s="34">
        <v>40452</v>
      </c>
      <c r="J53" s="1">
        <v>168.11</v>
      </c>
      <c r="K53" s="34">
        <v>40452</v>
      </c>
      <c r="L53" s="1">
        <v>1198.2</v>
      </c>
      <c r="M53" s="34">
        <v>40452</v>
      </c>
      <c r="N53" s="1">
        <v>222.3</v>
      </c>
    </row>
    <row r="54" spans="1:14" x14ac:dyDescent="0.25">
      <c r="A54" s="34">
        <v>40483</v>
      </c>
      <c r="B54" s="1">
        <v>1189.4000000000001</v>
      </c>
      <c r="C54" s="34">
        <v>40483</v>
      </c>
      <c r="D54" s="1">
        <v>811</v>
      </c>
      <c r="E54" s="34">
        <v>40483</v>
      </c>
      <c r="F54" s="1">
        <v>7.8</v>
      </c>
      <c r="G54" s="34">
        <v>40483</v>
      </c>
      <c r="H54" s="1">
        <v>1.1200000000000001</v>
      </c>
      <c r="I54" s="34">
        <v>40483</v>
      </c>
      <c r="J54" s="1">
        <v>168.43</v>
      </c>
      <c r="K54" s="34">
        <v>40483</v>
      </c>
      <c r="L54" s="1">
        <v>1201.4000000000001</v>
      </c>
      <c r="M54" s="34">
        <v>40483</v>
      </c>
      <c r="N54" s="1">
        <v>222.2</v>
      </c>
    </row>
    <row r="55" spans="1:14" x14ac:dyDescent="0.25">
      <c r="A55" s="34">
        <v>40513</v>
      </c>
      <c r="B55" s="1">
        <v>1191.8</v>
      </c>
      <c r="C55" s="34">
        <v>40513</v>
      </c>
      <c r="D55" s="1">
        <v>663</v>
      </c>
      <c r="E55" s="34">
        <v>40513</v>
      </c>
      <c r="F55" s="1">
        <v>7.7</v>
      </c>
      <c r="G55" s="34">
        <v>40513</v>
      </c>
      <c r="H55" s="1">
        <v>1.44</v>
      </c>
      <c r="I55" s="34">
        <v>40513</v>
      </c>
      <c r="J55" s="1">
        <v>168.77</v>
      </c>
      <c r="K55" s="34">
        <v>40513</v>
      </c>
      <c r="L55" s="1">
        <v>1204.7</v>
      </c>
      <c r="M55" s="34">
        <v>40513</v>
      </c>
      <c r="N55" s="1">
        <v>220.9</v>
      </c>
    </row>
    <row r="56" spans="1:14" x14ac:dyDescent="0.25">
      <c r="A56" s="34">
        <v>40544</v>
      </c>
      <c r="B56" s="1">
        <v>1193</v>
      </c>
      <c r="C56" s="34">
        <v>40544</v>
      </c>
      <c r="D56" s="1">
        <v>421</v>
      </c>
      <c r="E56" s="34">
        <v>40544</v>
      </c>
      <c r="F56" s="1">
        <v>7.5</v>
      </c>
      <c r="G56" s="34">
        <v>40544</v>
      </c>
      <c r="H56" s="1">
        <v>1.5</v>
      </c>
      <c r="I56" s="34">
        <v>40544</v>
      </c>
      <c r="J56" s="1">
        <v>169.14</v>
      </c>
      <c r="K56" s="34">
        <v>40544</v>
      </c>
      <c r="L56" s="1">
        <v>1177.0999999999999</v>
      </c>
      <c r="M56" s="34">
        <v>40544</v>
      </c>
      <c r="N56" s="1">
        <v>219</v>
      </c>
    </row>
    <row r="57" spans="1:14" x14ac:dyDescent="0.25">
      <c r="A57" s="34">
        <v>40575</v>
      </c>
      <c r="B57" s="1">
        <v>1195.4000000000001</v>
      </c>
      <c r="C57" s="34">
        <v>40575</v>
      </c>
      <c r="D57" s="1">
        <v>480</v>
      </c>
      <c r="E57" s="34">
        <v>40575</v>
      </c>
      <c r="F57" s="1">
        <v>7.3</v>
      </c>
      <c r="G57" s="34">
        <v>40575</v>
      </c>
      <c r="H57" s="1">
        <v>1.52</v>
      </c>
      <c r="I57" s="34">
        <v>40575</v>
      </c>
      <c r="J57" s="1">
        <v>169.52</v>
      </c>
      <c r="K57" s="34">
        <v>40575</v>
      </c>
      <c r="L57" s="1">
        <v>1182.2</v>
      </c>
      <c r="M57" s="34">
        <v>40575</v>
      </c>
      <c r="N57" s="1">
        <v>221.2</v>
      </c>
    </row>
    <row r="58" spans="1:14" x14ac:dyDescent="0.25">
      <c r="A58" s="34">
        <v>40603</v>
      </c>
      <c r="B58" s="1">
        <v>1197.2</v>
      </c>
      <c r="C58" s="34">
        <v>40603</v>
      </c>
      <c r="D58" s="1">
        <v>656</v>
      </c>
      <c r="E58" s="34">
        <v>40603</v>
      </c>
      <c r="F58" s="1">
        <v>7.2</v>
      </c>
      <c r="G58" s="34">
        <v>40603</v>
      </c>
      <c r="H58" s="1">
        <v>1.52</v>
      </c>
      <c r="I58" s="34">
        <v>40603</v>
      </c>
      <c r="J58" s="1">
        <v>169.88</v>
      </c>
      <c r="K58" s="34">
        <v>40603</v>
      </c>
      <c r="L58" s="1">
        <v>1190.7</v>
      </c>
      <c r="M58" s="34">
        <v>40603</v>
      </c>
      <c r="N58" s="1">
        <v>222.7</v>
      </c>
    </row>
    <row r="59" spans="1:14" x14ac:dyDescent="0.25">
      <c r="A59" s="34">
        <v>40634</v>
      </c>
      <c r="B59" s="1">
        <v>1201.0999999999999</v>
      </c>
      <c r="C59" s="34">
        <v>40634</v>
      </c>
      <c r="D59" s="1">
        <v>599</v>
      </c>
      <c r="E59" s="34">
        <v>40634</v>
      </c>
      <c r="F59" s="1">
        <v>7</v>
      </c>
      <c r="G59" s="34">
        <v>40634</v>
      </c>
      <c r="H59" s="1">
        <v>1.55</v>
      </c>
      <c r="I59" s="34">
        <v>40634</v>
      </c>
      <c r="J59" s="1">
        <v>170.26</v>
      </c>
      <c r="K59" s="34">
        <v>40634</v>
      </c>
      <c r="L59" s="1">
        <v>1204.9000000000001</v>
      </c>
      <c r="M59" s="34">
        <v>40634</v>
      </c>
      <c r="N59" s="1">
        <v>224.3</v>
      </c>
    </row>
    <row r="60" spans="1:14" x14ac:dyDescent="0.25">
      <c r="A60" s="34">
        <v>40664</v>
      </c>
      <c r="B60" s="1">
        <v>1202</v>
      </c>
      <c r="C60" s="34">
        <v>40664</v>
      </c>
      <c r="D60" s="1">
        <v>917</v>
      </c>
      <c r="E60" s="34">
        <v>40664</v>
      </c>
      <c r="F60" s="1">
        <v>7</v>
      </c>
      <c r="G60" s="34">
        <v>40664</v>
      </c>
      <c r="H60" s="1">
        <v>1.51</v>
      </c>
      <c r="I60" s="34">
        <v>40664</v>
      </c>
      <c r="J60" s="1">
        <v>170.64</v>
      </c>
      <c r="K60" s="34">
        <v>40664</v>
      </c>
      <c r="L60" s="1">
        <v>1203</v>
      </c>
      <c r="M60" s="34">
        <v>40664</v>
      </c>
      <c r="N60" s="1">
        <v>224.6</v>
      </c>
    </row>
    <row r="61" spans="1:14" x14ac:dyDescent="0.25">
      <c r="A61" s="34">
        <v>40695</v>
      </c>
      <c r="B61" s="1">
        <v>1204.0999999999999</v>
      </c>
      <c r="C61" s="34">
        <v>40695</v>
      </c>
      <c r="D61" s="1">
        <v>1240</v>
      </c>
      <c r="E61" s="34">
        <v>40695</v>
      </c>
      <c r="F61" s="1">
        <v>7</v>
      </c>
      <c r="G61" s="34">
        <v>40695</v>
      </c>
      <c r="H61" s="1">
        <v>1.81</v>
      </c>
      <c r="I61" s="34">
        <v>40695</v>
      </c>
      <c r="J61" s="1">
        <v>171.09</v>
      </c>
      <c r="K61" s="34">
        <v>40695</v>
      </c>
      <c r="L61" s="1">
        <v>1209.8</v>
      </c>
      <c r="M61" s="34">
        <v>40695</v>
      </c>
      <c r="N61" s="1">
        <v>222.8</v>
      </c>
    </row>
    <row r="62" spans="1:14" x14ac:dyDescent="0.25">
      <c r="A62" s="34">
        <v>40725</v>
      </c>
      <c r="B62" s="1">
        <v>1210.3</v>
      </c>
      <c r="C62" s="34">
        <v>40725</v>
      </c>
      <c r="D62" s="1">
        <v>899</v>
      </c>
      <c r="E62" s="34">
        <v>40725</v>
      </c>
      <c r="F62" s="1">
        <v>6.9</v>
      </c>
      <c r="G62" s="34">
        <v>40725</v>
      </c>
      <c r="H62" s="1">
        <v>2.17</v>
      </c>
      <c r="I62" s="34">
        <v>40725</v>
      </c>
      <c r="J62" s="1">
        <v>171.62</v>
      </c>
      <c r="K62" s="34">
        <v>40725</v>
      </c>
      <c r="L62" s="1">
        <v>1197.0999999999999</v>
      </c>
      <c r="M62" s="34">
        <v>40725</v>
      </c>
      <c r="N62" s="1">
        <v>204.7</v>
      </c>
    </row>
    <row r="63" spans="1:14" x14ac:dyDescent="0.25">
      <c r="A63" s="34">
        <v>40756</v>
      </c>
      <c r="B63" s="1">
        <v>1212.7</v>
      </c>
      <c r="C63" s="34">
        <v>40756</v>
      </c>
      <c r="D63" s="1">
        <v>1069</v>
      </c>
      <c r="E63" s="34">
        <v>40756</v>
      </c>
      <c r="F63" s="1">
        <v>6.7</v>
      </c>
      <c r="G63" s="34">
        <v>40756</v>
      </c>
      <c r="H63" s="1">
        <v>2.2000000000000002</v>
      </c>
      <c r="I63" s="34">
        <v>40756</v>
      </c>
      <c r="J63" s="1">
        <v>172.2</v>
      </c>
      <c r="K63" s="34">
        <v>40756</v>
      </c>
      <c r="L63" s="1">
        <v>1207.7</v>
      </c>
      <c r="M63" s="34">
        <v>40756</v>
      </c>
      <c r="N63" s="1">
        <v>208.6</v>
      </c>
    </row>
    <row r="64" spans="1:14" x14ac:dyDescent="0.25">
      <c r="A64" s="34">
        <v>40787</v>
      </c>
      <c r="B64" s="1">
        <v>1215.9000000000001</v>
      </c>
      <c r="C64" s="34">
        <v>40787</v>
      </c>
      <c r="D64" s="1">
        <v>753</v>
      </c>
      <c r="E64" s="34">
        <v>40787</v>
      </c>
      <c r="F64" s="1">
        <v>6.5</v>
      </c>
      <c r="G64" s="34">
        <v>40787</v>
      </c>
      <c r="H64" s="1">
        <v>1.95</v>
      </c>
      <c r="I64" s="34">
        <v>40787</v>
      </c>
      <c r="J64" s="1">
        <v>172.75</v>
      </c>
      <c r="K64" s="34">
        <v>40787</v>
      </c>
      <c r="L64" s="1">
        <v>1224.2</v>
      </c>
      <c r="M64" s="34">
        <v>40787</v>
      </c>
      <c r="N64" s="1">
        <v>222.3</v>
      </c>
    </row>
    <row r="65" spans="1:14" x14ac:dyDescent="0.25">
      <c r="A65" s="34">
        <v>40817</v>
      </c>
      <c r="B65" s="1">
        <v>1217.7</v>
      </c>
      <c r="C65" s="34">
        <v>40817</v>
      </c>
      <c r="D65" s="1">
        <v>943</v>
      </c>
      <c r="E65" s="34">
        <v>40817</v>
      </c>
      <c r="F65" s="1">
        <v>6.3</v>
      </c>
      <c r="G65" s="34">
        <v>40817</v>
      </c>
      <c r="H65" s="1">
        <v>1.78</v>
      </c>
      <c r="I65" s="34">
        <v>40817</v>
      </c>
      <c r="J65" s="1">
        <v>173.23</v>
      </c>
      <c r="K65" s="34">
        <v>40817</v>
      </c>
      <c r="L65" s="1">
        <v>1227.0999999999999</v>
      </c>
      <c r="M65" s="34">
        <v>40817</v>
      </c>
      <c r="N65" s="1">
        <v>224.1</v>
      </c>
    </row>
    <row r="66" spans="1:14" x14ac:dyDescent="0.25">
      <c r="A66" s="34">
        <v>40848</v>
      </c>
      <c r="B66" s="1">
        <v>1219.5</v>
      </c>
      <c r="C66" s="34">
        <v>40848</v>
      </c>
      <c r="D66" s="1">
        <v>1071</v>
      </c>
      <c r="E66" s="34">
        <v>40848</v>
      </c>
      <c r="F66" s="1">
        <v>6</v>
      </c>
      <c r="G66" s="34">
        <v>40848</v>
      </c>
      <c r="H66" s="1">
        <v>2.33</v>
      </c>
      <c r="I66" s="34">
        <v>40848</v>
      </c>
      <c r="J66" s="1">
        <v>173.77</v>
      </c>
      <c r="K66" s="34">
        <v>40848</v>
      </c>
      <c r="L66" s="1">
        <v>1231.5999999999999</v>
      </c>
      <c r="M66" s="34">
        <v>40848</v>
      </c>
      <c r="N66" s="1">
        <v>224</v>
      </c>
    </row>
    <row r="67" spans="1:14" x14ac:dyDescent="0.25">
      <c r="A67" s="34">
        <v>40878</v>
      </c>
      <c r="B67" s="1">
        <v>1224.3</v>
      </c>
      <c r="C67" s="34">
        <v>40878</v>
      </c>
      <c r="D67" s="1">
        <v>739</v>
      </c>
      <c r="E67" s="34">
        <v>40878</v>
      </c>
      <c r="F67" s="1">
        <v>5.9</v>
      </c>
      <c r="G67" s="34">
        <v>40878</v>
      </c>
      <c r="H67" s="1">
        <v>2.4500000000000002</v>
      </c>
      <c r="I67" s="34">
        <v>40878</v>
      </c>
      <c r="J67" s="1">
        <v>174.41</v>
      </c>
      <c r="K67" s="34">
        <v>40878</v>
      </c>
      <c r="L67" s="1">
        <v>1236.9000000000001</v>
      </c>
      <c r="M67" s="34">
        <v>40878</v>
      </c>
      <c r="N67" s="1">
        <v>223.5</v>
      </c>
    </row>
    <row r="68" spans="1:14" x14ac:dyDescent="0.25">
      <c r="A68" s="34">
        <v>40909</v>
      </c>
      <c r="B68" s="1">
        <v>1228.7</v>
      </c>
      <c r="C68" s="34">
        <v>40909</v>
      </c>
      <c r="D68" s="1">
        <v>643</v>
      </c>
      <c r="E68" s="34">
        <v>40909</v>
      </c>
      <c r="F68" s="1">
        <v>5.8</v>
      </c>
      <c r="G68" s="34">
        <v>40909</v>
      </c>
      <c r="H68" s="1">
        <v>2.48</v>
      </c>
      <c r="I68" s="34">
        <v>40909</v>
      </c>
      <c r="J68" s="1">
        <v>175.11</v>
      </c>
      <c r="K68" s="34">
        <v>40909</v>
      </c>
      <c r="L68" s="1">
        <v>1212.0999999999999</v>
      </c>
      <c r="M68" s="34">
        <v>40909</v>
      </c>
      <c r="N68" s="1">
        <v>222.5</v>
      </c>
    </row>
    <row r="69" spans="1:14" x14ac:dyDescent="0.25">
      <c r="A69" s="34">
        <v>40940</v>
      </c>
      <c r="B69" s="1">
        <v>1231.5</v>
      </c>
      <c r="C69" s="34">
        <v>40940</v>
      </c>
      <c r="D69" s="1">
        <v>887</v>
      </c>
      <c r="E69" s="34">
        <v>40940</v>
      </c>
      <c r="F69" s="1">
        <v>5.7</v>
      </c>
      <c r="G69" s="34">
        <v>40940</v>
      </c>
      <c r="H69" s="1">
        <v>2.4</v>
      </c>
      <c r="I69" s="34">
        <v>40940</v>
      </c>
      <c r="J69" s="1">
        <v>175.83</v>
      </c>
      <c r="K69" s="34">
        <v>40940</v>
      </c>
      <c r="L69" s="1">
        <v>1218.7</v>
      </c>
      <c r="M69" s="34">
        <v>40940</v>
      </c>
      <c r="N69" s="1">
        <v>224.4</v>
      </c>
    </row>
    <row r="70" spans="1:14" x14ac:dyDescent="0.25">
      <c r="A70" s="34">
        <v>40969</v>
      </c>
      <c r="B70" s="1">
        <v>1236</v>
      </c>
      <c r="C70" s="34">
        <v>40969</v>
      </c>
      <c r="D70" s="1">
        <v>1108</v>
      </c>
      <c r="E70" s="34">
        <v>40969</v>
      </c>
      <c r="F70" s="1">
        <v>5.6</v>
      </c>
      <c r="G70" s="34">
        <v>40969</v>
      </c>
      <c r="H70" s="1">
        <v>2.61</v>
      </c>
      <c r="I70" s="34">
        <v>40969</v>
      </c>
      <c r="J70" s="1">
        <v>176.59</v>
      </c>
      <c r="K70" s="34">
        <v>40969</v>
      </c>
      <c r="L70" s="1">
        <v>1229.2</v>
      </c>
      <c r="M70" s="34">
        <v>40969</v>
      </c>
      <c r="N70" s="1">
        <v>225.1</v>
      </c>
    </row>
    <row r="71" spans="1:14" x14ac:dyDescent="0.25">
      <c r="A71" s="34">
        <v>41000</v>
      </c>
      <c r="B71" s="1">
        <v>1244.5</v>
      </c>
      <c r="C71" s="34">
        <v>41000</v>
      </c>
      <c r="D71" s="1">
        <v>953</v>
      </c>
      <c r="E71" s="34">
        <v>41000</v>
      </c>
      <c r="F71" s="1">
        <v>5.5</v>
      </c>
      <c r="G71" s="34">
        <v>41000</v>
      </c>
      <c r="H71" s="1">
        <v>2.76</v>
      </c>
      <c r="I71" s="34">
        <v>41000</v>
      </c>
      <c r="J71" s="1">
        <v>177.36</v>
      </c>
      <c r="K71" s="34">
        <v>41000</v>
      </c>
      <c r="L71" s="1">
        <v>1246.4000000000001</v>
      </c>
      <c r="M71" s="34">
        <v>41000</v>
      </c>
      <c r="N71" s="1">
        <v>228.5</v>
      </c>
    </row>
    <row r="72" spans="1:14" x14ac:dyDescent="0.25">
      <c r="A72" s="34">
        <v>41030</v>
      </c>
      <c r="B72" s="1">
        <v>1249.8</v>
      </c>
      <c r="C72" s="34">
        <v>41030</v>
      </c>
      <c r="D72" s="1">
        <v>1201</v>
      </c>
      <c r="E72" s="34">
        <v>41030</v>
      </c>
      <c r="F72" s="1">
        <v>5.5</v>
      </c>
      <c r="G72" s="34">
        <v>41030</v>
      </c>
      <c r="H72" s="1">
        <v>2.23</v>
      </c>
      <c r="I72" s="34">
        <v>41030</v>
      </c>
      <c r="J72" s="1">
        <v>178.04</v>
      </c>
      <c r="K72" s="34">
        <v>41030</v>
      </c>
      <c r="L72" s="1">
        <v>1251.3</v>
      </c>
      <c r="M72" s="34">
        <v>41030</v>
      </c>
      <c r="N72" s="1">
        <v>228</v>
      </c>
    </row>
    <row r="73" spans="1:14" x14ac:dyDescent="0.25">
      <c r="A73" s="34">
        <v>41061</v>
      </c>
      <c r="B73" s="1">
        <v>1251.5999999999999</v>
      </c>
      <c r="C73" s="34">
        <v>41061</v>
      </c>
      <c r="D73" s="1">
        <v>1170</v>
      </c>
      <c r="E73" s="34">
        <v>41061</v>
      </c>
      <c r="F73" s="1">
        <v>5.5</v>
      </c>
      <c r="G73" s="34">
        <v>41061</v>
      </c>
      <c r="H73" s="1">
        <v>2.0699999999999998</v>
      </c>
      <c r="I73" s="34">
        <v>41061</v>
      </c>
      <c r="J73" s="1">
        <v>178.63</v>
      </c>
      <c r="K73" s="34">
        <v>41061</v>
      </c>
      <c r="L73" s="1">
        <v>1257.5999999999999</v>
      </c>
      <c r="M73" s="34">
        <v>41061</v>
      </c>
      <c r="N73" s="1">
        <v>226.3</v>
      </c>
    </row>
    <row r="74" spans="1:14" x14ac:dyDescent="0.25">
      <c r="A74" s="34">
        <v>41091</v>
      </c>
      <c r="B74" s="1">
        <v>1250.2</v>
      </c>
      <c r="C74" s="34">
        <v>41091</v>
      </c>
      <c r="D74" s="1">
        <v>1141</v>
      </c>
      <c r="E74" s="34">
        <v>41091</v>
      </c>
      <c r="F74" s="1">
        <v>5.5</v>
      </c>
      <c r="G74" s="34">
        <v>41091</v>
      </c>
      <c r="H74" s="1">
        <v>1.58</v>
      </c>
      <c r="I74" s="34">
        <v>41091</v>
      </c>
      <c r="J74" s="1">
        <v>179.1</v>
      </c>
      <c r="K74" s="34">
        <v>41091</v>
      </c>
      <c r="L74" s="1">
        <v>1237.2</v>
      </c>
      <c r="M74" s="34">
        <v>41091</v>
      </c>
      <c r="N74" s="1">
        <v>207.9</v>
      </c>
    </row>
    <row r="75" spans="1:14" x14ac:dyDescent="0.25">
      <c r="A75" s="34">
        <v>41122</v>
      </c>
      <c r="B75" s="1">
        <v>1253</v>
      </c>
      <c r="C75" s="34">
        <v>41122</v>
      </c>
      <c r="D75" s="1">
        <v>1235</v>
      </c>
      <c r="E75" s="34">
        <v>41122</v>
      </c>
      <c r="F75" s="1">
        <v>5.4</v>
      </c>
      <c r="G75" s="34">
        <v>41122</v>
      </c>
      <c r="H75" s="1">
        <v>2.0499999999999998</v>
      </c>
      <c r="I75" s="34">
        <v>41122</v>
      </c>
      <c r="J75" s="1">
        <v>179.6</v>
      </c>
      <c r="K75" s="34">
        <v>41122</v>
      </c>
      <c r="L75" s="1">
        <v>1249.0999999999999</v>
      </c>
      <c r="M75" s="34">
        <v>41122</v>
      </c>
      <c r="N75" s="1">
        <v>209.9</v>
      </c>
    </row>
    <row r="76" spans="1:14" x14ac:dyDescent="0.25">
      <c r="A76" s="34">
        <v>41153</v>
      </c>
      <c r="B76" s="1">
        <v>1257.0999999999999</v>
      </c>
      <c r="C76" s="34">
        <v>41153</v>
      </c>
      <c r="D76" s="1">
        <v>965</v>
      </c>
      <c r="E76" s="34">
        <v>41153</v>
      </c>
      <c r="F76" s="1">
        <v>5.0999999999999996</v>
      </c>
      <c r="G76" s="34">
        <v>41153</v>
      </c>
      <c r="H76" s="1">
        <v>2.3199999999999998</v>
      </c>
      <c r="I76" s="34">
        <v>41153</v>
      </c>
      <c r="J76" s="1">
        <v>180.2</v>
      </c>
      <c r="K76" s="34">
        <v>41153</v>
      </c>
      <c r="L76" s="1">
        <v>1265</v>
      </c>
      <c r="M76" s="34">
        <v>41153</v>
      </c>
      <c r="N76" s="1">
        <v>224.8</v>
      </c>
    </row>
    <row r="77" spans="1:14" x14ac:dyDescent="0.25">
      <c r="A77" s="34">
        <v>41183</v>
      </c>
      <c r="B77" s="1">
        <v>1263.0999999999999</v>
      </c>
      <c r="C77" s="34">
        <v>41183</v>
      </c>
      <c r="D77" s="1">
        <v>1167</v>
      </c>
      <c r="E77" s="34">
        <v>41183</v>
      </c>
      <c r="F77" s="1">
        <v>5.0999999999999996</v>
      </c>
      <c r="G77" s="34">
        <v>41183</v>
      </c>
      <c r="H77" s="1">
        <v>2.25</v>
      </c>
      <c r="I77" s="34">
        <v>41183</v>
      </c>
      <c r="J77" s="1">
        <v>180.89</v>
      </c>
      <c r="K77" s="34">
        <v>41183</v>
      </c>
      <c r="L77" s="1">
        <v>1272.3</v>
      </c>
      <c r="M77" s="34">
        <v>41183</v>
      </c>
      <c r="N77" s="1">
        <v>228.3</v>
      </c>
    </row>
    <row r="78" spans="1:14" x14ac:dyDescent="0.25">
      <c r="A78" s="34">
        <v>41214</v>
      </c>
      <c r="B78" s="1">
        <v>1266.5999999999999</v>
      </c>
      <c r="C78" s="34">
        <v>41214</v>
      </c>
      <c r="D78" s="1">
        <v>1456</v>
      </c>
      <c r="E78" s="34">
        <v>41214</v>
      </c>
      <c r="F78" s="1">
        <v>4.8</v>
      </c>
      <c r="G78" s="34">
        <v>41214</v>
      </c>
      <c r="H78" s="1">
        <v>2.66</v>
      </c>
      <c r="I78" s="34">
        <v>41214</v>
      </c>
      <c r="J78" s="1">
        <v>181.66</v>
      </c>
      <c r="K78" s="34">
        <v>41214</v>
      </c>
      <c r="L78" s="1">
        <v>1281.7</v>
      </c>
      <c r="M78" s="34">
        <v>41214</v>
      </c>
      <c r="N78" s="1">
        <v>228.1</v>
      </c>
    </row>
    <row r="79" spans="1:14" x14ac:dyDescent="0.25">
      <c r="A79" s="34">
        <v>41244</v>
      </c>
      <c r="B79" s="1">
        <v>1268.3</v>
      </c>
      <c r="C79" s="34">
        <v>41244</v>
      </c>
      <c r="D79" s="1">
        <v>988</v>
      </c>
      <c r="E79" s="34">
        <v>41244</v>
      </c>
      <c r="F79" s="1">
        <v>4.9000000000000004</v>
      </c>
      <c r="G79" s="34">
        <v>41244</v>
      </c>
      <c r="H79" s="1">
        <v>1.88</v>
      </c>
      <c r="I79" s="34">
        <v>41244</v>
      </c>
      <c r="J79" s="1">
        <v>182.33</v>
      </c>
      <c r="K79" s="34">
        <v>41244</v>
      </c>
      <c r="L79" s="1">
        <v>1283.8</v>
      </c>
      <c r="M79" s="34">
        <v>41244</v>
      </c>
      <c r="N79" s="1">
        <v>226.3</v>
      </c>
    </row>
    <row r="80" spans="1:14" x14ac:dyDescent="0.25">
      <c r="A80" s="34">
        <v>41275</v>
      </c>
      <c r="B80" s="1">
        <v>1274.8</v>
      </c>
      <c r="C80" s="34">
        <v>41275</v>
      </c>
      <c r="D80" s="1">
        <v>720</v>
      </c>
      <c r="E80" s="34">
        <v>41275</v>
      </c>
      <c r="F80" s="1">
        <v>4.9000000000000004</v>
      </c>
      <c r="G80" s="34">
        <v>41275</v>
      </c>
      <c r="H80" s="1">
        <v>2.16</v>
      </c>
      <c r="I80" s="34">
        <v>41275</v>
      </c>
      <c r="J80" s="1">
        <v>182.96</v>
      </c>
      <c r="K80" s="34">
        <v>41275</v>
      </c>
      <c r="L80" s="1">
        <v>1257.5999999999999</v>
      </c>
      <c r="M80" s="34">
        <v>41275</v>
      </c>
      <c r="N80" s="1">
        <v>224.6</v>
      </c>
    </row>
    <row r="81" spans="1:14" x14ac:dyDescent="0.25">
      <c r="A81" s="34">
        <v>41306</v>
      </c>
      <c r="B81" s="1">
        <v>1278.4000000000001</v>
      </c>
      <c r="C81" s="34">
        <v>41306</v>
      </c>
      <c r="D81" s="1">
        <v>853</v>
      </c>
      <c r="E81" s="34">
        <v>41306</v>
      </c>
      <c r="F81" s="1">
        <v>4.7</v>
      </c>
      <c r="G81" s="34">
        <v>41306</v>
      </c>
      <c r="H81" s="1">
        <v>2.11</v>
      </c>
      <c r="I81" s="34">
        <v>41306</v>
      </c>
      <c r="J81" s="1">
        <v>183.56</v>
      </c>
      <c r="K81" s="34">
        <v>41306</v>
      </c>
      <c r="L81" s="1">
        <v>1265.0999999999999</v>
      </c>
      <c r="M81" s="34">
        <v>41306</v>
      </c>
      <c r="N81" s="1">
        <v>226.4</v>
      </c>
    </row>
    <row r="82" spans="1:14" x14ac:dyDescent="0.25">
      <c r="A82" s="34">
        <v>41334</v>
      </c>
      <c r="B82" s="1">
        <v>1281.8</v>
      </c>
      <c r="C82" s="34">
        <v>41334</v>
      </c>
      <c r="D82" s="1">
        <v>1417</v>
      </c>
      <c r="E82" s="34">
        <v>41334</v>
      </c>
      <c r="F82" s="1">
        <v>4.5</v>
      </c>
      <c r="G82" s="34">
        <v>41334</v>
      </c>
      <c r="H82" s="1">
        <v>1.6</v>
      </c>
      <c r="I82" s="34">
        <v>41334</v>
      </c>
      <c r="J82" s="1">
        <v>184.08</v>
      </c>
      <c r="K82" s="34">
        <v>41334</v>
      </c>
      <c r="L82" s="1">
        <v>1274.4000000000001</v>
      </c>
      <c r="M82" s="34">
        <v>41334</v>
      </c>
      <c r="N82" s="1">
        <v>226.6</v>
      </c>
    </row>
    <row r="83" spans="1:14" x14ac:dyDescent="0.25">
      <c r="A83" s="34">
        <v>41365</v>
      </c>
      <c r="B83" s="1">
        <v>1284.2</v>
      </c>
      <c r="C83" s="34">
        <v>41365</v>
      </c>
      <c r="D83" s="1">
        <v>1262</v>
      </c>
      <c r="E83" s="34">
        <v>41365</v>
      </c>
      <c r="F83" s="1">
        <v>4.5</v>
      </c>
      <c r="G83" s="34">
        <v>41365</v>
      </c>
      <c r="H83" s="1">
        <v>1.38</v>
      </c>
      <c r="I83" s="34">
        <v>41365</v>
      </c>
      <c r="J83" s="1">
        <v>184.5</v>
      </c>
      <c r="K83" s="34">
        <v>41365</v>
      </c>
      <c r="L83" s="1">
        <v>1286.5999999999999</v>
      </c>
      <c r="M83" s="34">
        <v>41365</v>
      </c>
      <c r="N83" s="1">
        <v>228.7</v>
      </c>
    </row>
    <row r="84" spans="1:14" x14ac:dyDescent="0.25">
      <c r="A84" s="34">
        <v>41395</v>
      </c>
      <c r="B84" s="1">
        <v>1286.9000000000001</v>
      </c>
      <c r="C84" s="34">
        <v>41395</v>
      </c>
      <c r="D84" s="1">
        <v>1479</v>
      </c>
      <c r="E84" s="34">
        <v>41395</v>
      </c>
      <c r="F84" s="1">
        <v>4.5</v>
      </c>
      <c r="G84" s="34">
        <v>41395</v>
      </c>
      <c r="H84" s="1">
        <v>1.49</v>
      </c>
      <c r="I84" s="34">
        <v>41395</v>
      </c>
      <c r="J84" s="1">
        <v>184.91</v>
      </c>
      <c r="K84" s="34">
        <v>41395</v>
      </c>
      <c r="L84" s="1">
        <v>1288.0999999999999</v>
      </c>
      <c r="M84" s="34">
        <v>41395</v>
      </c>
      <c r="N84" s="1">
        <v>230.6</v>
      </c>
    </row>
    <row r="85" spans="1:14" x14ac:dyDescent="0.25">
      <c r="A85" s="34">
        <v>41426</v>
      </c>
      <c r="B85" s="1">
        <v>1287.0999999999999</v>
      </c>
      <c r="C85" s="34">
        <v>41426</v>
      </c>
      <c r="D85" s="1">
        <v>1403</v>
      </c>
      <c r="E85" s="34">
        <v>41426</v>
      </c>
      <c r="F85" s="1">
        <v>4.5999999999999996</v>
      </c>
      <c r="G85" s="34">
        <v>41426</v>
      </c>
      <c r="H85" s="1">
        <v>1.42</v>
      </c>
      <c r="I85" s="34">
        <v>41426</v>
      </c>
      <c r="J85" s="1">
        <v>185.3</v>
      </c>
      <c r="K85" s="34">
        <v>41426</v>
      </c>
      <c r="L85" s="1">
        <v>1291.3</v>
      </c>
      <c r="M85" s="34">
        <v>41426</v>
      </c>
      <c r="N85" s="1">
        <v>227.4</v>
      </c>
    </row>
    <row r="86" spans="1:14" x14ac:dyDescent="0.25">
      <c r="A86" s="34">
        <v>41456</v>
      </c>
      <c r="B86" s="1">
        <v>1292.0999999999999</v>
      </c>
      <c r="C86" s="34">
        <v>41456</v>
      </c>
      <c r="D86" s="1">
        <v>1433</v>
      </c>
      <c r="E86" s="34">
        <v>41456</v>
      </c>
      <c r="F86" s="1">
        <v>4.5</v>
      </c>
      <c r="G86" s="34">
        <v>41456</v>
      </c>
      <c r="H86" s="1">
        <v>1.76</v>
      </c>
      <c r="I86" s="34">
        <v>41456</v>
      </c>
      <c r="J86" s="1">
        <v>185.75</v>
      </c>
      <c r="K86" s="34">
        <v>41456</v>
      </c>
      <c r="L86" s="1">
        <v>1279.4000000000001</v>
      </c>
      <c r="M86" s="34">
        <v>41456</v>
      </c>
      <c r="N86" s="1">
        <v>210.9</v>
      </c>
    </row>
    <row r="87" spans="1:14" x14ac:dyDescent="0.25">
      <c r="A87" s="34">
        <v>41487</v>
      </c>
      <c r="B87" s="1">
        <v>1291.7</v>
      </c>
      <c r="C87" s="34">
        <v>41487</v>
      </c>
      <c r="D87" s="1">
        <v>1679</v>
      </c>
      <c r="E87" s="34">
        <v>41487</v>
      </c>
      <c r="F87" s="1">
        <v>4.4000000000000004</v>
      </c>
      <c r="G87" s="34">
        <v>41487</v>
      </c>
      <c r="H87" s="1">
        <v>1.83</v>
      </c>
      <c r="I87" s="34">
        <v>41487</v>
      </c>
      <c r="J87" s="1">
        <v>186.25</v>
      </c>
      <c r="K87" s="34">
        <v>41487</v>
      </c>
      <c r="L87" s="1">
        <v>1288.2</v>
      </c>
      <c r="M87" s="34">
        <v>41487</v>
      </c>
      <c r="N87" s="1">
        <v>212.5</v>
      </c>
    </row>
    <row r="88" spans="1:14" x14ac:dyDescent="0.25">
      <c r="A88" s="34">
        <v>41518</v>
      </c>
      <c r="B88" s="1">
        <v>1294.2</v>
      </c>
      <c r="C88" s="34">
        <v>41518</v>
      </c>
      <c r="D88" s="1">
        <v>1124</v>
      </c>
      <c r="E88" s="34">
        <v>41518</v>
      </c>
      <c r="F88" s="1">
        <v>4.3</v>
      </c>
      <c r="G88" s="34">
        <v>41518</v>
      </c>
      <c r="H88" s="1">
        <v>1.77</v>
      </c>
      <c r="I88" s="34">
        <v>41518</v>
      </c>
      <c r="J88" s="1">
        <v>186.76</v>
      </c>
      <c r="K88" s="34">
        <v>41518</v>
      </c>
      <c r="L88" s="1">
        <v>1302.0999999999999</v>
      </c>
      <c r="M88" s="34">
        <v>41518</v>
      </c>
      <c r="N88" s="1">
        <v>228.4</v>
      </c>
    </row>
    <row r="89" spans="1:14" x14ac:dyDescent="0.25">
      <c r="A89" s="34">
        <v>41548</v>
      </c>
      <c r="B89" s="1">
        <v>1300.7</v>
      </c>
      <c r="C89" s="34">
        <v>41548</v>
      </c>
      <c r="D89" s="1">
        <v>1499</v>
      </c>
      <c r="E89" s="34">
        <v>41548</v>
      </c>
      <c r="F89" s="1">
        <v>4.3</v>
      </c>
      <c r="G89" s="34">
        <v>41548</v>
      </c>
      <c r="H89" s="1">
        <v>1.81</v>
      </c>
      <c r="I89" s="34">
        <v>41548</v>
      </c>
      <c r="J89" s="1">
        <v>187.26</v>
      </c>
      <c r="K89" s="34">
        <v>41548</v>
      </c>
      <c r="L89" s="1">
        <v>1312.1</v>
      </c>
      <c r="M89" s="34">
        <v>41548</v>
      </c>
      <c r="N89" s="1">
        <v>230.7</v>
      </c>
    </row>
    <row r="90" spans="1:14" x14ac:dyDescent="0.25">
      <c r="A90" s="34">
        <v>41579</v>
      </c>
      <c r="B90" s="1">
        <v>1303.4000000000001</v>
      </c>
      <c r="C90" s="34">
        <v>41579</v>
      </c>
      <c r="D90" s="1">
        <v>1084</v>
      </c>
      <c r="E90" s="34">
        <v>41579</v>
      </c>
      <c r="F90" s="1">
        <v>4</v>
      </c>
      <c r="G90" s="34">
        <v>41579</v>
      </c>
      <c r="H90" s="1">
        <v>1.81</v>
      </c>
      <c r="I90" s="34">
        <v>41579</v>
      </c>
      <c r="J90" s="1">
        <v>187.77</v>
      </c>
      <c r="K90" s="34">
        <v>41579</v>
      </c>
      <c r="L90" s="1">
        <v>1317.4</v>
      </c>
      <c r="M90" s="34">
        <v>41579</v>
      </c>
      <c r="N90" s="1">
        <v>230.8</v>
      </c>
    </row>
    <row r="91" spans="1:14" x14ac:dyDescent="0.25">
      <c r="A91" s="34">
        <v>41609</v>
      </c>
      <c r="B91" s="1">
        <v>1303.5999999999999</v>
      </c>
      <c r="C91" s="34">
        <v>41609</v>
      </c>
      <c r="D91" s="1">
        <v>1376</v>
      </c>
      <c r="E91" s="34">
        <v>41609</v>
      </c>
      <c r="F91" s="1">
        <v>4</v>
      </c>
      <c r="G91" s="34">
        <v>41609</v>
      </c>
      <c r="H91" s="1">
        <v>1.57</v>
      </c>
      <c r="I91" s="34">
        <v>41609</v>
      </c>
      <c r="J91" s="1">
        <v>188.27</v>
      </c>
      <c r="K91" s="34">
        <v>41609</v>
      </c>
      <c r="L91" s="1">
        <v>1316</v>
      </c>
      <c r="M91" s="34">
        <v>41609</v>
      </c>
      <c r="N91" s="1">
        <v>230.4</v>
      </c>
    </row>
    <row r="92" spans="1:14" x14ac:dyDescent="0.25">
      <c r="A92" s="34">
        <v>41640</v>
      </c>
      <c r="B92" s="1">
        <v>1305.5</v>
      </c>
      <c r="C92" s="34">
        <v>41640</v>
      </c>
      <c r="D92" s="1">
        <v>1241</v>
      </c>
      <c r="E92" s="34">
        <v>41640</v>
      </c>
      <c r="F92" s="1">
        <v>3.9</v>
      </c>
      <c r="G92" s="34">
        <v>41640</v>
      </c>
      <c r="H92" s="1">
        <v>2.3199999999999998</v>
      </c>
      <c r="I92" s="34">
        <v>41640</v>
      </c>
      <c r="J92" s="1">
        <v>188.86</v>
      </c>
      <c r="K92" s="34">
        <v>41640</v>
      </c>
      <c r="L92" s="1">
        <v>1292.5</v>
      </c>
      <c r="M92" s="34">
        <v>41640</v>
      </c>
      <c r="N92" s="1">
        <v>228.3</v>
      </c>
    </row>
    <row r="93" spans="1:14" x14ac:dyDescent="0.25">
      <c r="A93" s="34">
        <v>41671</v>
      </c>
      <c r="B93" s="1">
        <v>1309.9000000000001</v>
      </c>
      <c r="C93" s="34">
        <v>41671</v>
      </c>
      <c r="D93" s="1">
        <v>1522</v>
      </c>
      <c r="E93" s="34">
        <v>41671</v>
      </c>
      <c r="F93" s="1">
        <v>3.9</v>
      </c>
      <c r="G93" s="34">
        <v>41671</v>
      </c>
      <c r="H93" s="1">
        <v>2.04</v>
      </c>
      <c r="I93" s="34">
        <v>41671</v>
      </c>
      <c r="J93" s="1">
        <v>189.47</v>
      </c>
      <c r="K93" s="34">
        <v>41671</v>
      </c>
      <c r="L93" s="1">
        <v>1297.7</v>
      </c>
      <c r="M93" s="34">
        <v>41671</v>
      </c>
      <c r="N93" s="1">
        <v>230.5</v>
      </c>
    </row>
    <row r="94" spans="1:14" x14ac:dyDescent="0.25">
      <c r="A94" s="34">
        <v>41699</v>
      </c>
      <c r="B94" s="1">
        <v>1317</v>
      </c>
      <c r="C94" s="34">
        <v>41699</v>
      </c>
      <c r="D94" s="1">
        <v>1335</v>
      </c>
      <c r="E94" s="34">
        <v>41699</v>
      </c>
      <c r="F94" s="1">
        <v>4.0999999999999996</v>
      </c>
      <c r="G94" s="34">
        <v>41699</v>
      </c>
      <c r="H94" s="1">
        <v>2.08</v>
      </c>
      <c r="I94" s="34">
        <v>41699</v>
      </c>
      <c r="J94" s="1">
        <v>190.08</v>
      </c>
      <c r="K94" s="34">
        <v>41699</v>
      </c>
      <c r="L94" s="1">
        <v>1310.2</v>
      </c>
      <c r="M94" s="34">
        <v>41699</v>
      </c>
      <c r="N94" s="1">
        <v>231.1</v>
      </c>
    </row>
    <row r="95" spans="1:14" x14ac:dyDescent="0.25">
      <c r="A95" s="34">
        <v>41730</v>
      </c>
      <c r="B95" s="1">
        <v>1319.4</v>
      </c>
      <c r="C95" s="34">
        <v>41730</v>
      </c>
      <c r="D95" s="1">
        <v>1267</v>
      </c>
      <c r="E95" s="34">
        <v>41730</v>
      </c>
      <c r="F95" s="1">
        <v>3.8</v>
      </c>
      <c r="G95" s="34">
        <v>41730</v>
      </c>
      <c r="H95" s="1">
        <v>2.61</v>
      </c>
      <c r="I95" s="34">
        <v>41730</v>
      </c>
      <c r="J95" s="1">
        <v>190.82</v>
      </c>
      <c r="K95" s="34">
        <v>41730</v>
      </c>
      <c r="L95" s="1">
        <v>1320</v>
      </c>
      <c r="M95" s="34">
        <v>41730</v>
      </c>
      <c r="N95" s="1">
        <v>233.2</v>
      </c>
    </row>
    <row r="96" spans="1:14" x14ac:dyDescent="0.25">
      <c r="A96" s="34">
        <v>41760</v>
      </c>
      <c r="B96" s="1">
        <v>1326.1</v>
      </c>
      <c r="C96" s="34">
        <v>41760</v>
      </c>
      <c r="D96" s="1">
        <v>1459</v>
      </c>
      <c r="E96" s="34">
        <v>41760</v>
      </c>
      <c r="F96" s="1">
        <v>3.6</v>
      </c>
      <c r="G96" s="34">
        <v>41760</v>
      </c>
      <c r="H96" s="1">
        <v>2.48</v>
      </c>
      <c r="I96" s="34">
        <v>41760</v>
      </c>
      <c r="J96" s="1">
        <v>191.61</v>
      </c>
      <c r="K96" s="34">
        <v>41760</v>
      </c>
      <c r="L96" s="1">
        <v>1326.8</v>
      </c>
      <c r="M96" s="34">
        <v>41760</v>
      </c>
      <c r="N96" s="1">
        <v>235.7</v>
      </c>
    </row>
    <row r="97" spans="1:14" x14ac:dyDescent="0.25">
      <c r="A97" s="34">
        <v>41791</v>
      </c>
      <c r="B97" s="1">
        <v>1332.2</v>
      </c>
      <c r="C97" s="34">
        <v>41791</v>
      </c>
      <c r="D97" s="1">
        <v>1392</v>
      </c>
      <c r="E97" s="34">
        <v>41791</v>
      </c>
      <c r="F97" s="1">
        <v>3.5</v>
      </c>
      <c r="G97" s="34">
        <v>41791</v>
      </c>
      <c r="H97" s="1">
        <v>2.21</v>
      </c>
      <c r="I97" s="34">
        <v>41791</v>
      </c>
      <c r="J97" s="1">
        <v>192.4</v>
      </c>
      <c r="K97" s="34">
        <v>41791</v>
      </c>
      <c r="L97" s="1">
        <v>1336.4</v>
      </c>
      <c r="M97" s="34">
        <v>41791</v>
      </c>
      <c r="N97" s="1">
        <v>232.5</v>
      </c>
    </row>
    <row r="98" spans="1:14" x14ac:dyDescent="0.25">
      <c r="A98" s="34">
        <v>41821</v>
      </c>
      <c r="B98" s="1">
        <v>1337.9</v>
      </c>
      <c r="C98" s="34">
        <v>41821</v>
      </c>
      <c r="D98" s="1">
        <v>1341</v>
      </c>
      <c r="E98" s="34">
        <v>41821</v>
      </c>
      <c r="F98" s="1">
        <v>3.6</v>
      </c>
      <c r="G98" s="34">
        <v>41821</v>
      </c>
      <c r="H98" s="1">
        <v>1.94</v>
      </c>
      <c r="I98" s="34">
        <v>41821</v>
      </c>
      <c r="J98" s="1">
        <v>193.12</v>
      </c>
      <c r="K98" s="34">
        <v>41821</v>
      </c>
      <c r="L98" s="1">
        <v>1324.9</v>
      </c>
      <c r="M98" s="34">
        <v>41821</v>
      </c>
      <c r="N98" s="1">
        <v>216.2</v>
      </c>
    </row>
    <row r="99" spans="1:14" x14ac:dyDescent="0.25">
      <c r="A99" s="34">
        <v>41852</v>
      </c>
      <c r="B99" s="1">
        <v>1337.3</v>
      </c>
      <c r="C99" s="34">
        <v>41852</v>
      </c>
      <c r="D99" s="1">
        <v>1248</v>
      </c>
      <c r="E99" s="34">
        <v>41852</v>
      </c>
      <c r="F99" s="1">
        <v>3.5</v>
      </c>
      <c r="G99" s="34">
        <v>41852</v>
      </c>
      <c r="H99" s="1">
        <v>1.78</v>
      </c>
      <c r="I99" s="34">
        <v>41852</v>
      </c>
      <c r="J99" s="1">
        <v>193.73</v>
      </c>
      <c r="K99" s="34">
        <v>41852</v>
      </c>
      <c r="L99" s="1">
        <v>1332.5</v>
      </c>
      <c r="M99" s="34">
        <v>41852</v>
      </c>
      <c r="N99" s="1">
        <v>218.7</v>
      </c>
    </row>
    <row r="100" spans="1:14" x14ac:dyDescent="0.25">
      <c r="A100" s="34">
        <v>41883</v>
      </c>
      <c r="B100" s="1">
        <v>1339.5</v>
      </c>
      <c r="C100" s="34">
        <v>41883</v>
      </c>
      <c r="D100" s="1">
        <v>1703</v>
      </c>
      <c r="E100" s="34">
        <v>41883</v>
      </c>
      <c r="F100" s="1">
        <v>3.5</v>
      </c>
      <c r="G100" s="34">
        <v>41883</v>
      </c>
      <c r="H100" s="1">
        <v>1.61</v>
      </c>
      <c r="I100" s="34">
        <v>41883</v>
      </c>
      <c r="J100" s="1">
        <v>194.25</v>
      </c>
      <c r="K100" s="34">
        <v>41883</v>
      </c>
      <c r="L100" s="1">
        <v>1348.7</v>
      </c>
      <c r="M100" s="34">
        <v>41883</v>
      </c>
      <c r="N100" s="1">
        <v>235.5</v>
      </c>
    </row>
    <row r="101" spans="1:14" x14ac:dyDescent="0.25">
      <c r="A101" s="34">
        <v>41913</v>
      </c>
      <c r="B101" s="1">
        <v>1349.3</v>
      </c>
      <c r="C101" s="34">
        <v>41913</v>
      </c>
      <c r="D101" s="1">
        <v>1447</v>
      </c>
      <c r="E101" s="34">
        <v>41913</v>
      </c>
      <c r="F101" s="1">
        <v>3.6</v>
      </c>
      <c r="G101" s="34">
        <v>41913</v>
      </c>
      <c r="H101" s="1">
        <v>1.7</v>
      </c>
      <c r="I101" s="34">
        <v>41913</v>
      </c>
      <c r="J101" s="1">
        <v>194.72</v>
      </c>
      <c r="K101" s="34">
        <v>41913</v>
      </c>
      <c r="L101" s="1">
        <v>1359.2</v>
      </c>
      <c r="M101" s="34">
        <v>41913</v>
      </c>
      <c r="N101" s="1">
        <v>237.7</v>
      </c>
    </row>
    <row r="102" spans="1:14" x14ac:dyDescent="0.25">
      <c r="A102" s="34">
        <v>41944</v>
      </c>
      <c r="B102" s="1">
        <v>1348.6</v>
      </c>
      <c r="C102" s="34">
        <v>41944</v>
      </c>
      <c r="D102" s="1">
        <v>1809</v>
      </c>
      <c r="E102" s="34">
        <v>41944</v>
      </c>
      <c r="F102" s="1">
        <v>3.6</v>
      </c>
      <c r="G102" s="34">
        <v>41944</v>
      </c>
      <c r="H102" s="1">
        <v>1.73</v>
      </c>
      <c r="I102" s="34">
        <v>41944</v>
      </c>
      <c r="J102" s="1">
        <v>195.17</v>
      </c>
      <c r="K102" s="34">
        <v>41944</v>
      </c>
      <c r="L102" s="1">
        <v>1362</v>
      </c>
      <c r="M102" s="34">
        <v>41944</v>
      </c>
      <c r="N102" s="1">
        <v>238.2</v>
      </c>
    </row>
    <row r="103" spans="1:14" x14ac:dyDescent="0.25">
      <c r="A103" s="34">
        <v>41974</v>
      </c>
      <c r="B103" s="1">
        <v>1353.9</v>
      </c>
      <c r="E103" s="34">
        <v>41974</v>
      </c>
      <c r="F103" s="1">
        <v>3.5</v>
      </c>
      <c r="K103" s="34">
        <v>41974</v>
      </c>
      <c r="L103" s="1">
        <v>1366.7</v>
      </c>
      <c r="M103" s="34">
        <v>41974</v>
      </c>
      <c r="N103" s="1">
        <v>237.1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R103"/>
  <sheetViews>
    <sheetView topLeftCell="E16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  <col min="17" max="17" width="11.875" style="34"/>
    <col min="18" max="18" width="11.875" style="1"/>
  </cols>
  <sheetData>
    <row r="1" spans="1:18" x14ac:dyDescent="0.25">
      <c r="A1" s="34" t="s">
        <v>298</v>
      </c>
      <c r="C1" s="34" t="s">
        <v>299</v>
      </c>
      <c r="E1" s="34" t="s">
        <v>300</v>
      </c>
      <c r="G1" s="34" t="s">
        <v>301</v>
      </c>
      <c r="I1" s="34" t="s">
        <v>302</v>
      </c>
      <c r="K1" s="34" t="str">
        <f>CONCATENATE(LEFT(A1,2), "NAN")</f>
        <v>VANAN</v>
      </c>
      <c r="M1" s="34" t="str">
        <f>CONCATENATE(LEFT(A1,2), "GOVTN")</f>
        <v>VAGOVTN</v>
      </c>
      <c r="O1" s="34" t="str">
        <f>CONCATENATE(LEFT($A$1,2), "RGSP")</f>
        <v>VARGSP</v>
      </c>
      <c r="Q1" s="34" t="str">
        <f>CONCATENATE(LEFT($A$1,2), "PI")</f>
        <v>VAPI</v>
      </c>
    </row>
    <row r="2" spans="1:18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  <c r="Q2" s="34" t="s">
        <v>3</v>
      </c>
      <c r="R2" s="1" t="s">
        <v>980</v>
      </c>
    </row>
    <row r="3" spans="1:18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  <c r="Q3" s="34" t="s">
        <v>981</v>
      </c>
      <c r="R3" s="1" t="s">
        <v>823</v>
      </c>
    </row>
    <row r="4" spans="1:18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961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  <c r="Q4" s="34">
        <v>39083</v>
      </c>
      <c r="R4" s="1" t="s">
        <v>986</v>
      </c>
    </row>
    <row r="5" spans="1:18" x14ac:dyDescent="0.25">
      <c r="A5" s="35" t="s">
        <v>934</v>
      </c>
      <c r="C5" s="35" t="s">
        <v>339</v>
      </c>
      <c r="E5" s="35" t="s">
        <v>340</v>
      </c>
      <c r="G5" s="35" t="s">
        <v>341</v>
      </c>
      <c r="I5" s="35" t="s">
        <v>342</v>
      </c>
      <c r="K5" s="35" t="s">
        <v>934</v>
      </c>
      <c r="M5" s="35" t="s">
        <v>935</v>
      </c>
      <c r="O5" s="35" t="s">
        <v>775</v>
      </c>
      <c r="Q5" s="35" t="s">
        <v>979</v>
      </c>
    </row>
    <row r="6" spans="1:18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  <c r="Q6" s="34" t="s">
        <v>963</v>
      </c>
    </row>
    <row r="7" spans="1:18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  <c r="Q7" s="34" t="s">
        <v>8</v>
      </c>
      <c r="R7" s="1" t="s">
        <v>9</v>
      </c>
    </row>
    <row r="8" spans="1:18" x14ac:dyDescent="0.25">
      <c r="A8" s="34">
        <v>39083</v>
      </c>
      <c r="B8" s="1">
        <v>3766.1</v>
      </c>
      <c r="C8" s="34">
        <v>39083</v>
      </c>
      <c r="D8" s="1">
        <v>2865</v>
      </c>
      <c r="E8" s="34">
        <v>39083</v>
      </c>
      <c r="F8" s="1">
        <v>2.9</v>
      </c>
      <c r="G8" s="34">
        <v>39083</v>
      </c>
      <c r="H8" s="1">
        <v>1.4</v>
      </c>
      <c r="I8" s="34">
        <v>39083</v>
      </c>
      <c r="J8" s="1">
        <v>148.15</v>
      </c>
      <c r="K8" s="34">
        <v>39083</v>
      </c>
      <c r="L8" s="1">
        <v>3707.2</v>
      </c>
      <c r="M8" s="34">
        <v>39083</v>
      </c>
      <c r="N8" s="1">
        <v>679.1</v>
      </c>
      <c r="O8" s="34">
        <v>39083</v>
      </c>
      <c r="P8" s="1">
        <v>406129</v>
      </c>
      <c r="Q8" s="34">
        <v>39083</v>
      </c>
      <c r="R8" s="1">
        <v>12356.9</v>
      </c>
    </row>
    <row r="9" spans="1:18" x14ac:dyDescent="0.25">
      <c r="A9" s="34">
        <v>39114</v>
      </c>
      <c r="B9" s="1">
        <v>3765.2</v>
      </c>
      <c r="C9" s="34">
        <v>39114</v>
      </c>
      <c r="D9" s="1">
        <v>3071</v>
      </c>
      <c r="E9" s="34">
        <v>39114</v>
      </c>
      <c r="F9" s="1">
        <v>2.9</v>
      </c>
      <c r="G9" s="34">
        <v>39114</v>
      </c>
      <c r="H9" s="1">
        <v>0.7</v>
      </c>
      <c r="I9" s="34">
        <v>39114</v>
      </c>
      <c r="J9" s="1">
        <v>148.46</v>
      </c>
      <c r="K9" s="34">
        <v>39114</v>
      </c>
      <c r="L9" s="1">
        <v>3713.1</v>
      </c>
      <c r="M9" s="34">
        <v>39114</v>
      </c>
      <c r="N9" s="1">
        <v>687.8</v>
      </c>
      <c r="O9" s="34">
        <v>39448</v>
      </c>
      <c r="P9" s="1">
        <v>406303</v>
      </c>
      <c r="Q9" s="34">
        <v>39173</v>
      </c>
      <c r="R9" s="1">
        <v>12528.8</v>
      </c>
    </row>
    <row r="10" spans="1:18" x14ac:dyDescent="0.25">
      <c r="A10" s="34">
        <v>39142</v>
      </c>
      <c r="B10" s="1">
        <v>3771.2</v>
      </c>
      <c r="C10" s="34">
        <v>39142</v>
      </c>
      <c r="D10" s="1">
        <v>3710</v>
      </c>
      <c r="E10" s="34">
        <v>39142</v>
      </c>
      <c r="F10" s="1">
        <v>2.9</v>
      </c>
      <c r="G10" s="34">
        <v>39142</v>
      </c>
      <c r="H10" s="1">
        <v>0.55000000000000004</v>
      </c>
      <c r="I10" s="34">
        <v>39142</v>
      </c>
      <c r="J10" s="1">
        <v>148.69</v>
      </c>
      <c r="K10" s="34">
        <v>39142</v>
      </c>
      <c r="L10" s="1">
        <v>3744.5</v>
      </c>
      <c r="M10" s="34">
        <v>39142</v>
      </c>
      <c r="N10" s="1">
        <v>689.3</v>
      </c>
      <c r="O10" s="34">
        <v>39814</v>
      </c>
      <c r="P10" s="1">
        <v>406066</v>
      </c>
      <c r="Q10" s="34">
        <v>39264</v>
      </c>
      <c r="R10" s="1">
        <v>12654.4</v>
      </c>
    </row>
    <row r="11" spans="1:18" x14ac:dyDescent="0.25">
      <c r="A11" s="34">
        <v>39173</v>
      </c>
      <c r="B11" s="1">
        <v>3769.6</v>
      </c>
      <c r="C11" s="34">
        <v>39173</v>
      </c>
      <c r="D11" s="1">
        <v>3373</v>
      </c>
      <c r="E11" s="34">
        <v>39173</v>
      </c>
      <c r="F11" s="1">
        <v>2.9</v>
      </c>
      <c r="G11" s="34">
        <v>39173</v>
      </c>
      <c r="H11" s="1">
        <v>0.26</v>
      </c>
      <c r="I11" s="34">
        <v>39173</v>
      </c>
      <c r="J11" s="1">
        <v>148.87</v>
      </c>
      <c r="K11" s="34">
        <v>39173</v>
      </c>
      <c r="L11" s="1">
        <v>3760.6</v>
      </c>
      <c r="M11" s="34">
        <v>39173</v>
      </c>
      <c r="N11" s="1">
        <v>691.6</v>
      </c>
      <c r="O11" s="34">
        <v>40179</v>
      </c>
      <c r="P11" s="1">
        <v>417978</v>
      </c>
      <c r="Q11" s="34">
        <v>39356</v>
      </c>
      <c r="R11" s="1">
        <v>12749.5</v>
      </c>
    </row>
    <row r="12" spans="1:18" x14ac:dyDescent="0.25">
      <c r="A12" s="34">
        <v>39203</v>
      </c>
      <c r="B12" s="1">
        <v>3769.6</v>
      </c>
      <c r="C12" s="34">
        <v>39203</v>
      </c>
      <c r="D12" s="1">
        <v>4119</v>
      </c>
      <c r="E12" s="34">
        <v>39203</v>
      </c>
      <c r="F12" s="1">
        <v>2.9</v>
      </c>
      <c r="G12" s="34">
        <v>39203</v>
      </c>
      <c r="H12" s="1">
        <v>0.14000000000000001</v>
      </c>
      <c r="I12" s="34">
        <v>39203</v>
      </c>
      <c r="J12" s="1">
        <v>149</v>
      </c>
      <c r="K12" s="34">
        <v>39203</v>
      </c>
      <c r="L12" s="1">
        <v>3785.3</v>
      </c>
      <c r="M12" s="34">
        <v>39203</v>
      </c>
      <c r="N12" s="1">
        <v>688.6</v>
      </c>
      <c r="O12" s="34">
        <v>40544</v>
      </c>
      <c r="P12" s="1">
        <v>420802</v>
      </c>
      <c r="Q12" s="34">
        <v>39448</v>
      </c>
      <c r="R12" s="1">
        <v>12698.2</v>
      </c>
    </row>
    <row r="13" spans="1:18" x14ac:dyDescent="0.25">
      <c r="A13" s="34">
        <v>39234</v>
      </c>
      <c r="B13" s="1">
        <v>3774.2</v>
      </c>
      <c r="C13" s="34">
        <v>39234</v>
      </c>
      <c r="D13" s="1">
        <v>3312</v>
      </c>
      <c r="E13" s="34">
        <v>39234</v>
      </c>
      <c r="F13" s="1">
        <v>3</v>
      </c>
      <c r="G13" s="34">
        <v>39234</v>
      </c>
      <c r="H13" s="1">
        <v>-0.13</v>
      </c>
      <c r="I13" s="34">
        <v>39234</v>
      </c>
      <c r="J13" s="1">
        <v>149.05000000000001</v>
      </c>
      <c r="K13" s="34">
        <v>39234</v>
      </c>
      <c r="L13" s="1">
        <v>3816.3</v>
      </c>
      <c r="M13" s="34">
        <v>39234</v>
      </c>
      <c r="N13" s="1">
        <v>687</v>
      </c>
      <c r="O13" s="34">
        <v>40909</v>
      </c>
      <c r="P13" s="1">
        <v>426133</v>
      </c>
      <c r="Q13" s="34">
        <v>39539</v>
      </c>
      <c r="R13" s="1">
        <v>12822.4</v>
      </c>
    </row>
    <row r="14" spans="1:18" x14ac:dyDescent="0.25">
      <c r="A14" s="34">
        <v>39264</v>
      </c>
      <c r="B14" s="1">
        <v>3776.3</v>
      </c>
      <c r="C14" s="34">
        <v>39264</v>
      </c>
      <c r="D14" s="1">
        <v>3421</v>
      </c>
      <c r="E14" s="34">
        <v>39264</v>
      </c>
      <c r="F14" s="1">
        <v>3.1</v>
      </c>
      <c r="G14" s="34">
        <v>39264</v>
      </c>
      <c r="H14" s="1">
        <v>-0.01</v>
      </c>
      <c r="I14" s="34">
        <v>39264</v>
      </c>
      <c r="J14" s="1">
        <v>149.08000000000001</v>
      </c>
      <c r="K14" s="34">
        <v>39264</v>
      </c>
      <c r="L14" s="1">
        <v>3785.1</v>
      </c>
      <c r="M14" s="34">
        <v>39264</v>
      </c>
      <c r="N14" s="1">
        <v>662</v>
      </c>
      <c r="O14" s="34">
        <v>41275</v>
      </c>
      <c r="P14" s="1">
        <v>426423</v>
      </c>
      <c r="Q14" s="34">
        <v>39630</v>
      </c>
      <c r="R14" s="1">
        <v>12827.9</v>
      </c>
    </row>
    <row r="15" spans="1:18" x14ac:dyDescent="0.25">
      <c r="A15" s="34">
        <v>39295</v>
      </c>
      <c r="B15" s="1">
        <v>3770.6</v>
      </c>
      <c r="C15" s="34">
        <v>39295</v>
      </c>
      <c r="D15" s="1">
        <v>3012</v>
      </c>
      <c r="E15" s="34">
        <v>39295</v>
      </c>
      <c r="F15" s="1">
        <v>3.1</v>
      </c>
      <c r="G15" s="34">
        <v>39295</v>
      </c>
      <c r="H15" s="1">
        <v>0.19</v>
      </c>
      <c r="I15" s="34">
        <v>39295</v>
      </c>
      <c r="J15" s="1">
        <v>149.13</v>
      </c>
      <c r="K15" s="34">
        <v>39295</v>
      </c>
      <c r="L15" s="1">
        <v>3777.4</v>
      </c>
      <c r="M15" s="34">
        <v>39295</v>
      </c>
      <c r="N15" s="1">
        <v>654.9</v>
      </c>
      <c r="Q15" s="34">
        <v>39722</v>
      </c>
      <c r="R15" s="1">
        <v>12516.2</v>
      </c>
    </row>
    <row r="16" spans="1:18" x14ac:dyDescent="0.25">
      <c r="A16" s="34">
        <v>39326</v>
      </c>
      <c r="B16" s="1">
        <v>3774.3</v>
      </c>
      <c r="C16" s="34">
        <v>39326</v>
      </c>
      <c r="D16" s="1">
        <v>1919</v>
      </c>
      <c r="E16" s="34">
        <v>39326</v>
      </c>
      <c r="F16" s="1">
        <v>3.2</v>
      </c>
      <c r="G16" s="34">
        <v>39326</v>
      </c>
      <c r="H16" s="1">
        <v>-0.21</v>
      </c>
      <c r="I16" s="34">
        <v>39326</v>
      </c>
      <c r="J16" s="1">
        <v>149.15</v>
      </c>
      <c r="K16" s="34">
        <v>39326</v>
      </c>
      <c r="L16" s="1">
        <v>3780.7</v>
      </c>
      <c r="M16" s="34">
        <v>39326</v>
      </c>
      <c r="N16" s="1">
        <v>677.3</v>
      </c>
      <c r="Q16" s="34">
        <v>39814</v>
      </c>
      <c r="R16" s="1">
        <v>12337.3</v>
      </c>
    </row>
    <row r="17" spans="1:18" x14ac:dyDescent="0.25">
      <c r="A17" s="34">
        <v>39356</v>
      </c>
      <c r="B17" s="1">
        <v>3774.7</v>
      </c>
      <c r="C17" s="34">
        <v>39356</v>
      </c>
      <c r="D17" s="1">
        <v>2625</v>
      </c>
      <c r="E17" s="34">
        <v>39356</v>
      </c>
      <c r="F17" s="1">
        <v>3.2</v>
      </c>
      <c r="G17" s="34">
        <v>39356</v>
      </c>
      <c r="H17" s="1">
        <v>0.16</v>
      </c>
      <c r="I17" s="34">
        <v>39356</v>
      </c>
      <c r="J17" s="1">
        <v>149.19</v>
      </c>
      <c r="K17" s="34">
        <v>39356</v>
      </c>
      <c r="L17" s="1">
        <v>3787.6</v>
      </c>
      <c r="M17" s="34">
        <v>39356</v>
      </c>
      <c r="N17" s="1">
        <v>688</v>
      </c>
      <c r="Q17" s="34">
        <v>39904</v>
      </c>
      <c r="R17" s="1">
        <v>12277.7</v>
      </c>
    </row>
    <row r="18" spans="1:18" x14ac:dyDescent="0.25">
      <c r="A18" s="34">
        <v>39387</v>
      </c>
      <c r="B18" s="1">
        <v>3779.6</v>
      </c>
      <c r="C18" s="34">
        <v>39387</v>
      </c>
      <c r="D18" s="1">
        <v>1977</v>
      </c>
      <c r="E18" s="34">
        <v>39387</v>
      </c>
      <c r="F18" s="1">
        <v>3.3</v>
      </c>
      <c r="G18" s="34">
        <v>39387</v>
      </c>
      <c r="H18" s="1">
        <v>-0.01</v>
      </c>
      <c r="I18" s="34">
        <v>39387</v>
      </c>
      <c r="J18" s="1">
        <v>149.21</v>
      </c>
      <c r="K18" s="34">
        <v>39387</v>
      </c>
      <c r="L18" s="1">
        <v>3806</v>
      </c>
      <c r="M18" s="34">
        <v>39387</v>
      </c>
      <c r="N18" s="1">
        <v>696.8</v>
      </c>
      <c r="Q18" s="34">
        <v>39995</v>
      </c>
      <c r="R18" s="1">
        <v>12312.7</v>
      </c>
    </row>
    <row r="19" spans="1:18" x14ac:dyDescent="0.25">
      <c r="A19" s="34">
        <v>39417</v>
      </c>
      <c r="B19" s="1">
        <v>3780.2</v>
      </c>
      <c r="C19" s="34">
        <v>39417</v>
      </c>
      <c r="D19" s="1">
        <v>2956</v>
      </c>
      <c r="E19" s="34">
        <v>39417</v>
      </c>
      <c r="F19" s="1">
        <v>3.3</v>
      </c>
      <c r="G19" s="34">
        <v>39417</v>
      </c>
      <c r="H19" s="1">
        <v>0.15</v>
      </c>
      <c r="I19" s="34">
        <v>39417</v>
      </c>
      <c r="J19" s="1">
        <v>149.26</v>
      </c>
      <c r="K19" s="34">
        <v>39417</v>
      </c>
      <c r="L19" s="1">
        <v>3810.2</v>
      </c>
      <c r="M19" s="34">
        <v>39417</v>
      </c>
      <c r="N19" s="1">
        <v>693.3</v>
      </c>
      <c r="Q19" s="34">
        <v>40087</v>
      </c>
      <c r="R19" s="1">
        <v>12484.3</v>
      </c>
    </row>
    <row r="20" spans="1:18" x14ac:dyDescent="0.25">
      <c r="A20" s="34">
        <v>39448</v>
      </c>
      <c r="B20" s="1">
        <v>3789.6</v>
      </c>
      <c r="C20" s="34">
        <v>39448</v>
      </c>
      <c r="D20" s="1">
        <v>2920</v>
      </c>
      <c r="E20" s="34">
        <v>39448</v>
      </c>
      <c r="F20" s="1">
        <v>3.3</v>
      </c>
      <c r="G20" s="34">
        <v>39448</v>
      </c>
      <c r="H20" s="1">
        <v>0.25</v>
      </c>
      <c r="I20" s="34">
        <v>39448</v>
      </c>
      <c r="J20" s="1">
        <v>149.33000000000001</v>
      </c>
      <c r="K20" s="34">
        <v>39448</v>
      </c>
      <c r="L20" s="1">
        <v>3730.3</v>
      </c>
      <c r="M20" s="34">
        <v>39448</v>
      </c>
      <c r="N20" s="1">
        <v>686.4</v>
      </c>
      <c r="Q20" s="34">
        <v>40179</v>
      </c>
      <c r="R20" s="1">
        <v>12568.1</v>
      </c>
    </row>
    <row r="21" spans="1:18" x14ac:dyDescent="0.25">
      <c r="A21" s="34">
        <v>39479</v>
      </c>
      <c r="B21" s="1">
        <v>3790.7</v>
      </c>
      <c r="C21" s="34">
        <v>39479</v>
      </c>
      <c r="D21" s="1">
        <v>2427</v>
      </c>
      <c r="E21" s="34">
        <v>39479</v>
      </c>
      <c r="F21" s="1">
        <v>3.3</v>
      </c>
      <c r="G21" s="34">
        <v>39479</v>
      </c>
      <c r="H21" s="1">
        <v>-0.18</v>
      </c>
      <c r="I21" s="34">
        <v>39479</v>
      </c>
      <c r="J21" s="1">
        <v>149.32</v>
      </c>
      <c r="K21" s="34">
        <v>39479</v>
      </c>
      <c r="L21" s="1">
        <v>3738.9</v>
      </c>
      <c r="M21" s="34">
        <v>39479</v>
      </c>
      <c r="N21" s="1">
        <v>696.8</v>
      </c>
      <c r="Q21" s="34">
        <v>40269</v>
      </c>
      <c r="R21" s="1">
        <v>12747</v>
      </c>
    </row>
    <row r="22" spans="1:18" x14ac:dyDescent="0.25">
      <c r="A22" s="34">
        <v>39508</v>
      </c>
      <c r="B22" s="1">
        <v>3787.3</v>
      </c>
      <c r="C22" s="34">
        <v>39508</v>
      </c>
      <c r="D22" s="1">
        <v>2900</v>
      </c>
      <c r="E22" s="34">
        <v>39508</v>
      </c>
      <c r="F22" s="1">
        <v>3.4</v>
      </c>
      <c r="G22" s="34">
        <v>39508</v>
      </c>
      <c r="H22" s="1">
        <v>-0.65</v>
      </c>
      <c r="I22" s="34">
        <v>39508</v>
      </c>
      <c r="J22" s="1">
        <v>149.19</v>
      </c>
      <c r="K22" s="34">
        <v>39508</v>
      </c>
      <c r="L22" s="1">
        <v>3759.8</v>
      </c>
      <c r="M22" s="34">
        <v>39508</v>
      </c>
      <c r="N22" s="1">
        <v>701.1</v>
      </c>
      <c r="Q22" s="34">
        <v>40360</v>
      </c>
      <c r="R22" s="1">
        <v>12911.6</v>
      </c>
    </row>
    <row r="23" spans="1:18" x14ac:dyDescent="0.25">
      <c r="A23" s="34">
        <v>39539</v>
      </c>
      <c r="B23" s="1">
        <v>3791.9</v>
      </c>
      <c r="C23" s="34">
        <v>39539</v>
      </c>
      <c r="D23" s="1">
        <v>2375</v>
      </c>
      <c r="E23" s="34">
        <v>39539</v>
      </c>
      <c r="F23" s="1">
        <v>3.5</v>
      </c>
      <c r="G23" s="34">
        <v>39539</v>
      </c>
      <c r="H23" s="1">
        <v>-0.68</v>
      </c>
      <c r="I23" s="34">
        <v>39539</v>
      </c>
      <c r="J23" s="1">
        <v>149.01</v>
      </c>
      <c r="K23" s="34">
        <v>39539</v>
      </c>
      <c r="L23" s="1">
        <v>3783.7</v>
      </c>
      <c r="M23" s="34">
        <v>39539</v>
      </c>
      <c r="N23" s="1">
        <v>699.5</v>
      </c>
      <c r="Q23" s="34">
        <v>40452</v>
      </c>
      <c r="R23" s="1">
        <v>13079.4</v>
      </c>
    </row>
    <row r="24" spans="1:18" x14ac:dyDescent="0.25">
      <c r="A24" s="34">
        <v>39569</v>
      </c>
      <c r="B24" s="1">
        <v>3787.2</v>
      </c>
      <c r="C24" s="34">
        <v>39569</v>
      </c>
      <c r="D24" s="1">
        <v>2270</v>
      </c>
      <c r="E24" s="34">
        <v>39569</v>
      </c>
      <c r="F24" s="1">
        <v>3.6</v>
      </c>
      <c r="G24" s="34">
        <v>39569</v>
      </c>
      <c r="H24" s="1">
        <v>-1.05</v>
      </c>
      <c r="I24" s="34">
        <v>39569</v>
      </c>
      <c r="J24" s="1">
        <v>148.76</v>
      </c>
      <c r="K24" s="34">
        <v>39569</v>
      </c>
      <c r="L24" s="1">
        <v>3801</v>
      </c>
      <c r="M24" s="34">
        <v>39569</v>
      </c>
      <c r="N24" s="1">
        <v>698.6</v>
      </c>
      <c r="Q24" s="34">
        <v>40544</v>
      </c>
      <c r="R24" s="1">
        <v>13080</v>
      </c>
    </row>
    <row r="25" spans="1:18" x14ac:dyDescent="0.25">
      <c r="A25" s="34">
        <v>39600</v>
      </c>
      <c r="B25" s="1">
        <v>3783.3</v>
      </c>
      <c r="C25" s="34">
        <v>39600</v>
      </c>
      <c r="D25" s="1">
        <v>2699</v>
      </c>
      <c r="E25" s="34">
        <v>39600</v>
      </c>
      <c r="F25" s="1">
        <v>3.8</v>
      </c>
      <c r="G25" s="34">
        <v>39600</v>
      </c>
      <c r="H25" s="1">
        <v>-1.38</v>
      </c>
      <c r="I25" s="34">
        <v>39600</v>
      </c>
      <c r="J25" s="1">
        <v>148.43</v>
      </c>
      <c r="K25" s="34">
        <v>39600</v>
      </c>
      <c r="L25" s="1">
        <v>3821.9</v>
      </c>
      <c r="M25" s="34">
        <v>39600</v>
      </c>
      <c r="N25" s="1">
        <v>696.4</v>
      </c>
      <c r="Q25" s="34">
        <v>40634</v>
      </c>
      <c r="R25" s="1">
        <v>13289.1</v>
      </c>
    </row>
    <row r="26" spans="1:18" x14ac:dyDescent="0.25">
      <c r="A26" s="34">
        <v>39630</v>
      </c>
      <c r="B26" s="1">
        <v>3781</v>
      </c>
      <c r="C26" s="34">
        <v>39630</v>
      </c>
      <c r="D26" s="1">
        <v>2431</v>
      </c>
      <c r="E26" s="34">
        <v>39630</v>
      </c>
      <c r="F26" s="1">
        <v>3.9</v>
      </c>
      <c r="G26" s="34">
        <v>39630</v>
      </c>
      <c r="H26" s="1">
        <v>-1.25</v>
      </c>
      <c r="I26" s="34">
        <v>39630</v>
      </c>
      <c r="J26" s="1">
        <v>148.08000000000001</v>
      </c>
      <c r="K26" s="34">
        <v>39630</v>
      </c>
      <c r="L26" s="1">
        <v>3789.3</v>
      </c>
      <c r="M26" s="34">
        <v>39630</v>
      </c>
      <c r="N26" s="1">
        <v>670.3</v>
      </c>
      <c r="Q26" s="34">
        <v>40725</v>
      </c>
      <c r="R26" s="1">
        <v>13410.9</v>
      </c>
    </row>
    <row r="27" spans="1:18" x14ac:dyDescent="0.25">
      <c r="A27" s="34">
        <v>39661</v>
      </c>
      <c r="B27" s="1">
        <v>3780.5</v>
      </c>
      <c r="C27" s="34">
        <v>39661</v>
      </c>
      <c r="D27" s="1">
        <v>2166</v>
      </c>
      <c r="E27" s="34">
        <v>39661</v>
      </c>
      <c r="F27" s="1">
        <v>4.0999999999999996</v>
      </c>
      <c r="G27" s="34">
        <v>39661</v>
      </c>
      <c r="H27" s="1">
        <v>-1.57</v>
      </c>
      <c r="I27" s="34">
        <v>39661</v>
      </c>
      <c r="J27" s="1">
        <v>147.68</v>
      </c>
      <c r="K27" s="34">
        <v>39661</v>
      </c>
      <c r="L27" s="1">
        <v>3784.1</v>
      </c>
      <c r="M27" s="34">
        <v>39661</v>
      </c>
      <c r="N27" s="1">
        <v>669.3</v>
      </c>
      <c r="Q27" s="34">
        <v>40817</v>
      </c>
      <c r="R27" s="1">
        <v>13613.7</v>
      </c>
    </row>
    <row r="28" spans="1:18" x14ac:dyDescent="0.25">
      <c r="A28" s="34">
        <v>39692</v>
      </c>
      <c r="B28" s="1">
        <v>3769.5</v>
      </c>
      <c r="C28" s="34">
        <v>39692</v>
      </c>
      <c r="D28" s="1">
        <v>1711</v>
      </c>
      <c r="E28" s="34">
        <v>39692</v>
      </c>
      <c r="F28" s="1">
        <v>4.2</v>
      </c>
      <c r="G28" s="34">
        <v>39692</v>
      </c>
      <c r="H28" s="1">
        <v>-1.6</v>
      </c>
      <c r="I28" s="34">
        <v>39692</v>
      </c>
      <c r="J28" s="1">
        <v>147.22</v>
      </c>
      <c r="K28" s="34">
        <v>39692</v>
      </c>
      <c r="L28" s="1">
        <v>3776.7</v>
      </c>
      <c r="M28" s="34">
        <v>39692</v>
      </c>
      <c r="N28" s="1">
        <v>689.5</v>
      </c>
      <c r="Q28" s="34">
        <v>40909</v>
      </c>
      <c r="R28" s="1">
        <v>13769</v>
      </c>
    </row>
    <row r="29" spans="1:18" x14ac:dyDescent="0.25">
      <c r="A29" s="34">
        <v>39722</v>
      </c>
      <c r="B29" s="1">
        <v>3761</v>
      </c>
      <c r="C29" s="34">
        <v>39722</v>
      </c>
      <c r="D29" s="1">
        <v>2240</v>
      </c>
      <c r="E29" s="34">
        <v>39722</v>
      </c>
      <c r="F29" s="1">
        <v>4.5</v>
      </c>
      <c r="G29" s="34">
        <v>39722</v>
      </c>
      <c r="H29" s="1">
        <v>-2.27</v>
      </c>
      <c r="I29" s="34">
        <v>39722</v>
      </c>
      <c r="J29" s="1">
        <v>146.63</v>
      </c>
      <c r="K29" s="34">
        <v>39722</v>
      </c>
      <c r="L29" s="1">
        <v>3779.9</v>
      </c>
      <c r="M29" s="34">
        <v>39722</v>
      </c>
      <c r="N29" s="1">
        <v>704.7</v>
      </c>
      <c r="Q29" s="34">
        <v>41000</v>
      </c>
      <c r="R29" s="1">
        <v>13907.6</v>
      </c>
    </row>
    <row r="30" spans="1:18" x14ac:dyDescent="0.25">
      <c r="A30" s="34">
        <v>39753</v>
      </c>
      <c r="B30" s="1">
        <v>3746.9</v>
      </c>
      <c r="C30" s="34">
        <v>39753</v>
      </c>
      <c r="D30" s="1">
        <v>1014</v>
      </c>
      <c r="E30" s="34">
        <v>39753</v>
      </c>
      <c r="F30" s="1">
        <v>4.9000000000000004</v>
      </c>
      <c r="G30" s="34">
        <v>39753</v>
      </c>
      <c r="H30" s="1">
        <v>-2.72</v>
      </c>
      <c r="I30" s="34">
        <v>39753</v>
      </c>
      <c r="J30" s="1">
        <v>145.88999999999999</v>
      </c>
      <c r="K30" s="34">
        <v>39753</v>
      </c>
      <c r="L30" s="1">
        <v>3774.2</v>
      </c>
      <c r="M30" s="34">
        <v>39753</v>
      </c>
      <c r="N30" s="1">
        <v>710.9</v>
      </c>
      <c r="Q30" s="34">
        <v>41091</v>
      </c>
      <c r="R30" s="1">
        <v>14077.8</v>
      </c>
    </row>
    <row r="31" spans="1:18" x14ac:dyDescent="0.25">
      <c r="A31" s="34">
        <v>39783</v>
      </c>
      <c r="B31" s="1">
        <v>3736.2</v>
      </c>
      <c r="C31" s="34">
        <v>39783</v>
      </c>
      <c r="D31" s="1">
        <v>1779</v>
      </c>
      <c r="E31" s="34">
        <v>39783</v>
      </c>
      <c r="F31" s="1">
        <v>5.3</v>
      </c>
      <c r="G31" s="34">
        <v>39783</v>
      </c>
      <c r="H31" s="1">
        <v>-2.87</v>
      </c>
      <c r="I31" s="34">
        <v>39783</v>
      </c>
      <c r="J31" s="1">
        <v>145.07</v>
      </c>
      <c r="K31" s="34">
        <v>39783</v>
      </c>
      <c r="L31" s="1">
        <v>3765.6</v>
      </c>
      <c r="M31" s="34">
        <v>39783</v>
      </c>
      <c r="N31" s="1">
        <v>709</v>
      </c>
      <c r="Q31" s="34">
        <v>41183</v>
      </c>
      <c r="R31" s="1">
        <v>14133.4</v>
      </c>
    </row>
    <row r="32" spans="1:18" x14ac:dyDescent="0.25">
      <c r="A32" s="34">
        <v>39814</v>
      </c>
      <c r="B32" s="1">
        <v>3709.4</v>
      </c>
      <c r="C32" s="34">
        <v>39814</v>
      </c>
      <c r="D32" s="1">
        <v>992</v>
      </c>
      <c r="E32" s="34">
        <v>39814</v>
      </c>
      <c r="F32" s="1">
        <v>5.8</v>
      </c>
      <c r="G32" s="34">
        <v>39814</v>
      </c>
      <c r="H32" s="1">
        <v>-3.5</v>
      </c>
      <c r="I32" s="34">
        <v>39814</v>
      </c>
      <c r="J32" s="1">
        <v>144.16999999999999</v>
      </c>
      <c r="K32" s="34">
        <v>39814</v>
      </c>
      <c r="L32" s="1">
        <v>3652.4</v>
      </c>
      <c r="M32" s="34">
        <v>39814</v>
      </c>
      <c r="N32" s="1">
        <v>696.2</v>
      </c>
      <c r="Q32" s="34">
        <v>41275</v>
      </c>
      <c r="R32" s="1">
        <v>14297.3</v>
      </c>
    </row>
    <row r="33" spans="1:18" x14ac:dyDescent="0.25">
      <c r="A33" s="34">
        <v>39845</v>
      </c>
      <c r="B33" s="1">
        <v>3689.9</v>
      </c>
      <c r="C33" s="34">
        <v>39845</v>
      </c>
      <c r="D33" s="1">
        <v>2238</v>
      </c>
      <c r="E33" s="34">
        <v>39845</v>
      </c>
      <c r="F33" s="1">
        <v>6.2</v>
      </c>
      <c r="G33" s="34">
        <v>39845</v>
      </c>
      <c r="H33" s="1">
        <v>-2.86</v>
      </c>
      <c r="I33" s="34">
        <v>39845</v>
      </c>
      <c r="J33" s="1">
        <v>143.29</v>
      </c>
      <c r="K33" s="34">
        <v>39845</v>
      </c>
      <c r="L33" s="1">
        <v>3641.2</v>
      </c>
      <c r="M33" s="34">
        <v>39845</v>
      </c>
      <c r="N33" s="1">
        <v>703.9</v>
      </c>
      <c r="Q33" s="34">
        <v>41365</v>
      </c>
      <c r="R33" s="1">
        <v>14408.7</v>
      </c>
    </row>
    <row r="34" spans="1:18" x14ac:dyDescent="0.25">
      <c r="A34" s="34">
        <v>39873</v>
      </c>
      <c r="B34" s="1">
        <v>3673.1</v>
      </c>
      <c r="C34" s="34">
        <v>39873</v>
      </c>
      <c r="D34" s="1">
        <v>1434</v>
      </c>
      <c r="E34" s="34">
        <v>39873</v>
      </c>
      <c r="F34" s="1">
        <v>6.6</v>
      </c>
      <c r="G34" s="34">
        <v>39873</v>
      </c>
      <c r="H34" s="1">
        <v>-2.41</v>
      </c>
      <c r="I34" s="34">
        <v>39873</v>
      </c>
      <c r="J34" s="1">
        <v>142.49</v>
      </c>
      <c r="K34" s="34">
        <v>39873</v>
      </c>
      <c r="L34" s="1">
        <v>3647.8</v>
      </c>
      <c r="M34" s="34">
        <v>39873</v>
      </c>
      <c r="N34" s="1">
        <v>708.2</v>
      </c>
      <c r="Q34" s="34">
        <v>41456</v>
      </c>
      <c r="R34" s="1">
        <v>14661.7</v>
      </c>
    </row>
    <row r="35" spans="1:18" x14ac:dyDescent="0.25">
      <c r="A35" s="34">
        <v>39904</v>
      </c>
      <c r="B35" s="1">
        <v>3652.4</v>
      </c>
      <c r="C35" s="34">
        <v>39904</v>
      </c>
      <c r="D35" s="1">
        <v>1925</v>
      </c>
      <c r="E35" s="34">
        <v>39904</v>
      </c>
      <c r="F35" s="1">
        <v>6.9</v>
      </c>
      <c r="G35" s="34">
        <v>39904</v>
      </c>
      <c r="H35" s="1">
        <v>-1.69</v>
      </c>
      <c r="I35" s="34">
        <v>39904</v>
      </c>
      <c r="J35" s="1">
        <v>141.82</v>
      </c>
      <c r="K35" s="34">
        <v>39904</v>
      </c>
      <c r="L35" s="1">
        <v>3657.6</v>
      </c>
      <c r="M35" s="34">
        <v>39904</v>
      </c>
      <c r="N35" s="1">
        <v>710.4</v>
      </c>
      <c r="Q35" s="34">
        <v>41548</v>
      </c>
      <c r="R35" s="1">
        <v>14857.9</v>
      </c>
    </row>
    <row r="36" spans="1:18" x14ac:dyDescent="0.25">
      <c r="A36" s="34">
        <v>39934</v>
      </c>
      <c r="B36" s="1">
        <v>3660.2</v>
      </c>
      <c r="C36" s="34">
        <v>39934</v>
      </c>
      <c r="D36" s="1">
        <v>1995</v>
      </c>
      <c r="E36" s="34">
        <v>39934</v>
      </c>
      <c r="F36" s="1">
        <v>7.1</v>
      </c>
      <c r="G36" s="34">
        <v>39934</v>
      </c>
      <c r="H36" s="1">
        <v>-1.01</v>
      </c>
      <c r="I36" s="34">
        <v>39934</v>
      </c>
      <c r="J36" s="1">
        <v>141.30000000000001</v>
      </c>
      <c r="K36" s="34">
        <v>39934</v>
      </c>
      <c r="L36" s="1">
        <v>3676.1</v>
      </c>
      <c r="M36" s="34">
        <v>39934</v>
      </c>
      <c r="N36" s="1">
        <v>708.9</v>
      </c>
      <c r="Q36" s="34">
        <v>41640</v>
      </c>
      <c r="R36" s="1">
        <v>14813.6</v>
      </c>
    </row>
    <row r="37" spans="1:18" x14ac:dyDescent="0.25">
      <c r="A37" s="34">
        <v>39965</v>
      </c>
      <c r="B37" s="1">
        <v>3655.3</v>
      </c>
      <c r="C37" s="34">
        <v>39965</v>
      </c>
      <c r="D37" s="1">
        <v>1869</v>
      </c>
      <c r="E37" s="34">
        <v>39965</v>
      </c>
      <c r="F37" s="1">
        <v>7.2</v>
      </c>
      <c r="G37" s="34">
        <v>39965</v>
      </c>
      <c r="H37" s="1">
        <v>-0.69</v>
      </c>
      <c r="I37" s="34">
        <v>39965</v>
      </c>
      <c r="J37" s="1">
        <v>140.88</v>
      </c>
      <c r="K37" s="34">
        <v>39965</v>
      </c>
      <c r="L37" s="1">
        <v>3689</v>
      </c>
      <c r="M37" s="34">
        <v>39965</v>
      </c>
      <c r="N37" s="1">
        <v>706.5</v>
      </c>
      <c r="Q37" s="34">
        <v>41730</v>
      </c>
      <c r="R37" s="1">
        <v>15089</v>
      </c>
    </row>
    <row r="38" spans="1:18" x14ac:dyDescent="0.25">
      <c r="A38" s="34">
        <v>39995</v>
      </c>
      <c r="B38" s="1">
        <v>3638.6</v>
      </c>
      <c r="C38" s="34">
        <v>39995</v>
      </c>
      <c r="D38" s="1">
        <v>2125</v>
      </c>
      <c r="E38" s="34">
        <v>39995</v>
      </c>
      <c r="F38" s="1">
        <v>7.2</v>
      </c>
      <c r="G38" s="34">
        <v>39995</v>
      </c>
      <c r="H38" s="1">
        <v>-0.33</v>
      </c>
      <c r="I38" s="34">
        <v>39995</v>
      </c>
      <c r="J38" s="1">
        <v>140.55000000000001</v>
      </c>
      <c r="K38" s="34">
        <v>39995</v>
      </c>
      <c r="L38" s="1">
        <v>3643.5</v>
      </c>
      <c r="M38" s="34">
        <v>39995</v>
      </c>
      <c r="N38" s="1">
        <v>670.7</v>
      </c>
      <c r="Q38" s="34">
        <v>41821</v>
      </c>
      <c r="R38" s="1">
        <v>15352.3</v>
      </c>
    </row>
    <row r="39" spans="1:18" x14ac:dyDescent="0.25">
      <c r="A39" s="34">
        <v>40026</v>
      </c>
      <c r="B39" s="1">
        <v>3635.3</v>
      </c>
      <c r="C39" s="34">
        <v>40026</v>
      </c>
      <c r="D39" s="1">
        <v>1813</v>
      </c>
      <c r="E39" s="34">
        <v>40026</v>
      </c>
      <c r="F39" s="1">
        <v>7.2</v>
      </c>
      <c r="G39" s="34">
        <v>40026</v>
      </c>
      <c r="H39" s="1">
        <v>-0.33</v>
      </c>
      <c r="I39" s="34">
        <v>40026</v>
      </c>
      <c r="J39" s="1">
        <v>140.27000000000001</v>
      </c>
      <c r="K39" s="34">
        <v>40026</v>
      </c>
      <c r="L39" s="1">
        <v>3634.4</v>
      </c>
      <c r="M39" s="34">
        <v>40026</v>
      </c>
      <c r="N39" s="1">
        <v>668.9</v>
      </c>
    </row>
    <row r="40" spans="1:18" x14ac:dyDescent="0.25">
      <c r="A40" s="34">
        <v>40057</v>
      </c>
      <c r="B40" s="1">
        <v>3629</v>
      </c>
      <c r="C40" s="34">
        <v>40057</v>
      </c>
      <c r="D40" s="1">
        <v>1468</v>
      </c>
      <c r="E40" s="34">
        <v>40057</v>
      </c>
      <c r="F40" s="1">
        <v>7.2</v>
      </c>
      <c r="G40" s="34">
        <v>40057</v>
      </c>
      <c r="H40" s="1">
        <v>-0.25</v>
      </c>
      <c r="I40" s="34">
        <v>40057</v>
      </c>
      <c r="J40" s="1">
        <v>140.05000000000001</v>
      </c>
      <c r="K40" s="34">
        <v>40057</v>
      </c>
      <c r="L40" s="1">
        <v>3634.7</v>
      </c>
      <c r="M40" s="34">
        <v>40057</v>
      </c>
      <c r="N40" s="1">
        <v>693.4</v>
      </c>
    </row>
    <row r="41" spans="1:18" x14ac:dyDescent="0.25">
      <c r="A41" s="34">
        <v>40087</v>
      </c>
      <c r="B41" s="1">
        <v>3626.8</v>
      </c>
      <c r="C41" s="34">
        <v>40087</v>
      </c>
      <c r="D41" s="1">
        <v>1441</v>
      </c>
      <c r="E41" s="34">
        <v>40087</v>
      </c>
      <c r="F41" s="1">
        <v>7.2</v>
      </c>
      <c r="G41" s="34">
        <v>40087</v>
      </c>
      <c r="H41" s="1">
        <v>-0.28999999999999998</v>
      </c>
      <c r="I41" s="34">
        <v>40087</v>
      </c>
      <c r="J41" s="1">
        <v>139.87</v>
      </c>
      <c r="K41" s="34">
        <v>40087</v>
      </c>
      <c r="L41" s="1">
        <v>3647.5</v>
      </c>
      <c r="M41" s="34">
        <v>40087</v>
      </c>
      <c r="N41" s="1">
        <v>707.1</v>
      </c>
    </row>
    <row r="42" spans="1:18" x14ac:dyDescent="0.25">
      <c r="A42" s="34">
        <v>40118</v>
      </c>
      <c r="B42" s="1">
        <v>3630.6</v>
      </c>
      <c r="C42" s="34">
        <v>40118</v>
      </c>
      <c r="D42" s="1">
        <v>1683</v>
      </c>
      <c r="E42" s="34">
        <v>40118</v>
      </c>
      <c r="F42" s="1">
        <v>7.3</v>
      </c>
      <c r="G42" s="34">
        <v>40118</v>
      </c>
      <c r="H42" s="1">
        <v>-0.65</v>
      </c>
      <c r="I42" s="34">
        <v>40118</v>
      </c>
      <c r="J42" s="1">
        <v>139.65</v>
      </c>
      <c r="K42" s="34">
        <v>40118</v>
      </c>
      <c r="L42" s="1">
        <v>3658.2</v>
      </c>
      <c r="M42" s="34">
        <v>40118</v>
      </c>
      <c r="N42" s="1">
        <v>715.8</v>
      </c>
    </row>
    <row r="43" spans="1:18" x14ac:dyDescent="0.25">
      <c r="A43" s="34">
        <v>40148</v>
      </c>
      <c r="B43" s="1">
        <v>3627</v>
      </c>
      <c r="C43" s="34">
        <v>40148</v>
      </c>
      <c r="D43" s="1">
        <v>1599</v>
      </c>
      <c r="E43" s="34">
        <v>40148</v>
      </c>
      <c r="F43" s="1">
        <v>7.4</v>
      </c>
      <c r="G43" s="34">
        <v>40148</v>
      </c>
      <c r="H43" s="1">
        <v>-0.33</v>
      </c>
      <c r="I43" s="34">
        <v>40148</v>
      </c>
      <c r="J43" s="1">
        <v>139.44999999999999</v>
      </c>
      <c r="K43" s="34">
        <v>40148</v>
      </c>
      <c r="L43" s="1">
        <v>3655.5</v>
      </c>
      <c r="M43" s="34">
        <v>40148</v>
      </c>
      <c r="N43" s="1">
        <v>710.5</v>
      </c>
    </row>
    <row r="44" spans="1:18" x14ac:dyDescent="0.25">
      <c r="A44" s="34">
        <v>40179</v>
      </c>
      <c r="B44" s="1">
        <v>3622.2</v>
      </c>
      <c r="C44" s="34">
        <v>40179</v>
      </c>
      <c r="D44" s="1">
        <v>1429</v>
      </c>
      <c r="E44" s="34">
        <v>40179</v>
      </c>
      <c r="F44" s="1">
        <v>7.4</v>
      </c>
      <c r="G44" s="34">
        <v>40179</v>
      </c>
      <c r="H44" s="1">
        <v>0.18</v>
      </c>
      <c r="I44" s="34">
        <v>40179</v>
      </c>
      <c r="J44" s="1">
        <v>139.34</v>
      </c>
      <c r="K44" s="34">
        <v>40179</v>
      </c>
      <c r="L44" s="1">
        <v>3565.4</v>
      </c>
      <c r="M44" s="34">
        <v>40179</v>
      </c>
      <c r="N44" s="1">
        <v>700.1</v>
      </c>
    </row>
    <row r="45" spans="1:18" x14ac:dyDescent="0.25">
      <c r="A45" s="34">
        <v>40210</v>
      </c>
      <c r="B45" s="1">
        <v>3598.2</v>
      </c>
      <c r="C45" s="34">
        <v>40210</v>
      </c>
      <c r="D45" s="1">
        <v>1291</v>
      </c>
      <c r="E45" s="34">
        <v>40210</v>
      </c>
      <c r="F45" s="1">
        <v>7.4</v>
      </c>
      <c r="G45" s="34">
        <v>40210</v>
      </c>
      <c r="H45" s="1">
        <v>0.83</v>
      </c>
      <c r="I45" s="34">
        <v>40210</v>
      </c>
      <c r="J45" s="1">
        <v>139.36000000000001</v>
      </c>
      <c r="K45" s="34">
        <v>40210</v>
      </c>
      <c r="L45" s="1">
        <v>3550.5</v>
      </c>
      <c r="M45" s="34">
        <v>40210</v>
      </c>
      <c r="N45" s="1">
        <v>705</v>
      </c>
    </row>
    <row r="46" spans="1:18" x14ac:dyDescent="0.25">
      <c r="A46" s="34">
        <v>40238</v>
      </c>
      <c r="B46" s="1">
        <v>3618.6</v>
      </c>
      <c r="C46" s="34">
        <v>40238</v>
      </c>
      <c r="D46" s="1">
        <v>2473</v>
      </c>
      <c r="E46" s="34">
        <v>40238</v>
      </c>
      <c r="F46" s="1">
        <v>7.3</v>
      </c>
      <c r="G46" s="34">
        <v>40238</v>
      </c>
      <c r="H46" s="1">
        <v>2.04</v>
      </c>
      <c r="I46" s="34">
        <v>40238</v>
      </c>
      <c r="J46" s="1">
        <v>139.6</v>
      </c>
      <c r="K46" s="34">
        <v>40238</v>
      </c>
      <c r="L46" s="1">
        <v>3593.1</v>
      </c>
      <c r="M46" s="34">
        <v>40238</v>
      </c>
      <c r="N46" s="1">
        <v>711</v>
      </c>
    </row>
    <row r="47" spans="1:18" x14ac:dyDescent="0.25">
      <c r="A47" s="34">
        <v>40269</v>
      </c>
      <c r="B47" s="1">
        <v>3641.9</v>
      </c>
      <c r="C47" s="34">
        <v>40269</v>
      </c>
      <c r="D47" s="1">
        <v>2081</v>
      </c>
      <c r="E47" s="34">
        <v>40269</v>
      </c>
      <c r="F47" s="1">
        <v>7.3</v>
      </c>
      <c r="G47" s="34">
        <v>40269</v>
      </c>
      <c r="H47" s="1">
        <v>2.09</v>
      </c>
      <c r="I47" s="34">
        <v>40269</v>
      </c>
      <c r="J47" s="1">
        <v>139.94</v>
      </c>
      <c r="K47" s="34">
        <v>40269</v>
      </c>
      <c r="L47" s="1">
        <v>3648.8</v>
      </c>
      <c r="M47" s="34">
        <v>40269</v>
      </c>
      <c r="N47" s="1">
        <v>716.5</v>
      </c>
    </row>
    <row r="48" spans="1:18" x14ac:dyDescent="0.25">
      <c r="A48" s="34">
        <v>40299</v>
      </c>
      <c r="B48" s="1">
        <v>3664.3</v>
      </c>
      <c r="C48" s="34">
        <v>40299</v>
      </c>
      <c r="D48" s="1">
        <v>1647</v>
      </c>
      <c r="E48" s="34">
        <v>40299</v>
      </c>
      <c r="F48" s="1">
        <v>7.2</v>
      </c>
      <c r="G48" s="34">
        <v>40299</v>
      </c>
      <c r="H48" s="1">
        <v>1.92</v>
      </c>
      <c r="I48" s="34">
        <v>40299</v>
      </c>
      <c r="J48" s="1">
        <v>140.31</v>
      </c>
      <c r="K48" s="34">
        <v>40299</v>
      </c>
      <c r="L48" s="1">
        <v>3680.1</v>
      </c>
      <c r="M48" s="34">
        <v>40299</v>
      </c>
      <c r="N48" s="1">
        <v>723.7</v>
      </c>
    </row>
    <row r="49" spans="1:14" x14ac:dyDescent="0.25">
      <c r="A49" s="34">
        <v>40330</v>
      </c>
      <c r="B49" s="1">
        <v>3665.4</v>
      </c>
      <c r="C49" s="34">
        <v>40330</v>
      </c>
      <c r="D49" s="1">
        <v>1967</v>
      </c>
      <c r="E49" s="34">
        <v>40330</v>
      </c>
      <c r="F49" s="1">
        <v>7.1</v>
      </c>
      <c r="G49" s="34">
        <v>40330</v>
      </c>
      <c r="H49" s="1">
        <v>1.31</v>
      </c>
      <c r="I49" s="34">
        <v>40330</v>
      </c>
      <c r="J49" s="1">
        <v>140.62</v>
      </c>
      <c r="K49" s="34">
        <v>40330</v>
      </c>
      <c r="L49" s="1">
        <v>3697.4</v>
      </c>
      <c r="M49" s="34">
        <v>40330</v>
      </c>
      <c r="N49" s="1">
        <v>718.9</v>
      </c>
    </row>
    <row r="50" spans="1:14" x14ac:dyDescent="0.25">
      <c r="A50" s="34">
        <v>40360</v>
      </c>
      <c r="B50" s="1">
        <v>3661.8</v>
      </c>
      <c r="C50" s="34">
        <v>40360</v>
      </c>
      <c r="D50" s="1">
        <v>2224</v>
      </c>
      <c r="E50" s="34">
        <v>40360</v>
      </c>
      <c r="F50" s="1">
        <v>7</v>
      </c>
      <c r="G50" s="34">
        <v>40360</v>
      </c>
      <c r="H50" s="1">
        <v>0.63</v>
      </c>
      <c r="I50" s="34">
        <v>40360</v>
      </c>
      <c r="J50" s="1">
        <v>140.84</v>
      </c>
      <c r="K50" s="34">
        <v>40360</v>
      </c>
      <c r="L50" s="1">
        <v>3665.3</v>
      </c>
      <c r="M50" s="34">
        <v>40360</v>
      </c>
      <c r="N50" s="1">
        <v>677.4</v>
      </c>
    </row>
    <row r="51" spans="1:14" x14ac:dyDescent="0.25">
      <c r="A51" s="34">
        <v>40391</v>
      </c>
      <c r="B51" s="1">
        <v>3655.6</v>
      </c>
      <c r="C51" s="34">
        <v>40391</v>
      </c>
      <c r="D51" s="1">
        <v>1871</v>
      </c>
      <c r="E51" s="34">
        <v>40391</v>
      </c>
      <c r="F51" s="1">
        <v>7</v>
      </c>
      <c r="G51" s="34">
        <v>40391</v>
      </c>
      <c r="H51" s="1">
        <v>0.59</v>
      </c>
      <c r="I51" s="34">
        <v>40391</v>
      </c>
      <c r="J51" s="1">
        <v>141.01</v>
      </c>
      <c r="K51" s="34">
        <v>40391</v>
      </c>
      <c r="L51" s="1">
        <v>3654.3</v>
      </c>
      <c r="M51" s="34">
        <v>40391</v>
      </c>
      <c r="N51" s="1">
        <v>669.2</v>
      </c>
    </row>
    <row r="52" spans="1:14" x14ac:dyDescent="0.25">
      <c r="A52" s="34">
        <v>40422</v>
      </c>
      <c r="B52" s="1">
        <v>3657.4</v>
      </c>
      <c r="C52" s="34">
        <v>40422</v>
      </c>
      <c r="D52" s="1">
        <v>1984</v>
      </c>
      <c r="E52" s="34">
        <v>40422</v>
      </c>
      <c r="F52" s="1">
        <v>6.9</v>
      </c>
      <c r="G52" s="34">
        <v>40422</v>
      </c>
      <c r="H52" s="1">
        <v>0.95</v>
      </c>
      <c r="I52" s="34">
        <v>40422</v>
      </c>
      <c r="J52" s="1">
        <v>141.19999999999999</v>
      </c>
      <c r="K52" s="34">
        <v>40422</v>
      </c>
      <c r="L52" s="1">
        <v>3663.7</v>
      </c>
      <c r="M52" s="34">
        <v>40422</v>
      </c>
      <c r="N52" s="1">
        <v>701</v>
      </c>
    </row>
    <row r="53" spans="1:14" x14ac:dyDescent="0.25">
      <c r="A53" s="34">
        <v>40452</v>
      </c>
      <c r="B53" s="1">
        <v>3666.9</v>
      </c>
      <c r="C53" s="34">
        <v>40452</v>
      </c>
      <c r="D53" s="1">
        <v>1397</v>
      </c>
      <c r="E53" s="34">
        <v>40452</v>
      </c>
      <c r="F53" s="1">
        <v>6.9</v>
      </c>
      <c r="G53" s="34">
        <v>40452</v>
      </c>
      <c r="H53" s="1">
        <v>0.66</v>
      </c>
      <c r="I53" s="34">
        <v>40452</v>
      </c>
      <c r="J53" s="1">
        <v>141.38</v>
      </c>
      <c r="K53" s="34">
        <v>40452</v>
      </c>
      <c r="L53" s="1">
        <v>3684.1</v>
      </c>
      <c r="M53" s="34">
        <v>40452</v>
      </c>
      <c r="N53" s="1">
        <v>709.1</v>
      </c>
    </row>
    <row r="54" spans="1:14" x14ac:dyDescent="0.25">
      <c r="A54" s="34">
        <v>40483</v>
      </c>
      <c r="B54" s="1">
        <v>3665.4</v>
      </c>
      <c r="C54" s="34">
        <v>40483</v>
      </c>
      <c r="D54" s="1">
        <v>1265</v>
      </c>
      <c r="E54" s="34">
        <v>40483</v>
      </c>
      <c r="F54" s="1">
        <v>6.8</v>
      </c>
      <c r="G54" s="34">
        <v>40483</v>
      </c>
      <c r="H54" s="1">
        <v>0.92</v>
      </c>
      <c r="I54" s="34">
        <v>40483</v>
      </c>
      <c r="J54" s="1">
        <v>141.58000000000001</v>
      </c>
      <c r="K54" s="34">
        <v>40483</v>
      </c>
      <c r="L54" s="1">
        <v>3694.1</v>
      </c>
      <c r="M54" s="34">
        <v>40483</v>
      </c>
      <c r="N54" s="1">
        <v>713.3</v>
      </c>
    </row>
    <row r="55" spans="1:14" x14ac:dyDescent="0.25">
      <c r="A55" s="34">
        <v>40513</v>
      </c>
      <c r="B55" s="1">
        <v>3666.6</v>
      </c>
      <c r="C55" s="34">
        <v>40513</v>
      </c>
      <c r="D55" s="1">
        <v>936</v>
      </c>
      <c r="E55" s="34">
        <v>40513</v>
      </c>
      <c r="F55" s="1">
        <v>6.7</v>
      </c>
      <c r="G55" s="34">
        <v>40513</v>
      </c>
      <c r="H55" s="1">
        <v>1.1200000000000001</v>
      </c>
      <c r="I55" s="34">
        <v>40513</v>
      </c>
      <c r="J55" s="1">
        <v>141.80000000000001</v>
      </c>
      <c r="K55" s="34">
        <v>40513</v>
      </c>
      <c r="L55" s="1">
        <v>3694.6</v>
      </c>
      <c r="M55" s="34">
        <v>40513</v>
      </c>
      <c r="N55" s="1">
        <v>711.7</v>
      </c>
    </row>
    <row r="56" spans="1:14" x14ac:dyDescent="0.25">
      <c r="A56" s="34">
        <v>40544</v>
      </c>
      <c r="B56" s="1">
        <v>3673.3</v>
      </c>
      <c r="C56" s="34">
        <v>40544</v>
      </c>
      <c r="D56" s="1">
        <v>1677</v>
      </c>
      <c r="E56" s="34">
        <v>40544</v>
      </c>
      <c r="F56" s="1">
        <v>6.6</v>
      </c>
      <c r="G56" s="34">
        <v>40544</v>
      </c>
      <c r="H56" s="1">
        <v>1.01</v>
      </c>
      <c r="I56" s="34">
        <v>40544</v>
      </c>
      <c r="J56" s="1">
        <v>142.02000000000001</v>
      </c>
      <c r="K56" s="34">
        <v>40544</v>
      </c>
      <c r="L56" s="1">
        <v>3614</v>
      </c>
      <c r="M56" s="34">
        <v>40544</v>
      </c>
      <c r="N56" s="1">
        <v>703.7</v>
      </c>
    </row>
    <row r="57" spans="1:14" x14ac:dyDescent="0.25">
      <c r="A57" s="34">
        <v>40575</v>
      </c>
      <c r="B57" s="1">
        <v>3680.1</v>
      </c>
      <c r="C57" s="34">
        <v>40575</v>
      </c>
      <c r="D57" s="1">
        <v>1634</v>
      </c>
      <c r="E57" s="34">
        <v>40575</v>
      </c>
      <c r="F57" s="1">
        <v>6.5</v>
      </c>
      <c r="G57" s="34">
        <v>40575</v>
      </c>
      <c r="H57" s="1">
        <v>1.04</v>
      </c>
      <c r="I57" s="34">
        <v>40575</v>
      </c>
      <c r="J57" s="1">
        <v>142.24</v>
      </c>
      <c r="K57" s="34">
        <v>40575</v>
      </c>
      <c r="L57" s="1">
        <v>3631.9</v>
      </c>
      <c r="M57" s="34">
        <v>40575</v>
      </c>
      <c r="N57" s="1">
        <v>715.9</v>
      </c>
    </row>
    <row r="58" spans="1:14" x14ac:dyDescent="0.25">
      <c r="A58" s="34">
        <v>40603</v>
      </c>
      <c r="B58" s="1">
        <v>3683.9</v>
      </c>
      <c r="C58" s="34">
        <v>40603</v>
      </c>
      <c r="D58" s="1">
        <v>2526</v>
      </c>
      <c r="E58" s="34">
        <v>40603</v>
      </c>
      <c r="F58" s="1">
        <v>6.4</v>
      </c>
      <c r="G58" s="34">
        <v>40603</v>
      </c>
      <c r="H58" s="1">
        <v>1</v>
      </c>
      <c r="I58" s="34">
        <v>40603</v>
      </c>
      <c r="J58" s="1">
        <v>142.47</v>
      </c>
      <c r="K58" s="34">
        <v>40603</v>
      </c>
      <c r="L58" s="1">
        <v>3658.6</v>
      </c>
      <c r="M58" s="34">
        <v>40603</v>
      </c>
      <c r="N58" s="1">
        <v>719.3</v>
      </c>
    </row>
    <row r="59" spans="1:14" x14ac:dyDescent="0.25">
      <c r="A59" s="34">
        <v>40634</v>
      </c>
      <c r="B59" s="1">
        <v>3686.8</v>
      </c>
      <c r="C59" s="34">
        <v>40634</v>
      </c>
      <c r="D59" s="1">
        <v>1516</v>
      </c>
      <c r="E59" s="34">
        <v>40634</v>
      </c>
      <c r="F59" s="1">
        <v>6.3</v>
      </c>
      <c r="G59" s="34">
        <v>40634</v>
      </c>
      <c r="H59" s="1">
        <v>0.66</v>
      </c>
      <c r="I59" s="34">
        <v>40634</v>
      </c>
      <c r="J59" s="1">
        <v>142.63999999999999</v>
      </c>
      <c r="K59" s="34">
        <v>40634</v>
      </c>
      <c r="L59" s="1">
        <v>3694.6</v>
      </c>
      <c r="M59" s="34">
        <v>40634</v>
      </c>
      <c r="N59" s="1">
        <v>720.3</v>
      </c>
    </row>
    <row r="60" spans="1:14" x14ac:dyDescent="0.25">
      <c r="A60" s="34">
        <v>40664</v>
      </c>
      <c r="B60" s="1">
        <v>3684</v>
      </c>
      <c r="C60" s="34">
        <v>40664</v>
      </c>
      <c r="D60" s="1">
        <v>1951</v>
      </c>
      <c r="E60" s="34">
        <v>40664</v>
      </c>
      <c r="F60" s="1">
        <v>6.4</v>
      </c>
      <c r="G60" s="34">
        <v>40664</v>
      </c>
      <c r="H60" s="1">
        <v>-0.03</v>
      </c>
      <c r="I60" s="34">
        <v>40664</v>
      </c>
      <c r="J60" s="1">
        <v>142.69</v>
      </c>
      <c r="K60" s="34">
        <v>40664</v>
      </c>
      <c r="L60" s="1">
        <v>3699.7</v>
      </c>
      <c r="M60" s="34">
        <v>40664</v>
      </c>
      <c r="N60" s="1">
        <v>714.8</v>
      </c>
    </row>
    <row r="61" spans="1:14" x14ac:dyDescent="0.25">
      <c r="A61" s="34">
        <v>40695</v>
      </c>
      <c r="B61" s="1">
        <v>3685.2</v>
      </c>
      <c r="C61" s="34">
        <v>40695</v>
      </c>
      <c r="D61" s="1">
        <v>1991</v>
      </c>
      <c r="E61" s="34">
        <v>40695</v>
      </c>
      <c r="F61" s="1">
        <v>6.5</v>
      </c>
      <c r="G61" s="34">
        <v>40695</v>
      </c>
      <c r="H61" s="1">
        <v>0.41</v>
      </c>
      <c r="I61" s="34">
        <v>40695</v>
      </c>
      <c r="J61" s="1">
        <v>142.72999999999999</v>
      </c>
      <c r="K61" s="34">
        <v>40695</v>
      </c>
      <c r="L61" s="1">
        <v>3719.3</v>
      </c>
      <c r="M61" s="34">
        <v>40695</v>
      </c>
      <c r="N61" s="1">
        <v>712</v>
      </c>
    </row>
    <row r="62" spans="1:14" x14ac:dyDescent="0.25">
      <c r="A62" s="34">
        <v>40725</v>
      </c>
      <c r="B62" s="1">
        <v>3700.7</v>
      </c>
      <c r="C62" s="34">
        <v>40725</v>
      </c>
      <c r="D62" s="1">
        <v>2729</v>
      </c>
      <c r="E62" s="34">
        <v>40725</v>
      </c>
      <c r="F62" s="1">
        <v>6.6</v>
      </c>
      <c r="G62" s="34">
        <v>40725</v>
      </c>
      <c r="H62" s="1">
        <v>0.91</v>
      </c>
      <c r="I62" s="34">
        <v>40725</v>
      </c>
      <c r="J62" s="1">
        <v>142.85</v>
      </c>
      <c r="K62" s="34">
        <v>40725</v>
      </c>
      <c r="L62" s="1">
        <v>3703.3</v>
      </c>
      <c r="M62" s="34">
        <v>40725</v>
      </c>
      <c r="N62" s="1">
        <v>680</v>
      </c>
    </row>
    <row r="63" spans="1:14" x14ac:dyDescent="0.25">
      <c r="A63" s="34">
        <v>40756</v>
      </c>
      <c r="B63" s="1">
        <v>3698.5</v>
      </c>
      <c r="C63" s="34">
        <v>40756</v>
      </c>
      <c r="D63" s="1">
        <v>1876</v>
      </c>
      <c r="E63" s="34">
        <v>40756</v>
      </c>
      <c r="F63" s="1">
        <v>6.6</v>
      </c>
      <c r="G63" s="34">
        <v>40756</v>
      </c>
      <c r="H63" s="1">
        <v>1.02</v>
      </c>
      <c r="I63" s="34">
        <v>40756</v>
      </c>
      <c r="J63" s="1">
        <v>143.02000000000001</v>
      </c>
      <c r="K63" s="34">
        <v>40756</v>
      </c>
      <c r="L63" s="1">
        <v>3696.4</v>
      </c>
      <c r="M63" s="34">
        <v>40756</v>
      </c>
      <c r="N63" s="1">
        <v>676.2</v>
      </c>
    </row>
    <row r="64" spans="1:14" x14ac:dyDescent="0.25">
      <c r="A64" s="34">
        <v>40787</v>
      </c>
      <c r="B64" s="1">
        <v>3712</v>
      </c>
      <c r="C64" s="34">
        <v>40787</v>
      </c>
      <c r="D64" s="1">
        <v>1558</v>
      </c>
      <c r="E64" s="34">
        <v>40787</v>
      </c>
      <c r="F64" s="1">
        <v>6.6</v>
      </c>
      <c r="G64" s="34">
        <v>40787</v>
      </c>
      <c r="H64" s="1">
        <v>0.97</v>
      </c>
      <c r="I64" s="34">
        <v>40787</v>
      </c>
      <c r="J64" s="1">
        <v>143.19999999999999</v>
      </c>
      <c r="K64" s="34">
        <v>40787</v>
      </c>
      <c r="L64" s="1">
        <v>3718</v>
      </c>
      <c r="M64" s="34">
        <v>40787</v>
      </c>
      <c r="N64" s="1">
        <v>710.3</v>
      </c>
    </row>
    <row r="65" spans="1:14" x14ac:dyDescent="0.25">
      <c r="A65" s="34">
        <v>40817</v>
      </c>
      <c r="B65" s="1">
        <v>3708.1</v>
      </c>
      <c r="C65" s="34">
        <v>40817</v>
      </c>
      <c r="D65" s="1">
        <v>1359</v>
      </c>
      <c r="E65" s="34">
        <v>40817</v>
      </c>
      <c r="F65" s="1">
        <v>6.5</v>
      </c>
      <c r="G65" s="34">
        <v>40817</v>
      </c>
      <c r="H65" s="1">
        <v>0.92</v>
      </c>
      <c r="I65" s="34">
        <v>40817</v>
      </c>
      <c r="J65" s="1">
        <v>143.38</v>
      </c>
      <c r="K65" s="34">
        <v>40817</v>
      </c>
      <c r="L65" s="1">
        <v>3725.9</v>
      </c>
      <c r="M65" s="34">
        <v>40817</v>
      </c>
      <c r="N65" s="1">
        <v>720.7</v>
      </c>
    </row>
    <row r="66" spans="1:14" x14ac:dyDescent="0.25">
      <c r="A66" s="34">
        <v>40848</v>
      </c>
      <c r="B66" s="1">
        <v>3713.4</v>
      </c>
      <c r="C66" s="34">
        <v>40848</v>
      </c>
      <c r="D66" s="1">
        <v>1369</v>
      </c>
      <c r="E66" s="34">
        <v>40848</v>
      </c>
      <c r="F66" s="1">
        <v>6.3</v>
      </c>
      <c r="G66" s="34">
        <v>40848</v>
      </c>
      <c r="H66" s="1">
        <v>1.1299999999999999</v>
      </c>
      <c r="I66" s="34">
        <v>40848</v>
      </c>
      <c r="J66" s="1">
        <v>143.61000000000001</v>
      </c>
      <c r="K66" s="34">
        <v>40848</v>
      </c>
      <c r="L66" s="1">
        <v>3742.8</v>
      </c>
      <c r="M66" s="34">
        <v>40848</v>
      </c>
      <c r="N66" s="1">
        <v>726</v>
      </c>
    </row>
    <row r="67" spans="1:14" x14ac:dyDescent="0.25">
      <c r="A67" s="34">
        <v>40878</v>
      </c>
      <c r="B67" s="1">
        <v>3708</v>
      </c>
      <c r="C67" s="34">
        <v>40878</v>
      </c>
      <c r="D67" s="1">
        <v>1544</v>
      </c>
      <c r="E67" s="34">
        <v>40878</v>
      </c>
      <c r="F67" s="1">
        <v>6.2</v>
      </c>
      <c r="G67" s="34">
        <v>40878</v>
      </c>
      <c r="H67" s="1">
        <v>0.91</v>
      </c>
      <c r="I67" s="34">
        <v>40878</v>
      </c>
      <c r="J67" s="1">
        <v>143.81</v>
      </c>
      <c r="K67" s="34">
        <v>40878</v>
      </c>
      <c r="L67" s="1">
        <v>3736.5</v>
      </c>
      <c r="M67" s="34">
        <v>40878</v>
      </c>
      <c r="N67" s="1">
        <v>724.8</v>
      </c>
    </row>
    <row r="68" spans="1:14" x14ac:dyDescent="0.25">
      <c r="A68" s="34">
        <v>40909</v>
      </c>
      <c r="B68" s="1">
        <v>3721</v>
      </c>
      <c r="C68" s="34">
        <v>40909</v>
      </c>
      <c r="D68" s="1">
        <v>1691</v>
      </c>
      <c r="E68" s="34">
        <v>40909</v>
      </c>
      <c r="F68" s="1">
        <v>6</v>
      </c>
      <c r="G68" s="34">
        <v>40909</v>
      </c>
      <c r="H68" s="1">
        <v>1.55</v>
      </c>
      <c r="I68" s="34">
        <v>40909</v>
      </c>
      <c r="J68" s="1">
        <v>144.09</v>
      </c>
      <c r="K68" s="34">
        <v>40909</v>
      </c>
      <c r="L68" s="1">
        <v>3661.3</v>
      </c>
      <c r="M68" s="34">
        <v>40909</v>
      </c>
      <c r="N68" s="1">
        <v>708.1</v>
      </c>
    </row>
    <row r="69" spans="1:14" x14ac:dyDescent="0.25">
      <c r="A69" s="34">
        <v>40940</v>
      </c>
      <c r="B69" s="1">
        <v>3728.2</v>
      </c>
      <c r="C69" s="34">
        <v>40940</v>
      </c>
      <c r="D69" s="1">
        <v>2709</v>
      </c>
      <c r="E69" s="34">
        <v>40940</v>
      </c>
      <c r="F69" s="1">
        <v>5.9</v>
      </c>
      <c r="G69" s="34">
        <v>40940</v>
      </c>
      <c r="H69" s="1">
        <v>1.27</v>
      </c>
      <c r="I69" s="34">
        <v>40940</v>
      </c>
      <c r="J69" s="1">
        <v>144.36000000000001</v>
      </c>
      <c r="K69" s="34">
        <v>40940</v>
      </c>
      <c r="L69" s="1">
        <v>3678.5</v>
      </c>
      <c r="M69" s="34">
        <v>40940</v>
      </c>
      <c r="N69" s="1">
        <v>719.5</v>
      </c>
    </row>
    <row r="70" spans="1:14" x14ac:dyDescent="0.25">
      <c r="A70" s="34">
        <v>40969</v>
      </c>
      <c r="B70" s="1">
        <v>3731.4</v>
      </c>
      <c r="C70" s="34">
        <v>40969</v>
      </c>
      <c r="D70" s="1">
        <v>2172</v>
      </c>
      <c r="E70" s="34">
        <v>40969</v>
      </c>
      <c r="F70" s="1">
        <v>5.8</v>
      </c>
      <c r="G70" s="34">
        <v>40969</v>
      </c>
      <c r="H70" s="1">
        <v>0.89</v>
      </c>
      <c r="I70" s="34">
        <v>40969</v>
      </c>
      <c r="J70" s="1">
        <v>144.56</v>
      </c>
      <c r="K70" s="34">
        <v>40969</v>
      </c>
      <c r="L70" s="1">
        <v>3706</v>
      </c>
      <c r="M70" s="34">
        <v>40969</v>
      </c>
      <c r="N70" s="1">
        <v>721.1</v>
      </c>
    </row>
    <row r="71" spans="1:14" x14ac:dyDescent="0.25">
      <c r="A71" s="34">
        <v>41000</v>
      </c>
      <c r="B71" s="1">
        <v>3730.8</v>
      </c>
      <c r="C71" s="34">
        <v>41000</v>
      </c>
      <c r="D71" s="1">
        <v>2018</v>
      </c>
      <c r="E71" s="34">
        <v>41000</v>
      </c>
      <c r="F71" s="1">
        <v>5.9</v>
      </c>
      <c r="G71" s="34">
        <v>41000</v>
      </c>
      <c r="H71" s="1">
        <v>0.19</v>
      </c>
      <c r="I71" s="34">
        <v>41000</v>
      </c>
      <c r="J71" s="1">
        <v>144.65</v>
      </c>
      <c r="K71" s="34">
        <v>41000</v>
      </c>
      <c r="L71" s="1">
        <v>3730</v>
      </c>
      <c r="M71" s="34">
        <v>41000</v>
      </c>
      <c r="N71" s="1">
        <v>720.4</v>
      </c>
    </row>
    <row r="72" spans="1:14" x14ac:dyDescent="0.25">
      <c r="A72" s="34">
        <v>41030</v>
      </c>
      <c r="B72" s="1">
        <v>3724.4</v>
      </c>
      <c r="C72" s="34">
        <v>41030</v>
      </c>
      <c r="D72" s="1">
        <v>2543</v>
      </c>
      <c r="E72" s="34">
        <v>41030</v>
      </c>
      <c r="F72" s="1">
        <v>5.9</v>
      </c>
      <c r="G72" s="34">
        <v>41030</v>
      </c>
      <c r="H72" s="1">
        <v>0.42</v>
      </c>
      <c r="I72" s="34">
        <v>41030</v>
      </c>
      <c r="J72" s="1">
        <v>144.72999999999999</v>
      </c>
      <c r="K72" s="34">
        <v>41030</v>
      </c>
      <c r="L72" s="1">
        <v>3740</v>
      </c>
      <c r="M72" s="34">
        <v>41030</v>
      </c>
      <c r="N72" s="1">
        <v>715.5</v>
      </c>
    </row>
    <row r="73" spans="1:14" x14ac:dyDescent="0.25">
      <c r="A73" s="34">
        <v>41061</v>
      </c>
      <c r="B73" s="1">
        <v>3726.9</v>
      </c>
      <c r="C73" s="34">
        <v>41061</v>
      </c>
      <c r="D73" s="1">
        <v>2296</v>
      </c>
      <c r="E73" s="34">
        <v>41061</v>
      </c>
      <c r="F73" s="1">
        <v>6</v>
      </c>
      <c r="G73" s="34">
        <v>41061</v>
      </c>
      <c r="H73" s="1">
        <v>0.36</v>
      </c>
      <c r="I73" s="34">
        <v>41061</v>
      </c>
      <c r="J73" s="1">
        <v>144.82</v>
      </c>
      <c r="K73" s="34">
        <v>41061</v>
      </c>
      <c r="L73" s="1">
        <v>3760.1</v>
      </c>
      <c r="M73" s="34">
        <v>41061</v>
      </c>
      <c r="N73" s="1">
        <v>712.4</v>
      </c>
    </row>
    <row r="74" spans="1:14" x14ac:dyDescent="0.25">
      <c r="A74" s="34">
        <v>41091</v>
      </c>
      <c r="B74" s="1">
        <v>3724</v>
      </c>
      <c r="C74" s="34">
        <v>41091</v>
      </c>
      <c r="D74" s="1">
        <v>2497</v>
      </c>
      <c r="E74" s="34">
        <v>41091</v>
      </c>
      <c r="F74" s="1">
        <v>6</v>
      </c>
      <c r="G74" s="34">
        <v>41091</v>
      </c>
      <c r="H74" s="1">
        <v>0.86</v>
      </c>
      <c r="I74" s="34">
        <v>41091</v>
      </c>
      <c r="J74" s="1">
        <v>144.96</v>
      </c>
      <c r="K74" s="34">
        <v>41091</v>
      </c>
      <c r="L74" s="1">
        <v>3725.6</v>
      </c>
      <c r="M74" s="34">
        <v>41091</v>
      </c>
      <c r="N74" s="1">
        <v>673.8</v>
      </c>
    </row>
    <row r="75" spans="1:14" x14ac:dyDescent="0.25">
      <c r="A75" s="34">
        <v>41122</v>
      </c>
      <c r="B75" s="1">
        <v>3739.2</v>
      </c>
      <c r="C75" s="34">
        <v>41122</v>
      </c>
      <c r="D75" s="1">
        <v>2241</v>
      </c>
      <c r="E75" s="34">
        <v>41122</v>
      </c>
      <c r="F75" s="1">
        <v>6</v>
      </c>
      <c r="G75" s="34">
        <v>41122</v>
      </c>
      <c r="H75" s="1">
        <v>1.38</v>
      </c>
      <c r="I75" s="34">
        <v>41122</v>
      </c>
      <c r="J75" s="1">
        <v>145.21</v>
      </c>
      <c r="K75" s="34">
        <v>41122</v>
      </c>
      <c r="L75" s="1">
        <v>3738.6</v>
      </c>
      <c r="M75" s="34">
        <v>41122</v>
      </c>
      <c r="N75" s="1">
        <v>676.6</v>
      </c>
    </row>
    <row r="76" spans="1:14" x14ac:dyDescent="0.25">
      <c r="A76" s="34">
        <v>41153</v>
      </c>
      <c r="B76" s="1">
        <v>3745.3</v>
      </c>
      <c r="C76" s="34">
        <v>41153</v>
      </c>
      <c r="D76" s="1">
        <v>1915</v>
      </c>
      <c r="E76" s="34">
        <v>41153</v>
      </c>
      <c r="F76" s="1">
        <v>5.9</v>
      </c>
      <c r="G76" s="34">
        <v>41153</v>
      </c>
      <c r="H76" s="1">
        <v>1.61</v>
      </c>
      <c r="I76" s="34">
        <v>41153</v>
      </c>
      <c r="J76" s="1">
        <v>145.53</v>
      </c>
      <c r="K76" s="34">
        <v>41153</v>
      </c>
      <c r="L76" s="1">
        <v>3751.5</v>
      </c>
      <c r="M76" s="34">
        <v>41153</v>
      </c>
      <c r="N76" s="1">
        <v>707</v>
      </c>
    </row>
    <row r="77" spans="1:14" x14ac:dyDescent="0.25">
      <c r="A77" s="34">
        <v>41183</v>
      </c>
      <c r="B77" s="1">
        <v>3755.4</v>
      </c>
      <c r="C77" s="34">
        <v>41183</v>
      </c>
      <c r="D77" s="1">
        <v>2031</v>
      </c>
      <c r="E77" s="34">
        <v>41183</v>
      </c>
      <c r="F77" s="1">
        <v>5.8</v>
      </c>
      <c r="G77" s="34">
        <v>41183</v>
      </c>
      <c r="H77" s="1">
        <v>1.51</v>
      </c>
      <c r="I77" s="34">
        <v>41183</v>
      </c>
      <c r="J77" s="1">
        <v>145.86000000000001</v>
      </c>
      <c r="K77" s="34">
        <v>41183</v>
      </c>
      <c r="L77" s="1">
        <v>3773.4</v>
      </c>
      <c r="M77" s="34">
        <v>41183</v>
      </c>
      <c r="N77" s="1">
        <v>718.5</v>
      </c>
    </row>
    <row r="78" spans="1:14" x14ac:dyDescent="0.25">
      <c r="A78" s="34">
        <v>41214</v>
      </c>
      <c r="B78" s="1">
        <v>3760.6</v>
      </c>
      <c r="C78" s="34">
        <v>41214</v>
      </c>
      <c r="D78" s="1">
        <v>2571</v>
      </c>
      <c r="E78" s="34">
        <v>41214</v>
      </c>
      <c r="F78" s="1">
        <v>5.8</v>
      </c>
      <c r="G78" s="34">
        <v>41214</v>
      </c>
      <c r="H78" s="1">
        <v>1.1399999999999999</v>
      </c>
      <c r="I78" s="34">
        <v>41214</v>
      </c>
      <c r="J78" s="1">
        <v>146.12</v>
      </c>
      <c r="K78" s="34">
        <v>41214</v>
      </c>
      <c r="L78" s="1">
        <v>3790.2</v>
      </c>
      <c r="M78" s="34">
        <v>41214</v>
      </c>
      <c r="N78" s="1">
        <v>723.8</v>
      </c>
    </row>
    <row r="79" spans="1:14" x14ac:dyDescent="0.25">
      <c r="A79" s="34">
        <v>41244</v>
      </c>
      <c r="B79" s="1">
        <v>3758.6</v>
      </c>
      <c r="C79" s="34">
        <v>41244</v>
      </c>
      <c r="D79" s="1">
        <v>2245</v>
      </c>
      <c r="E79" s="34">
        <v>41244</v>
      </c>
      <c r="F79" s="1">
        <v>5.7</v>
      </c>
      <c r="G79" s="34">
        <v>41244</v>
      </c>
      <c r="H79" s="1">
        <v>1.05</v>
      </c>
      <c r="I79" s="34">
        <v>41244</v>
      </c>
      <c r="J79" s="1">
        <v>146.37</v>
      </c>
      <c r="K79" s="34">
        <v>41244</v>
      </c>
      <c r="L79" s="1">
        <v>3788</v>
      </c>
      <c r="M79" s="34">
        <v>41244</v>
      </c>
      <c r="N79" s="1">
        <v>723</v>
      </c>
    </row>
    <row r="80" spans="1:14" x14ac:dyDescent="0.25">
      <c r="A80" s="34">
        <v>41275</v>
      </c>
      <c r="B80" s="1">
        <v>3760.4</v>
      </c>
      <c r="C80" s="34">
        <v>41275</v>
      </c>
      <c r="D80" s="1">
        <v>2501</v>
      </c>
      <c r="E80" s="34">
        <v>41275</v>
      </c>
      <c r="F80" s="1">
        <v>5.7</v>
      </c>
      <c r="G80" s="34">
        <v>41275</v>
      </c>
      <c r="H80" s="1">
        <v>0.52</v>
      </c>
      <c r="I80" s="34">
        <v>41275</v>
      </c>
      <c r="J80" s="1">
        <v>146.53</v>
      </c>
      <c r="K80" s="34">
        <v>41275</v>
      </c>
      <c r="L80" s="1">
        <v>3700.1</v>
      </c>
      <c r="M80" s="34">
        <v>41275</v>
      </c>
      <c r="N80" s="1">
        <v>705.9</v>
      </c>
    </row>
    <row r="81" spans="1:14" x14ac:dyDescent="0.25">
      <c r="A81" s="34">
        <v>41306</v>
      </c>
      <c r="B81" s="1">
        <v>3769.1</v>
      </c>
      <c r="C81" s="34">
        <v>41306</v>
      </c>
      <c r="D81" s="1">
        <v>1972</v>
      </c>
      <c r="E81" s="34">
        <v>41306</v>
      </c>
      <c r="F81" s="1">
        <v>5.6</v>
      </c>
      <c r="G81" s="34">
        <v>41306</v>
      </c>
      <c r="H81" s="1">
        <v>0.64</v>
      </c>
      <c r="I81" s="34">
        <v>41306</v>
      </c>
      <c r="J81" s="1">
        <v>146.66</v>
      </c>
      <c r="K81" s="34">
        <v>41306</v>
      </c>
      <c r="L81" s="1">
        <v>3719.4</v>
      </c>
      <c r="M81" s="34">
        <v>41306</v>
      </c>
      <c r="N81" s="1">
        <v>718.2</v>
      </c>
    </row>
    <row r="82" spans="1:14" x14ac:dyDescent="0.25">
      <c r="A82" s="34">
        <v>41334</v>
      </c>
      <c r="B82" s="1">
        <v>3765.4</v>
      </c>
      <c r="C82" s="34">
        <v>41334</v>
      </c>
      <c r="D82" s="1">
        <v>2465</v>
      </c>
      <c r="E82" s="34">
        <v>41334</v>
      </c>
      <c r="F82" s="1">
        <v>5.6</v>
      </c>
      <c r="G82" s="34">
        <v>41334</v>
      </c>
      <c r="H82" s="1">
        <v>0.15</v>
      </c>
      <c r="I82" s="34">
        <v>41334</v>
      </c>
      <c r="J82" s="1">
        <v>146.71</v>
      </c>
      <c r="K82" s="34">
        <v>41334</v>
      </c>
      <c r="L82" s="1">
        <v>3740</v>
      </c>
      <c r="M82" s="34">
        <v>41334</v>
      </c>
      <c r="N82" s="1">
        <v>719.4</v>
      </c>
    </row>
    <row r="83" spans="1:14" x14ac:dyDescent="0.25">
      <c r="A83" s="34">
        <v>41365</v>
      </c>
      <c r="B83" s="1">
        <v>3769.4</v>
      </c>
      <c r="C83" s="34">
        <v>41365</v>
      </c>
      <c r="D83" s="1">
        <v>2656</v>
      </c>
      <c r="E83" s="34">
        <v>41365</v>
      </c>
      <c r="F83" s="1">
        <v>5.6</v>
      </c>
      <c r="G83" s="34">
        <v>41365</v>
      </c>
      <c r="H83" s="1">
        <v>0.27</v>
      </c>
      <c r="I83" s="34">
        <v>41365</v>
      </c>
      <c r="J83" s="1">
        <v>146.75</v>
      </c>
      <c r="K83" s="34">
        <v>41365</v>
      </c>
      <c r="L83" s="1">
        <v>3768.6</v>
      </c>
      <c r="M83" s="34">
        <v>41365</v>
      </c>
      <c r="N83" s="1">
        <v>721.9</v>
      </c>
    </row>
    <row r="84" spans="1:14" x14ac:dyDescent="0.25">
      <c r="A84" s="34">
        <v>41395</v>
      </c>
      <c r="B84" s="1">
        <v>3763.6</v>
      </c>
      <c r="C84" s="34">
        <v>41395</v>
      </c>
      <c r="D84" s="1">
        <v>2917</v>
      </c>
      <c r="E84" s="34">
        <v>41395</v>
      </c>
      <c r="F84" s="1">
        <v>5.6</v>
      </c>
      <c r="G84" s="34">
        <v>41395</v>
      </c>
      <c r="H84" s="1">
        <v>0.11</v>
      </c>
      <c r="I84" s="34">
        <v>41395</v>
      </c>
      <c r="J84" s="1">
        <v>146.75</v>
      </c>
      <c r="K84" s="34">
        <v>41395</v>
      </c>
      <c r="L84" s="1">
        <v>3776</v>
      </c>
      <c r="M84" s="34">
        <v>41395</v>
      </c>
      <c r="N84" s="1">
        <v>717.5</v>
      </c>
    </row>
    <row r="85" spans="1:14" x14ac:dyDescent="0.25">
      <c r="A85" s="34">
        <v>41426</v>
      </c>
      <c r="B85" s="1">
        <v>3761.4</v>
      </c>
      <c r="C85" s="34">
        <v>41426</v>
      </c>
      <c r="D85" s="1">
        <v>2688</v>
      </c>
      <c r="E85" s="34">
        <v>41426</v>
      </c>
      <c r="F85" s="1">
        <v>5.7</v>
      </c>
      <c r="G85" s="34">
        <v>41426</v>
      </c>
      <c r="H85" s="1">
        <v>-0.21</v>
      </c>
      <c r="I85" s="34">
        <v>41426</v>
      </c>
      <c r="J85" s="1">
        <v>146.69</v>
      </c>
      <c r="K85" s="34">
        <v>41426</v>
      </c>
      <c r="L85" s="1">
        <v>3789.6</v>
      </c>
      <c r="M85" s="34">
        <v>41426</v>
      </c>
      <c r="N85" s="1">
        <v>711.2</v>
      </c>
    </row>
    <row r="86" spans="1:14" x14ac:dyDescent="0.25">
      <c r="A86" s="34">
        <v>41456</v>
      </c>
      <c r="B86" s="1">
        <v>3764.9</v>
      </c>
      <c r="C86" s="34">
        <v>41456</v>
      </c>
      <c r="D86" s="1">
        <v>2904</v>
      </c>
      <c r="E86" s="34">
        <v>41456</v>
      </c>
      <c r="F86" s="1">
        <v>5.7</v>
      </c>
      <c r="G86" s="34">
        <v>41456</v>
      </c>
      <c r="H86" s="1">
        <v>0.43</v>
      </c>
      <c r="I86" s="34">
        <v>41456</v>
      </c>
      <c r="J86" s="1">
        <v>146.69</v>
      </c>
      <c r="K86" s="34">
        <v>41456</v>
      </c>
      <c r="L86" s="1">
        <v>3765.3</v>
      </c>
      <c r="M86" s="34">
        <v>41456</v>
      </c>
      <c r="N86" s="1">
        <v>682.1</v>
      </c>
    </row>
    <row r="87" spans="1:14" x14ac:dyDescent="0.25">
      <c r="A87" s="34">
        <v>41487</v>
      </c>
      <c r="B87" s="1">
        <v>3768.5</v>
      </c>
      <c r="C87" s="34">
        <v>41487</v>
      </c>
      <c r="D87" s="1">
        <v>2488</v>
      </c>
      <c r="E87" s="34">
        <v>41487</v>
      </c>
      <c r="F87" s="1">
        <v>5.6</v>
      </c>
      <c r="G87" s="34">
        <v>41487</v>
      </c>
      <c r="H87" s="1">
        <v>0.74</v>
      </c>
      <c r="I87" s="34">
        <v>41487</v>
      </c>
      <c r="J87" s="1">
        <v>146.76</v>
      </c>
      <c r="K87" s="34">
        <v>41487</v>
      </c>
      <c r="L87" s="1">
        <v>3768</v>
      </c>
      <c r="M87" s="34">
        <v>41487</v>
      </c>
      <c r="N87" s="1">
        <v>677.6</v>
      </c>
    </row>
    <row r="88" spans="1:14" x14ac:dyDescent="0.25">
      <c r="A88" s="34">
        <v>41518</v>
      </c>
      <c r="B88" s="1">
        <v>3766.3</v>
      </c>
      <c r="C88" s="34">
        <v>41518</v>
      </c>
      <c r="D88" s="1">
        <v>2675</v>
      </c>
      <c r="E88" s="34">
        <v>41518</v>
      </c>
      <c r="F88" s="1">
        <v>5.5</v>
      </c>
      <c r="G88" s="34">
        <v>41518</v>
      </c>
      <c r="H88" s="1">
        <v>0.45</v>
      </c>
      <c r="I88" s="34">
        <v>41518</v>
      </c>
      <c r="J88" s="1">
        <v>146.81</v>
      </c>
      <c r="K88" s="34">
        <v>41518</v>
      </c>
      <c r="L88" s="1">
        <v>3772.8</v>
      </c>
      <c r="M88" s="34">
        <v>41518</v>
      </c>
      <c r="N88" s="1">
        <v>706.4</v>
      </c>
    </row>
    <row r="89" spans="1:14" x14ac:dyDescent="0.25">
      <c r="A89" s="34">
        <v>41548</v>
      </c>
      <c r="B89" s="1">
        <v>3763.2</v>
      </c>
      <c r="C89" s="34">
        <v>41548</v>
      </c>
      <c r="D89" s="1">
        <v>1852</v>
      </c>
      <c r="E89" s="34">
        <v>41548</v>
      </c>
      <c r="F89" s="1">
        <v>5.4</v>
      </c>
      <c r="G89" s="34">
        <v>41548</v>
      </c>
      <c r="H89" s="1">
        <v>0.48</v>
      </c>
      <c r="I89" s="34">
        <v>41548</v>
      </c>
      <c r="J89" s="1">
        <v>146.86000000000001</v>
      </c>
      <c r="K89" s="34">
        <v>41548</v>
      </c>
      <c r="L89" s="1">
        <v>3784.1</v>
      </c>
      <c r="M89" s="34">
        <v>41548</v>
      </c>
      <c r="N89" s="1">
        <v>717.7</v>
      </c>
    </row>
    <row r="90" spans="1:14" x14ac:dyDescent="0.25">
      <c r="A90" s="34">
        <v>41579</v>
      </c>
      <c r="B90" s="1">
        <v>3769.2</v>
      </c>
      <c r="C90" s="34">
        <v>41579</v>
      </c>
      <c r="D90" s="1">
        <v>1990</v>
      </c>
      <c r="E90" s="34">
        <v>41579</v>
      </c>
      <c r="F90" s="1">
        <v>5.3</v>
      </c>
      <c r="G90" s="34">
        <v>41579</v>
      </c>
      <c r="H90" s="1">
        <v>0.47</v>
      </c>
      <c r="I90" s="34">
        <v>41579</v>
      </c>
      <c r="J90" s="1">
        <v>146.91999999999999</v>
      </c>
      <c r="K90" s="34">
        <v>41579</v>
      </c>
      <c r="L90" s="1">
        <v>3797</v>
      </c>
      <c r="M90" s="34">
        <v>41579</v>
      </c>
      <c r="N90" s="1">
        <v>722.6</v>
      </c>
    </row>
    <row r="91" spans="1:14" x14ac:dyDescent="0.25">
      <c r="A91" s="34">
        <v>41609</v>
      </c>
      <c r="B91" s="1">
        <v>3768.4</v>
      </c>
      <c r="C91" s="34">
        <v>41609</v>
      </c>
      <c r="D91" s="1">
        <v>1871</v>
      </c>
      <c r="E91" s="34">
        <v>41609</v>
      </c>
      <c r="F91" s="1">
        <v>5.2</v>
      </c>
      <c r="G91" s="34">
        <v>41609</v>
      </c>
      <c r="H91" s="1">
        <v>0.84</v>
      </c>
      <c r="I91" s="34">
        <v>41609</v>
      </c>
      <c r="J91" s="1">
        <v>147.05000000000001</v>
      </c>
      <c r="K91" s="34">
        <v>41609</v>
      </c>
      <c r="L91" s="1">
        <v>3785.3</v>
      </c>
      <c r="M91" s="34">
        <v>41609</v>
      </c>
      <c r="N91" s="1">
        <v>719.3</v>
      </c>
    </row>
    <row r="92" spans="1:14" x14ac:dyDescent="0.25">
      <c r="A92" s="34">
        <v>41640</v>
      </c>
      <c r="B92" s="1">
        <v>3762.4</v>
      </c>
      <c r="C92" s="34">
        <v>41640</v>
      </c>
      <c r="D92" s="1">
        <v>1637</v>
      </c>
      <c r="E92" s="34">
        <v>41640</v>
      </c>
      <c r="F92" s="1">
        <v>5</v>
      </c>
      <c r="G92" s="34">
        <v>41640</v>
      </c>
      <c r="H92" s="1">
        <v>1.1599999999999999</v>
      </c>
      <c r="I92" s="34">
        <v>41640</v>
      </c>
      <c r="J92" s="1">
        <v>147.24</v>
      </c>
      <c r="K92" s="34">
        <v>41640</v>
      </c>
      <c r="L92" s="1">
        <v>3715</v>
      </c>
      <c r="M92" s="34">
        <v>41640</v>
      </c>
      <c r="N92" s="1">
        <v>704.6</v>
      </c>
    </row>
    <row r="93" spans="1:14" x14ac:dyDescent="0.25">
      <c r="A93" s="34">
        <v>41671</v>
      </c>
      <c r="B93" s="1">
        <v>3769.9</v>
      </c>
      <c r="C93" s="34">
        <v>41671</v>
      </c>
      <c r="D93" s="1">
        <v>2641</v>
      </c>
      <c r="E93" s="34">
        <v>41671</v>
      </c>
      <c r="F93" s="1">
        <v>4.9000000000000004</v>
      </c>
      <c r="G93" s="34">
        <v>41671</v>
      </c>
      <c r="H93" s="1">
        <v>0.28000000000000003</v>
      </c>
      <c r="I93" s="34">
        <v>41671</v>
      </c>
      <c r="J93" s="1">
        <v>147.36000000000001</v>
      </c>
      <c r="K93" s="34">
        <v>41671</v>
      </c>
      <c r="L93" s="1">
        <v>3717.4</v>
      </c>
      <c r="M93" s="34">
        <v>41671</v>
      </c>
      <c r="N93" s="1">
        <v>714.1</v>
      </c>
    </row>
    <row r="94" spans="1:14" x14ac:dyDescent="0.25">
      <c r="A94" s="34">
        <v>41699</v>
      </c>
      <c r="B94" s="1">
        <v>3765.1</v>
      </c>
      <c r="C94" s="34">
        <v>41699</v>
      </c>
      <c r="D94" s="1">
        <v>2008</v>
      </c>
      <c r="E94" s="34">
        <v>41699</v>
      </c>
      <c r="F94" s="1">
        <v>4.9000000000000004</v>
      </c>
      <c r="G94" s="34">
        <v>41699</v>
      </c>
      <c r="H94" s="1">
        <v>0.5</v>
      </c>
      <c r="I94" s="34">
        <v>41699</v>
      </c>
      <c r="J94" s="1">
        <v>147.44999999999999</v>
      </c>
      <c r="K94" s="34">
        <v>41699</v>
      </c>
      <c r="L94" s="1">
        <v>3741.5</v>
      </c>
      <c r="M94" s="34">
        <v>41699</v>
      </c>
      <c r="N94" s="1">
        <v>716.3</v>
      </c>
    </row>
    <row r="95" spans="1:14" x14ac:dyDescent="0.25">
      <c r="A95" s="34">
        <v>41730</v>
      </c>
      <c r="B95" s="1">
        <v>3767.2</v>
      </c>
      <c r="C95" s="34">
        <v>41730</v>
      </c>
      <c r="D95" s="1">
        <v>2268</v>
      </c>
      <c r="E95" s="34">
        <v>41730</v>
      </c>
      <c r="F95" s="1">
        <v>4.9000000000000004</v>
      </c>
      <c r="G95" s="34">
        <v>41730</v>
      </c>
      <c r="H95" s="1">
        <v>0.25</v>
      </c>
      <c r="I95" s="34">
        <v>41730</v>
      </c>
      <c r="J95" s="1">
        <v>147.53</v>
      </c>
      <c r="K95" s="34">
        <v>41730</v>
      </c>
      <c r="L95" s="1">
        <v>3770.4</v>
      </c>
      <c r="M95" s="34">
        <v>41730</v>
      </c>
      <c r="N95" s="1">
        <v>719.2</v>
      </c>
    </row>
    <row r="96" spans="1:14" x14ac:dyDescent="0.25">
      <c r="A96" s="34">
        <v>41760</v>
      </c>
      <c r="B96" s="1">
        <v>3765.9</v>
      </c>
      <c r="C96" s="34">
        <v>41760</v>
      </c>
      <c r="D96" s="1">
        <v>2383</v>
      </c>
      <c r="E96" s="34">
        <v>41760</v>
      </c>
      <c r="F96" s="1">
        <v>5.0999999999999996</v>
      </c>
      <c r="G96" s="34">
        <v>41760</v>
      </c>
      <c r="H96" s="1">
        <v>-0.12</v>
      </c>
      <c r="I96" s="34">
        <v>41760</v>
      </c>
      <c r="J96" s="1">
        <v>147.53</v>
      </c>
      <c r="K96" s="34">
        <v>41760</v>
      </c>
      <c r="L96" s="1">
        <v>3785.3</v>
      </c>
      <c r="M96" s="34">
        <v>41760</v>
      </c>
      <c r="N96" s="1">
        <v>714.3</v>
      </c>
    </row>
    <row r="97" spans="1:14" x14ac:dyDescent="0.25">
      <c r="A97" s="34">
        <v>41791</v>
      </c>
      <c r="B97" s="1">
        <v>3774.9</v>
      </c>
      <c r="C97" s="34">
        <v>41791</v>
      </c>
      <c r="D97" s="1">
        <v>3078</v>
      </c>
      <c r="E97" s="34">
        <v>41791</v>
      </c>
      <c r="F97" s="1">
        <v>5.3</v>
      </c>
      <c r="G97" s="34">
        <v>41791</v>
      </c>
      <c r="H97" s="1">
        <v>0.4</v>
      </c>
      <c r="I97" s="34">
        <v>41791</v>
      </c>
      <c r="J97" s="1">
        <v>147.56</v>
      </c>
      <c r="K97" s="34">
        <v>41791</v>
      </c>
      <c r="L97" s="1">
        <v>3809.1</v>
      </c>
      <c r="M97" s="34">
        <v>41791</v>
      </c>
      <c r="N97" s="1">
        <v>709.2</v>
      </c>
    </row>
    <row r="98" spans="1:14" x14ac:dyDescent="0.25">
      <c r="A98" s="34">
        <v>41821</v>
      </c>
      <c r="B98" s="1">
        <v>3788.6</v>
      </c>
      <c r="C98" s="34">
        <v>41821</v>
      </c>
      <c r="D98" s="1">
        <v>2779</v>
      </c>
      <c r="E98" s="34">
        <v>41821</v>
      </c>
      <c r="F98" s="1">
        <v>5.3</v>
      </c>
      <c r="G98" s="34">
        <v>41821</v>
      </c>
      <c r="H98" s="1">
        <v>0.59</v>
      </c>
      <c r="I98" s="34">
        <v>41821</v>
      </c>
      <c r="J98" s="1">
        <v>147.63999999999999</v>
      </c>
      <c r="K98" s="34">
        <v>41821</v>
      </c>
      <c r="L98" s="1">
        <v>3794.4</v>
      </c>
      <c r="M98" s="34">
        <v>41821</v>
      </c>
      <c r="N98" s="1">
        <v>678.7</v>
      </c>
    </row>
    <row r="99" spans="1:14" x14ac:dyDescent="0.25">
      <c r="A99" s="34">
        <v>41852</v>
      </c>
      <c r="B99" s="1">
        <v>3783.2</v>
      </c>
      <c r="C99" s="34">
        <v>41852</v>
      </c>
      <c r="D99" s="1">
        <v>2125</v>
      </c>
      <c r="E99" s="34">
        <v>41852</v>
      </c>
      <c r="F99" s="1">
        <v>5.5</v>
      </c>
      <c r="G99" s="34">
        <v>41852</v>
      </c>
      <c r="H99" s="1">
        <v>-0.35</v>
      </c>
      <c r="I99" s="34">
        <v>41852</v>
      </c>
      <c r="J99" s="1">
        <v>147.61000000000001</v>
      </c>
      <c r="K99" s="34">
        <v>41852</v>
      </c>
      <c r="L99" s="1">
        <v>3779.6</v>
      </c>
      <c r="M99" s="34">
        <v>41852</v>
      </c>
      <c r="N99" s="1">
        <v>675.5</v>
      </c>
    </row>
    <row r="100" spans="1:14" x14ac:dyDescent="0.25">
      <c r="A100" s="34">
        <v>41883</v>
      </c>
      <c r="B100" s="1">
        <v>3776.5</v>
      </c>
      <c r="C100" s="34">
        <v>41883</v>
      </c>
      <c r="D100" s="1">
        <v>2442</v>
      </c>
      <c r="E100" s="34">
        <v>41883</v>
      </c>
      <c r="F100" s="1">
        <v>5.5</v>
      </c>
      <c r="G100" s="34">
        <v>41883</v>
      </c>
      <c r="H100" s="1">
        <v>0.79</v>
      </c>
      <c r="I100" s="34">
        <v>41883</v>
      </c>
      <c r="J100" s="1">
        <v>147.65</v>
      </c>
      <c r="K100" s="34">
        <v>41883</v>
      </c>
      <c r="L100" s="1">
        <v>3781.8</v>
      </c>
      <c r="M100" s="34">
        <v>41883</v>
      </c>
      <c r="N100" s="1">
        <v>705.7</v>
      </c>
    </row>
    <row r="101" spans="1:14" x14ac:dyDescent="0.25">
      <c r="A101" s="34">
        <v>41913</v>
      </c>
      <c r="B101" s="1">
        <v>3772.9</v>
      </c>
      <c r="C101" s="34">
        <v>41913</v>
      </c>
      <c r="D101" s="1">
        <v>2812</v>
      </c>
      <c r="E101" s="34">
        <v>41913</v>
      </c>
      <c r="F101" s="1">
        <v>5.3</v>
      </c>
      <c r="G101" s="34">
        <v>41913</v>
      </c>
      <c r="H101" s="1">
        <v>1.5</v>
      </c>
      <c r="I101" s="34">
        <v>41913</v>
      </c>
      <c r="J101" s="1">
        <v>147.88</v>
      </c>
      <c r="K101" s="34">
        <v>41913</v>
      </c>
      <c r="L101" s="1">
        <v>3796.9</v>
      </c>
      <c r="M101" s="34">
        <v>41913</v>
      </c>
      <c r="N101" s="1">
        <v>716.2</v>
      </c>
    </row>
    <row r="102" spans="1:14" x14ac:dyDescent="0.25">
      <c r="A102" s="34">
        <v>41944</v>
      </c>
      <c r="B102" s="1">
        <v>3791.3</v>
      </c>
      <c r="C102" s="34">
        <v>41944</v>
      </c>
      <c r="D102" s="1">
        <v>1831</v>
      </c>
      <c r="E102" s="34">
        <v>41944</v>
      </c>
      <c r="F102" s="1">
        <v>5</v>
      </c>
      <c r="G102" s="34">
        <v>41944</v>
      </c>
      <c r="H102" s="1">
        <v>1.72</v>
      </c>
      <c r="I102" s="34">
        <v>41944</v>
      </c>
      <c r="J102" s="1">
        <v>148.21</v>
      </c>
      <c r="K102" s="34">
        <v>41944</v>
      </c>
      <c r="L102" s="1">
        <v>3816.7</v>
      </c>
      <c r="M102" s="34">
        <v>41944</v>
      </c>
      <c r="N102" s="1">
        <v>721.5</v>
      </c>
    </row>
    <row r="103" spans="1:14" x14ac:dyDescent="0.25">
      <c r="A103" s="34">
        <v>41974</v>
      </c>
      <c r="B103" s="1">
        <v>3797.3</v>
      </c>
      <c r="E103" s="34">
        <v>41974</v>
      </c>
      <c r="F103" s="1">
        <v>4.8</v>
      </c>
      <c r="K103" s="34">
        <v>41974</v>
      </c>
      <c r="L103" s="1">
        <v>3814</v>
      </c>
      <c r="M103" s="34">
        <v>41974</v>
      </c>
      <c r="N103" s="1">
        <v>719.7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  <hyperlink ref="Q5" r:id="rId9"/>
  </hyperlink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P103"/>
  <sheetViews>
    <sheetView topLeftCell="A82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303</v>
      </c>
      <c r="C1" s="34" t="s">
        <v>304</v>
      </c>
      <c r="E1" s="34" t="s">
        <v>305</v>
      </c>
      <c r="G1" s="34" t="s">
        <v>306</v>
      </c>
      <c r="I1" s="34" t="s">
        <v>307</v>
      </c>
      <c r="K1" s="34" t="str">
        <f>CONCATENATE(LEFT(A1,2), "NAN")</f>
        <v>VTNAN</v>
      </c>
      <c r="M1" s="34" t="str">
        <f>CONCATENATE(LEFT(A1,2), "GOVTN")</f>
        <v>VTGOVTN</v>
      </c>
      <c r="O1" s="34" t="str">
        <f>CONCATENATE(LEFT($A$1,2), "RGSP")</f>
        <v>VTRGSP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936</v>
      </c>
      <c r="C5" s="35" t="s">
        <v>335</v>
      </c>
      <c r="E5" s="35" t="s">
        <v>336</v>
      </c>
      <c r="G5" s="35" t="s">
        <v>337</v>
      </c>
      <c r="I5" s="35" t="s">
        <v>338</v>
      </c>
      <c r="K5" s="35" t="s">
        <v>936</v>
      </c>
      <c r="M5" s="35" t="s">
        <v>937</v>
      </c>
      <c r="O5" s="35" t="s">
        <v>774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308</v>
      </c>
      <c r="C8" s="34">
        <v>39083</v>
      </c>
      <c r="D8" s="1">
        <v>85</v>
      </c>
      <c r="E8" s="34">
        <v>39083</v>
      </c>
      <c r="F8" s="1">
        <v>3.9</v>
      </c>
      <c r="G8" s="34">
        <v>39083</v>
      </c>
      <c r="H8" s="1">
        <v>0.23</v>
      </c>
      <c r="I8" s="34">
        <v>39083</v>
      </c>
      <c r="J8" s="1">
        <v>149.11000000000001</v>
      </c>
      <c r="K8" s="34">
        <v>39083</v>
      </c>
      <c r="L8" s="1">
        <v>306.2</v>
      </c>
      <c r="M8" s="34">
        <v>39083</v>
      </c>
      <c r="N8" s="1">
        <v>54.8</v>
      </c>
      <c r="O8" s="34">
        <v>39083</v>
      </c>
      <c r="P8" s="1">
        <v>25836</v>
      </c>
    </row>
    <row r="9" spans="1:16" x14ac:dyDescent="0.25">
      <c r="A9" s="34">
        <v>39114</v>
      </c>
      <c r="B9" s="1">
        <v>307.8</v>
      </c>
      <c r="C9" s="34">
        <v>39114</v>
      </c>
      <c r="D9" s="1">
        <v>92</v>
      </c>
      <c r="E9" s="34">
        <v>39114</v>
      </c>
      <c r="F9" s="1">
        <v>3.9</v>
      </c>
      <c r="G9" s="34">
        <v>39114</v>
      </c>
      <c r="H9" s="1">
        <v>0.15</v>
      </c>
      <c r="I9" s="34">
        <v>39114</v>
      </c>
      <c r="J9" s="1">
        <v>149.22</v>
      </c>
      <c r="K9" s="34">
        <v>39114</v>
      </c>
      <c r="L9" s="1">
        <v>307.2</v>
      </c>
      <c r="M9" s="34">
        <v>39114</v>
      </c>
      <c r="N9" s="1">
        <v>56.4</v>
      </c>
      <c r="O9" s="34">
        <v>39448</v>
      </c>
      <c r="P9" s="1">
        <v>25900</v>
      </c>
    </row>
    <row r="10" spans="1:16" x14ac:dyDescent="0.25">
      <c r="A10" s="34">
        <v>39142</v>
      </c>
      <c r="B10" s="1">
        <v>308.5</v>
      </c>
      <c r="C10" s="34">
        <v>39142</v>
      </c>
      <c r="D10" s="1">
        <v>253</v>
      </c>
      <c r="E10" s="34">
        <v>39142</v>
      </c>
      <c r="F10" s="1">
        <v>3.9</v>
      </c>
      <c r="G10" s="34">
        <v>39142</v>
      </c>
      <c r="H10" s="1">
        <v>0.33</v>
      </c>
      <c r="I10" s="34">
        <v>39142</v>
      </c>
      <c r="J10" s="1">
        <v>149.33000000000001</v>
      </c>
      <c r="K10" s="34">
        <v>39142</v>
      </c>
      <c r="L10" s="1">
        <v>306.8</v>
      </c>
      <c r="M10" s="34">
        <v>39142</v>
      </c>
      <c r="N10" s="1">
        <v>56.4</v>
      </c>
      <c r="O10" s="34">
        <v>39814</v>
      </c>
      <c r="P10" s="1">
        <v>25250</v>
      </c>
    </row>
    <row r="11" spans="1:16" x14ac:dyDescent="0.25">
      <c r="A11" s="34">
        <v>39173</v>
      </c>
      <c r="B11" s="1">
        <v>307.8</v>
      </c>
      <c r="C11" s="34">
        <v>39173</v>
      </c>
      <c r="D11" s="1">
        <v>234</v>
      </c>
      <c r="E11" s="34">
        <v>39173</v>
      </c>
      <c r="F11" s="1">
        <v>3.9</v>
      </c>
      <c r="G11" s="34">
        <v>39173</v>
      </c>
      <c r="H11" s="1">
        <v>0.4</v>
      </c>
      <c r="I11" s="34">
        <v>39173</v>
      </c>
      <c r="J11" s="1">
        <v>149.44</v>
      </c>
      <c r="K11" s="34">
        <v>39173</v>
      </c>
      <c r="L11" s="1">
        <v>303.3</v>
      </c>
      <c r="M11" s="34">
        <v>39173</v>
      </c>
      <c r="N11" s="1">
        <v>56</v>
      </c>
      <c r="O11" s="34">
        <v>40179</v>
      </c>
      <c r="P11" s="1">
        <v>26349</v>
      </c>
    </row>
    <row r="12" spans="1:16" x14ac:dyDescent="0.25">
      <c r="A12" s="34">
        <v>39203</v>
      </c>
      <c r="B12" s="1">
        <v>308.39999999999998</v>
      </c>
      <c r="C12" s="34">
        <v>39203</v>
      </c>
      <c r="D12" s="1">
        <v>191</v>
      </c>
      <c r="E12" s="34">
        <v>39203</v>
      </c>
      <c r="F12" s="1">
        <v>3.9</v>
      </c>
      <c r="G12" s="34">
        <v>39203</v>
      </c>
      <c r="H12" s="1">
        <v>0.54</v>
      </c>
      <c r="I12" s="34">
        <v>39203</v>
      </c>
      <c r="J12" s="1">
        <v>149.58000000000001</v>
      </c>
      <c r="K12" s="34">
        <v>39203</v>
      </c>
      <c r="L12" s="1">
        <v>308.2</v>
      </c>
      <c r="M12" s="34">
        <v>39203</v>
      </c>
      <c r="N12" s="1">
        <v>56.2</v>
      </c>
      <c r="O12" s="34">
        <v>40544</v>
      </c>
      <c r="P12" s="1">
        <v>26924</v>
      </c>
    </row>
    <row r="13" spans="1:16" x14ac:dyDescent="0.25">
      <c r="A13" s="34">
        <v>39234</v>
      </c>
      <c r="B13" s="1">
        <v>309.60000000000002</v>
      </c>
      <c r="C13" s="34">
        <v>39234</v>
      </c>
      <c r="D13" s="1">
        <v>182</v>
      </c>
      <c r="E13" s="34">
        <v>39234</v>
      </c>
      <c r="F13" s="1">
        <v>3.9</v>
      </c>
      <c r="G13" s="34">
        <v>39234</v>
      </c>
      <c r="H13" s="1">
        <v>0.47</v>
      </c>
      <c r="I13" s="34">
        <v>39234</v>
      </c>
      <c r="J13" s="1">
        <v>149.71</v>
      </c>
      <c r="K13" s="34">
        <v>39234</v>
      </c>
      <c r="L13" s="1">
        <v>311.60000000000002</v>
      </c>
      <c r="M13" s="34">
        <v>39234</v>
      </c>
      <c r="N13" s="1">
        <v>53.7</v>
      </c>
      <c r="O13" s="34">
        <v>40909</v>
      </c>
      <c r="P13" s="1">
        <v>27207</v>
      </c>
    </row>
    <row r="14" spans="1:16" x14ac:dyDescent="0.25">
      <c r="A14" s="34">
        <v>39264</v>
      </c>
      <c r="B14" s="1">
        <v>309.2</v>
      </c>
      <c r="C14" s="34">
        <v>39264</v>
      </c>
      <c r="D14" s="1">
        <v>256</v>
      </c>
      <c r="E14" s="34">
        <v>39264</v>
      </c>
      <c r="F14" s="1">
        <v>3.9</v>
      </c>
      <c r="G14" s="34">
        <v>39264</v>
      </c>
      <c r="H14" s="1">
        <v>0.2</v>
      </c>
      <c r="I14" s="34">
        <v>39264</v>
      </c>
      <c r="J14" s="1">
        <v>149.74</v>
      </c>
      <c r="K14" s="34">
        <v>39264</v>
      </c>
      <c r="L14" s="1">
        <v>303.7</v>
      </c>
      <c r="M14" s="34">
        <v>39264</v>
      </c>
      <c r="N14" s="1">
        <v>44.3</v>
      </c>
      <c r="O14" s="34">
        <v>41275</v>
      </c>
      <c r="P14" s="1">
        <v>27723</v>
      </c>
    </row>
    <row r="15" spans="1:16" x14ac:dyDescent="0.25">
      <c r="A15" s="34">
        <v>39295</v>
      </c>
      <c r="B15" s="1">
        <v>308.39999999999998</v>
      </c>
      <c r="C15" s="34">
        <v>39295</v>
      </c>
      <c r="D15" s="1">
        <v>205</v>
      </c>
      <c r="E15" s="34">
        <v>39295</v>
      </c>
      <c r="F15" s="1">
        <v>3.9</v>
      </c>
      <c r="G15" s="34">
        <v>39295</v>
      </c>
      <c r="H15" s="1">
        <v>0.1</v>
      </c>
      <c r="I15" s="34">
        <v>39295</v>
      </c>
      <c r="J15" s="1">
        <v>149.77000000000001</v>
      </c>
      <c r="K15" s="34">
        <v>39295</v>
      </c>
      <c r="L15" s="1">
        <v>303.5</v>
      </c>
      <c r="M15" s="34">
        <v>39295</v>
      </c>
      <c r="N15" s="1">
        <v>44.1</v>
      </c>
    </row>
    <row r="16" spans="1:16" x14ac:dyDescent="0.25">
      <c r="A16" s="34">
        <v>39326</v>
      </c>
      <c r="B16" s="1">
        <v>308.2</v>
      </c>
      <c r="C16" s="34">
        <v>39326</v>
      </c>
      <c r="D16" s="1">
        <v>173</v>
      </c>
      <c r="E16" s="34">
        <v>39326</v>
      </c>
      <c r="F16" s="1">
        <v>4</v>
      </c>
      <c r="G16" s="34">
        <v>39326</v>
      </c>
      <c r="H16" s="1">
        <v>-0.62</v>
      </c>
      <c r="I16" s="34">
        <v>39326</v>
      </c>
      <c r="J16" s="1">
        <v>149.55000000000001</v>
      </c>
      <c r="K16" s="34">
        <v>39326</v>
      </c>
      <c r="L16" s="1">
        <v>310.8</v>
      </c>
      <c r="M16" s="34">
        <v>39326</v>
      </c>
      <c r="N16" s="1">
        <v>54.6</v>
      </c>
    </row>
    <row r="17" spans="1:14" x14ac:dyDescent="0.25">
      <c r="A17" s="34">
        <v>39356</v>
      </c>
      <c r="B17" s="1">
        <v>307.5</v>
      </c>
      <c r="C17" s="34">
        <v>39356</v>
      </c>
      <c r="D17" s="1">
        <v>133</v>
      </c>
      <c r="E17" s="34">
        <v>39356</v>
      </c>
      <c r="F17" s="1">
        <v>4</v>
      </c>
      <c r="G17" s="34">
        <v>39356</v>
      </c>
      <c r="H17" s="1">
        <v>-0.19</v>
      </c>
      <c r="I17" s="34">
        <v>39356</v>
      </c>
      <c r="J17" s="1">
        <v>149.58000000000001</v>
      </c>
      <c r="K17" s="34">
        <v>39356</v>
      </c>
      <c r="L17" s="1">
        <v>312.10000000000002</v>
      </c>
      <c r="M17" s="34">
        <v>39356</v>
      </c>
      <c r="N17" s="1">
        <v>56.5</v>
      </c>
    </row>
    <row r="18" spans="1:14" x14ac:dyDescent="0.25">
      <c r="A18" s="34">
        <v>39387</v>
      </c>
      <c r="B18" s="1">
        <v>308.2</v>
      </c>
      <c r="C18" s="34">
        <v>39387</v>
      </c>
      <c r="D18" s="1">
        <v>109</v>
      </c>
      <c r="E18" s="34">
        <v>39387</v>
      </c>
      <c r="F18" s="1">
        <v>4</v>
      </c>
      <c r="G18" s="34">
        <v>39387</v>
      </c>
      <c r="H18" s="1">
        <v>0.43</v>
      </c>
      <c r="I18" s="34">
        <v>39387</v>
      </c>
      <c r="J18" s="1">
        <v>149.69</v>
      </c>
      <c r="K18" s="34">
        <v>39387</v>
      </c>
      <c r="L18" s="1">
        <v>311.3</v>
      </c>
      <c r="M18" s="34">
        <v>39387</v>
      </c>
      <c r="N18" s="1">
        <v>56.6</v>
      </c>
    </row>
    <row r="19" spans="1:14" x14ac:dyDescent="0.25">
      <c r="A19" s="34">
        <v>39417</v>
      </c>
      <c r="B19" s="1">
        <v>308.5</v>
      </c>
      <c r="C19" s="34">
        <v>39417</v>
      </c>
      <c r="D19" s="1">
        <v>64</v>
      </c>
      <c r="E19" s="34">
        <v>39417</v>
      </c>
      <c r="F19" s="1">
        <v>4.0999999999999996</v>
      </c>
      <c r="G19" s="34">
        <v>39417</v>
      </c>
      <c r="H19" s="1">
        <v>-0.4</v>
      </c>
      <c r="I19" s="34">
        <v>39417</v>
      </c>
      <c r="J19" s="1">
        <v>149.58000000000001</v>
      </c>
      <c r="K19" s="34">
        <v>39417</v>
      </c>
      <c r="L19" s="1">
        <v>315.5</v>
      </c>
      <c r="M19" s="34">
        <v>39417</v>
      </c>
      <c r="N19" s="1">
        <v>56.8</v>
      </c>
    </row>
    <row r="20" spans="1:14" x14ac:dyDescent="0.25">
      <c r="A20" s="34">
        <v>39448</v>
      </c>
      <c r="B20" s="1">
        <v>308.89999999999998</v>
      </c>
      <c r="C20" s="34">
        <v>39448</v>
      </c>
      <c r="D20" s="1">
        <v>62</v>
      </c>
      <c r="E20" s="34">
        <v>39448</v>
      </c>
      <c r="F20" s="1">
        <v>4.0999999999999996</v>
      </c>
      <c r="G20" s="34">
        <v>39448</v>
      </c>
      <c r="H20" s="1">
        <v>7.0000000000000007E-2</v>
      </c>
      <c r="I20" s="34">
        <v>39448</v>
      </c>
      <c r="J20" s="1">
        <v>149.74</v>
      </c>
      <c r="K20" s="34">
        <v>39448</v>
      </c>
      <c r="L20" s="1">
        <v>307</v>
      </c>
      <c r="M20" s="34">
        <v>39448</v>
      </c>
      <c r="N20" s="1">
        <v>55.5</v>
      </c>
    </row>
    <row r="21" spans="1:14" x14ac:dyDescent="0.25">
      <c r="A21" s="34">
        <v>39479</v>
      </c>
      <c r="B21" s="1">
        <v>309.10000000000002</v>
      </c>
      <c r="C21" s="34">
        <v>39479</v>
      </c>
      <c r="D21" s="1">
        <v>58</v>
      </c>
      <c r="E21" s="34">
        <v>39479</v>
      </c>
      <c r="F21" s="1">
        <v>4.2</v>
      </c>
      <c r="G21" s="34">
        <v>39479</v>
      </c>
      <c r="H21" s="1">
        <v>-0.32</v>
      </c>
      <c r="I21" s="34">
        <v>39479</v>
      </c>
      <c r="J21" s="1">
        <v>149.54</v>
      </c>
      <c r="K21" s="34">
        <v>39479</v>
      </c>
      <c r="L21" s="1">
        <v>308.39999999999998</v>
      </c>
      <c r="M21" s="34">
        <v>39479</v>
      </c>
      <c r="N21" s="1">
        <v>56.4</v>
      </c>
    </row>
    <row r="22" spans="1:14" x14ac:dyDescent="0.25">
      <c r="A22" s="34">
        <v>39508</v>
      </c>
      <c r="B22" s="1">
        <v>308.5</v>
      </c>
      <c r="C22" s="34">
        <v>39508</v>
      </c>
      <c r="D22" s="1">
        <v>138</v>
      </c>
      <c r="E22" s="34">
        <v>39508</v>
      </c>
      <c r="F22" s="1">
        <v>4.2</v>
      </c>
      <c r="G22" s="34">
        <v>39508</v>
      </c>
      <c r="H22" s="1">
        <v>-7.0000000000000007E-2</v>
      </c>
      <c r="I22" s="34">
        <v>39508</v>
      </c>
      <c r="J22" s="1">
        <v>149.59</v>
      </c>
      <c r="K22" s="34">
        <v>39508</v>
      </c>
      <c r="L22" s="1">
        <v>306.60000000000002</v>
      </c>
      <c r="M22" s="34">
        <v>39508</v>
      </c>
      <c r="N22" s="1">
        <v>56.3</v>
      </c>
    </row>
    <row r="23" spans="1:14" x14ac:dyDescent="0.25">
      <c r="A23" s="34">
        <v>39539</v>
      </c>
      <c r="B23" s="1">
        <v>309.10000000000002</v>
      </c>
      <c r="C23" s="34">
        <v>39539</v>
      </c>
      <c r="D23" s="1">
        <v>133</v>
      </c>
      <c r="E23" s="34">
        <v>39539</v>
      </c>
      <c r="F23" s="1">
        <v>4.3</v>
      </c>
      <c r="G23" s="34">
        <v>39539</v>
      </c>
      <c r="H23" s="1">
        <v>-0.59</v>
      </c>
      <c r="I23" s="34">
        <v>39539</v>
      </c>
      <c r="J23" s="1">
        <v>149.31</v>
      </c>
      <c r="K23" s="34">
        <v>39539</v>
      </c>
      <c r="L23" s="1">
        <v>304.5</v>
      </c>
      <c r="M23" s="34">
        <v>39539</v>
      </c>
      <c r="N23" s="1">
        <v>56.3</v>
      </c>
    </row>
    <row r="24" spans="1:14" x14ac:dyDescent="0.25">
      <c r="A24" s="34">
        <v>39569</v>
      </c>
      <c r="B24" s="1">
        <v>309</v>
      </c>
      <c r="C24" s="34">
        <v>39569</v>
      </c>
      <c r="D24" s="1">
        <v>131</v>
      </c>
      <c r="E24" s="34">
        <v>39569</v>
      </c>
      <c r="F24" s="1">
        <v>4.3</v>
      </c>
      <c r="G24" s="34">
        <v>39569</v>
      </c>
      <c r="H24" s="1">
        <v>-0.2</v>
      </c>
      <c r="I24" s="34">
        <v>39569</v>
      </c>
      <c r="J24" s="1">
        <v>149.22999999999999</v>
      </c>
      <c r="K24" s="34">
        <v>39569</v>
      </c>
      <c r="L24" s="1">
        <v>308.60000000000002</v>
      </c>
      <c r="M24" s="34">
        <v>39569</v>
      </c>
      <c r="N24" s="1">
        <v>56.2</v>
      </c>
    </row>
    <row r="25" spans="1:14" x14ac:dyDescent="0.25">
      <c r="A25" s="34">
        <v>39600</v>
      </c>
      <c r="B25" s="1">
        <v>307.7</v>
      </c>
      <c r="C25" s="34">
        <v>39600</v>
      </c>
      <c r="D25" s="1">
        <v>199</v>
      </c>
      <c r="E25" s="34">
        <v>39600</v>
      </c>
      <c r="F25" s="1">
        <v>4.3</v>
      </c>
      <c r="G25" s="34">
        <v>39600</v>
      </c>
      <c r="H25" s="1">
        <v>0.01</v>
      </c>
      <c r="I25" s="34">
        <v>39600</v>
      </c>
      <c r="J25" s="1">
        <v>149.08000000000001</v>
      </c>
      <c r="K25" s="34">
        <v>39600</v>
      </c>
      <c r="L25" s="1">
        <v>309</v>
      </c>
      <c r="M25" s="34">
        <v>39600</v>
      </c>
      <c r="N25" s="1">
        <v>53.4</v>
      </c>
    </row>
    <row r="26" spans="1:14" x14ac:dyDescent="0.25">
      <c r="A26" s="34">
        <v>39630</v>
      </c>
      <c r="B26" s="1">
        <v>307.10000000000002</v>
      </c>
      <c r="C26" s="34">
        <v>39630</v>
      </c>
      <c r="D26" s="1">
        <v>155</v>
      </c>
      <c r="E26" s="34">
        <v>39630</v>
      </c>
      <c r="F26" s="1">
        <v>4.4000000000000004</v>
      </c>
      <c r="G26" s="34">
        <v>39630</v>
      </c>
      <c r="H26" s="1">
        <v>-0.71</v>
      </c>
      <c r="I26" s="34">
        <v>39630</v>
      </c>
      <c r="J26" s="1">
        <v>148.74</v>
      </c>
      <c r="K26" s="34">
        <v>39630</v>
      </c>
      <c r="L26" s="1">
        <v>301.7</v>
      </c>
      <c r="M26" s="34">
        <v>39630</v>
      </c>
      <c r="N26" s="1">
        <v>44.6</v>
      </c>
    </row>
    <row r="27" spans="1:14" x14ac:dyDescent="0.25">
      <c r="A27" s="34">
        <v>39661</v>
      </c>
      <c r="B27" s="1">
        <v>306.60000000000002</v>
      </c>
      <c r="C27" s="34">
        <v>39661</v>
      </c>
      <c r="D27" s="1">
        <v>167</v>
      </c>
      <c r="E27" s="34">
        <v>39661</v>
      </c>
      <c r="F27" s="1">
        <v>4.5</v>
      </c>
      <c r="G27" s="34">
        <v>39661</v>
      </c>
      <c r="H27" s="1">
        <v>-0.8</v>
      </c>
      <c r="I27" s="34">
        <v>39661</v>
      </c>
      <c r="J27" s="1">
        <v>148.41999999999999</v>
      </c>
      <c r="K27" s="34">
        <v>39661</v>
      </c>
      <c r="L27" s="1">
        <v>301.5</v>
      </c>
      <c r="M27" s="34">
        <v>39661</v>
      </c>
      <c r="N27" s="1">
        <v>44.6</v>
      </c>
    </row>
    <row r="28" spans="1:14" x14ac:dyDescent="0.25">
      <c r="A28" s="34">
        <v>39692</v>
      </c>
      <c r="B28" s="1">
        <v>306.60000000000002</v>
      </c>
      <c r="C28" s="34">
        <v>39692</v>
      </c>
      <c r="D28" s="1">
        <v>159</v>
      </c>
      <c r="E28" s="34">
        <v>39692</v>
      </c>
      <c r="F28" s="1">
        <v>4.5999999999999996</v>
      </c>
      <c r="G28" s="34">
        <v>39692</v>
      </c>
      <c r="H28" s="1">
        <v>-0.67</v>
      </c>
      <c r="I28" s="34">
        <v>39692</v>
      </c>
      <c r="J28" s="1">
        <v>148.11000000000001</v>
      </c>
      <c r="K28" s="34">
        <v>39692</v>
      </c>
      <c r="L28" s="1">
        <v>309.2</v>
      </c>
      <c r="M28" s="34">
        <v>39692</v>
      </c>
      <c r="N28" s="1">
        <v>54.9</v>
      </c>
    </row>
    <row r="29" spans="1:14" x14ac:dyDescent="0.25">
      <c r="A29" s="34">
        <v>39722</v>
      </c>
      <c r="B29" s="1">
        <v>305.7</v>
      </c>
      <c r="C29" s="34">
        <v>39722</v>
      </c>
      <c r="D29" s="1">
        <v>70</v>
      </c>
      <c r="E29" s="34">
        <v>39722</v>
      </c>
      <c r="F29" s="1">
        <v>4.8</v>
      </c>
      <c r="G29" s="34">
        <v>39722</v>
      </c>
      <c r="H29" s="1">
        <v>-1.1299999999999999</v>
      </c>
      <c r="I29" s="34">
        <v>39722</v>
      </c>
      <c r="J29" s="1">
        <v>147.61000000000001</v>
      </c>
      <c r="K29" s="34">
        <v>39722</v>
      </c>
      <c r="L29" s="1">
        <v>311.89999999999998</v>
      </c>
      <c r="M29" s="34">
        <v>39722</v>
      </c>
      <c r="N29" s="1">
        <v>57.3</v>
      </c>
    </row>
    <row r="30" spans="1:14" x14ac:dyDescent="0.25">
      <c r="A30" s="34">
        <v>39753</v>
      </c>
      <c r="B30" s="1">
        <v>305.3</v>
      </c>
      <c r="C30" s="34">
        <v>39753</v>
      </c>
      <c r="D30" s="1">
        <v>38</v>
      </c>
      <c r="E30" s="34">
        <v>39753</v>
      </c>
      <c r="F30" s="1">
        <v>5.2</v>
      </c>
      <c r="G30" s="34">
        <v>39753</v>
      </c>
      <c r="H30" s="1">
        <v>-2.62</v>
      </c>
      <c r="I30" s="34">
        <v>39753</v>
      </c>
      <c r="J30" s="1">
        <v>146.68</v>
      </c>
      <c r="K30" s="34">
        <v>39753</v>
      </c>
      <c r="L30" s="1">
        <v>307.89999999999998</v>
      </c>
      <c r="M30" s="34">
        <v>39753</v>
      </c>
      <c r="N30" s="1">
        <v>57.6</v>
      </c>
    </row>
    <row r="31" spans="1:14" x14ac:dyDescent="0.25">
      <c r="A31" s="34">
        <v>39783</v>
      </c>
      <c r="B31" s="1">
        <v>303.3</v>
      </c>
      <c r="C31" s="34">
        <v>39783</v>
      </c>
      <c r="D31" s="1">
        <v>91</v>
      </c>
      <c r="E31" s="34">
        <v>39783</v>
      </c>
      <c r="F31" s="1">
        <v>5.7</v>
      </c>
      <c r="G31" s="34">
        <v>39783</v>
      </c>
      <c r="H31" s="1">
        <v>-3.61</v>
      </c>
      <c r="I31" s="34">
        <v>39783</v>
      </c>
      <c r="J31" s="1">
        <v>145.53</v>
      </c>
      <c r="K31" s="34">
        <v>39783</v>
      </c>
      <c r="L31" s="1">
        <v>310.3</v>
      </c>
      <c r="M31" s="34">
        <v>39783</v>
      </c>
      <c r="N31" s="1">
        <v>57.4</v>
      </c>
    </row>
    <row r="32" spans="1:14" x14ac:dyDescent="0.25">
      <c r="A32" s="34">
        <v>39814</v>
      </c>
      <c r="B32" s="1">
        <v>301.39999999999998</v>
      </c>
      <c r="C32" s="34">
        <v>39814</v>
      </c>
      <c r="D32" s="1">
        <v>43</v>
      </c>
      <c r="E32" s="34">
        <v>39814</v>
      </c>
      <c r="F32" s="1">
        <v>6.2</v>
      </c>
      <c r="G32" s="34">
        <v>39814</v>
      </c>
      <c r="H32" s="1">
        <v>-3.51</v>
      </c>
      <c r="I32" s="34">
        <v>39814</v>
      </c>
      <c r="J32" s="1">
        <v>144.36000000000001</v>
      </c>
      <c r="K32" s="34">
        <v>39814</v>
      </c>
      <c r="L32" s="1">
        <v>299</v>
      </c>
      <c r="M32" s="34">
        <v>39814</v>
      </c>
      <c r="N32" s="1">
        <v>55</v>
      </c>
    </row>
    <row r="33" spans="1:14" x14ac:dyDescent="0.25">
      <c r="A33" s="34">
        <v>39845</v>
      </c>
      <c r="B33" s="1">
        <v>300.7</v>
      </c>
      <c r="C33" s="34">
        <v>39845</v>
      </c>
      <c r="D33" s="1">
        <v>17</v>
      </c>
      <c r="E33" s="34">
        <v>39845</v>
      </c>
      <c r="F33" s="1">
        <v>6.7</v>
      </c>
      <c r="G33" s="34">
        <v>39845</v>
      </c>
      <c r="H33" s="1">
        <v>-3.53</v>
      </c>
      <c r="I33" s="34">
        <v>39845</v>
      </c>
      <c r="J33" s="1">
        <v>143.13999999999999</v>
      </c>
      <c r="K33" s="34">
        <v>39845</v>
      </c>
      <c r="L33" s="1">
        <v>300.89999999999998</v>
      </c>
      <c r="M33" s="34">
        <v>39845</v>
      </c>
      <c r="N33" s="1">
        <v>57</v>
      </c>
    </row>
    <row r="34" spans="1:14" x14ac:dyDescent="0.25">
      <c r="A34" s="34">
        <v>39873</v>
      </c>
      <c r="B34" s="1">
        <v>299</v>
      </c>
      <c r="C34" s="34">
        <v>39873</v>
      </c>
      <c r="D34" s="1">
        <v>60</v>
      </c>
      <c r="E34" s="34">
        <v>39873</v>
      </c>
      <c r="F34" s="1">
        <v>7</v>
      </c>
      <c r="G34" s="34">
        <v>39873</v>
      </c>
      <c r="H34" s="1">
        <v>-2.38</v>
      </c>
      <c r="I34" s="34">
        <v>39873</v>
      </c>
      <c r="J34" s="1">
        <v>142.28</v>
      </c>
      <c r="K34" s="34">
        <v>39873</v>
      </c>
      <c r="L34" s="1">
        <v>297.3</v>
      </c>
      <c r="M34" s="34">
        <v>39873</v>
      </c>
      <c r="N34" s="1">
        <v>56.6</v>
      </c>
    </row>
    <row r="35" spans="1:14" x14ac:dyDescent="0.25">
      <c r="A35" s="34">
        <v>39904</v>
      </c>
      <c r="B35" s="1">
        <v>297.2</v>
      </c>
      <c r="C35" s="34">
        <v>39904</v>
      </c>
      <c r="D35" s="1">
        <v>94</v>
      </c>
      <c r="E35" s="34">
        <v>39904</v>
      </c>
      <c r="F35" s="1">
        <v>7.2</v>
      </c>
      <c r="G35" s="34">
        <v>39904</v>
      </c>
      <c r="H35" s="1">
        <v>-1.38</v>
      </c>
      <c r="I35" s="34">
        <v>39904</v>
      </c>
      <c r="J35" s="1">
        <v>141.5</v>
      </c>
      <c r="K35" s="34">
        <v>39904</v>
      </c>
      <c r="L35" s="1">
        <v>293.8</v>
      </c>
      <c r="M35" s="34">
        <v>39904</v>
      </c>
      <c r="N35" s="1">
        <v>57.5</v>
      </c>
    </row>
    <row r="36" spans="1:14" x14ac:dyDescent="0.25">
      <c r="A36" s="34">
        <v>39934</v>
      </c>
      <c r="B36" s="1">
        <v>298.2</v>
      </c>
      <c r="C36" s="34">
        <v>39934</v>
      </c>
      <c r="D36" s="1">
        <v>94</v>
      </c>
      <c r="E36" s="34">
        <v>39934</v>
      </c>
      <c r="F36" s="1">
        <v>7.2</v>
      </c>
      <c r="G36" s="34">
        <v>39934</v>
      </c>
      <c r="H36" s="1">
        <v>-0.08</v>
      </c>
      <c r="I36" s="34">
        <v>39934</v>
      </c>
      <c r="J36" s="1">
        <v>141.16999999999999</v>
      </c>
      <c r="K36" s="34">
        <v>39934</v>
      </c>
      <c r="L36" s="1">
        <v>297.7</v>
      </c>
      <c r="M36" s="34">
        <v>39934</v>
      </c>
      <c r="N36" s="1">
        <v>57.7</v>
      </c>
    </row>
    <row r="37" spans="1:14" x14ac:dyDescent="0.25">
      <c r="A37" s="34">
        <v>39965</v>
      </c>
      <c r="B37" s="1">
        <v>296.7</v>
      </c>
      <c r="C37" s="34">
        <v>39965</v>
      </c>
      <c r="D37" s="1">
        <v>149</v>
      </c>
      <c r="E37" s="34">
        <v>39965</v>
      </c>
      <c r="F37" s="1">
        <v>7.2</v>
      </c>
      <c r="G37" s="34">
        <v>39965</v>
      </c>
      <c r="H37" s="1">
        <v>0.02</v>
      </c>
      <c r="I37" s="34">
        <v>39965</v>
      </c>
      <c r="J37" s="1">
        <v>140.71</v>
      </c>
      <c r="K37" s="34">
        <v>39965</v>
      </c>
      <c r="L37" s="1">
        <v>297.3</v>
      </c>
      <c r="M37" s="34">
        <v>39965</v>
      </c>
      <c r="N37" s="1">
        <v>54.1</v>
      </c>
    </row>
    <row r="38" spans="1:14" x14ac:dyDescent="0.25">
      <c r="A38" s="34">
        <v>39995</v>
      </c>
      <c r="B38" s="1">
        <v>294.89999999999998</v>
      </c>
      <c r="C38" s="34">
        <v>39995</v>
      </c>
      <c r="D38" s="1">
        <v>85</v>
      </c>
      <c r="E38" s="34">
        <v>39995</v>
      </c>
      <c r="F38" s="1">
        <v>7</v>
      </c>
      <c r="G38" s="34">
        <v>39995</v>
      </c>
      <c r="H38" s="1">
        <v>1.0900000000000001</v>
      </c>
      <c r="I38" s="34">
        <v>39995</v>
      </c>
      <c r="J38" s="1">
        <v>140.77000000000001</v>
      </c>
      <c r="K38" s="34">
        <v>39995</v>
      </c>
      <c r="L38" s="1">
        <v>290.10000000000002</v>
      </c>
      <c r="M38" s="34">
        <v>39995</v>
      </c>
      <c r="N38" s="1">
        <v>44.9</v>
      </c>
    </row>
    <row r="39" spans="1:14" x14ac:dyDescent="0.25">
      <c r="A39" s="34">
        <v>40026</v>
      </c>
      <c r="B39" s="1">
        <v>296.5</v>
      </c>
      <c r="C39" s="34">
        <v>40026</v>
      </c>
      <c r="D39" s="1">
        <v>147</v>
      </c>
      <c r="E39" s="34">
        <v>40026</v>
      </c>
      <c r="F39" s="1">
        <v>6.9</v>
      </c>
      <c r="G39" s="34">
        <v>40026</v>
      </c>
      <c r="H39" s="1">
        <v>0.96</v>
      </c>
      <c r="I39" s="34">
        <v>40026</v>
      </c>
      <c r="J39" s="1">
        <v>140.65</v>
      </c>
      <c r="K39" s="34">
        <v>40026</v>
      </c>
      <c r="L39" s="1">
        <v>290.8</v>
      </c>
      <c r="M39" s="34">
        <v>40026</v>
      </c>
      <c r="N39" s="1">
        <v>45</v>
      </c>
    </row>
    <row r="40" spans="1:14" x14ac:dyDescent="0.25">
      <c r="A40" s="34">
        <v>40057</v>
      </c>
      <c r="B40" s="1">
        <v>295</v>
      </c>
      <c r="C40" s="34">
        <v>40057</v>
      </c>
      <c r="D40" s="1">
        <v>111</v>
      </c>
      <c r="E40" s="34">
        <v>40057</v>
      </c>
      <c r="F40" s="1">
        <v>6.8</v>
      </c>
      <c r="G40" s="34">
        <v>40057</v>
      </c>
      <c r="H40" s="1">
        <v>0.74</v>
      </c>
      <c r="I40" s="34">
        <v>40057</v>
      </c>
      <c r="J40" s="1">
        <v>140.65</v>
      </c>
      <c r="K40" s="34">
        <v>40057</v>
      </c>
      <c r="L40" s="1">
        <v>297.5</v>
      </c>
      <c r="M40" s="34">
        <v>40057</v>
      </c>
      <c r="N40" s="1">
        <v>54.7</v>
      </c>
    </row>
    <row r="41" spans="1:14" x14ac:dyDescent="0.25">
      <c r="A41" s="34">
        <v>40087</v>
      </c>
      <c r="B41" s="1">
        <v>295.60000000000002</v>
      </c>
      <c r="C41" s="34">
        <v>40087</v>
      </c>
      <c r="D41" s="1">
        <v>176</v>
      </c>
      <c r="E41" s="34">
        <v>40087</v>
      </c>
      <c r="F41" s="1">
        <v>6.7</v>
      </c>
      <c r="G41" s="34">
        <v>40087</v>
      </c>
      <c r="H41" s="1">
        <v>1.05</v>
      </c>
      <c r="I41" s="34">
        <v>40087</v>
      </c>
      <c r="J41" s="1">
        <v>140.76</v>
      </c>
      <c r="K41" s="34">
        <v>40087</v>
      </c>
      <c r="L41" s="1">
        <v>301.60000000000002</v>
      </c>
      <c r="M41" s="34">
        <v>40087</v>
      </c>
      <c r="N41" s="1">
        <v>57.7</v>
      </c>
    </row>
    <row r="42" spans="1:14" x14ac:dyDescent="0.25">
      <c r="A42" s="34">
        <v>40118</v>
      </c>
      <c r="B42" s="1">
        <v>295.89999999999998</v>
      </c>
      <c r="C42" s="34">
        <v>40118</v>
      </c>
      <c r="D42" s="1">
        <v>83</v>
      </c>
      <c r="E42" s="34">
        <v>40118</v>
      </c>
      <c r="F42" s="1">
        <v>6.7</v>
      </c>
      <c r="G42" s="34">
        <v>40118</v>
      </c>
      <c r="H42" s="1">
        <v>0.82</v>
      </c>
      <c r="I42" s="34">
        <v>40118</v>
      </c>
      <c r="J42" s="1">
        <v>140.69</v>
      </c>
      <c r="K42" s="34">
        <v>40118</v>
      </c>
      <c r="L42" s="1">
        <v>298.39999999999998</v>
      </c>
      <c r="M42" s="34">
        <v>40118</v>
      </c>
      <c r="N42" s="1">
        <v>57.6</v>
      </c>
    </row>
    <row r="43" spans="1:14" x14ac:dyDescent="0.25">
      <c r="A43" s="34">
        <v>40148</v>
      </c>
      <c r="B43" s="1">
        <v>295.39999999999998</v>
      </c>
      <c r="C43" s="34">
        <v>40148</v>
      </c>
      <c r="D43" s="1">
        <v>84</v>
      </c>
      <c r="E43" s="34">
        <v>40148</v>
      </c>
      <c r="F43" s="1">
        <v>6.7</v>
      </c>
      <c r="G43" s="34">
        <v>40148</v>
      </c>
      <c r="H43" s="1">
        <v>0.83</v>
      </c>
      <c r="I43" s="34">
        <v>40148</v>
      </c>
      <c r="J43" s="1">
        <v>140.78</v>
      </c>
      <c r="K43" s="34">
        <v>40148</v>
      </c>
      <c r="L43" s="1">
        <v>302.39999999999998</v>
      </c>
      <c r="M43" s="34">
        <v>40148</v>
      </c>
      <c r="N43" s="1">
        <v>56.9</v>
      </c>
    </row>
    <row r="44" spans="1:14" x14ac:dyDescent="0.25">
      <c r="A44" s="34">
        <v>40179</v>
      </c>
      <c r="B44" s="1">
        <v>296</v>
      </c>
      <c r="C44" s="34">
        <v>40179</v>
      </c>
      <c r="D44" s="1">
        <v>51</v>
      </c>
      <c r="E44" s="34">
        <v>40179</v>
      </c>
      <c r="F44" s="1">
        <v>6.8</v>
      </c>
      <c r="G44" s="34">
        <v>40179</v>
      </c>
      <c r="H44" s="1">
        <v>0.71</v>
      </c>
      <c r="I44" s="34">
        <v>40179</v>
      </c>
      <c r="J44" s="1">
        <v>140.72</v>
      </c>
      <c r="K44" s="34">
        <v>40179</v>
      </c>
      <c r="L44" s="1">
        <v>293.60000000000002</v>
      </c>
      <c r="M44" s="34">
        <v>40179</v>
      </c>
      <c r="N44" s="1">
        <v>55.3</v>
      </c>
    </row>
    <row r="45" spans="1:14" x14ac:dyDescent="0.25">
      <c r="A45" s="34">
        <v>40210</v>
      </c>
      <c r="B45" s="1">
        <v>295.89999999999998</v>
      </c>
      <c r="C45" s="34">
        <v>40210</v>
      </c>
      <c r="D45" s="1">
        <v>370</v>
      </c>
      <c r="E45" s="34">
        <v>40210</v>
      </c>
      <c r="F45" s="1">
        <v>6.8</v>
      </c>
      <c r="G45" s="34">
        <v>40210</v>
      </c>
      <c r="H45" s="1">
        <v>1.59</v>
      </c>
      <c r="I45" s="34">
        <v>40210</v>
      </c>
      <c r="J45" s="1">
        <v>140.94</v>
      </c>
      <c r="K45" s="34">
        <v>40210</v>
      </c>
      <c r="L45" s="1">
        <v>296.10000000000002</v>
      </c>
      <c r="M45" s="34">
        <v>40210</v>
      </c>
      <c r="N45" s="1">
        <v>57</v>
      </c>
    </row>
    <row r="46" spans="1:14" x14ac:dyDescent="0.25">
      <c r="A46" s="34">
        <v>40238</v>
      </c>
      <c r="B46" s="1">
        <v>296.60000000000002</v>
      </c>
      <c r="C46" s="34">
        <v>40238</v>
      </c>
      <c r="D46" s="1">
        <v>61</v>
      </c>
      <c r="E46" s="34">
        <v>40238</v>
      </c>
      <c r="F46" s="1">
        <v>6.7</v>
      </c>
      <c r="G46" s="34">
        <v>40238</v>
      </c>
      <c r="H46" s="1">
        <v>2.38</v>
      </c>
      <c r="I46" s="34">
        <v>40238</v>
      </c>
      <c r="J46" s="1">
        <v>141.37</v>
      </c>
      <c r="K46" s="34">
        <v>40238</v>
      </c>
      <c r="L46" s="1">
        <v>295.2</v>
      </c>
      <c r="M46" s="34">
        <v>40238</v>
      </c>
      <c r="N46" s="1">
        <v>57.6</v>
      </c>
    </row>
    <row r="47" spans="1:14" x14ac:dyDescent="0.25">
      <c r="A47" s="34">
        <v>40269</v>
      </c>
      <c r="B47" s="1">
        <v>298.89999999999998</v>
      </c>
      <c r="C47" s="34">
        <v>40269</v>
      </c>
      <c r="D47" s="1">
        <v>111</v>
      </c>
      <c r="E47" s="34">
        <v>40269</v>
      </c>
      <c r="F47" s="1">
        <v>6.6</v>
      </c>
      <c r="G47" s="34">
        <v>40269</v>
      </c>
      <c r="H47" s="1">
        <v>2.5499999999999998</v>
      </c>
      <c r="I47" s="34">
        <v>40269</v>
      </c>
      <c r="J47" s="1">
        <v>141.81</v>
      </c>
      <c r="K47" s="34">
        <v>40269</v>
      </c>
      <c r="L47" s="1">
        <v>295.60000000000002</v>
      </c>
      <c r="M47" s="34">
        <v>40269</v>
      </c>
      <c r="N47" s="1">
        <v>57.5</v>
      </c>
    </row>
    <row r="48" spans="1:14" x14ac:dyDescent="0.25">
      <c r="A48" s="34">
        <v>40299</v>
      </c>
      <c r="B48" s="1">
        <v>297.89999999999998</v>
      </c>
      <c r="C48" s="34">
        <v>40299</v>
      </c>
      <c r="D48" s="1">
        <v>137</v>
      </c>
      <c r="E48" s="34">
        <v>40299</v>
      </c>
      <c r="F48" s="1">
        <v>6.5</v>
      </c>
      <c r="G48" s="34">
        <v>40299</v>
      </c>
      <c r="H48" s="1">
        <v>1.83</v>
      </c>
      <c r="I48" s="34">
        <v>40299</v>
      </c>
      <c r="J48" s="1">
        <v>142.13999999999999</v>
      </c>
      <c r="K48" s="34">
        <v>40299</v>
      </c>
      <c r="L48" s="1">
        <v>297.5</v>
      </c>
      <c r="M48" s="34">
        <v>40299</v>
      </c>
      <c r="N48" s="1">
        <v>58.8</v>
      </c>
    </row>
    <row r="49" spans="1:14" x14ac:dyDescent="0.25">
      <c r="A49" s="34">
        <v>40330</v>
      </c>
      <c r="B49" s="1">
        <v>297.2</v>
      </c>
      <c r="C49" s="34">
        <v>40330</v>
      </c>
      <c r="D49" s="1">
        <v>90</v>
      </c>
      <c r="E49" s="34">
        <v>40330</v>
      </c>
      <c r="F49" s="1">
        <v>6.3</v>
      </c>
      <c r="G49" s="34">
        <v>40330</v>
      </c>
      <c r="H49" s="1">
        <v>1.98</v>
      </c>
      <c r="I49" s="34">
        <v>40330</v>
      </c>
      <c r="J49" s="1">
        <v>142.66999999999999</v>
      </c>
      <c r="K49" s="34">
        <v>40330</v>
      </c>
      <c r="L49" s="1">
        <v>297.5</v>
      </c>
      <c r="M49" s="34">
        <v>40330</v>
      </c>
      <c r="N49" s="1">
        <v>54.8</v>
      </c>
    </row>
    <row r="50" spans="1:14" x14ac:dyDescent="0.25">
      <c r="A50" s="34">
        <v>40360</v>
      </c>
      <c r="B50" s="1">
        <v>299.60000000000002</v>
      </c>
      <c r="C50" s="34">
        <v>40360</v>
      </c>
      <c r="D50" s="1">
        <v>113</v>
      </c>
      <c r="E50" s="34">
        <v>40360</v>
      </c>
      <c r="F50" s="1">
        <v>6.2</v>
      </c>
      <c r="G50" s="34">
        <v>40360</v>
      </c>
      <c r="H50" s="1">
        <v>1.87</v>
      </c>
      <c r="I50" s="34">
        <v>40360</v>
      </c>
      <c r="J50" s="1">
        <v>143.05000000000001</v>
      </c>
      <c r="K50" s="34">
        <v>40360</v>
      </c>
      <c r="L50" s="1">
        <v>294.8</v>
      </c>
      <c r="M50" s="34">
        <v>40360</v>
      </c>
      <c r="N50" s="1">
        <v>45.4</v>
      </c>
    </row>
    <row r="51" spans="1:14" x14ac:dyDescent="0.25">
      <c r="A51" s="34">
        <v>40391</v>
      </c>
      <c r="B51" s="1">
        <v>298.3</v>
      </c>
      <c r="C51" s="34">
        <v>40391</v>
      </c>
      <c r="D51" s="1">
        <v>70</v>
      </c>
      <c r="E51" s="34">
        <v>40391</v>
      </c>
      <c r="F51" s="1">
        <v>6.2</v>
      </c>
      <c r="G51" s="34">
        <v>40391</v>
      </c>
      <c r="H51" s="1">
        <v>0.24</v>
      </c>
      <c r="I51" s="34">
        <v>40391</v>
      </c>
      <c r="J51" s="1">
        <v>143.13</v>
      </c>
      <c r="K51" s="34">
        <v>40391</v>
      </c>
      <c r="L51" s="1">
        <v>292.7</v>
      </c>
      <c r="M51" s="34">
        <v>40391</v>
      </c>
      <c r="N51" s="1">
        <v>45</v>
      </c>
    </row>
    <row r="52" spans="1:14" x14ac:dyDescent="0.25">
      <c r="A52" s="34">
        <v>40422</v>
      </c>
      <c r="B52" s="1">
        <v>298.2</v>
      </c>
      <c r="C52" s="34">
        <v>40422</v>
      </c>
      <c r="D52" s="1">
        <v>168</v>
      </c>
      <c r="E52" s="34">
        <v>40422</v>
      </c>
      <c r="F52" s="1">
        <v>6.1</v>
      </c>
      <c r="G52" s="34">
        <v>40422</v>
      </c>
      <c r="H52" s="1">
        <v>0.74</v>
      </c>
      <c r="I52" s="34">
        <v>40422</v>
      </c>
      <c r="J52" s="1">
        <v>143.46</v>
      </c>
      <c r="K52" s="34">
        <v>40422</v>
      </c>
      <c r="L52" s="1">
        <v>299.7</v>
      </c>
      <c r="M52" s="34">
        <v>40422</v>
      </c>
      <c r="N52" s="1">
        <v>54.7</v>
      </c>
    </row>
    <row r="53" spans="1:14" x14ac:dyDescent="0.25">
      <c r="A53" s="34">
        <v>40452</v>
      </c>
      <c r="B53" s="1">
        <v>300.8</v>
      </c>
      <c r="C53" s="34">
        <v>40452</v>
      </c>
      <c r="D53" s="1">
        <v>108</v>
      </c>
      <c r="E53" s="34">
        <v>40452</v>
      </c>
      <c r="F53" s="1">
        <v>6.1</v>
      </c>
      <c r="G53" s="34">
        <v>40452</v>
      </c>
      <c r="H53" s="1">
        <v>0.66</v>
      </c>
      <c r="I53" s="34">
        <v>40452</v>
      </c>
      <c r="J53" s="1">
        <v>143.54</v>
      </c>
      <c r="K53" s="34">
        <v>40452</v>
      </c>
      <c r="L53" s="1">
        <v>305.3</v>
      </c>
      <c r="M53" s="34">
        <v>40452</v>
      </c>
      <c r="N53" s="1">
        <v>57.5</v>
      </c>
    </row>
    <row r="54" spans="1:14" x14ac:dyDescent="0.25">
      <c r="A54" s="34">
        <v>40483</v>
      </c>
      <c r="B54" s="1">
        <v>299.10000000000002</v>
      </c>
      <c r="C54" s="34">
        <v>40483</v>
      </c>
      <c r="D54" s="1">
        <v>102</v>
      </c>
      <c r="E54" s="34">
        <v>40483</v>
      </c>
      <c r="F54" s="1">
        <v>6.1</v>
      </c>
      <c r="G54" s="34">
        <v>40483</v>
      </c>
      <c r="H54" s="1">
        <v>-0.02</v>
      </c>
      <c r="I54" s="34">
        <v>40483</v>
      </c>
      <c r="J54" s="1">
        <v>143.62</v>
      </c>
      <c r="K54" s="34">
        <v>40483</v>
      </c>
      <c r="L54" s="1">
        <v>301.5</v>
      </c>
      <c r="M54" s="34">
        <v>40483</v>
      </c>
      <c r="N54" s="1">
        <v>57.5</v>
      </c>
    </row>
    <row r="55" spans="1:14" x14ac:dyDescent="0.25">
      <c r="A55" s="34">
        <v>40513</v>
      </c>
      <c r="B55" s="1">
        <v>298.39999999999998</v>
      </c>
      <c r="C55" s="34">
        <v>40513</v>
      </c>
      <c r="D55" s="1">
        <v>98</v>
      </c>
      <c r="E55" s="34">
        <v>40513</v>
      </c>
      <c r="F55" s="1">
        <v>6.1</v>
      </c>
      <c r="G55" s="34">
        <v>40513</v>
      </c>
      <c r="H55" s="1">
        <v>0.27</v>
      </c>
      <c r="I55" s="34">
        <v>40513</v>
      </c>
      <c r="J55" s="1">
        <v>143.66</v>
      </c>
      <c r="K55" s="34">
        <v>40513</v>
      </c>
      <c r="L55" s="1">
        <v>305.60000000000002</v>
      </c>
      <c r="M55" s="34">
        <v>40513</v>
      </c>
      <c r="N55" s="1">
        <v>57.2</v>
      </c>
    </row>
    <row r="56" spans="1:14" x14ac:dyDescent="0.25">
      <c r="A56" s="34">
        <v>40544</v>
      </c>
      <c r="B56" s="1">
        <v>298.89999999999998</v>
      </c>
      <c r="C56" s="34">
        <v>40544</v>
      </c>
      <c r="D56" s="1">
        <v>30</v>
      </c>
      <c r="E56" s="34">
        <v>40544</v>
      </c>
      <c r="F56" s="1">
        <v>6</v>
      </c>
      <c r="G56" s="34">
        <v>40544</v>
      </c>
      <c r="H56" s="1">
        <v>1.1200000000000001</v>
      </c>
      <c r="I56" s="34">
        <v>40544</v>
      </c>
      <c r="J56" s="1">
        <v>143.9</v>
      </c>
      <c r="K56" s="34">
        <v>40544</v>
      </c>
      <c r="L56" s="1">
        <v>297</v>
      </c>
      <c r="M56" s="34">
        <v>40544</v>
      </c>
      <c r="N56" s="1">
        <v>55.2</v>
      </c>
    </row>
    <row r="57" spans="1:14" x14ac:dyDescent="0.25">
      <c r="A57" s="34">
        <v>40575</v>
      </c>
      <c r="B57" s="1">
        <v>299.60000000000002</v>
      </c>
      <c r="C57" s="34">
        <v>40575</v>
      </c>
      <c r="D57" s="1">
        <v>110</v>
      </c>
      <c r="E57" s="34">
        <v>40575</v>
      </c>
      <c r="F57" s="1">
        <v>5.9</v>
      </c>
      <c r="G57" s="34">
        <v>40575</v>
      </c>
      <c r="H57" s="1">
        <v>1.44</v>
      </c>
      <c r="I57" s="34">
        <v>40575</v>
      </c>
      <c r="J57" s="1">
        <v>144.11000000000001</v>
      </c>
      <c r="K57" s="34">
        <v>40575</v>
      </c>
      <c r="L57" s="1">
        <v>299.89999999999998</v>
      </c>
      <c r="M57" s="34">
        <v>40575</v>
      </c>
      <c r="N57" s="1">
        <v>57</v>
      </c>
    </row>
    <row r="58" spans="1:14" x14ac:dyDescent="0.25">
      <c r="A58" s="34">
        <v>40603</v>
      </c>
      <c r="B58" s="1">
        <v>299.7</v>
      </c>
      <c r="C58" s="34">
        <v>40603</v>
      </c>
      <c r="D58" s="1">
        <v>57</v>
      </c>
      <c r="E58" s="34">
        <v>40603</v>
      </c>
      <c r="F58" s="1">
        <v>5.8</v>
      </c>
      <c r="G58" s="34">
        <v>40603</v>
      </c>
      <c r="H58" s="1">
        <v>1.34</v>
      </c>
      <c r="I58" s="34">
        <v>40603</v>
      </c>
      <c r="J58" s="1">
        <v>144.30000000000001</v>
      </c>
      <c r="K58" s="34">
        <v>40603</v>
      </c>
      <c r="L58" s="1">
        <v>298.5</v>
      </c>
      <c r="M58" s="34">
        <v>40603</v>
      </c>
      <c r="N58" s="1">
        <v>57</v>
      </c>
    </row>
    <row r="59" spans="1:14" x14ac:dyDescent="0.25">
      <c r="A59" s="34">
        <v>40634</v>
      </c>
      <c r="B59" s="1">
        <v>299</v>
      </c>
      <c r="C59" s="34">
        <v>40634</v>
      </c>
      <c r="D59" s="1">
        <v>143</v>
      </c>
      <c r="E59" s="34">
        <v>40634</v>
      </c>
      <c r="F59" s="1">
        <v>5.7</v>
      </c>
      <c r="G59" s="34">
        <v>40634</v>
      </c>
      <c r="H59" s="1">
        <v>1.07</v>
      </c>
      <c r="I59" s="34">
        <v>40634</v>
      </c>
      <c r="J59" s="1">
        <v>144.47</v>
      </c>
      <c r="K59" s="34">
        <v>40634</v>
      </c>
      <c r="L59" s="1">
        <v>295.89999999999998</v>
      </c>
      <c r="M59" s="34">
        <v>40634</v>
      </c>
      <c r="N59" s="1">
        <v>57.1</v>
      </c>
    </row>
    <row r="60" spans="1:14" x14ac:dyDescent="0.25">
      <c r="A60" s="34">
        <v>40664</v>
      </c>
      <c r="B60" s="1">
        <v>299.39999999999998</v>
      </c>
      <c r="C60" s="34">
        <v>40664</v>
      </c>
      <c r="D60" s="1">
        <v>135</v>
      </c>
      <c r="E60" s="34">
        <v>40664</v>
      </c>
      <c r="F60" s="1">
        <v>5.6</v>
      </c>
      <c r="G60" s="34">
        <v>40664</v>
      </c>
      <c r="H60" s="1">
        <v>1.1299999999999999</v>
      </c>
      <c r="I60" s="34">
        <v>40664</v>
      </c>
      <c r="J60" s="1">
        <v>144.68</v>
      </c>
      <c r="K60" s="34">
        <v>40664</v>
      </c>
      <c r="L60" s="1">
        <v>299.10000000000002</v>
      </c>
      <c r="M60" s="34">
        <v>40664</v>
      </c>
      <c r="N60" s="1">
        <v>57.6</v>
      </c>
    </row>
    <row r="61" spans="1:14" x14ac:dyDescent="0.25">
      <c r="A61" s="34">
        <v>40695</v>
      </c>
      <c r="B61" s="1">
        <v>299.8</v>
      </c>
      <c r="C61" s="34">
        <v>40695</v>
      </c>
      <c r="D61" s="1">
        <v>85</v>
      </c>
      <c r="E61" s="34">
        <v>40695</v>
      </c>
      <c r="F61" s="1">
        <v>5.6</v>
      </c>
      <c r="G61" s="34">
        <v>40695</v>
      </c>
      <c r="H61" s="1">
        <v>0.63</v>
      </c>
      <c r="I61" s="34">
        <v>40695</v>
      </c>
      <c r="J61" s="1">
        <v>144.78</v>
      </c>
      <c r="K61" s="34">
        <v>40695</v>
      </c>
      <c r="L61" s="1">
        <v>300.60000000000002</v>
      </c>
      <c r="M61" s="34">
        <v>40695</v>
      </c>
      <c r="N61" s="1">
        <v>54.2</v>
      </c>
    </row>
    <row r="62" spans="1:14" x14ac:dyDescent="0.25">
      <c r="A62" s="34">
        <v>40725</v>
      </c>
      <c r="B62" s="1">
        <v>300</v>
      </c>
      <c r="C62" s="34">
        <v>40725</v>
      </c>
      <c r="D62" s="1">
        <v>149</v>
      </c>
      <c r="E62" s="34">
        <v>40725</v>
      </c>
      <c r="F62" s="1">
        <v>5.6</v>
      </c>
      <c r="G62" s="34">
        <v>40725</v>
      </c>
      <c r="H62" s="1">
        <v>0.85</v>
      </c>
      <c r="I62" s="34">
        <v>40725</v>
      </c>
      <c r="J62" s="1">
        <v>144.91</v>
      </c>
      <c r="K62" s="34">
        <v>40725</v>
      </c>
      <c r="L62" s="1">
        <v>294.5</v>
      </c>
      <c r="M62" s="34">
        <v>40725</v>
      </c>
      <c r="N62" s="1">
        <v>44.3</v>
      </c>
    </row>
    <row r="63" spans="1:14" x14ac:dyDescent="0.25">
      <c r="A63" s="34">
        <v>40756</v>
      </c>
      <c r="B63" s="1">
        <v>300.7</v>
      </c>
      <c r="C63" s="34">
        <v>40756</v>
      </c>
      <c r="D63" s="1">
        <v>85</v>
      </c>
      <c r="E63" s="34">
        <v>40756</v>
      </c>
      <c r="F63" s="1">
        <v>5.5</v>
      </c>
      <c r="G63" s="34">
        <v>40756</v>
      </c>
      <c r="H63" s="1">
        <v>1.88</v>
      </c>
      <c r="I63" s="34">
        <v>40756</v>
      </c>
      <c r="J63" s="1">
        <v>145.31</v>
      </c>
      <c r="K63" s="34">
        <v>40756</v>
      </c>
      <c r="L63" s="1">
        <v>295</v>
      </c>
      <c r="M63" s="34">
        <v>40756</v>
      </c>
      <c r="N63" s="1">
        <v>44.2</v>
      </c>
    </row>
    <row r="64" spans="1:14" x14ac:dyDescent="0.25">
      <c r="A64" s="34">
        <v>40787</v>
      </c>
      <c r="B64" s="1">
        <v>301.8</v>
      </c>
      <c r="C64" s="34">
        <v>40787</v>
      </c>
      <c r="D64" s="1">
        <v>160</v>
      </c>
      <c r="E64" s="34">
        <v>40787</v>
      </c>
      <c r="F64" s="1">
        <v>5.5</v>
      </c>
      <c r="G64" s="34">
        <v>40787</v>
      </c>
      <c r="H64" s="1">
        <v>1.25</v>
      </c>
      <c r="I64" s="34">
        <v>40787</v>
      </c>
      <c r="J64" s="1">
        <v>145.47</v>
      </c>
      <c r="K64" s="34">
        <v>40787</v>
      </c>
      <c r="L64" s="1">
        <v>303.2</v>
      </c>
      <c r="M64" s="34">
        <v>40787</v>
      </c>
      <c r="N64" s="1">
        <v>55.2</v>
      </c>
    </row>
    <row r="65" spans="1:14" x14ac:dyDescent="0.25">
      <c r="A65" s="34">
        <v>40817</v>
      </c>
      <c r="B65" s="1">
        <v>302.3</v>
      </c>
      <c r="C65" s="34">
        <v>40817</v>
      </c>
      <c r="D65" s="1">
        <v>80</v>
      </c>
      <c r="E65" s="34">
        <v>40817</v>
      </c>
      <c r="F65" s="1">
        <v>5.4</v>
      </c>
      <c r="G65" s="34">
        <v>40817</v>
      </c>
      <c r="H65" s="1">
        <v>1.36</v>
      </c>
      <c r="I65" s="34">
        <v>40817</v>
      </c>
      <c r="J65" s="1">
        <v>145.88999999999999</v>
      </c>
      <c r="K65" s="34">
        <v>40817</v>
      </c>
      <c r="L65" s="1">
        <v>306.8</v>
      </c>
      <c r="M65" s="34">
        <v>40817</v>
      </c>
      <c r="N65" s="1">
        <v>57.7</v>
      </c>
    </row>
    <row r="66" spans="1:14" x14ac:dyDescent="0.25">
      <c r="A66" s="34">
        <v>40848</v>
      </c>
      <c r="B66" s="1">
        <v>302.3</v>
      </c>
      <c r="C66" s="34">
        <v>40848</v>
      </c>
      <c r="D66" s="1">
        <v>69</v>
      </c>
      <c r="E66" s="34">
        <v>40848</v>
      </c>
      <c r="F66" s="1">
        <v>5.3</v>
      </c>
      <c r="G66" s="34">
        <v>40848</v>
      </c>
      <c r="H66" s="1">
        <v>1.38</v>
      </c>
      <c r="I66" s="34">
        <v>40848</v>
      </c>
      <c r="J66" s="1">
        <v>146.19</v>
      </c>
      <c r="K66" s="34">
        <v>40848</v>
      </c>
      <c r="L66" s="1">
        <v>304.5</v>
      </c>
      <c r="M66" s="34">
        <v>40848</v>
      </c>
      <c r="N66" s="1">
        <v>57.8</v>
      </c>
    </row>
    <row r="67" spans="1:14" x14ac:dyDescent="0.25">
      <c r="A67" s="34">
        <v>40878</v>
      </c>
      <c r="B67" s="1">
        <v>303.2</v>
      </c>
      <c r="C67" s="34">
        <v>40878</v>
      </c>
      <c r="D67" s="1">
        <v>142</v>
      </c>
      <c r="E67" s="34">
        <v>40878</v>
      </c>
      <c r="F67" s="1">
        <v>5.0999999999999996</v>
      </c>
      <c r="G67" s="34">
        <v>40878</v>
      </c>
      <c r="H67" s="1">
        <v>2.4700000000000002</v>
      </c>
      <c r="I67" s="34">
        <v>40878</v>
      </c>
      <c r="J67" s="1">
        <v>146.76</v>
      </c>
      <c r="K67" s="34">
        <v>40878</v>
      </c>
      <c r="L67" s="1">
        <v>310.39999999999998</v>
      </c>
      <c r="M67" s="34">
        <v>40878</v>
      </c>
      <c r="N67" s="1">
        <v>58.1</v>
      </c>
    </row>
    <row r="68" spans="1:14" x14ac:dyDescent="0.25">
      <c r="A68" s="34">
        <v>40909</v>
      </c>
      <c r="B68" s="1">
        <v>302.8</v>
      </c>
      <c r="C68" s="34">
        <v>40909</v>
      </c>
      <c r="D68" s="1">
        <v>36</v>
      </c>
      <c r="E68" s="34">
        <v>40909</v>
      </c>
      <c r="F68" s="1">
        <v>5</v>
      </c>
      <c r="G68" s="34">
        <v>40909</v>
      </c>
      <c r="H68" s="1">
        <v>1.8</v>
      </c>
      <c r="I68" s="34">
        <v>40909</v>
      </c>
      <c r="J68" s="1">
        <v>147.02000000000001</v>
      </c>
      <c r="K68" s="34">
        <v>40909</v>
      </c>
      <c r="L68" s="1">
        <v>300.8</v>
      </c>
      <c r="M68" s="34">
        <v>40909</v>
      </c>
      <c r="N68" s="1">
        <v>55.4</v>
      </c>
    </row>
    <row r="69" spans="1:14" x14ac:dyDescent="0.25">
      <c r="A69" s="34">
        <v>40940</v>
      </c>
      <c r="B69" s="1">
        <v>303.60000000000002</v>
      </c>
      <c r="C69" s="34">
        <v>40940</v>
      </c>
      <c r="D69" s="1">
        <v>55</v>
      </c>
      <c r="E69" s="34">
        <v>40940</v>
      </c>
      <c r="F69" s="1">
        <v>4.8</v>
      </c>
      <c r="G69" s="34">
        <v>40940</v>
      </c>
      <c r="H69" s="1">
        <v>2.2400000000000002</v>
      </c>
      <c r="I69" s="34">
        <v>40940</v>
      </c>
      <c r="J69" s="1">
        <v>147.62</v>
      </c>
      <c r="K69" s="34">
        <v>40940</v>
      </c>
      <c r="L69" s="1">
        <v>303</v>
      </c>
      <c r="M69" s="34">
        <v>40940</v>
      </c>
      <c r="N69" s="1">
        <v>57.4</v>
      </c>
    </row>
    <row r="70" spans="1:14" x14ac:dyDescent="0.25">
      <c r="A70" s="34">
        <v>40969</v>
      </c>
      <c r="B70" s="1">
        <v>304.39999999999998</v>
      </c>
      <c r="C70" s="34">
        <v>40969</v>
      </c>
      <c r="D70" s="1">
        <v>167</v>
      </c>
      <c r="E70" s="34">
        <v>40969</v>
      </c>
      <c r="F70" s="1">
        <v>4.8</v>
      </c>
      <c r="G70" s="34">
        <v>40969</v>
      </c>
      <c r="H70" s="1">
        <v>1.34</v>
      </c>
      <c r="I70" s="34">
        <v>40969</v>
      </c>
      <c r="J70" s="1">
        <v>147.78</v>
      </c>
      <c r="K70" s="34">
        <v>40969</v>
      </c>
      <c r="L70" s="1">
        <v>303.5</v>
      </c>
      <c r="M70" s="34">
        <v>40969</v>
      </c>
      <c r="N70" s="1">
        <v>57.5</v>
      </c>
    </row>
    <row r="71" spans="1:14" x14ac:dyDescent="0.25">
      <c r="A71" s="34">
        <v>41000</v>
      </c>
      <c r="B71" s="1">
        <v>302.3</v>
      </c>
      <c r="C71" s="34">
        <v>41000</v>
      </c>
      <c r="D71" s="1">
        <v>129</v>
      </c>
      <c r="E71" s="34">
        <v>41000</v>
      </c>
      <c r="F71" s="1">
        <v>4.8</v>
      </c>
      <c r="G71" s="34">
        <v>41000</v>
      </c>
      <c r="H71" s="1">
        <v>0.9</v>
      </c>
      <c r="I71" s="34">
        <v>41000</v>
      </c>
      <c r="J71" s="1">
        <v>148.07</v>
      </c>
      <c r="K71" s="34">
        <v>41000</v>
      </c>
      <c r="L71" s="1">
        <v>299.10000000000002</v>
      </c>
      <c r="M71" s="34">
        <v>41000</v>
      </c>
      <c r="N71" s="1">
        <v>57.7</v>
      </c>
    </row>
    <row r="72" spans="1:14" x14ac:dyDescent="0.25">
      <c r="A72" s="34">
        <v>41030</v>
      </c>
      <c r="B72" s="1">
        <v>304.39999999999998</v>
      </c>
      <c r="C72" s="34">
        <v>41030</v>
      </c>
      <c r="D72" s="1">
        <v>153</v>
      </c>
      <c r="E72" s="34">
        <v>41030</v>
      </c>
      <c r="F72" s="1">
        <v>4.9000000000000004</v>
      </c>
      <c r="G72" s="34">
        <v>41030</v>
      </c>
      <c r="H72" s="1">
        <v>0.81</v>
      </c>
      <c r="I72" s="34">
        <v>41030</v>
      </c>
      <c r="J72" s="1">
        <v>148.19</v>
      </c>
      <c r="K72" s="34">
        <v>41030</v>
      </c>
      <c r="L72" s="1">
        <v>304</v>
      </c>
      <c r="M72" s="34">
        <v>41030</v>
      </c>
      <c r="N72" s="1">
        <v>58</v>
      </c>
    </row>
    <row r="73" spans="1:14" x14ac:dyDescent="0.25">
      <c r="A73" s="34">
        <v>41061</v>
      </c>
      <c r="B73" s="1">
        <v>304.39999999999998</v>
      </c>
      <c r="C73" s="34">
        <v>41061</v>
      </c>
      <c r="D73" s="1">
        <v>148</v>
      </c>
      <c r="E73" s="34">
        <v>41061</v>
      </c>
      <c r="F73" s="1">
        <v>5</v>
      </c>
      <c r="G73" s="34">
        <v>41061</v>
      </c>
      <c r="H73" s="1">
        <v>0.86</v>
      </c>
      <c r="I73" s="34">
        <v>41061</v>
      </c>
      <c r="J73" s="1">
        <v>148.28</v>
      </c>
      <c r="K73" s="34">
        <v>41061</v>
      </c>
      <c r="L73" s="1">
        <v>305.2</v>
      </c>
      <c r="M73" s="34">
        <v>41061</v>
      </c>
      <c r="N73" s="1">
        <v>53.9</v>
      </c>
    </row>
    <row r="74" spans="1:14" x14ac:dyDescent="0.25">
      <c r="A74" s="34">
        <v>41091</v>
      </c>
      <c r="B74" s="1">
        <v>304.7</v>
      </c>
      <c r="C74" s="34">
        <v>41091</v>
      </c>
      <c r="D74" s="1">
        <v>88</v>
      </c>
      <c r="E74" s="34">
        <v>41091</v>
      </c>
      <c r="F74" s="1">
        <v>5</v>
      </c>
      <c r="G74" s="34">
        <v>41091</v>
      </c>
      <c r="H74" s="1">
        <v>1.29</v>
      </c>
      <c r="I74" s="34">
        <v>41091</v>
      </c>
      <c r="J74" s="1">
        <v>148.54</v>
      </c>
      <c r="K74" s="34">
        <v>41091</v>
      </c>
      <c r="L74" s="1">
        <v>299.2</v>
      </c>
      <c r="M74" s="34">
        <v>41091</v>
      </c>
      <c r="N74" s="1">
        <v>44.5</v>
      </c>
    </row>
    <row r="75" spans="1:14" x14ac:dyDescent="0.25">
      <c r="A75" s="34">
        <v>41122</v>
      </c>
      <c r="B75" s="1">
        <v>306.10000000000002</v>
      </c>
      <c r="C75" s="34">
        <v>41122</v>
      </c>
      <c r="D75" s="1">
        <v>78</v>
      </c>
      <c r="E75" s="34">
        <v>41122</v>
      </c>
      <c r="F75" s="1">
        <v>5</v>
      </c>
      <c r="G75" s="34">
        <v>41122</v>
      </c>
      <c r="H75" s="1">
        <v>1.24</v>
      </c>
      <c r="I75" s="34">
        <v>41122</v>
      </c>
      <c r="J75" s="1">
        <v>148.72</v>
      </c>
      <c r="K75" s="34">
        <v>41122</v>
      </c>
      <c r="L75" s="1">
        <v>300.8</v>
      </c>
      <c r="M75" s="34">
        <v>41122</v>
      </c>
      <c r="N75" s="1">
        <v>45.9</v>
      </c>
    </row>
    <row r="76" spans="1:14" x14ac:dyDescent="0.25">
      <c r="A76" s="34">
        <v>41153</v>
      </c>
      <c r="B76" s="1">
        <v>305.3</v>
      </c>
      <c r="C76" s="34">
        <v>41153</v>
      </c>
      <c r="D76" s="1">
        <v>157</v>
      </c>
      <c r="E76" s="34">
        <v>41153</v>
      </c>
      <c r="F76" s="1">
        <v>5</v>
      </c>
      <c r="G76" s="34">
        <v>41153</v>
      </c>
      <c r="H76" s="1">
        <v>0.69</v>
      </c>
      <c r="I76" s="34">
        <v>41153</v>
      </c>
      <c r="J76" s="1">
        <v>148.81</v>
      </c>
      <c r="K76" s="34">
        <v>41153</v>
      </c>
      <c r="L76" s="1">
        <v>307.60000000000002</v>
      </c>
      <c r="M76" s="34">
        <v>41153</v>
      </c>
      <c r="N76" s="1">
        <v>56.2</v>
      </c>
    </row>
    <row r="77" spans="1:14" x14ac:dyDescent="0.25">
      <c r="A77" s="34">
        <v>41183</v>
      </c>
      <c r="B77" s="1">
        <v>304</v>
      </c>
      <c r="C77" s="34">
        <v>41183</v>
      </c>
      <c r="D77" s="1">
        <v>166</v>
      </c>
      <c r="E77" s="34">
        <v>41183</v>
      </c>
      <c r="F77" s="1">
        <v>4.9000000000000004</v>
      </c>
      <c r="G77" s="34">
        <v>41183</v>
      </c>
      <c r="H77" s="1">
        <v>0.87</v>
      </c>
      <c r="I77" s="34">
        <v>41183</v>
      </c>
      <c r="J77" s="1">
        <v>149.01</v>
      </c>
      <c r="K77" s="34">
        <v>41183</v>
      </c>
      <c r="L77" s="1">
        <v>308.3</v>
      </c>
      <c r="M77" s="34">
        <v>41183</v>
      </c>
      <c r="N77" s="1">
        <v>57.7</v>
      </c>
    </row>
    <row r="78" spans="1:14" x14ac:dyDescent="0.25">
      <c r="A78" s="34">
        <v>41214</v>
      </c>
      <c r="B78" s="1">
        <v>304.8</v>
      </c>
      <c r="C78" s="34">
        <v>41214</v>
      </c>
      <c r="D78" s="1">
        <v>71</v>
      </c>
      <c r="E78" s="34">
        <v>41214</v>
      </c>
      <c r="F78" s="1">
        <v>4.7</v>
      </c>
      <c r="G78" s="34">
        <v>41214</v>
      </c>
      <c r="H78" s="1">
        <v>1.93</v>
      </c>
      <c r="I78" s="34">
        <v>41214</v>
      </c>
      <c r="J78" s="1">
        <v>149.5</v>
      </c>
      <c r="K78" s="34">
        <v>41214</v>
      </c>
      <c r="L78" s="1">
        <v>307.89999999999998</v>
      </c>
      <c r="M78" s="34">
        <v>41214</v>
      </c>
      <c r="N78" s="1">
        <v>58.1</v>
      </c>
    </row>
    <row r="79" spans="1:14" x14ac:dyDescent="0.25">
      <c r="A79" s="34">
        <v>41244</v>
      </c>
      <c r="B79" s="1">
        <v>305.5</v>
      </c>
      <c r="C79" s="34">
        <v>41244</v>
      </c>
      <c r="D79" s="1">
        <v>53</v>
      </c>
      <c r="E79" s="34">
        <v>41244</v>
      </c>
      <c r="F79" s="1">
        <v>4.5999999999999996</v>
      </c>
      <c r="G79" s="34">
        <v>41244</v>
      </c>
      <c r="H79" s="1">
        <v>1.39</v>
      </c>
      <c r="I79" s="34">
        <v>41244</v>
      </c>
      <c r="J79" s="1">
        <v>149.72999999999999</v>
      </c>
      <c r="K79" s="34">
        <v>41244</v>
      </c>
      <c r="L79" s="1">
        <v>312.5</v>
      </c>
      <c r="M79" s="34">
        <v>41244</v>
      </c>
      <c r="N79" s="1">
        <v>58</v>
      </c>
    </row>
    <row r="80" spans="1:14" x14ac:dyDescent="0.25">
      <c r="A80" s="34">
        <v>41275</v>
      </c>
      <c r="B80" s="1">
        <v>305.7</v>
      </c>
      <c r="C80" s="34">
        <v>41275</v>
      </c>
      <c r="D80" s="1">
        <v>32</v>
      </c>
      <c r="E80" s="34">
        <v>41275</v>
      </c>
      <c r="F80" s="1">
        <v>4.4000000000000004</v>
      </c>
      <c r="G80" s="34">
        <v>41275</v>
      </c>
      <c r="H80" s="1">
        <v>1.72</v>
      </c>
      <c r="I80" s="34">
        <v>41275</v>
      </c>
      <c r="J80" s="1">
        <v>150.27000000000001</v>
      </c>
      <c r="K80" s="34">
        <v>41275</v>
      </c>
      <c r="L80" s="1">
        <v>303.5</v>
      </c>
      <c r="M80" s="34">
        <v>41275</v>
      </c>
      <c r="N80" s="1">
        <v>56.2</v>
      </c>
    </row>
    <row r="81" spans="1:14" x14ac:dyDescent="0.25">
      <c r="A81" s="34">
        <v>41306</v>
      </c>
      <c r="B81" s="1">
        <v>305.5</v>
      </c>
      <c r="C81" s="34">
        <v>41306</v>
      </c>
      <c r="D81" s="1">
        <v>149</v>
      </c>
      <c r="E81" s="34">
        <v>41306</v>
      </c>
      <c r="F81" s="1">
        <v>4.3</v>
      </c>
      <c r="G81" s="34">
        <v>41306</v>
      </c>
      <c r="H81" s="1">
        <v>1.39</v>
      </c>
      <c r="I81" s="34">
        <v>41306</v>
      </c>
      <c r="J81" s="1">
        <v>150.54</v>
      </c>
      <c r="K81" s="34">
        <v>41306</v>
      </c>
      <c r="L81" s="1">
        <v>304.89999999999998</v>
      </c>
      <c r="M81" s="34">
        <v>41306</v>
      </c>
      <c r="N81" s="1">
        <v>57.3</v>
      </c>
    </row>
    <row r="82" spans="1:14" x14ac:dyDescent="0.25">
      <c r="A82" s="34">
        <v>41334</v>
      </c>
      <c r="B82" s="1">
        <v>306.5</v>
      </c>
      <c r="C82" s="34">
        <v>41334</v>
      </c>
      <c r="D82" s="1">
        <v>81</v>
      </c>
      <c r="E82" s="34">
        <v>41334</v>
      </c>
      <c r="F82" s="1">
        <v>4.2</v>
      </c>
      <c r="G82" s="34">
        <v>41334</v>
      </c>
      <c r="H82" s="1">
        <v>1.49</v>
      </c>
      <c r="I82" s="34">
        <v>41334</v>
      </c>
      <c r="J82" s="1">
        <v>150.91999999999999</v>
      </c>
      <c r="K82" s="34">
        <v>41334</v>
      </c>
      <c r="L82" s="1">
        <v>305.60000000000002</v>
      </c>
      <c r="M82" s="34">
        <v>41334</v>
      </c>
      <c r="N82" s="1">
        <v>57.6</v>
      </c>
    </row>
    <row r="83" spans="1:14" x14ac:dyDescent="0.25">
      <c r="A83" s="34">
        <v>41365</v>
      </c>
      <c r="B83" s="1">
        <v>305.7</v>
      </c>
      <c r="C83" s="34">
        <v>41365</v>
      </c>
      <c r="D83" s="1">
        <v>102</v>
      </c>
      <c r="E83" s="34">
        <v>41365</v>
      </c>
      <c r="F83" s="1">
        <v>4.2</v>
      </c>
      <c r="G83" s="34">
        <v>41365</v>
      </c>
      <c r="H83" s="1">
        <v>1.17</v>
      </c>
      <c r="I83" s="34">
        <v>41365</v>
      </c>
      <c r="J83" s="1">
        <v>151.11000000000001</v>
      </c>
      <c r="K83" s="34">
        <v>41365</v>
      </c>
      <c r="L83" s="1">
        <v>302.7</v>
      </c>
      <c r="M83" s="34">
        <v>41365</v>
      </c>
      <c r="N83" s="1">
        <v>57.5</v>
      </c>
    </row>
    <row r="84" spans="1:14" x14ac:dyDescent="0.25">
      <c r="A84" s="34">
        <v>41395</v>
      </c>
      <c r="B84" s="1">
        <v>305.89999999999998</v>
      </c>
      <c r="C84" s="34">
        <v>41395</v>
      </c>
      <c r="D84" s="1">
        <v>190</v>
      </c>
      <c r="E84" s="34">
        <v>41395</v>
      </c>
      <c r="F84" s="1">
        <v>4.3</v>
      </c>
      <c r="G84" s="34">
        <v>41395</v>
      </c>
      <c r="H84" s="1">
        <v>0.41</v>
      </c>
      <c r="I84" s="34">
        <v>41395</v>
      </c>
      <c r="J84" s="1">
        <v>151.09</v>
      </c>
      <c r="K84" s="34">
        <v>41395</v>
      </c>
      <c r="L84" s="1">
        <v>305.89999999999998</v>
      </c>
      <c r="M84" s="34">
        <v>41395</v>
      </c>
      <c r="N84" s="1">
        <v>58</v>
      </c>
    </row>
    <row r="85" spans="1:14" x14ac:dyDescent="0.25">
      <c r="A85" s="34">
        <v>41426</v>
      </c>
      <c r="B85" s="1">
        <v>306.5</v>
      </c>
      <c r="C85" s="34">
        <v>41426</v>
      </c>
      <c r="D85" s="1">
        <v>212</v>
      </c>
      <c r="E85" s="34">
        <v>41426</v>
      </c>
      <c r="F85" s="1">
        <v>4.4000000000000004</v>
      </c>
      <c r="G85" s="34">
        <v>41426</v>
      </c>
      <c r="H85" s="1">
        <v>0.02</v>
      </c>
      <c r="I85" s="34">
        <v>41426</v>
      </c>
      <c r="J85" s="1">
        <v>151.07</v>
      </c>
      <c r="K85" s="34">
        <v>41426</v>
      </c>
      <c r="L85" s="1">
        <v>306.89999999999998</v>
      </c>
      <c r="M85" s="34">
        <v>41426</v>
      </c>
      <c r="N85" s="1">
        <v>54.2</v>
      </c>
    </row>
    <row r="86" spans="1:14" x14ac:dyDescent="0.25">
      <c r="A86" s="34">
        <v>41456</v>
      </c>
      <c r="B86" s="1">
        <v>305.5</v>
      </c>
      <c r="C86" s="34">
        <v>41456</v>
      </c>
      <c r="D86" s="1">
        <v>141</v>
      </c>
      <c r="E86" s="34">
        <v>41456</v>
      </c>
      <c r="F86" s="1">
        <v>4.5</v>
      </c>
      <c r="G86" s="34">
        <v>41456</v>
      </c>
      <c r="H86" s="1">
        <v>-7.0000000000000007E-2</v>
      </c>
      <c r="I86" s="34">
        <v>41456</v>
      </c>
      <c r="J86" s="1">
        <v>150.97999999999999</v>
      </c>
      <c r="K86" s="34">
        <v>41456</v>
      </c>
      <c r="L86" s="1">
        <v>300.10000000000002</v>
      </c>
      <c r="M86" s="34">
        <v>41456</v>
      </c>
      <c r="N86" s="1">
        <v>44.9</v>
      </c>
    </row>
    <row r="87" spans="1:14" x14ac:dyDescent="0.25">
      <c r="A87" s="34">
        <v>41487</v>
      </c>
      <c r="B87" s="1">
        <v>305.39999999999998</v>
      </c>
      <c r="C87" s="34">
        <v>41487</v>
      </c>
      <c r="D87" s="1">
        <v>103</v>
      </c>
      <c r="E87" s="34">
        <v>41487</v>
      </c>
      <c r="F87" s="1">
        <v>4.5</v>
      </c>
      <c r="G87" s="34">
        <v>41487</v>
      </c>
      <c r="H87" s="1">
        <v>0.8</v>
      </c>
      <c r="I87" s="34">
        <v>41487</v>
      </c>
      <c r="J87" s="1">
        <v>151.12</v>
      </c>
      <c r="K87" s="34">
        <v>41487</v>
      </c>
      <c r="L87" s="1">
        <v>300.10000000000002</v>
      </c>
      <c r="M87" s="34">
        <v>41487</v>
      </c>
      <c r="N87" s="1">
        <v>44.4</v>
      </c>
    </row>
    <row r="88" spans="1:14" x14ac:dyDescent="0.25">
      <c r="A88" s="34">
        <v>41518</v>
      </c>
      <c r="B88" s="1">
        <v>305.3</v>
      </c>
      <c r="C88" s="34">
        <v>41518</v>
      </c>
      <c r="D88" s="1">
        <v>165</v>
      </c>
      <c r="E88" s="34">
        <v>41518</v>
      </c>
      <c r="F88" s="1">
        <v>4.5</v>
      </c>
      <c r="G88" s="34">
        <v>41518</v>
      </c>
      <c r="H88" s="1">
        <v>1.23</v>
      </c>
      <c r="I88" s="34">
        <v>41518</v>
      </c>
      <c r="J88" s="1">
        <v>151.22999999999999</v>
      </c>
      <c r="K88" s="34">
        <v>41518</v>
      </c>
      <c r="L88" s="1">
        <v>307.60000000000002</v>
      </c>
      <c r="M88" s="34">
        <v>41518</v>
      </c>
      <c r="N88" s="1">
        <v>55.6</v>
      </c>
    </row>
    <row r="89" spans="1:14" x14ac:dyDescent="0.25">
      <c r="A89" s="34">
        <v>41548</v>
      </c>
      <c r="B89" s="1">
        <v>305.89999999999998</v>
      </c>
      <c r="C89" s="34">
        <v>41548</v>
      </c>
      <c r="D89" s="1">
        <v>144</v>
      </c>
      <c r="E89" s="34">
        <v>41548</v>
      </c>
      <c r="F89" s="1">
        <v>4.4000000000000004</v>
      </c>
      <c r="G89" s="34">
        <v>41548</v>
      </c>
      <c r="H89" s="1">
        <v>1.93</v>
      </c>
      <c r="I89" s="34">
        <v>41548</v>
      </c>
      <c r="J89" s="1">
        <v>151.59</v>
      </c>
      <c r="K89" s="34">
        <v>41548</v>
      </c>
      <c r="L89" s="1">
        <v>310.2</v>
      </c>
      <c r="M89" s="34">
        <v>41548</v>
      </c>
      <c r="N89" s="1">
        <v>57.9</v>
      </c>
    </row>
    <row r="90" spans="1:14" x14ac:dyDescent="0.25">
      <c r="A90" s="34">
        <v>41579</v>
      </c>
      <c r="B90" s="1">
        <v>307.60000000000002</v>
      </c>
      <c r="C90" s="34">
        <v>41579</v>
      </c>
      <c r="D90" s="1">
        <v>92</v>
      </c>
      <c r="E90" s="34">
        <v>41579</v>
      </c>
      <c r="F90" s="1">
        <v>4.3</v>
      </c>
      <c r="G90" s="34">
        <v>41579</v>
      </c>
      <c r="H90" s="1">
        <v>2.25</v>
      </c>
      <c r="I90" s="34">
        <v>41579</v>
      </c>
      <c r="J90" s="1">
        <v>151.97</v>
      </c>
      <c r="K90" s="34">
        <v>41579</v>
      </c>
      <c r="L90" s="1">
        <v>310.7</v>
      </c>
      <c r="M90" s="34">
        <v>41579</v>
      </c>
      <c r="N90" s="1">
        <v>58</v>
      </c>
    </row>
    <row r="91" spans="1:14" x14ac:dyDescent="0.25">
      <c r="A91" s="34">
        <v>41609</v>
      </c>
      <c r="B91" s="1">
        <v>306.3</v>
      </c>
      <c r="C91" s="34">
        <v>41609</v>
      </c>
      <c r="D91" s="1">
        <v>126</v>
      </c>
      <c r="E91" s="34">
        <v>41609</v>
      </c>
      <c r="F91" s="1">
        <v>4.2</v>
      </c>
      <c r="G91" s="34">
        <v>41609</v>
      </c>
      <c r="H91" s="1">
        <v>1.69</v>
      </c>
      <c r="I91" s="34">
        <v>41609</v>
      </c>
      <c r="J91" s="1">
        <v>152.29</v>
      </c>
      <c r="K91" s="34">
        <v>41609</v>
      </c>
      <c r="L91" s="1">
        <v>314</v>
      </c>
      <c r="M91" s="34">
        <v>41609</v>
      </c>
      <c r="N91" s="1">
        <v>56.9</v>
      </c>
    </row>
    <row r="92" spans="1:14" x14ac:dyDescent="0.25">
      <c r="A92" s="34">
        <v>41640</v>
      </c>
      <c r="B92" s="1">
        <v>309.3</v>
      </c>
      <c r="C92" s="34">
        <v>41640</v>
      </c>
      <c r="D92" s="1">
        <v>54</v>
      </c>
      <c r="E92" s="34">
        <v>41640</v>
      </c>
      <c r="F92" s="1">
        <v>4</v>
      </c>
      <c r="G92" s="34">
        <v>41640</v>
      </c>
      <c r="H92" s="1">
        <v>1.71</v>
      </c>
      <c r="I92" s="34">
        <v>41640</v>
      </c>
      <c r="J92" s="1">
        <v>152.75</v>
      </c>
      <c r="K92" s="34">
        <v>41640</v>
      </c>
      <c r="L92" s="1">
        <v>307.39999999999998</v>
      </c>
      <c r="M92" s="34">
        <v>41640</v>
      </c>
      <c r="N92" s="1">
        <v>56.1</v>
      </c>
    </row>
    <row r="93" spans="1:14" x14ac:dyDescent="0.25">
      <c r="A93" s="34">
        <v>41671</v>
      </c>
      <c r="B93" s="1">
        <v>308.10000000000002</v>
      </c>
      <c r="C93" s="34">
        <v>41671</v>
      </c>
      <c r="D93" s="1">
        <v>44</v>
      </c>
      <c r="E93" s="34">
        <v>41671</v>
      </c>
      <c r="F93" s="1">
        <v>3.7</v>
      </c>
      <c r="G93" s="34">
        <v>41671</v>
      </c>
      <c r="H93" s="1">
        <v>1.8</v>
      </c>
      <c r="I93" s="34">
        <v>41671</v>
      </c>
      <c r="J93" s="1">
        <v>153.19999999999999</v>
      </c>
      <c r="K93" s="34">
        <v>41671</v>
      </c>
      <c r="L93" s="1">
        <v>309.39999999999998</v>
      </c>
      <c r="M93" s="34">
        <v>41671</v>
      </c>
      <c r="N93" s="1">
        <v>57.8</v>
      </c>
    </row>
    <row r="94" spans="1:14" x14ac:dyDescent="0.25">
      <c r="A94" s="34">
        <v>41699</v>
      </c>
      <c r="B94" s="1">
        <v>308.8</v>
      </c>
      <c r="C94" s="34">
        <v>41699</v>
      </c>
      <c r="D94" s="1">
        <v>145</v>
      </c>
      <c r="E94" s="34">
        <v>41699</v>
      </c>
      <c r="F94" s="1">
        <v>3.4</v>
      </c>
      <c r="G94" s="34">
        <v>41699</v>
      </c>
      <c r="H94" s="1">
        <v>1.75</v>
      </c>
      <c r="I94" s="34">
        <v>41699</v>
      </c>
      <c r="J94" s="1">
        <v>153.59</v>
      </c>
      <c r="K94" s="34">
        <v>41699</v>
      </c>
      <c r="L94" s="1">
        <v>307.5</v>
      </c>
      <c r="M94" s="34">
        <v>41699</v>
      </c>
      <c r="N94" s="1">
        <v>57.6</v>
      </c>
    </row>
    <row r="95" spans="1:14" x14ac:dyDescent="0.25">
      <c r="A95" s="34">
        <v>41730</v>
      </c>
      <c r="B95" s="1">
        <v>307.2</v>
      </c>
      <c r="C95" s="34">
        <v>41730</v>
      </c>
      <c r="D95" s="1">
        <v>116</v>
      </c>
      <c r="E95" s="34">
        <v>41730</v>
      </c>
      <c r="F95" s="1">
        <v>3.3</v>
      </c>
      <c r="G95" s="34">
        <v>41730</v>
      </c>
      <c r="H95" s="1">
        <v>0.5</v>
      </c>
      <c r="I95" s="34">
        <v>41730</v>
      </c>
      <c r="J95" s="1">
        <v>153.62</v>
      </c>
      <c r="K95" s="34">
        <v>41730</v>
      </c>
      <c r="L95" s="1">
        <v>302.8</v>
      </c>
      <c r="M95" s="34">
        <v>41730</v>
      </c>
      <c r="N95" s="1">
        <v>57.8</v>
      </c>
    </row>
    <row r="96" spans="1:14" x14ac:dyDescent="0.25">
      <c r="A96" s="34">
        <v>41760</v>
      </c>
      <c r="B96" s="1">
        <v>307.7</v>
      </c>
      <c r="C96" s="34">
        <v>41760</v>
      </c>
      <c r="D96" s="1">
        <v>114</v>
      </c>
      <c r="E96" s="34">
        <v>41760</v>
      </c>
      <c r="F96" s="1">
        <v>3.3</v>
      </c>
      <c r="G96" s="34">
        <v>41760</v>
      </c>
      <c r="H96" s="1">
        <v>0.11</v>
      </c>
      <c r="I96" s="34">
        <v>41760</v>
      </c>
      <c r="J96" s="1">
        <v>153.65</v>
      </c>
      <c r="K96" s="34">
        <v>41760</v>
      </c>
      <c r="L96" s="1">
        <v>305</v>
      </c>
      <c r="M96" s="34">
        <v>41760</v>
      </c>
      <c r="N96" s="1">
        <v>56.3</v>
      </c>
    </row>
    <row r="97" spans="1:14" x14ac:dyDescent="0.25">
      <c r="A97" s="34">
        <v>41791</v>
      </c>
      <c r="B97" s="1">
        <v>306.5</v>
      </c>
      <c r="C97" s="34">
        <v>41791</v>
      </c>
      <c r="D97" s="1">
        <v>158</v>
      </c>
      <c r="E97" s="34">
        <v>41791</v>
      </c>
      <c r="F97" s="1">
        <v>3.4</v>
      </c>
      <c r="G97" s="34">
        <v>41791</v>
      </c>
      <c r="H97" s="1">
        <v>0.81</v>
      </c>
      <c r="I97" s="34">
        <v>41791</v>
      </c>
      <c r="J97" s="1">
        <v>153.77000000000001</v>
      </c>
      <c r="K97" s="34">
        <v>41791</v>
      </c>
      <c r="L97" s="1">
        <v>307.89999999999998</v>
      </c>
      <c r="M97" s="34">
        <v>41791</v>
      </c>
      <c r="N97" s="1">
        <v>53.9</v>
      </c>
    </row>
    <row r="98" spans="1:14" x14ac:dyDescent="0.25">
      <c r="A98" s="34">
        <v>41821</v>
      </c>
      <c r="B98" s="1">
        <v>306.8</v>
      </c>
      <c r="C98" s="34">
        <v>41821</v>
      </c>
      <c r="D98" s="1">
        <v>118</v>
      </c>
      <c r="E98" s="34">
        <v>41821</v>
      </c>
      <c r="F98" s="1">
        <v>3.7</v>
      </c>
      <c r="G98" s="34">
        <v>41821</v>
      </c>
      <c r="H98" s="1">
        <v>0.43</v>
      </c>
      <c r="I98" s="34">
        <v>41821</v>
      </c>
      <c r="J98" s="1">
        <v>153.66999999999999</v>
      </c>
      <c r="K98" s="34">
        <v>41821</v>
      </c>
      <c r="L98" s="1">
        <v>301.8</v>
      </c>
      <c r="M98" s="34">
        <v>41821</v>
      </c>
      <c r="N98" s="1">
        <v>45.2</v>
      </c>
    </row>
    <row r="99" spans="1:14" x14ac:dyDescent="0.25">
      <c r="A99" s="34">
        <v>41852</v>
      </c>
      <c r="B99" s="1">
        <v>306.8</v>
      </c>
      <c r="C99" s="34">
        <v>41852</v>
      </c>
      <c r="D99" s="1">
        <v>177</v>
      </c>
      <c r="E99" s="34">
        <v>41852</v>
      </c>
      <c r="F99" s="1">
        <v>4.0999999999999996</v>
      </c>
      <c r="G99" s="34">
        <v>41852</v>
      </c>
      <c r="H99" s="1">
        <v>-0.02</v>
      </c>
      <c r="I99" s="34">
        <v>41852</v>
      </c>
      <c r="J99" s="1">
        <v>153.51</v>
      </c>
      <c r="K99" s="34">
        <v>41852</v>
      </c>
      <c r="L99" s="1">
        <v>302.3</v>
      </c>
      <c r="M99" s="34">
        <v>41852</v>
      </c>
      <c r="N99" s="1">
        <v>45.2</v>
      </c>
    </row>
    <row r="100" spans="1:14" x14ac:dyDescent="0.25">
      <c r="A100" s="34">
        <v>41883</v>
      </c>
      <c r="B100" s="1">
        <v>307.2</v>
      </c>
      <c r="C100" s="34">
        <v>41883</v>
      </c>
      <c r="D100" s="1">
        <v>100</v>
      </c>
      <c r="E100" s="34">
        <v>41883</v>
      </c>
      <c r="F100" s="1">
        <v>4.4000000000000004</v>
      </c>
      <c r="G100" s="34">
        <v>41883</v>
      </c>
      <c r="H100" s="1">
        <v>0.43</v>
      </c>
      <c r="I100" s="34">
        <v>41883</v>
      </c>
      <c r="J100" s="1">
        <v>153.51</v>
      </c>
      <c r="K100" s="34">
        <v>41883</v>
      </c>
      <c r="L100" s="1">
        <v>309.2</v>
      </c>
      <c r="M100" s="34">
        <v>41883</v>
      </c>
      <c r="N100" s="1">
        <v>54.8</v>
      </c>
    </row>
    <row r="101" spans="1:14" x14ac:dyDescent="0.25">
      <c r="A101" s="34">
        <v>41913</v>
      </c>
      <c r="B101" s="1">
        <v>308.10000000000002</v>
      </c>
      <c r="C101" s="34">
        <v>41913</v>
      </c>
      <c r="D101" s="1">
        <v>98</v>
      </c>
      <c r="E101" s="34">
        <v>41913</v>
      </c>
      <c r="F101" s="1">
        <v>4.4000000000000004</v>
      </c>
      <c r="G101" s="34">
        <v>41913</v>
      </c>
      <c r="H101" s="1">
        <v>2.27</v>
      </c>
      <c r="I101" s="34">
        <v>41913</v>
      </c>
      <c r="J101" s="1">
        <v>154.11000000000001</v>
      </c>
      <c r="K101" s="34">
        <v>41913</v>
      </c>
      <c r="L101" s="1">
        <v>313.39999999999998</v>
      </c>
      <c r="M101" s="34">
        <v>41913</v>
      </c>
      <c r="N101" s="1">
        <v>57.7</v>
      </c>
    </row>
    <row r="102" spans="1:14" x14ac:dyDescent="0.25">
      <c r="A102" s="34">
        <v>41944</v>
      </c>
      <c r="B102" s="1">
        <v>311.60000000000002</v>
      </c>
      <c r="C102" s="34">
        <v>41944</v>
      </c>
      <c r="D102" s="1">
        <v>161</v>
      </c>
      <c r="E102" s="34">
        <v>41944</v>
      </c>
      <c r="F102" s="1">
        <v>4.4000000000000004</v>
      </c>
      <c r="G102" s="34">
        <v>41944</v>
      </c>
      <c r="H102" s="1">
        <v>3.23</v>
      </c>
      <c r="I102" s="34">
        <v>41944</v>
      </c>
      <c r="J102" s="1">
        <v>154.85</v>
      </c>
      <c r="K102" s="34">
        <v>41944</v>
      </c>
      <c r="L102" s="1">
        <v>314.10000000000002</v>
      </c>
      <c r="M102" s="34">
        <v>41944</v>
      </c>
      <c r="N102" s="1">
        <v>57.9</v>
      </c>
    </row>
    <row r="103" spans="1:14" x14ac:dyDescent="0.25">
      <c r="A103" s="34">
        <v>41974</v>
      </c>
      <c r="B103" s="1">
        <v>310.2</v>
      </c>
      <c r="E103" s="34">
        <v>41974</v>
      </c>
      <c r="F103" s="1">
        <v>4.2</v>
      </c>
      <c r="K103" s="34">
        <v>41974</v>
      </c>
      <c r="L103" s="1">
        <v>317.60000000000002</v>
      </c>
      <c r="M103" s="34">
        <v>41974</v>
      </c>
      <c r="N103" s="1">
        <v>57.8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P103"/>
  <sheetViews>
    <sheetView topLeftCell="A16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308</v>
      </c>
      <c r="C1" s="34" t="s">
        <v>309</v>
      </c>
      <c r="E1" s="34" t="s">
        <v>310</v>
      </c>
      <c r="G1" s="34" t="s">
        <v>311</v>
      </c>
      <c r="I1" s="34" t="s">
        <v>312</v>
      </c>
      <c r="K1" s="34" t="str">
        <f>CONCATENATE(LEFT(A1,2), "NAN")</f>
        <v>WANAN</v>
      </c>
      <c r="M1" s="34" t="str">
        <f>CONCATENATE(LEFT(A1,2), "GOVTN")</f>
        <v>WAGOVTN</v>
      </c>
      <c r="O1" s="34" t="str">
        <f>CONCATENATE(LEFT($A$1,2), "RGSP")</f>
        <v>WARGSP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984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961</v>
      </c>
      <c r="K4" s="34">
        <v>39083</v>
      </c>
      <c r="L4" s="1" t="s">
        <v>985</v>
      </c>
      <c r="M4" s="34">
        <v>39083</v>
      </c>
      <c r="N4" s="1" t="s">
        <v>984</v>
      </c>
      <c r="O4" s="34">
        <v>39083</v>
      </c>
      <c r="P4" s="1" t="s">
        <v>770</v>
      </c>
    </row>
    <row r="5" spans="1:16" x14ac:dyDescent="0.25">
      <c r="A5" s="35" t="s">
        <v>938</v>
      </c>
      <c r="C5" s="35" t="s">
        <v>331</v>
      </c>
      <c r="E5" s="35" t="s">
        <v>332</v>
      </c>
      <c r="G5" s="35" t="s">
        <v>333</v>
      </c>
      <c r="I5" s="35" t="s">
        <v>334</v>
      </c>
      <c r="K5" s="35" t="s">
        <v>938</v>
      </c>
      <c r="M5" s="35" t="s">
        <v>939</v>
      </c>
      <c r="O5" s="35" t="s">
        <v>773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2930.6</v>
      </c>
      <c r="C8" s="34">
        <v>39083</v>
      </c>
      <c r="D8" s="1">
        <v>4176</v>
      </c>
      <c r="E8" s="34">
        <v>39083</v>
      </c>
      <c r="F8" s="1">
        <v>4.5999999999999996</v>
      </c>
      <c r="G8" s="34">
        <v>39083</v>
      </c>
      <c r="H8" s="1">
        <v>2.12</v>
      </c>
      <c r="I8" s="34">
        <v>39083</v>
      </c>
      <c r="J8" s="1">
        <v>147.69999999999999</v>
      </c>
      <c r="K8" s="34">
        <v>39083</v>
      </c>
      <c r="L8" s="1">
        <v>2877.5</v>
      </c>
      <c r="M8" s="34">
        <v>39083</v>
      </c>
      <c r="N8" s="1">
        <v>530.70000000000005</v>
      </c>
      <c r="O8" s="34">
        <v>39083</v>
      </c>
      <c r="P8" s="1">
        <v>354616</v>
      </c>
    </row>
    <row r="9" spans="1:16" x14ac:dyDescent="0.25">
      <c r="A9" s="34">
        <v>39114</v>
      </c>
      <c r="B9" s="1">
        <v>2946</v>
      </c>
      <c r="C9" s="34">
        <v>39114</v>
      </c>
      <c r="D9" s="1">
        <v>4144</v>
      </c>
      <c r="E9" s="34">
        <v>39114</v>
      </c>
      <c r="F9" s="1">
        <v>4.5</v>
      </c>
      <c r="G9" s="34">
        <v>39114</v>
      </c>
      <c r="H9" s="1">
        <v>2.27</v>
      </c>
      <c r="I9" s="34">
        <v>39114</v>
      </c>
      <c r="J9" s="1">
        <v>148.33000000000001</v>
      </c>
      <c r="K9" s="34">
        <v>39114</v>
      </c>
      <c r="L9" s="1">
        <v>2908</v>
      </c>
      <c r="M9" s="34">
        <v>39114</v>
      </c>
      <c r="N9" s="1">
        <v>537.6</v>
      </c>
      <c r="O9" s="34">
        <v>39448</v>
      </c>
      <c r="P9" s="1">
        <v>358158</v>
      </c>
    </row>
    <row r="10" spans="1:16" x14ac:dyDescent="0.25">
      <c r="A10" s="34">
        <v>39142</v>
      </c>
      <c r="B10" s="1">
        <v>2949.8</v>
      </c>
      <c r="C10" s="34">
        <v>39142</v>
      </c>
      <c r="D10" s="1">
        <v>4393</v>
      </c>
      <c r="E10" s="34">
        <v>39142</v>
      </c>
      <c r="F10" s="1">
        <v>4.4000000000000004</v>
      </c>
      <c r="G10" s="34">
        <v>39142</v>
      </c>
      <c r="H10" s="1">
        <v>2.15</v>
      </c>
      <c r="I10" s="34">
        <v>39142</v>
      </c>
      <c r="J10" s="1">
        <v>148.91</v>
      </c>
      <c r="K10" s="34">
        <v>39142</v>
      </c>
      <c r="L10" s="1">
        <v>2925.8</v>
      </c>
      <c r="M10" s="34">
        <v>39142</v>
      </c>
      <c r="N10" s="1">
        <v>536.79999999999995</v>
      </c>
      <c r="O10" s="34">
        <v>39814</v>
      </c>
      <c r="P10" s="1">
        <v>350125</v>
      </c>
    </row>
    <row r="11" spans="1:16" x14ac:dyDescent="0.25">
      <c r="A11" s="34">
        <v>39173</v>
      </c>
      <c r="B11" s="1">
        <v>2955.9</v>
      </c>
      <c r="C11" s="34">
        <v>39173</v>
      </c>
      <c r="D11" s="1">
        <v>3476</v>
      </c>
      <c r="E11" s="34">
        <v>39173</v>
      </c>
      <c r="F11" s="1">
        <v>4.4000000000000004</v>
      </c>
      <c r="G11" s="34">
        <v>39173</v>
      </c>
      <c r="H11" s="1">
        <v>1.63</v>
      </c>
      <c r="I11" s="34">
        <v>39173</v>
      </c>
      <c r="J11" s="1">
        <v>149.32</v>
      </c>
      <c r="K11" s="34">
        <v>39173</v>
      </c>
      <c r="L11" s="1">
        <v>2944</v>
      </c>
      <c r="M11" s="34">
        <v>39173</v>
      </c>
      <c r="N11" s="1">
        <v>539.70000000000005</v>
      </c>
      <c r="O11" s="34">
        <v>40179</v>
      </c>
      <c r="P11" s="1">
        <v>356398</v>
      </c>
    </row>
    <row r="12" spans="1:16" x14ac:dyDescent="0.25">
      <c r="A12" s="34">
        <v>39203</v>
      </c>
      <c r="B12" s="1">
        <v>2961.7</v>
      </c>
      <c r="C12" s="34">
        <v>39203</v>
      </c>
      <c r="D12" s="1">
        <v>5007</v>
      </c>
      <c r="E12" s="34">
        <v>39203</v>
      </c>
      <c r="F12" s="1">
        <v>4.4000000000000004</v>
      </c>
      <c r="G12" s="34">
        <v>39203</v>
      </c>
      <c r="H12" s="1">
        <v>1.34</v>
      </c>
      <c r="I12" s="34">
        <v>39203</v>
      </c>
      <c r="J12" s="1">
        <v>149.65</v>
      </c>
      <c r="K12" s="34">
        <v>39203</v>
      </c>
      <c r="L12" s="1">
        <v>2973.4</v>
      </c>
      <c r="M12" s="34">
        <v>39203</v>
      </c>
      <c r="N12" s="1">
        <v>542</v>
      </c>
      <c r="O12" s="34">
        <v>40544</v>
      </c>
      <c r="P12" s="1">
        <v>358869</v>
      </c>
    </row>
    <row r="13" spans="1:16" x14ac:dyDescent="0.25">
      <c r="A13" s="34">
        <v>39234</v>
      </c>
      <c r="B13" s="1">
        <v>2969.5</v>
      </c>
      <c r="C13" s="34">
        <v>39234</v>
      </c>
      <c r="D13" s="1">
        <v>3995</v>
      </c>
      <c r="E13" s="34">
        <v>39234</v>
      </c>
      <c r="F13" s="1">
        <v>4.5</v>
      </c>
      <c r="G13" s="34">
        <v>39234</v>
      </c>
      <c r="H13" s="1">
        <v>1.03</v>
      </c>
      <c r="I13" s="34">
        <v>39234</v>
      </c>
      <c r="J13" s="1">
        <v>149.88</v>
      </c>
      <c r="K13" s="34">
        <v>39234</v>
      </c>
      <c r="L13" s="1">
        <v>2999.7</v>
      </c>
      <c r="M13" s="34">
        <v>39234</v>
      </c>
      <c r="N13" s="1">
        <v>541.5</v>
      </c>
      <c r="O13" s="34">
        <v>40909</v>
      </c>
      <c r="P13" s="1">
        <v>371156</v>
      </c>
    </row>
    <row r="14" spans="1:16" x14ac:dyDescent="0.25">
      <c r="A14" s="34">
        <v>39264</v>
      </c>
      <c r="B14" s="1">
        <v>2971.3</v>
      </c>
      <c r="C14" s="34">
        <v>39264</v>
      </c>
      <c r="D14" s="1">
        <v>3922</v>
      </c>
      <c r="E14" s="34">
        <v>39264</v>
      </c>
      <c r="F14" s="1">
        <v>4.5999999999999996</v>
      </c>
      <c r="G14" s="34">
        <v>39264</v>
      </c>
      <c r="H14" s="1">
        <v>0.81</v>
      </c>
      <c r="I14" s="34">
        <v>39264</v>
      </c>
      <c r="J14" s="1">
        <v>150.08000000000001</v>
      </c>
      <c r="K14" s="34">
        <v>39264</v>
      </c>
      <c r="L14" s="1">
        <v>2978.1</v>
      </c>
      <c r="M14" s="34">
        <v>39264</v>
      </c>
      <c r="N14" s="1">
        <v>517.5</v>
      </c>
      <c r="O14" s="34">
        <v>41275</v>
      </c>
      <c r="P14" s="1">
        <v>381017</v>
      </c>
    </row>
    <row r="15" spans="1:16" x14ac:dyDescent="0.25">
      <c r="A15" s="34">
        <v>39295</v>
      </c>
      <c r="B15" s="1">
        <v>2975.2</v>
      </c>
      <c r="C15" s="34">
        <v>39295</v>
      </c>
      <c r="D15" s="1">
        <v>4916</v>
      </c>
      <c r="E15" s="34">
        <v>39295</v>
      </c>
      <c r="F15" s="1">
        <v>4.5999999999999996</v>
      </c>
      <c r="G15" s="34">
        <v>39295</v>
      </c>
      <c r="H15" s="1">
        <v>1.21</v>
      </c>
      <c r="I15" s="34">
        <v>39295</v>
      </c>
      <c r="J15" s="1">
        <v>150.44999999999999</v>
      </c>
      <c r="K15" s="34">
        <v>39295</v>
      </c>
      <c r="L15" s="1">
        <v>2979.2</v>
      </c>
      <c r="M15" s="34">
        <v>39295</v>
      </c>
      <c r="N15" s="1">
        <v>504.5</v>
      </c>
    </row>
    <row r="16" spans="1:16" x14ac:dyDescent="0.25">
      <c r="A16" s="34">
        <v>39326</v>
      </c>
      <c r="B16" s="1">
        <v>2976.8</v>
      </c>
      <c r="C16" s="34">
        <v>39326</v>
      </c>
      <c r="D16" s="1">
        <v>3069</v>
      </c>
      <c r="E16" s="34">
        <v>39326</v>
      </c>
      <c r="F16" s="1">
        <v>4.5999999999999996</v>
      </c>
      <c r="G16" s="34">
        <v>39326</v>
      </c>
      <c r="H16" s="1">
        <v>1.03</v>
      </c>
      <c r="I16" s="34">
        <v>39326</v>
      </c>
      <c r="J16" s="1">
        <v>150.63</v>
      </c>
      <c r="K16" s="34">
        <v>39326</v>
      </c>
      <c r="L16" s="1">
        <v>2994.8</v>
      </c>
      <c r="M16" s="34">
        <v>39326</v>
      </c>
      <c r="N16" s="1">
        <v>521.79999999999995</v>
      </c>
    </row>
    <row r="17" spans="1:14" x14ac:dyDescent="0.25">
      <c r="A17" s="34">
        <v>39356</v>
      </c>
      <c r="B17" s="1">
        <v>2983</v>
      </c>
      <c r="C17" s="34">
        <v>39356</v>
      </c>
      <c r="D17" s="1">
        <v>3793</v>
      </c>
      <c r="E17" s="34">
        <v>39356</v>
      </c>
      <c r="F17" s="1">
        <v>4.5999999999999996</v>
      </c>
      <c r="G17" s="34">
        <v>39356</v>
      </c>
      <c r="H17" s="1">
        <v>1.06</v>
      </c>
      <c r="I17" s="34">
        <v>39356</v>
      </c>
      <c r="J17" s="1">
        <v>150.94</v>
      </c>
      <c r="K17" s="34">
        <v>39356</v>
      </c>
      <c r="L17" s="1">
        <v>3005.1</v>
      </c>
      <c r="M17" s="34">
        <v>39356</v>
      </c>
      <c r="N17" s="1">
        <v>541.20000000000005</v>
      </c>
    </row>
    <row r="18" spans="1:14" x14ac:dyDescent="0.25">
      <c r="A18" s="34">
        <v>39387</v>
      </c>
      <c r="B18" s="1">
        <v>2992.9</v>
      </c>
      <c r="C18" s="34">
        <v>39387</v>
      </c>
      <c r="D18" s="1">
        <v>2486</v>
      </c>
      <c r="E18" s="34">
        <v>39387</v>
      </c>
      <c r="F18" s="1">
        <v>4.5999999999999996</v>
      </c>
      <c r="G18" s="34">
        <v>39387</v>
      </c>
      <c r="H18" s="1">
        <v>0.97</v>
      </c>
      <c r="I18" s="34">
        <v>39387</v>
      </c>
      <c r="J18" s="1">
        <v>151.24</v>
      </c>
      <c r="K18" s="34">
        <v>39387</v>
      </c>
      <c r="L18" s="1">
        <v>3018.9</v>
      </c>
      <c r="M18" s="34">
        <v>39387</v>
      </c>
      <c r="N18" s="1">
        <v>549.4</v>
      </c>
    </row>
    <row r="19" spans="1:14" x14ac:dyDescent="0.25">
      <c r="A19" s="34">
        <v>39417</v>
      </c>
      <c r="B19" s="1">
        <v>2997.4</v>
      </c>
      <c r="C19" s="34">
        <v>39417</v>
      </c>
      <c r="D19" s="1">
        <v>2085</v>
      </c>
      <c r="E19" s="34">
        <v>39417</v>
      </c>
      <c r="F19" s="1">
        <v>4.5999999999999996</v>
      </c>
      <c r="G19" s="34">
        <v>39417</v>
      </c>
      <c r="H19" s="1">
        <v>0.57999999999999996</v>
      </c>
      <c r="I19" s="34">
        <v>39417</v>
      </c>
      <c r="J19" s="1">
        <v>151.44999999999999</v>
      </c>
      <c r="K19" s="34">
        <v>39417</v>
      </c>
      <c r="L19" s="1">
        <v>3009.5</v>
      </c>
      <c r="M19" s="34">
        <v>39417</v>
      </c>
      <c r="N19" s="1">
        <v>542.5</v>
      </c>
    </row>
    <row r="20" spans="1:14" x14ac:dyDescent="0.25">
      <c r="A20" s="34">
        <v>39448</v>
      </c>
      <c r="B20" s="1">
        <v>3004.9</v>
      </c>
      <c r="C20" s="34">
        <v>39448</v>
      </c>
      <c r="D20" s="1">
        <v>2004</v>
      </c>
      <c r="E20" s="34">
        <v>39448</v>
      </c>
      <c r="F20" s="1">
        <v>4.5999999999999996</v>
      </c>
      <c r="G20" s="34">
        <v>39448</v>
      </c>
      <c r="H20" s="1">
        <v>0.52</v>
      </c>
      <c r="I20" s="34">
        <v>39448</v>
      </c>
      <c r="J20" s="1">
        <v>151.66999999999999</v>
      </c>
      <c r="K20" s="34">
        <v>39448</v>
      </c>
      <c r="L20" s="1">
        <v>2951.2</v>
      </c>
      <c r="M20" s="34">
        <v>39448</v>
      </c>
      <c r="N20" s="1">
        <v>541.29999999999995</v>
      </c>
    </row>
    <row r="21" spans="1:14" x14ac:dyDescent="0.25">
      <c r="A21" s="34">
        <v>39479</v>
      </c>
      <c r="B21" s="1">
        <v>3008</v>
      </c>
      <c r="C21" s="34">
        <v>39479</v>
      </c>
      <c r="D21" s="1">
        <v>2538</v>
      </c>
      <c r="E21" s="34">
        <v>39479</v>
      </c>
      <c r="F21" s="1">
        <v>4.5999999999999996</v>
      </c>
      <c r="G21" s="34">
        <v>39479</v>
      </c>
      <c r="H21" s="1">
        <v>0.37</v>
      </c>
      <c r="I21" s="34">
        <v>39479</v>
      </c>
      <c r="J21" s="1">
        <v>151.80000000000001</v>
      </c>
      <c r="K21" s="34">
        <v>39479</v>
      </c>
      <c r="L21" s="1">
        <v>2971</v>
      </c>
      <c r="M21" s="34">
        <v>39479</v>
      </c>
      <c r="N21" s="1">
        <v>549.70000000000005</v>
      </c>
    </row>
    <row r="22" spans="1:14" x14ac:dyDescent="0.25">
      <c r="A22" s="34">
        <v>39508</v>
      </c>
      <c r="B22" s="1">
        <v>3008</v>
      </c>
      <c r="C22" s="34">
        <v>39508</v>
      </c>
      <c r="D22" s="1">
        <v>2479</v>
      </c>
      <c r="E22" s="34">
        <v>39508</v>
      </c>
      <c r="F22" s="1">
        <v>4.7</v>
      </c>
      <c r="G22" s="34">
        <v>39508</v>
      </c>
      <c r="H22" s="1">
        <v>-0.17</v>
      </c>
      <c r="I22" s="34">
        <v>39508</v>
      </c>
      <c r="J22" s="1">
        <v>151.69</v>
      </c>
      <c r="K22" s="34">
        <v>39508</v>
      </c>
      <c r="L22" s="1">
        <v>2983.4</v>
      </c>
      <c r="M22" s="34">
        <v>39508</v>
      </c>
      <c r="N22" s="1">
        <v>549.20000000000005</v>
      </c>
    </row>
    <row r="23" spans="1:14" x14ac:dyDescent="0.25">
      <c r="A23" s="34">
        <v>39539</v>
      </c>
      <c r="B23" s="1">
        <v>3005.8</v>
      </c>
      <c r="C23" s="34">
        <v>39539</v>
      </c>
      <c r="D23" s="1">
        <v>2881</v>
      </c>
      <c r="E23" s="34">
        <v>39539</v>
      </c>
      <c r="F23" s="1">
        <v>4.8</v>
      </c>
      <c r="G23" s="34">
        <v>39539</v>
      </c>
      <c r="H23" s="1">
        <v>-0.65</v>
      </c>
      <c r="I23" s="34">
        <v>39539</v>
      </c>
      <c r="J23" s="1">
        <v>151.46</v>
      </c>
      <c r="K23" s="34">
        <v>39539</v>
      </c>
      <c r="L23" s="1">
        <v>2994.4</v>
      </c>
      <c r="M23" s="34">
        <v>39539</v>
      </c>
      <c r="N23" s="1">
        <v>549.9</v>
      </c>
    </row>
    <row r="24" spans="1:14" x14ac:dyDescent="0.25">
      <c r="A24" s="34">
        <v>39569</v>
      </c>
      <c r="B24" s="1">
        <v>3005.5</v>
      </c>
      <c r="C24" s="34">
        <v>39569</v>
      </c>
      <c r="D24" s="1">
        <v>2948</v>
      </c>
      <c r="E24" s="34">
        <v>39569</v>
      </c>
      <c r="F24" s="1">
        <v>5</v>
      </c>
      <c r="G24" s="34">
        <v>39569</v>
      </c>
      <c r="H24" s="1">
        <v>-0.93</v>
      </c>
      <c r="I24" s="34">
        <v>39569</v>
      </c>
      <c r="J24" s="1">
        <v>151.13999999999999</v>
      </c>
      <c r="K24" s="34">
        <v>39569</v>
      </c>
      <c r="L24" s="1">
        <v>3015.8</v>
      </c>
      <c r="M24" s="34">
        <v>39569</v>
      </c>
      <c r="N24" s="1">
        <v>552.79999999999995</v>
      </c>
    </row>
    <row r="25" spans="1:14" x14ac:dyDescent="0.25">
      <c r="A25" s="34">
        <v>39600</v>
      </c>
      <c r="B25" s="1">
        <v>3003.6</v>
      </c>
      <c r="C25" s="34">
        <v>39600</v>
      </c>
      <c r="D25" s="1">
        <v>3069</v>
      </c>
      <c r="E25" s="34">
        <v>39600</v>
      </c>
      <c r="F25" s="1">
        <v>5.2</v>
      </c>
      <c r="G25" s="34">
        <v>39600</v>
      </c>
      <c r="H25" s="1">
        <v>-1</v>
      </c>
      <c r="I25" s="34">
        <v>39600</v>
      </c>
      <c r="J25" s="1">
        <v>150.82</v>
      </c>
      <c r="K25" s="34">
        <v>39600</v>
      </c>
      <c r="L25" s="1">
        <v>3028.4</v>
      </c>
      <c r="M25" s="34">
        <v>39600</v>
      </c>
      <c r="N25" s="1">
        <v>553.20000000000005</v>
      </c>
    </row>
    <row r="26" spans="1:14" x14ac:dyDescent="0.25">
      <c r="A26" s="34">
        <v>39630</v>
      </c>
      <c r="B26" s="1">
        <v>3005.7</v>
      </c>
      <c r="C26" s="34">
        <v>39630</v>
      </c>
      <c r="D26" s="1">
        <v>2356</v>
      </c>
      <c r="E26" s="34">
        <v>39630</v>
      </c>
      <c r="F26" s="1">
        <v>5.4</v>
      </c>
      <c r="G26" s="34">
        <v>39630</v>
      </c>
      <c r="H26" s="1">
        <v>-0.82</v>
      </c>
      <c r="I26" s="34">
        <v>39630</v>
      </c>
      <c r="J26" s="1">
        <v>150.54</v>
      </c>
      <c r="K26" s="34">
        <v>39630</v>
      </c>
      <c r="L26" s="1">
        <v>3013.4</v>
      </c>
      <c r="M26" s="34">
        <v>39630</v>
      </c>
      <c r="N26" s="1">
        <v>531</v>
      </c>
    </row>
    <row r="27" spans="1:14" x14ac:dyDescent="0.25">
      <c r="A27" s="34">
        <v>39661</v>
      </c>
      <c r="B27" s="1">
        <v>3006.2</v>
      </c>
      <c r="C27" s="34">
        <v>39661</v>
      </c>
      <c r="D27" s="1">
        <v>2556</v>
      </c>
      <c r="E27" s="34">
        <v>39661</v>
      </c>
      <c r="F27" s="1">
        <v>5.6</v>
      </c>
      <c r="G27" s="34">
        <v>39661</v>
      </c>
      <c r="H27" s="1">
        <v>-1.1299999999999999</v>
      </c>
      <c r="I27" s="34">
        <v>39661</v>
      </c>
      <c r="J27" s="1">
        <v>150.1</v>
      </c>
      <c r="K27" s="34">
        <v>39661</v>
      </c>
      <c r="L27" s="1">
        <v>3009.5</v>
      </c>
      <c r="M27" s="34">
        <v>39661</v>
      </c>
      <c r="N27" s="1">
        <v>519.5</v>
      </c>
    </row>
    <row r="28" spans="1:14" x14ac:dyDescent="0.25">
      <c r="A28" s="34">
        <v>39692</v>
      </c>
      <c r="B28" s="1">
        <v>2996.7</v>
      </c>
      <c r="C28" s="34">
        <v>39692</v>
      </c>
      <c r="D28" s="1">
        <v>2274</v>
      </c>
      <c r="E28" s="34">
        <v>39692</v>
      </c>
      <c r="F28" s="1">
        <v>5.8</v>
      </c>
      <c r="G28" s="34">
        <v>39692</v>
      </c>
      <c r="H28" s="1">
        <v>-1.8</v>
      </c>
      <c r="I28" s="34">
        <v>39692</v>
      </c>
      <c r="J28" s="1">
        <v>149.54</v>
      </c>
      <c r="K28" s="34">
        <v>39692</v>
      </c>
      <c r="L28" s="1">
        <v>3015.1</v>
      </c>
      <c r="M28" s="34">
        <v>39692</v>
      </c>
      <c r="N28" s="1">
        <v>533.79999999999995</v>
      </c>
    </row>
    <row r="29" spans="1:14" x14ac:dyDescent="0.25">
      <c r="A29" s="34">
        <v>39722</v>
      </c>
      <c r="B29" s="1">
        <v>2961.6</v>
      </c>
      <c r="C29" s="34">
        <v>39722</v>
      </c>
      <c r="D29" s="1">
        <v>2609</v>
      </c>
      <c r="E29" s="34">
        <v>39722</v>
      </c>
      <c r="F29" s="1">
        <v>6.1</v>
      </c>
      <c r="G29" s="34">
        <v>39722</v>
      </c>
      <c r="H29" s="1">
        <v>-2.62</v>
      </c>
      <c r="I29" s="34">
        <v>39722</v>
      </c>
      <c r="J29" s="1">
        <v>148.74</v>
      </c>
      <c r="K29" s="34">
        <v>39722</v>
      </c>
      <c r="L29" s="1">
        <v>2990.1</v>
      </c>
      <c r="M29" s="34">
        <v>39722</v>
      </c>
      <c r="N29" s="1">
        <v>555.9</v>
      </c>
    </row>
    <row r="30" spans="1:14" x14ac:dyDescent="0.25">
      <c r="A30" s="34">
        <v>39753</v>
      </c>
      <c r="B30" s="1">
        <v>2969.8</v>
      </c>
      <c r="C30" s="34">
        <v>39753</v>
      </c>
      <c r="D30" s="1">
        <v>1086</v>
      </c>
      <c r="E30" s="34">
        <v>39753</v>
      </c>
      <c r="F30" s="1">
        <v>6.5</v>
      </c>
      <c r="G30" s="34">
        <v>39753</v>
      </c>
      <c r="H30" s="1">
        <v>-3.44</v>
      </c>
      <c r="I30" s="34">
        <v>39753</v>
      </c>
      <c r="J30" s="1">
        <v>147.72</v>
      </c>
      <c r="K30" s="34">
        <v>39753</v>
      </c>
      <c r="L30" s="1">
        <v>2993.8</v>
      </c>
      <c r="M30" s="34">
        <v>39753</v>
      </c>
      <c r="N30" s="1">
        <v>564.20000000000005</v>
      </c>
    </row>
    <row r="31" spans="1:14" x14ac:dyDescent="0.25">
      <c r="A31" s="34">
        <v>39783</v>
      </c>
      <c r="B31" s="1">
        <v>2950</v>
      </c>
      <c r="C31" s="34">
        <v>39783</v>
      </c>
      <c r="D31" s="1">
        <v>901</v>
      </c>
      <c r="E31" s="34">
        <v>39783</v>
      </c>
      <c r="F31" s="1">
        <v>7.1</v>
      </c>
      <c r="G31" s="34">
        <v>39783</v>
      </c>
      <c r="H31" s="1">
        <v>-4.46</v>
      </c>
      <c r="I31" s="34">
        <v>39783</v>
      </c>
      <c r="J31" s="1">
        <v>146.4</v>
      </c>
      <c r="K31" s="34">
        <v>39783</v>
      </c>
      <c r="L31" s="1">
        <v>2960.7</v>
      </c>
      <c r="M31" s="34">
        <v>39783</v>
      </c>
      <c r="N31" s="1">
        <v>555.29999999999995</v>
      </c>
    </row>
    <row r="32" spans="1:14" x14ac:dyDescent="0.25">
      <c r="A32" s="34">
        <v>39814</v>
      </c>
      <c r="B32" s="1">
        <v>2935.9</v>
      </c>
      <c r="C32" s="34">
        <v>39814</v>
      </c>
      <c r="D32" s="1">
        <v>1218</v>
      </c>
      <c r="E32" s="34">
        <v>39814</v>
      </c>
      <c r="F32" s="1">
        <v>7.7</v>
      </c>
      <c r="G32" s="34">
        <v>39814</v>
      </c>
      <c r="H32" s="1">
        <v>-4.45</v>
      </c>
      <c r="I32" s="34">
        <v>39814</v>
      </c>
      <c r="J32" s="1">
        <v>145.16999999999999</v>
      </c>
      <c r="K32" s="34">
        <v>39814</v>
      </c>
      <c r="L32" s="1">
        <v>2886.6</v>
      </c>
      <c r="M32" s="34">
        <v>39814</v>
      </c>
      <c r="N32" s="1">
        <v>551.70000000000005</v>
      </c>
    </row>
    <row r="33" spans="1:14" x14ac:dyDescent="0.25">
      <c r="A33" s="34">
        <v>39845</v>
      </c>
      <c r="B33" s="1">
        <v>2918.4</v>
      </c>
      <c r="C33" s="34">
        <v>39845</v>
      </c>
      <c r="D33" s="1">
        <v>884</v>
      </c>
      <c r="E33" s="34">
        <v>39845</v>
      </c>
      <c r="F33" s="1">
        <v>8.3000000000000007</v>
      </c>
      <c r="G33" s="34">
        <v>39845</v>
      </c>
      <c r="H33" s="1">
        <v>-4.42</v>
      </c>
      <c r="I33" s="34">
        <v>39845</v>
      </c>
      <c r="J33" s="1">
        <v>143.86000000000001</v>
      </c>
      <c r="K33" s="34">
        <v>39845</v>
      </c>
      <c r="L33" s="1">
        <v>2880.2</v>
      </c>
      <c r="M33" s="34">
        <v>39845</v>
      </c>
      <c r="N33" s="1">
        <v>556.4</v>
      </c>
    </row>
    <row r="34" spans="1:14" x14ac:dyDescent="0.25">
      <c r="A34" s="34">
        <v>39873</v>
      </c>
      <c r="B34" s="1">
        <v>2895.9</v>
      </c>
      <c r="C34" s="34">
        <v>39873</v>
      </c>
      <c r="D34" s="1">
        <v>1209</v>
      </c>
      <c r="E34" s="34">
        <v>39873</v>
      </c>
      <c r="F34" s="1">
        <v>8.8000000000000007</v>
      </c>
      <c r="G34" s="34">
        <v>39873</v>
      </c>
      <c r="H34" s="1">
        <v>-4.0199999999999996</v>
      </c>
      <c r="I34" s="34">
        <v>39873</v>
      </c>
      <c r="J34" s="1">
        <v>142.66</v>
      </c>
      <c r="K34" s="34">
        <v>39873</v>
      </c>
      <c r="L34" s="1">
        <v>2871.9</v>
      </c>
      <c r="M34" s="34">
        <v>39873</v>
      </c>
      <c r="N34" s="1">
        <v>558.6</v>
      </c>
    </row>
    <row r="35" spans="1:14" x14ac:dyDescent="0.25">
      <c r="A35" s="34">
        <v>39904</v>
      </c>
      <c r="B35" s="1">
        <v>2872.8</v>
      </c>
      <c r="C35" s="34">
        <v>39904</v>
      </c>
      <c r="D35" s="1">
        <v>1170</v>
      </c>
      <c r="E35" s="34">
        <v>39904</v>
      </c>
      <c r="F35" s="1">
        <v>9.1999999999999993</v>
      </c>
      <c r="G35" s="34">
        <v>39904</v>
      </c>
      <c r="H35" s="1">
        <v>-3.19</v>
      </c>
      <c r="I35" s="34">
        <v>39904</v>
      </c>
      <c r="J35" s="1">
        <v>141.63</v>
      </c>
      <c r="K35" s="34">
        <v>39904</v>
      </c>
      <c r="L35" s="1">
        <v>2868.1</v>
      </c>
      <c r="M35" s="34">
        <v>39904</v>
      </c>
      <c r="N35" s="1">
        <v>564.9</v>
      </c>
    </row>
    <row r="36" spans="1:14" x14ac:dyDescent="0.25">
      <c r="A36" s="34">
        <v>39934</v>
      </c>
      <c r="B36" s="1">
        <v>2869.8</v>
      </c>
      <c r="C36" s="34">
        <v>39934</v>
      </c>
      <c r="D36" s="1">
        <v>1516</v>
      </c>
      <c r="E36" s="34">
        <v>39934</v>
      </c>
      <c r="F36" s="1">
        <v>9.4</v>
      </c>
      <c r="G36" s="34">
        <v>39934</v>
      </c>
      <c r="H36" s="1">
        <v>-1.83</v>
      </c>
      <c r="I36" s="34">
        <v>39934</v>
      </c>
      <c r="J36" s="1">
        <v>140.94999999999999</v>
      </c>
      <c r="K36" s="34">
        <v>39934</v>
      </c>
      <c r="L36" s="1">
        <v>2881.6</v>
      </c>
      <c r="M36" s="34">
        <v>39934</v>
      </c>
      <c r="N36" s="1">
        <v>564.9</v>
      </c>
    </row>
    <row r="37" spans="1:14" x14ac:dyDescent="0.25">
      <c r="A37" s="34">
        <v>39965</v>
      </c>
      <c r="B37" s="1">
        <v>2859.1</v>
      </c>
      <c r="C37" s="34">
        <v>39965</v>
      </c>
      <c r="D37" s="1">
        <v>1492</v>
      </c>
      <c r="E37" s="34">
        <v>39965</v>
      </c>
      <c r="F37" s="1">
        <v>9.6</v>
      </c>
      <c r="G37" s="34">
        <v>39965</v>
      </c>
      <c r="H37" s="1">
        <v>-1.34</v>
      </c>
      <c r="I37" s="34">
        <v>39965</v>
      </c>
      <c r="J37" s="1">
        <v>140.31</v>
      </c>
      <c r="K37" s="34">
        <v>39965</v>
      </c>
      <c r="L37" s="1">
        <v>2881.7</v>
      </c>
      <c r="M37" s="34">
        <v>39965</v>
      </c>
      <c r="N37" s="1">
        <v>555.5</v>
      </c>
    </row>
    <row r="38" spans="1:14" x14ac:dyDescent="0.25">
      <c r="A38" s="34">
        <v>39995</v>
      </c>
      <c r="B38" s="1">
        <v>2848</v>
      </c>
      <c r="C38" s="34">
        <v>39995</v>
      </c>
      <c r="D38" s="1">
        <v>1456</v>
      </c>
      <c r="E38" s="34">
        <v>39995</v>
      </c>
      <c r="F38" s="1">
        <v>9.6</v>
      </c>
      <c r="G38" s="34">
        <v>39995</v>
      </c>
      <c r="H38" s="1">
        <v>-0.9</v>
      </c>
      <c r="I38" s="34">
        <v>39995</v>
      </c>
      <c r="J38" s="1">
        <v>139.87</v>
      </c>
      <c r="K38" s="34">
        <v>39995</v>
      </c>
      <c r="L38" s="1">
        <v>2858.3</v>
      </c>
      <c r="M38" s="34">
        <v>39995</v>
      </c>
      <c r="N38" s="1">
        <v>532.5</v>
      </c>
    </row>
    <row r="39" spans="1:14" x14ac:dyDescent="0.25">
      <c r="A39" s="34">
        <v>40026</v>
      </c>
      <c r="B39" s="1">
        <v>2841.6</v>
      </c>
      <c r="C39" s="34">
        <v>40026</v>
      </c>
      <c r="D39" s="1">
        <v>1680</v>
      </c>
      <c r="E39" s="34">
        <v>40026</v>
      </c>
      <c r="F39" s="1">
        <v>9.6999999999999993</v>
      </c>
      <c r="G39" s="34">
        <v>40026</v>
      </c>
      <c r="H39" s="1">
        <v>-1.01</v>
      </c>
      <c r="I39" s="34">
        <v>40026</v>
      </c>
      <c r="J39" s="1">
        <v>139.37</v>
      </c>
      <c r="K39" s="34">
        <v>40026</v>
      </c>
      <c r="L39" s="1">
        <v>2837.5</v>
      </c>
      <c r="M39" s="34">
        <v>40026</v>
      </c>
      <c r="N39" s="1">
        <v>513.9</v>
      </c>
    </row>
    <row r="40" spans="1:14" x14ac:dyDescent="0.25">
      <c r="A40" s="34">
        <v>40057</v>
      </c>
      <c r="B40" s="1">
        <v>2837</v>
      </c>
      <c r="C40" s="34">
        <v>40057</v>
      </c>
      <c r="D40" s="1">
        <v>1676</v>
      </c>
      <c r="E40" s="34">
        <v>40057</v>
      </c>
      <c r="F40" s="1">
        <v>9.8000000000000007</v>
      </c>
      <c r="G40" s="34">
        <v>40057</v>
      </c>
      <c r="H40" s="1">
        <v>-1.02</v>
      </c>
      <c r="I40" s="34">
        <v>40057</v>
      </c>
      <c r="J40" s="1">
        <v>138.96</v>
      </c>
      <c r="K40" s="34">
        <v>40057</v>
      </c>
      <c r="L40" s="1">
        <v>2851.3</v>
      </c>
      <c r="M40" s="34">
        <v>40057</v>
      </c>
      <c r="N40" s="1">
        <v>530.29999999999995</v>
      </c>
    </row>
    <row r="41" spans="1:14" x14ac:dyDescent="0.25">
      <c r="A41" s="34">
        <v>40087</v>
      </c>
      <c r="B41" s="1">
        <v>2832</v>
      </c>
      <c r="C41" s="34">
        <v>40087</v>
      </c>
      <c r="D41" s="1">
        <v>1509</v>
      </c>
      <c r="E41" s="34">
        <v>40087</v>
      </c>
      <c r="F41" s="1">
        <v>9.9</v>
      </c>
      <c r="G41" s="34">
        <v>40087</v>
      </c>
      <c r="H41" s="1">
        <v>-0.86</v>
      </c>
      <c r="I41" s="34">
        <v>40087</v>
      </c>
      <c r="J41" s="1">
        <v>138.59</v>
      </c>
      <c r="K41" s="34">
        <v>40087</v>
      </c>
      <c r="L41" s="1">
        <v>2860.3</v>
      </c>
      <c r="M41" s="34">
        <v>40087</v>
      </c>
      <c r="N41" s="1">
        <v>556</v>
      </c>
    </row>
    <row r="42" spans="1:14" x14ac:dyDescent="0.25">
      <c r="A42" s="34">
        <v>40118</v>
      </c>
      <c r="B42" s="1">
        <v>2826.7</v>
      </c>
      <c r="C42" s="34">
        <v>40118</v>
      </c>
      <c r="D42" s="1">
        <v>940</v>
      </c>
      <c r="E42" s="34">
        <v>40118</v>
      </c>
      <c r="F42" s="1">
        <v>10</v>
      </c>
      <c r="G42" s="34">
        <v>40118</v>
      </c>
      <c r="H42" s="1">
        <v>-0.55000000000000004</v>
      </c>
      <c r="I42" s="34">
        <v>40118</v>
      </c>
      <c r="J42" s="1">
        <v>138.29</v>
      </c>
      <c r="K42" s="34">
        <v>40118</v>
      </c>
      <c r="L42" s="1">
        <v>2850.3</v>
      </c>
      <c r="M42" s="34">
        <v>40118</v>
      </c>
      <c r="N42" s="1">
        <v>559.6</v>
      </c>
    </row>
    <row r="43" spans="1:14" x14ac:dyDescent="0.25">
      <c r="A43" s="34">
        <v>40148</v>
      </c>
      <c r="B43" s="1">
        <v>2825.2</v>
      </c>
      <c r="C43" s="34">
        <v>40148</v>
      </c>
      <c r="D43" s="1">
        <v>1198</v>
      </c>
      <c r="E43" s="34">
        <v>40148</v>
      </c>
      <c r="F43" s="1">
        <v>10.1</v>
      </c>
      <c r="G43" s="34">
        <v>40148</v>
      </c>
      <c r="H43" s="1">
        <v>-0.21</v>
      </c>
      <c r="I43" s="34">
        <v>40148</v>
      </c>
      <c r="J43" s="1">
        <v>138.05000000000001</v>
      </c>
      <c r="K43" s="34">
        <v>40148</v>
      </c>
      <c r="L43" s="1">
        <v>2833.5</v>
      </c>
      <c r="M43" s="34">
        <v>40148</v>
      </c>
      <c r="N43" s="1">
        <v>549.9</v>
      </c>
    </row>
    <row r="44" spans="1:14" x14ac:dyDescent="0.25">
      <c r="A44" s="34">
        <v>40179</v>
      </c>
      <c r="B44" s="1">
        <v>2825.3</v>
      </c>
      <c r="C44" s="34">
        <v>40179</v>
      </c>
      <c r="D44" s="1">
        <v>1653</v>
      </c>
      <c r="E44" s="34">
        <v>40179</v>
      </c>
      <c r="F44" s="1">
        <v>10.199999999999999</v>
      </c>
      <c r="G44" s="34">
        <v>40179</v>
      </c>
      <c r="H44" s="1">
        <v>0.35</v>
      </c>
      <c r="I44" s="34">
        <v>40179</v>
      </c>
      <c r="J44" s="1">
        <v>137.94</v>
      </c>
      <c r="K44" s="34">
        <v>40179</v>
      </c>
      <c r="L44" s="1">
        <v>2778.5</v>
      </c>
      <c r="M44" s="34">
        <v>40179</v>
      </c>
      <c r="N44" s="1">
        <v>551.4</v>
      </c>
    </row>
    <row r="45" spans="1:14" x14ac:dyDescent="0.25">
      <c r="A45" s="34">
        <v>40210</v>
      </c>
      <c r="B45" s="1">
        <v>2823.8</v>
      </c>
      <c r="C45" s="34">
        <v>40210</v>
      </c>
      <c r="D45" s="1">
        <v>1385</v>
      </c>
      <c r="E45" s="34">
        <v>40210</v>
      </c>
      <c r="F45" s="1">
        <v>10.199999999999999</v>
      </c>
      <c r="G45" s="34">
        <v>40210</v>
      </c>
      <c r="H45" s="1">
        <v>0.47</v>
      </c>
      <c r="I45" s="34">
        <v>40210</v>
      </c>
      <c r="J45" s="1">
        <v>137.87</v>
      </c>
      <c r="K45" s="34">
        <v>40210</v>
      </c>
      <c r="L45" s="1">
        <v>2786.4</v>
      </c>
      <c r="M45" s="34">
        <v>40210</v>
      </c>
      <c r="N45" s="1">
        <v>555.1</v>
      </c>
    </row>
    <row r="46" spans="1:14" x14ac:dyDescent="0.25">
      <c r="A46" s="34">
        <v>40238</v>
      </c>
      <c r="B46" s="1">
        <v>2827.2</v>
      </c>
      <c r="C46" s="34">
        <v>40238</v>
      </c>
      <c r="D46" s="1">
        <v>1778</v>
      </c>
      <c r="E46" s="34">
        <v>40238</v>
      </c>
      <c r="F46" s="1">
        <v>10.199999999999999</v>
      </c>
      <c r="G46" s="34">
        <v>40238</v>
      </c>
      <c r="H46" s="1">
        <v>1.1299999999999999</v>
      </c>
      <c r="I46" s="34">
        <v>40238</v>
      </c>
      <c r="J46" s="1">
        <v>138.07</v>
      </c>
      <c r="K46" s="34">
        <v>40238</v>
      </c>
      <c r="L46" s="1">
        <v>2803.2</v>
      </c>
      <c r="M46" s="34">
        <v>40238</v>
      </c>
      <c r="N46" s="1">
        <v>556.70000000000005</v>
      </c>
    </row>
    <row r="47" spans="1:14" x14ac:dyDescent="0.25">
      <c r="A47" s="34">
        <v>40269</v>
      </c>
      <c r="B47" s="1">
        <v>2832.5</v>
      </c>
      <c r="C47" s="34">
        <v>40269</v>
      </c>
      <c r="D47" s="1">
        <v>1554</v>
      </c>
      <c r="E47" s="34">
        <v>40269</v>
      </c>
      <c r="F47" s="1">
        <v>10</v>
      </c>
      <c r="G47" s="34">
        <v>40269</v>
      </c>
      <c r="H47" s="1">
        <v>1.78</v>
      </c>
      <c r="I47" s="34">
        <v>40269</v>
      </c>
      <c r="J47" s="1">
        <v>138.47</v>
      </c>
      <c r="K47" s="34">
        <v>40269</v>
      </c>
      <c r="L47" s="1">
        <v>2828.3</v>
      </c>
      <c r="M47" s="34">
        <v>40269</v>
      </c>
      <c r="N47" s="1">
        <v>561.20000000000005</v>
      </c>
    </row>
    <row r="48" spans="1:14" x14ac:dyDescent="0.25">
      <c r="A48" s="34">
        <v>40299</v>
      </c>
      <c r="B48" s="1">
        <v>2842.5</v>
      </c>
      <c r="C48" s="34">
        <v>40299</v>
      </c>
      <c r="D48" s="1">
        <v>1383</v>
      </c>
      <c r="E48" s="34">
        <v>40299</v>
      </c>
      <c r="F48" s="1">
        <v>9.9</v>
      </c>
      <c r="G48" s="34">
        <v>40299</v>
      </c>
      <c r="H48" s="1">
        <v>0.98</v>
      </c>
      <c r="I48" s="34">
        <v>40299</v>
      </c>
      <c r="J48" s="1">
        <v>138.6</v>
      </c>
      <c r="K48" s="34">
        <v>40299</v>
      </c>
      <c r="L48" s="1">
        <v>2854.7</v>
      </c>
      <c r="M48" s="34">
        <v>40299</v>
      </c>
      <c r="N48" s="1">
        <v>572.4</v>
      </c>
    </row>
    <row r="49" spans="1:14" x14ac:dyDescent="0.25">
      <c r="A49" s="34">
        <v>40330</v>
      </c>
      <c r="B49" s="1">
        <v>2839</v>
      </c>
      <c r="C49" s="34">
        <v>40330</v>
      </c>
      <c r="D49" s="1">
        <v>2145</v>
      </c>
      <c r="E49" s="34">
        <v>40330</v>
      </c>
      <c r="F49" s="1">
        <v>9.8000000000000007</v>
      </c>
      <c r="G49" s="34">
        <v>40330</v>
      </c>
      <c r="H49" s="1">
        <v>0.54</v>
      </c>
      <c r="I49" s="34">
        <v>40330</v>
      </c>
      <c r="J49" s="1">
        <v>138.74</v>
      </c>
      <c r="K49" s="34">
        <v>40330</v>
      </c>
      <c r="L49" s="1">
        <v>2860.5</v>
      </c>
      <c r="M49" s="34">
        <v>40330</v>
      </c>
      <c r="N49" s="1">
        <v>560.5</v>
      </c>
    </row>
    <row r="50" spans="1:14" x14ac:dyDescent="0.25">
      <c r="A50" s="34">
        <v>40360</v>
      </c>
      <c r="B50" s="1">
        <v>2837.3</v>
      </c>
      <c r="C50" s="34">
        <v>40360</v>
      </c>
      <c r="D50" s="1">
        <v>1621</v>
      </c>
      <c r="E50" s="34">
        <v>40360</v>
      </c>
      <c r="F50" s="1">
        <v>9.8000000000000007</v>
      </c>
      <c r="G50" s="34">
        <v>40360</v>
      </c>
      <c r="H50" s="1">
        <v>0.34</v>
      </c>
      <c r="I50" s="34">
        <v>40360</v>
      </c>
      <c r="J50" s="1">
        <v>138.82</v>
      </c>
      <c r="K50" s="34">
        <v>40360</v>
      </c>
      <c r="L50" s="1">
        <v>2848.2</v>
      </c>
      <c r="M50" s="34">
        <v>40360</v>
      </c>
      <c r="N50" s="1">
        <v>535.70000000000005</v>
      </c>
    </row>
    <row r="51" spans="1:14" x14ac:dyDescent="0.25">
      <c r="A51" s="34">
        <v>40391</v>
      </c>
      <c r="B51" s="1">
        <v>2835.1</v>
      </c>
      <c r="C51" s="34">
        <v>40391</v>
      </c>
      <c r="D51" s="1">
        <v>2446</v>
      </c>
      <c r="E51" s="34">
        <v>40391</v>
      </c>
      <c r="F51" s="1">
        <v>9.8000000000000007</v>
      </c>
      <c r="G51" s="34">
        <v>40391</v>
      </c>
      <c r="H51" s="1">
        <v>0.28000000000000003</v>
      </c>
      <c r="I51" s="34">
        <v>40391</v>
      </c>
      <c r="J51" s="1">
        <v>138.88999999999999</v>
      </c>
      <c r="K51" s="34">
        <v>40391</v>
      </c>
      <c r="L51" s="1">
        <v>2830.3</v>
      </c>
      <c r="M51" s="34">
        <v>40391</v>
      </c>
      <c r="N51" s="1">
        <v>515.4</v>
      </c>
    </row>
    <row r="52" spans="1:14" x14ac:dyDescent="0.25">
      <c r="A52" s="34">
        <v>40422</v>
      </c>
      <c r="B52" s="1">
        <v>2835.1</v>
      </c>
      <c r="C52" s="34">
        <v>40422</v>
      </c>
      <c r="D52" s="1">
        <v>1515</v>
      </c>
      <c r="E52" s="34">
        <v>40422</v>
      </c>
      <c r="F52" s="1">
        <v>9.8000000000000007</v>
      </c>
      <c r="G52" s="34">
        <v>40422</v>
      </c>
      <c r="H52" s="1">
        <v>0.51</v>
      </c>
      <c r="I52" s="34">
        <v>40422</v>
      </c>
      <c r="J52" s="1">
        <v>139.01</v>
      </c>
      <c r="K52" s="34">
        <v>40422</v>
      </c>
      <c r="L52" s="1">
        <v>2849.9</v>
      </c>
      <c r="M52" s="34">
        <v>40422</v>
      </c>
      <c r="N52" s="1">
        <v>530.29999999999995</v>
      </c>
    </row>
    <row r="53" spans="1:14" x14ac:dyDescent="0.25">
      <c r="A53" s="34">
        <v>40452</v>
      </c>
      <c r="B53" s="1">
        <v>2846.4</v>
      </c>
      <c r="C53" s="34">
        <v>40452</v>
      </c>
      <c r="D53" s="1">
        <v>1446</v>
      </c>
      <c r="E53" s="34">
        <v>40452</v>
      </c>
      <c r="F53" s="1">
        <v>9.8000000000000007</v>
      </c>
      <c r="G53" s="34">
        <v>40452</v>
      </c>
      <c r="H53" s="1">
        <v>1.07</v>
      </c>
      <c r="I53" s="34">
        <v>40452</v>
      </c>
      <c r="J53" s="1">
        <v>139.21</v>
      </c>
      <c r="K53" s="34">
        <v>40452</v>
      </c>
      <c r="L53" s="1">
        <v>2872.7</v>
      </c>
      <c r="M53" s="34">
        <v>40452</v>
      </c>
      <c r="N53" s="1">
        <v>554.1</v>
      </c>
    </row>
    <row r="54" spans="1:14" x14ac:dyDescent="0.25">
      <c r="A54" s="34">
        <v>40483</v>
      </c>
      <c r="B54" s="1">
        <v>2847.7</v>
      </c>
      <c r="C54" s="34">
        <v>40483</v>
      </c>
      <c r="D54" s="1">
        <v>1185</v>
      </c>
      <c r="E54" s="34">
        <v>40483</v>
      </c>
      <c r="F54" s="1">
        <v>9.6999999999999993</v>
      </c>
      <c r="G54" s="34">
        <v>40483</v>
      </c>
      <c r="H54" s="1">
        <v>1.54</v>
      </c>
      <c r="I54" s="34">
        <v>40483</v>
      </c>
      <c r="J54" s="1">
        <v>139.51</v>
      </c>
      <c r="K54" s="34">
        <v>40483</v>
      </c>
      <c r="L54" s="1">
        <v>2871.7</v>
      </c>
      <c r="M54" s="34">
        <v>40483</v>
      </c>
      <c r="N54" s="1">
        <v>558.29999999999995</v>
      </c>
    </row>
    <row r="55" spans="1:14" x14ac:dyDescent="0.25">
      <c r="A55" s="34">
        <v>40513</v>
      </c>
      <c r="B55" s="1">
        <v>2850</v>
      </c>
      <c r="C55" s="34">
        <v>40513</v>
      </c>
      <c r="D55" s="1">
        <v>1696</v>
      </c>
      <c r="E55" s="34">
        <v>40513</v>
      </c>
      <c r="F55" s="1">
        <v>9.6</v>
      </c>
      <c r="G55" s="34">
        <v>40513</v>
      </c>
      <c r="H55" s="1">
        <v>1.55</v>
      </c>
      <c r="I55" s="34">
        <v>40513</v>
      </c>
      <c r="J55" s="1">
        <v>139.82</v>
      </c>
      <c r="K55" s="34">
        <v>40513</v>
      </c>
      <c r="L55" s="1">
        <v>2860.2</v>
      </c>
      <c r="M55" s="34">
        <v>40513</v>
      </c>
      <c r="N55" s="1">
        <v>548.5</v>
      </c>
    </row>
    <row r="56" spans="1:14" x14ac:dyDescent="0.25">
      <c r="A56" s="34">
        <v>40544</v>
      </c>
      <c r="B56" s="1">
        <v>2857.2</v>
      </c>
      <c r="C56" s="34">
        <v>40544</v>
      </c>
      <c r="D56" s="1">
        <v>1090</v>
      </c>
      <c r="E56" s="34">
        <v>40544</v>
      </c>
      <c r="F56" s="1">
        <v>9.5</v>
      </c>
      <c r="G56" s="34">
        <v>40544</v>
      </c>
      <c r="H56" s="1">
        <v>1.45</v>
      </c>
      <c r="I56" s="34">
        <v>40544</v>
      </c>
      <c r="J56" s="1">
        <v>140.09</v>
      </c>
      <c r="K56" s="34">
        <v>40544</v>
      </c>
      <c r="L56" s="1">
        <v>2808.5</v>
      </c>
      <c r="M56" s="34">
        <v>40544</v>
      </c>
      <c r="N56" s="1">
        <v>549.6</v>
      </c>
    </row>
    <row r="57" spans="1:14" x14ac:dyDescent="0.25">
      <c r="A57" s="34">
        <v>40575</v>
      </c>
      <c r="B57" s="1">
        <v>2859.8</v>
      </c>
      <c r="C57" s="34">
        <v>40575</v>
      </c>
      <c r="D57" s="1">
        <v>1079</v>
      </c>
      <c r="E57" s="34">
        <v>40575</v>
      </c>
      <c r="F57" s="1">
        <v>9.4</v>
      </c>
      <c r="G57" s="34">
        <v>40575</v>
      </c>
      <c r="H57" s="1">
        <v>1.1200000000000001</v>
      </c>
      <c r="I57" s="34">
        <v>40575</v>
      </c>
      <c r="J57" s="1">
        <v>140.31</v>
      </c>
      <c r="K57" s="34">
        <v>40575</v>
      </c>
      <c r="L57" s="1">
        <v>2821.3</v>
      </c>
      <c r="M57" s="34">
        <v>40575</v>
      </c>
      <c r="N57" s="1">
        <v>553.1</v>
      </c>
    </row>
    <row r="58" spans="1:14" x14ac:dyDescent="0.25">
      <c r="A58" s="34">
        <v>40603</v>
      </c>
      <c r="B58" s="1">
        <v>2857.9</v>
      </c>
      <c r="C58" s="34">
        <v>40603</v>
      </c>
      <c r="D58" s="1">
        <v>1443</v>
      </c>
      <c r="E58" s="34">
        <v>40603</v>
      </c>
      <c r="F58" s="1">
        <v>9.4</v>
      </c>
      <c r="G58" s="34">
        <v>40603</v>
      </c>
      <c r="H58" s="1">
        <v>0.86</v>
      </c>
      <c r="I58" s="34">
        <v>40603</v>
      </c>
      <c r="J58" s="1">
        <v>140.44999999999999</v>
      </c>
      <c r="K58" s="34">
        <v>40603</v>
      </c>
      <c r="L58" s="1">
        <v>2833.3</v>
      </c>
      <c r="M58" s="34">
        <v>40603</v>
      </c>
      <c r="N58" s="1">
        <v>553.4</v>
      </c>
    </row>
    <row r="59" spans="1:14" x14ac:dyDescent="0.25">
      <c r="A59" s="34">
        <v>40634</v>
      </c>
      <c r="B59" s="1">
        <v>2868</v>
      </c>
      <c r="C59" s="34">
        <v>40634</v>
      </c>
      <c r="D59" s="1">
        <v>2255</v>
      </c>
      <c r="E59" s="34">
        <v>40634</v>
      </c>
      <c r="F59" s="1">
        <v>9.3000000000000007</v>
      </c>
      <c r="G59" s="34">
        <v>40634</v>
      </c>
      <c r="H59" s="1">
        <v>1.18</v>
      </c>
      <c r="I59" s="34">
        <v>40634</v>
      </c>
      <c r="J59" s="1">
        <v>140.74</v>
      </c>
      <c r="K59" s="34">
        <v>40634</v>
      </c>
      <c r="L59" s="1">
        <v>2864.1</v>
      </c>
      <c r="M59" s="34">
        <v>40634</v>
      </c>
      <c r="N59" s="1">
        <v>555.6</v>
      </c>
    </row>
    <row r="60" spans="1:14" x14ac:dyDescent="0.25">
      <c r="A60" s="34">
        <v>40664</v>
      </c>
      <c r="B60" s="1">
        <v>2868.5</v>
      </c>
      <c r="C60" s="34">
        <v>40664</v>
      </c>
      <c r="D60" s="1">
        <v>2618</v>
      </c>
      <c r="E60" s="34">
        <v>40664</v>
      </c>
      <c r="F60" s="1">
        <v>9.3000000000000007</v>
      </c>
      <c r="G60" s="34">
        <v>40664</v>
      </c>
      <c r="H60" s="1">
        <v>0.95</v>
      </c>
      <c r="I60" s="34">
        <v>40664</v>
      </c>
      <c r="J60" s="1">
        <v>140.91999999999999</v>
      </c>
      <c r="K60" s="34">
        <v>40664</v>
      </c>
      <c r="L60" s="1">
        <v>2881.3</v>
      </c>
      <c r="M60" s="34">
        <v>40664</v>
      </c>
      <c r="N60" s="1">
        <v>557.1</v>
      </c>
    </row>
    <row r="61" spans="1:14" x14ac:dyDescent="0.25">
      <c r="A61" s="34">
        <v>40695</v>
      </c>
      <c r="B61" s="1">
        <v>2869.4</v>
      </c>
      <c r="C61" s="34">
        <v>40695</v>
      </c>
      <c r="D61" s="1">
        <v>1775</v>
      </c>
      <c r="E61" s="34">
        <v>40695</v>
      </c>
      <c r="F61" s="1">
        <v>9.3000000000000007</v>
      </c>
      <c r="G61" s="34">
        <v>40695</v>
      </c>
      <c r="H61" s="1">
        <v>0.78</v>
      </c>
      <c r="I61" s="34">
        <v>40695</v>
      </c>
      <c r="J61" s="1">
        <v>141.08000000000001</v>
      </c>
      <c r="K61" s="34">
        <v>40695</v>
      </c>
      <c r="L61" s="1">
        <v>2894.4</v>
      </c>
      <c r="M61" s="34">
        <v>40695</v>
      </c>
      <c r="N61" s="1">
        <v>549.4</v>
      </c>
    </row>
    <row r="62" spans="1:14" x14ac:dyDescent="0.25">
      <c r="A62" s="34">
        <v>40725</v>
      </c>
      <c r="B62" s="1">
        <v>2880.7</v>
      </c>
      <c r="C62" s="34">
        <v>40725</v>
      </c>
      <c r="D62" s="1">
        <v>1771</v>
      </c>
      <c r="E62" s="34">
        <v>40725</v>
      </c>
      <c r="F62" s="1">
        <v>9.3000000000000007</v>
      </c>
      <c r="G62" s="34">
        <v>40725</v>
      </c>
      <c r="H62" s="1">
        <v>1.1100000000000001</v>
      </c>
      <c r="I62" s="34">
        <v>40725</v>
      </c>
      <c r="J62" s="1">
        <v>141.33000000000001</v>
      </c>
      <c r="K62" s="34">
        <v>40725</v>
      </c>
      <c r="L62" s="1">
        <v>2889.7</v>
      </c>
      <c r="M62" s="34">
        <v>40725</v>
      </c>
      <c r="N62" s="1">
        <v>529</v>
      </c>
    </row>
    <row r="63" spans="1:14" x14ac:dyDescent="0.25">
      <c r="A63" s="34">
        <v>40756</v>
      </c>
      <c r="B63" s="1">
        <v>2882.7</v>
      </c>
      <c r="C63" s="34">
        <v>40756</v>
      </c>
      <c r="D63" s="1">
        <v>2632</v>
      </c>
      <c r="E63" s="34">
        <v>40756</v>
      </c>
      <c r="F63" s="1">
        <v>9.1999999999999993</v>
      </c>
      <c r="G63" s="34">
        <v>40756</v>
      </c>
      <c r="H63" s="1">
        <v>1.5</v>
      </c>
      <c r="I63" s="34">
        <v>40756</v>
      </c>
      <c r="J63" s="1">
        <v>141.63999999999999</v>
      </c>
      <c r="K63" s="34">
        <v>40756</v>
      </c>
      <c r="L63" s="1">
        <v>2879.1</v>
      </c>
      <c r="M63" s="34">
        <v>40756</v>
      </c>
      <c r="N63" s="1">
        <v>510.7</v>
      </c>
    </row>
    <row r="64" spans="1:14" x14ac:dyDescent="0.25">
      <c r="A64" s="34">
        <v>40787</v>
      </c>
      <c r="B64" s="1">
        <v>2882.3</v>
      </c>
      <c r="C64" s="34">
        <v>40787</v>
      </c>
      <c r="D64" s="1">
        <v>1777</v>
      </c>
      <c r="E64" s="34">
        <v>40787</v>
      </c>
      <c r="F64" s="1">
        <v>9.1</v>
      </c>
      <c r="G64" s="34">
        <v>40787</v>
      </c>
      <c r="H64" s="1">
        <v>1.52</v>
      </c>
      <c r="I64" s="34">
        <v>40787</v>
      </c>
      <c r="J64" s="1">
        <v>141.97</v>
      </c>
      <c r="K64" s="34">
        <v>40787</v>
      </c>
      <c r="L64" s="1">
        <v>2896.6</v>
      </c>
      <c r="M64" s="34">
        <v>40787</v>
      </c>
      <c r="N64" s="1">
        <v>523.4</v>
      </c>
    </row>
    <row r="65" spans="1:14" x14ac:dyDescent="0.25">
      <c r="A65" s="34">
        <v>40817</v>
      </c>
      <c r="B65" s="1">
        <v>2880.5</v>
      </c>
      <c r="C65" s="34">
        <v>40817</v>
      </c>
      <c r="D65" s="1">
        <v>1337</v>
      </c>
      <c r="E65" s="34">
        <v>40817</v>
      </c>
      <c r="F65" s="1">
        <v>9</v>
      </c>
      <c r="G65" s="34">
        <v>40817</v>
      </c>
      <c r="H65" s="1">
        <v>1.59</v>
      </c>
      <c r="I65" s="34">
        <v>40817</v>
      </c>
      <c r="J65" s="1">
        <v>142.34</v>
      </c>
      <c r="K65" s="34">
        <v>40817</v>
      </c>
      <c r="L65" s="1">
        <v>2906.9</v>
      </c>
      <c r="M65" s="34">
        <v>40817</v>
      </c>
      <c r="N65" s="1">
        <v>548</v>
      </c>
    </row>
    <row r="66" spans="1:14" x14ac:dyDescent="0.25">
      <c r="A66" s="34">
        <v>40848</v>
      </c>
      <c r="B66" s="1">
        <v>2885.4</v>
      </c>
      <c r="C66" s="34">
        <v>40848</v>
      </c>
      <c r="D66" s="1">
        <v>1535</v>
      </c>
      <c r="E66" s="34">
        <v>40848</v>
      </c>
      <c r="F66" s="1">
        <v>8.8000000000000007</v>
      </c>
      <c r="G66" s="34">
        <v>40848</v>
      </c>
      <c r="H66" s="1">
        <v>1.95</v>
      </c>
      <c r="I66" s="34">
        <v>40848</v>
      </c>
      <c r="J66" s="1">
        <v>142.77000000000001</v>
      </c>
      <c r="K66" s="34">
        <v>40848</v>
      </c>
      <c r="L66" s="1">
        <v>2909.6</v>
      </c>
      <c r="M66" s="34">
        <v>40848</v>
      </c>
      <c r="N66" s="1">
        <v>551</v>
      </c>
    </row>
    <row r="67" spans="1:14" x14ac:dyDescent="0.25">
      <c r="A67" s="34">
        <v>40878</v>
      </c>
      <c r="B67" s="1">
        <v>2887</v>
      </c>
      <c r="C67" s="34">
        <v>40878</v>
      </c>
      <c r="D67" s="1">
        <v>1560</v>
      </c>
      <c r="E67" s="34">
        <v>40878</v>
      </c>
      <c r="F67" s="1">
        <v>8.6</v>
      </c>
      <c r="G67" s="34">
        <v>40878</v>
      </c>
      <c r="H67" s="1">
        <v>1.85</v>
      </c>
      <c r="I67" s="34">
        <v>40878</v>
      </c>
      <c r="J67" s="1">
        <v>143.13</v>
      </c>
      <c r="K67" s="34">
        <v>40878</v>
      </c>
      <c r="L67" s="1">
        <v>2896.2</v>
      </c>
      <c r="M67" s="34">
        <v>40878</v>
      </c>
      <c r="N67" s="1">
        <v>541.4</v>
      </c>
    </row>
    <row r="68" spans="1:14" x14ac:dyDescent="0.25">
      <c r="A68" s="34">
        <v>40909</v>
      </c>
      <c r="B68" s="1">
        <v>2890.6</v>
      </c>
      <c r="C68" s="34">
        <v>40909</v>
      </c>
      <c r="D68" s="1">
        <v>1138</v>
      </c>
      <c r="E68" s="34">
        <v>40909</v>
      </c>
      <c r="F68" s="1">
        <v>8.5</v>
      </c>
      <c r="G68" s="34">
        <v>40909</v>
      </c>
      <c r="H68" s="1">
        <v>1.26</v>
      </c>
      <c r="I68" s="34">
        <v>40909</v>
      </c>
      <c r="J68" s="1">
        <v>143.41999999999999</v>
      </c>
      <c r="K68" s="34">
        <v>40909</v>
      </c>
      <c r="L68" s="1">
        <v>2841.6</v>
      </c>
      <c r="M68" s="34">
        <v>40909</v>
      </c>
      <c r="N68" s="1">
        <v>542.5</v>
      </c>
    </row>
    <row r="69" spans="1:14" x14ac:dyDescent="0.25">
      <c r="A69" s="34">
        <v>40940</v>
      </c>
      <c r="B69" s="1">
        <v>2893.3</v>
      </c>
      <c r="C69" s="34">
        <v>40940</v>
      </c>
      <c r="D69" s="1">
        <v>1559</v>
      </c>
      <c r="E69" s="34">
        <v>40940</v>
      </c>
      <c r="F69" s="1">
        <v>8.4</v>
      </c>
      <c r="G69" s="34">
        <v>40940</v>
      </c>
      <c r="H69" s="1">
        <v>1.68</v>
      </c>
      <c r="I69" s="34">
        <v>40940</v>
      </c>
      <c r="J69" s="1">
        <v>143.83000000000001</v>
      </c>
      <c r="K69" s="34">
        <v>40940</v>
      </c>
      <c r="L69" s="1">
        <v>2856.2</v>
      </c>
      <c r="M69" s="34">
        <v>40940</v>
      </c>
      <c r="N69" s="1">
        <v>545.70000000000005</v>
      </c>
    </row>
    <row r="70" spans="1:14" x14ac:dyDescent="0.25">
      <c r="A70" s="34">
        <v>40969</v>
      </c>
      <c r="B70" s="1">
        <v>2903.2</v>
      </c>
      <c r="C70" s="34">
        <v>40969</v>
      </c>
      <c r="D70" s="1">
        <v>2793</v>
      </c>
      <c r="E70" s="34">
        <v>40969</v>
      </c>
      <c r="F70" s="1">
        <v>8.3000000000000007</v>
      </c>
      <c r="G70" s="34">
        <v>40969</v>
      </c>
      <c r="H70" s="1">
        <v>1.99</v>
      </c>
      <c r="I70" s="34">
        <v>40969</v>
      </c>
      <c r="J70" s="1">
        <v>144.29</v>
      </c>
      <c r="K70" s="34">
        <v>40969</v>
      </c>
      <c r="L70" s="1">
        <v>2878.1</v>
      </c>
      <c r="M70" s="34">
        <v>40969</v>
      </c>
      <c r="N70" s="1">
        <v>548.6</v>
      </c>
    </row>
    <row r="71" spans="1:14" x14ac:dyDescent="0.25">
      <c r="A71" s="34">
        <v>41000</v>
      </c>
      <c r="B71" s="1">
        <v>2908.4</v>
      </c>
      <c r="C71" s="34">
        <v>41000</v>
      </c>
      <c r="D71" s="1">
        <v>2059</v>
      </c>
      <c r="E71" s="34">
        <v>41000</v>
      </c>
      <c r="F71" s="1">
        <v>8.3000000000000007</v>
      </c>
      <c r="G71" s="34">
        <v>41000</v>
      </c>
      <c r="H71" s="1">
        <v>1.7</v>
      </c>
      <c r="I71" s="34">
        <v>41000</v>
      </c>
      <c r="J71" s="1">
        <v>144.58000000000001</v>
      </c>
      <c r="K71" s="34">
        <v>41000</v>
      </c>
      <c r="L71" s="1">
        <v>2899.5</v>
      </c>
      <c r="M71" s="34">
        <v>41000</v>
      </c>
      <c r="N71" s="1">
        <v>550.9</v>
      </c>
    </row>
    <row r="72" spans="1:14" x14ac:dyDescent="0.25">
      <c r="A72" s="34">
        <v>41030</v>
      </c>
      <c r="B72" s="1">
        <v>2914.7</v>
      </c>
      <c r="C72" s="34">
        <v>41030</v>
      </c>
      <c r="D72" s="1">
        <v>2609</v>
      </c>
      <c r="E72" s="34">
        <v>41030</v>
      </c>
      <c r="F72" s="1">
        <v>8.3000000000000007</v>
      </c>
      <c r="G72" s="34">
        <v>41030</v>
      </c>
      <c r="H72" s="1">
        <v>1.44</v>
      </c>
      <c r="I72" s="34">
        <v>41030</v>
      </c>
      <c r="J72" s="1">
        <v>144.88999999999999</v>
      </c>
      <c r="K72" s="34">
        <v>41030</v>
      </c>
      <c r="L72" s="1">
        <v>2928</v>
      </c>
      <c r="M72" s="34">
        <v>41030</v>
      </c>
      <c r="N72" s="1">
        <v>552.4</v>
      </c>
    </row>
    <row r="73" spans="1:14" x14ac:dyDescent="0.25">
      <c r="A73" s="34">
        <v>41061</v>
      </c>
      <c r="B73" s="1">
        <v>2922.1</v>
      </c>
      <c r="C73" s="34">
        <v>41061</v>
      </c>
      <c r="D73" s="1">
        <v>3004</v>
      </c>
      <c r="E73" s="34">
        <v>41061</v>
      </c>
      <c r="F73" s="1">
        <v>8.3000000000000007</v>
      </c>
      <c r="G73" s="34">
        <v>41061</v>
      </c>
      <c r="H73" s="1">
        <v>1.67</v>
      </c>
      <c r="I73" s="34">
        <v>41061</v>
      </c>
      <c r="J73" s="1">
        <v>145.28</v>
      </c>
      <c r="K73" s="34">
        <v>41061</v>
      </c>
      <c r="L73" s="1">
        <v>2947.6</v>
      </c>
      <c r="M73" s="34">
        <v>41061</v>
      </c>
      <c r="N73" s="1">
        <v>546.5</v>
      </c>
    </row>
    <row r="74" spans="1:14" x14ac:dyDescent="0.25">
      <c r="A74" s="34">
        <v>41091</v>
      </c>
      <c r="B74" s="1">
        <v>2925.1</v>
      </c>
      <c r="C74" s="34">
        <v>41091</v>
      </c>
      <c r="D74" s="1">
        <v>2609</v>
      </c>
      <c r="E74" s="34">
        <v>41091</v>
      </c>
      <c r="F74" s="1">
        <v>8.1999999999999993</v>
      </c>
      <c r="G74" s="34">
        <v>41091</v>
      </c>
      <c r="H74" s="1">
        <v>1.65</v>
      </c>
      <c r="I74" s="34">
        <v>41091</v>
      </c>
      <c r="J74" s="1">
        <v>145.61000000000001</v>
      </c>
      <c r="K74" s="34">
        <v>41091</v>
      </c>
      <c r="L74" s="1">
        <v>2934</v>
      </c>
      <c r="M74" s="34">
        <v>41091</v>
      </c>
      <c r="N74" s="1">
        <v>526</v>
      </c>
    </row>
    <row r="75" spans="1:14" x14ac:dyDescent="0.25">
      <c r="A75" s="34">
        <v>41122</v>
      </c>
      <c r="B75" s="1">
        <v>2928.5</v>
      </c>
      <c r="C75" s="34">
        <v>41122</v>
      </c>
      <c r="D75" s="1">
        <v>2964</v>
      </c>
      <c r="E75" s="34">
        <v>41122</v>
      </c>
      <c r="F75" s="1">
        <v>8.1</v>
      </c>
      <c r="G75" s="34">
        <v>41122</v>
      </c>
      <c r="H75" s="1">
        <v>1.86</v>
      </c>
      <c r="I75" s="34">
        <v>41122</v>
      </c>
      <c r="J75" s="1">
        <v>146.05000000000001</v>
      </c>
      <c r="K75" s="34">
        <v>41122</v>
      </c>
      <c r="L75" s="1">
        <v>2930.9</v>
      </c>
      <c r="M75" s="34">
        <v>41122</v>
      </c>
      <c r="N75" s="1">
        <v>508.9</v>
      </c>
    </row>
    <row r="76" spans="1:14" x14ac:dyDescent="0.25">
      <c r="A76" s="34">
        <v>41153</v>
      </c>
      <c r="B76" s="1">
        <v>2932.2</v>
      </c>
      <c r="C76" s="34">
        <v>41153</v>
      </c>
      <c r="D76" s="1">
        <v>2582</v>
      </c>
      <c r="E76" s="34">
        <v>41153</v>
      </c>
      <c r="F76" s="1">
        <v>7.9</v>
      </c>
      <c r="G76" s="34">
        <v>41153</v>
      </c>
      <c r="H76" s="1">
        <v>2.38</v>
      </c>
      <c r="I76" s="34">
        <v>41153</v>
      </c>
      <c r="J76" s="1">
        <v>146.63</v>
      </c>
      <c r="K76" s="34">
        <v>41153</v>
      </c>
      <c r="L76" s="1">
        <v>2945.6</v>
      </c>
      <c r="M76" s="34">
        <v>41153</v>
      </c>
      <c r="N76" s="1">
        <v>525.20000000000005</v>
      </c>
    </row>
    <row r="77" spans="1:14" x14ac:dyDescent="0.25">
      <c r="A77" s="34">
        <v>41183</v>
      </c>
      <c r="B77" s="1">
        <v>2941</v>
      </c>
      <c r="C77" s="34">
        <v>41183</v>
      </c>
      <c r="D77" s="1">
        <v>2511</v>
      </c>
      <c r="E77" s="34">
        <v>41183</v>
      </c>
      <c r="F77" s="1">
        <v>7.7</v>
      </c>
      <c r="G77" s="34">
        <v>41183</v>
      </c>
      <c r="H77" s="1">
        <v>2.5</v>
      </c>
      <c r="I77" s="34">
        <v>41183</v>
      </c>
      <c r="J77" s="1">
        <v>147.18</v>
      </c>
      <c r="K77" s="34">
        <v>41183</v>
      </c>
      <c r="L77" s="1">
        <v>2967.4</v>
      </c>
      <c r="M77" s="34">
        <v>41183</v>
      </c>
      <c r="N77" s="1">
        <v>549.6</v>
      </c>
    </row>
    <row r="78" spans="1:14" x14ac:dyDescent="0.25">
      <c r="A78" s="34">
        <v>41214</v>
      </c>
      <c r="B78" s="1">
        <v>2947.1</v>
      </c>
      <c r="C78" s="34">
        <v>41214</v>
      </c>
      <c r="D78" s="1">
        <v>2169</v>
      </c>
      <c r="E78" s="34">
        <v>41214</v>
      </c>
      <c r="F78" s="1">
        <v>7.6</v>
      </c>
      <c r="G78" s="34">
        <v>41214</v>
      </c>
      <c r="H78" s="1">
        <v>1.99</v>
      </c>
      <c r="I78" s="34">
        <v>41214</v>
      </c>
      <c r="J78" s="1">
        <v>147.63999999999999</v>
      </c>
      <c r="K78" s="34">
        <v>41214</v>
      </c>
      <c r="L78" s="1">
        <v>2972.7</v>
      </c>
      <c r="M78" s="34">
        <v>41214</v>
      </c>
      <c r="N78" s="1">
        <v>553.70000000000005</v>
      </c>
    </row>
    <row r="79" spans="1:14" x14ac:dyDescent="0.25">
      <c r="A79" s="34">
        <v>41244</v>
      </c>
      <c r="B79" s="1">
        <v>2953.3</v>
      </c>
      <c r="C79" s="34">
        <v>41244</v>
      </c>
      <c r="D79" s="1">
        <v>1959</v>
      </c>
      <c r="E79" s="34">
        <v>41244</v>
      </c>
      <c r="F79" s="1">
        <v>7.4</v>
      </c>
      <c r="G79" s="34">
        <v>41244</v>
      </c>
      <c r="H79" s="1">
        <v>2.2000000000000002</v>
      </c>
      <c r="I79" s="34">
        <v>41244</v>
      </c>
      <c r="J79" s="1">
        <v>148.19999999999999</v>
      </c>
      <c r="K79" s="34">
        <v>41244</v>
      </c>
      <c r="L79" s="1">
        <v>2959.3</v>
      </c>
      <c r="M79" s="34">
        <v>41244</v>
      </c>
      <c r="N79" s="1">
        <v>543.79999999999995</v>
      </c>
    </row>
    <row r="80" spans="1:14" x14ac:dyDescent="0.25">
      <c r="A80" s="34">
        <v>41275</v>
      </c>
      <c r="B80" s="1">
        <v>2961.7</v>
      </c>
      <c r="C80" s="34">
        <v>41275</v>
      </c>
      <c r="D80" s="1">
        <v>2368</v>
      </c>
      <c r="E80" s="34">
        <v>41275</v>
      </c>
      <c r="F80" s="1">
        <v>7.3</v>
      </c>
      <c r="G80" s="34">
        <v>41275</v>
      </c>
      <c r="H80" s="1">
        <v>2.0099999999999998</v>
      </c>
      <c r="I80" s="34">
        <v>41275</v>
      </c>
      <c r="J80" s="1">
        <v>148.66</v>
      </c>
      <c r="K80" s="34">
        <v>41275</v>
      </c>
      <c r="L80" s="1">
        <v>2911.6</v>
      </c>
      <c r="M80" s="34">
        <v>41275</v>
      </c>
      <c r="N80" s="1">
        <v>545.9</v>
      </c>
    </row>
    <row r="81" spans="1:14" x14ac:dyDescent="0.25">
      <c r="A81" s="34">
        <v>41306</v>
      </c>
      <c r="B81" s="1">
        <v>2967.7</v>
      </c>
      <c r="C81" s="34">
        <v>41306</v>
      </c>
      <c r="D81" s="1">
        <v>2155</v>
      </c>
      <c r="E81" s="34">
        <v>41306</v>
      </c>
      <c r="F81" s="1">
        <v>7.2</v>
      </c>
      <c r="G81" s="34">
        <v>41306</v>
      </c>
      <c r="H81" s="1">
        <v>2</v>
      </c>
      <c r="I81" s="34">
        <v>41306</v>
      </c>
      <c r="J81" s="1">
        <v>149.13</v>
      </c>
      <c r="K81" s="34">
        <v>41306</v>
      </c>
      <c r="L81" s="1">
        <v>2929.9</v>
      </c>
      <c r="M81" s="34">
        <v>41306</v>
      </c>
      <c r="N81" s="1">
        <v>550</v>
      </c>
    </row>
    <row r="82" spans="1:14" x14ac:dyDescent="0.25">
      <c r="A82" s="34">
        <v>41334</v>
      </c>
      <c r="B82" s="1">
        <v>2970.2</v>
      </c>
      <c r="C82" s="34">
        <v>41334</v>
      </c>
      <c r="D82" s="1">
        <v>2506</v>
      </c>
      <c r="E82" s="34">
        <v>41334</v>
      </c>
      <c r="F82" s="1">
        <v>7.1</v>
      </c>
      <c r="G82" s="34">
        <v>41334</v>
      </c>
      <c r="H82" s="1">
        <v>1.47</v>
      </c>
      <c r="I82" s="34">
        <v>41334</v>
      </c>
      <c r="J82" s="1">
        <v>149.44</v>
      </c>
      <c r="K82" s="34">
        <v>41334</v>
      </c>
      <c r="L82" s="1">
        <v>2944.7</v>
      </c>
      <c r="M82" s="34">
        <v>41334</v>
      </c>
      <c r="N82" s="1">
        <v>550.79999999999995</v>
      </c>
    </row>
    <row r="83" spans="1:14" x14ac:dyDescent="0.25">
      <c r="A83" s="34">
        <v>41365</v>
      </c>
      <c r="B83" s="1">
        <v>2974.8</v>
      </c>
      <c r="C83" s="34">
        <v>41365</v>
      </c>
      <c r="D83" s="1">
        <v>2330</v>
      </c>
      <c r="E83" s="34">
        <v>41365</v>
      </c>
      <c r="F83" s="1">
        <v>7.1</v>
      </c>
      <c r="G83" s="34">
        <v>41365</v>
      </c>
      <c r="H83" s="1">
        <v>1.26</v>
      </c>
      <c r="I83" s="34">
        <v>41365</v>
      </c>
      <c r="J83" s="1">
        <v>149.76</v>
      </c>
      <c r="K83" s="34">
        <v>41365</v>
      </c>
      <c r="L83" s="1">
        <v>2965.8</v>
      </c>
      <c r="M83" s="34">
        <v>41365</v>
      </c>
      <c r="N83" s="1">
        <v>553.20000000000005</v>
      </c>
    </row>
    <row r="84" spans="1:14" x14ac:dyDescent="0.25">
      <c r="A84" s="34">
        <v>41395</v>
      </c>
      <c r="B84" s="1">
        <v>2981.4</v>
      </c>
      <c r="C84" s="34">
        <v>41395</v>
      </c>
      <c r="D84" s="1">
        <v>3250</v>
      </c>
      <c r="E84" s="34">
        <v>41395</v>
      </c>
      <c r="F84" s="1">
        <v>7</v>
      </c>
      <c r="G84" s="34">
        <v>41395</v>
      </c>
      <c r="H84" s="1">
        <v>1.53</v>
      </c>
      <c r="I84" s="34">
        <v>41395</v>
      </c>
      <c r="J84" s="1">
        <v>150.16</v>
      </c>
      <c r="K84" s="34">
        <v>41395</v>
      </c>
      <c r="L84" s="1">
        <v>2995.3</v>
      </c>
      <c r="M84" s="34">
        <v>41395</v>
      </c>
      <c r="N84" s="1">
        <v>554.4</v>
      </c>
    </row>
    <row r="85" spans="1:14" x14ac:dyDescent="0.25">
      <c r="A85" s="34">
        <v>41426</v>
      </c>
      <c r="B85" s="1">
        <v>2984.8</v>
      </c>
      <c r="C85" s="34">
        <v>41426</v>
      </c>
      <c r="D85" s="1">
        <v>2432</v>
      </c>
      <c r="E85" s="34">
        <v>41426</v>
      </c>
      <c r="F85" s="1">
        <v>7</v>
      </c>
      <c r="G85" s="34">
        <v>41426</v>
      </c>
      <c r="H85" s="1">
        <v>1.19</v>
      </c>
      <c r="I85" s="34">
        <v>41426</v>
      </c>
      <c r="J85" s="1">
        <v>150.37</v>
      </c>
      <c r="K85" s="34">
        <v>41426</v>
      </c>
      <c r="L85" s="1">
        <v>3007.6</v>
      </c>
      <c r="M85" s="34">
        <v>41426</v>
      </c>
      <c r="N85" s="1">
        <v>547.9</v>
      </c>
    </row>
    <row r="86" spans="1:14" x14ac:dyDescent="0.25">
      <c r="A86" s="34">
        <v>41456</v>
      </c>
      <c r="B86" s="1">
        <v>2993.5</v>
      </c>
      <c r="C86" s="34">
        <v>41456</v>
      </c>
      <c r="D86" s="1">
        <v>2795</v>
      </c>
      <c r="E86" s="34">
        <v>41456</v>
      </c>
      <c r="F86" s="1">
        <v>7</v>
      </c>
      <c r="G86" s="34">
        <v>41456</v>
      </c>
      <c r="H86" s="1">
        <v>1.52</v>
      </c>
      <c r="I86" s="34">
        <v>41456</v>
      </c>
      <c r="J86" s="1">
        <v>150.76</v>
      </c>
      <c r="K86" s="34">
        <v>41456</v>
      </c>
      <c r="L86" s="1">
        <v>3001.8</v>
      </c>
      <c r="M86" s="34">
        <v>41456</v>
      </c>
      <c r="N86" s="1">
        <v>524.9</v>
      </c>
    </row>
    <row r="87" spans="1:14" x14ac:dyDescent="0.25">
      <c r="A87" s="34">
        <v>41487</v>
      </c>
      <c r="B87" s="1">
        <v>2999.7</v>
      </c>
      <c r="C87" s="34">
        <v>41487</v>
      </c>
      <c r="D87" s="1">
        <v>2735</v>
      </c>
      <c r="E87" s="34">
        <v>41487</v>
      </c>
      <c r="F87" s="1">
        <v>7</v>
      </c>
      <c r="G87" s="34">
        <v>41487</v>
      </c>
      <c r="H87" s="1">
        <v>1.79</v>
      </c>
      <c r="I87" s="34">
        <v>41487</v>
      </c>
      <c r="J87" s="1">
        <v>151.16</v>
      </c>
      <c r="K87" s="34">
        <v>41487</v>
      </c>
      <c r="L87" s="1">
        <v>3002.9</v>
      </c>
      <c r="M87" s="34">
        <v>41487</v>
      </c>
      <c r="N87" s="1">
        <v>511.5</v>
      </c>
    </row>
    <row r="88" spans="1:14" x14ac:dyDescent="0.25">
      <c r="A88" s="34">
        <v>41518</v>
      </c>
      <c r="B88" s="1">
        <v>3004.5</v>
      </c>
      <c r="C88" s="34">
        <v>41518</v>
      </c>
      <c r="D88" s="1">
        <v>2642</v>
      </c>
      <c r="E88" s="34">
        <v>41518</v>
      </c>
      <c r="F88" s="1">
        <v>6.9</v>
      </c>
      <c r="G88" s="34">
        <v>41518</v>
      </c>
      <c r="H88" s="1">
        <v>1.82</v>
      </c>
      <c r="I88" s="34">
        <v>41518</v>
      </c>
      <c r="J88" s="1">
        <v>151.58000000000001</v>
      </c>
      <c r="K88" s="34">
        <v>41518</v>
      </c>
      <c r="L88" s="1">
        <v>3018.3</v>
      </c>
      <c r="M88" s="34">
        <v>41518</v>
      </c>
      <c r="N88" s="1">
        <v>527.6</v>
      </c>
    </row>
    <row r="89" spans="1:14" x14ac:dyDescent="0.25">
      <c r="A89" s="34">
        <v>41548</v>
      </c>
      <c r="B89" s="1">
        <v>3001.6</v>
      </c>
      <c r="C89" s="34">
        <v>41548</v>
      </c>
      <c r="D89" s="1">
        <v>2904</v>
      </c>
      <c r="E89" s="34">
        <v>41548</v>
      </c>
      <c r="F89" s="1">
        <v>6.8</v>
      </c>
      <c r="G89" s="34">
        <v>41548</v>
      </c>
      <c r="H89" s="1">
        <v>1.37</v>
      </c>
      <c r="I89" s="34">
        <v>41548</v>
      </c>
      <c r="J89" s="1">
        <v>151.85</v>
      </c>
      <c r="K89" s="34">
        <v>41548</v>
      </c>
      <c r="L89" s="1">
        <v>3026</v>
      </c>
      <c r="M89" s="34">
        <v>41548</v>
      </c>
      <c r="N89" s="1">
        <v>550.6</v>
      </c>
    </row>
    <row r="90" spans="1:14" x14ac:dyDescent="0.25">
      <c r="A90" s="34">
        <v>41579</v>
      </c>
      <c r="B90" s="1">
        <v>3004.7</v>
      </c>
      <c r="C90" s="34">
        <v>41579</v>
      </c>
      <c r="D90" s="1">
        <v>2264</v>
      </c>
      <c r="E90" s="34">
        <v>41579</v>
      </c>
      <c r="F90" s="1">
        <v>6.8</v>
      </c>
      <c r="G90" s="34">
        <v>41579</v>
      </c>
      <c r="H90" s="1">
        <v>1.55</v>
      </c>
      <c r="I90" s="34">
        <v>41579</v>
      </c>
      <c r="J90" s="1">
        <v>152.22</v>
      </c>
      <c r="K90" s="34">
        <v>41579</v>
      </c>
      <c r="L90" s="1">
        <v>3023.3</v>
      </c>
      <c r="M90" s="34">
        <v>41579</v>
      </c>
      <c r="N90" s="1">
        <v>555.20000000000005</v>
      </c>
    </row>
    <row r="91" spans="1:14" x14ac:dyDescent="0.25">
      <c r="A91" s="34">
        <v>41609</v>
      </c>
      <c r="B91" s="1">
        <v>3011.4</v>
      </c>
      <c r="C91" s="34">
        <v>41609</v>
      </c>
      <c r="D91" s="1">
        <v>2163</v>
      </c>
      <c r="E91" s="34">
        <v>41609</v>
      </c>
      <c r="F91" s="1">
        <v>6.7</v>
      </c>
      <c r="G91" s="34">
        <v>41609</v>
      </c>
      <c r="H91" s="1">
        <v>2.15</v>
      </c>
      <c r="I91" s="34">
        <v>41609</v>
      </c>
      <c r="J91" s="1">
        <v>152.80000000000001</v>
      </c>
      <c r="K91" s="34">
        <v>41609</v>
      </c>
      <c r="L91" s="1">
        <v>3016.5</v>
      </c>
      <c r="M91" s="34">
        <v>41609</v>
      </c>
      <c r="N91" s="1">
        <v>547.5</v>
      </c>
    </row>
    <row r="92" spans="1:14" x14ac:dyDescent="0.25">
      <c r="A92" s="34">
        <v>41640</v>
      </c>
      <c r="B92" s="1">
        <v>3017.2</v>
      </c>
      <c r="C92" s="34">
        <v>41640</v>
      </c>
      <c r="D92" s="1">
        <v>1769</v>
      </c>
      <c r="E92" s="34">
        <v>41640</v>
      </c>
      <c r="F92" s="1">
        <v>6.4</v>
      </c>
      <c r="G92" s="34">
        <v>41640</v>
      </c>
      <c r="H92" s="1">
        <v>2.77</v>
      </c>
      <c r="I92" s="34">
        <v>41640</v>
      </c>
      <c r="J92" s="1">
        <v>153.5</v>
      </c>
      <c r="K92" s="34">
        <v>41640</v>
      </c>
      <c r="L92" s="1">
        <v>2974.9</v>
      </c>
      <c r="M92" s="34">
        <v>41640</v>
      </c>
      <c r="N92" s="1">
        <v>549.29999999999995</v>
      </c>
    </row>
    <row r="93" spans="1:14" x14ac:dyDescent="0.25">
      <c r="A93" s="34">
        <v>41671</v>
      </c>
      <c r="B93" s="1">
        <v>3023</v>
      </c>
      <c r="C93" s="34">
        <v>41671</v>
      </c>
      <c r="D93" s="1">
        <v>2175</v>
      </c>
      <c r="E93" s="34">
        <v>41671</v>
      </c>
      <c r="F93" s="1">
        <v>6.3</v>
      </c>
      <c r="G93" s="34">
        <v>41671</v>
      </c>
      <c r="H93" s="1">
        <v>1.73</v>
      </c>
      <c r="I93" s="34">
        <v>41671</v>
      </c>
      <c r="J93" s="1">
        <v>153.93</v>
      </c>
      <c r="K93" s="34">
        <v>41671</v>
      </c>
      <c r="L93" s="1">
        <v>2987.5</v>
      </c>
      <c r="M93" s="34">
        <v>41671</v>
      </c>
      <c r="N93" s="1">
        <v>553</v>
      </c>
    </row>
    <row r="94" spans="1:14" x14ac:dyDescent="0.25">
      <c r="A94" s="34">
        <v>41699</v>
      </c>
      <c r="B94" s="1">
        <v>3031.3</v>
      </c>
      <c r="C94" s="34">
        <v>41699</v>
      </c>
      <c r="D94" s="1">
        <v>2480</v>
      </c>
      <c r="E94" s="34">
        <v>41699</v>
      </c>
      <c r="F94" s="1">
        <v>6.3</v>
      </c>
      <c r="G94" s="34">
        <v>41699</v>
      </c>
      <c r="H94" s="1">
        <v>1.54</v>
      </c>
      <c r="I94" s="34">
        <v>41699</v>
      </c>
      <c r="J94" s="1">
        <v>154.4</v>
      </c>
      <c r="K94" s="34">
        <v>41699</v>
      </c>
      <c r="L94" s="1">
        <v>3005.8</v>
      </c>
      <c r="M94" s="34">
        <v>41699</v>
      </c>
      <c r="N94" s="1">
        <v>555.29999999999995</v>
      </c>
    </row>
    <row r="95" spans="1:14" x14ac:dyDescent="0.25">
      <c r="A95" s="34">
        <v>41730</v>
      </c>
      <c r="B95" s="1">
        <v>3040.2</v>
      </c>
      <c r="C95" s="34">
        <v>41730</v>
      </c>
      <c r="D95" s="1">
        <v>3320</v>
      </c>
      <c r="E95" s="34">
        <v>41730</v>
      </c>
      <c r="F95" s="1">
        <v>6.1</v>
      </c>
      <c r="G95" s="34">
        <v>41730</v>
      </c>
      <c r="H95" s="1">
        <v>1.79</v>
      </c>
      <c r="I95" s="34">
        <v>41730</v>
      </c>
      <c r="J95" s="1">
        <v>154.9</v>
      </c>
      <c r="K95" s="34">
        <v>41730</v>
      </c>
      <c r="L95" s="1">
        <v>3028.4</v>
      </c>
      <c r="M95" s="34">
        <v>41730</v>
      </c>
      <c r="N95" s="1">
        <v>557.5</v>
      </c>
    </row>
    <row r="96" spans="1:14" x14ac:dyDescent="0.25">
      <c r="A96" s="34">
        <v>41760</v>
      </c>
      <c r="B96" s="1">
        <v>3041.2</v>
      </c>
      <c r="C96" s="34">
        <v>41760</v>
      </c>
      <c r="D96" s="1">
        <v>3246</v>
      </c>
      <c r="E96" s="34">
        <v>41760</v>
      </c>
      <c r="F96" s="1">
        <v>6.1</v>
      </c>
      <c r="G96" s="34">
        <v>41760</v>
      </c>
      <c r="H96" s="1">
        <v>2.0499999999999998</v>
      </c>
      <c r="I96" s="34">
        <v>41760</v>
      </c>
      <c r="J96" s="1">
        <v>155.41999999999999</v>
      </c>
      <c r="K96" s="34">
        <v>41760</v>
      </c>
      <c r="L96" s="1">
        <v>3050.1</v>
      </c>
      <c r="M96" s="34">
        <v>41760</v>
      </c>
      <c r="N96" s="1">
        <v>559.20000000000005</v>
      </c>
    </row>
    <row r="97" spans="1:14" x14ac:dyDescent="0.25">
      <c r="A97" s="34">
        <v>41791</v>
      </c>
      <c r="B97" s="1">
        <v>3054.8</v>
      </c>
      <c r="C97" s="34">
        <v>41791</v>
      </c>
      <c r="D97" s="1">
        <v>2983</v>
      </c>
      <c r="E97" s="34">
        <v>41791</v>
      </c>
      <c r="F97" s="1">
        <v>5.8</v>
      </c>
      <c r="G97" s="34">
        <v>41791</v>
      </c>
      <c r="H97" s="1">
        <v>2.93</v>
      </c>
      <c r="I97" s="34">
        <v>41791</v>
      </c>
      <c r="J97" s="1">
        <v>156.21</v>
      </c>
      <c r="K97" s="34">
        <v>41791</v>
      </c>
      <c r="L97" s="1">
        <v>3080.1</v>
      </c>
      <c r="M97" s="34">
        <v>41791</v>
      </c>
      <c r="N97" s="1">
        <v>553.29999999999995</v>
      </c>
    </row>
    <row r="98" spans="1:14" x14ac:dyDescent="0.25">
      <c r="A98" s="34">
        <v>41821</v>
      </c>
      <c r="B98" s="1">
        <v>3065.4</v>
      </c>
      <c r="C98" s="34">
        <v>41821</v>
      </c>
      <c r="D98" s="1">
        <v>3206</v>
      </c>
      <c r="E98" s="34">
        <v>41821</v>
      </c>
      <c r="F98" s="1">
        <v>5.6</v>
      </c>
      <c r="G98" s="34">
        <v>41821</v>
      </c>
      <c r="H98" s="1">
        <v>2.5</v>
      </c>
      <c r="I98" s="34">
        <v>41821</v>
      </c>
      <c r="J98" s="1">
        <v>156.77000000000001</v>
      </c>
      <c r="K98" s="34">
        <v>41821</v>
      </c>
      <c r="L98" s="1">
        <v>3082.1</v>
      </c>
      <c r="M98" s="34">
        <v>41821</v>
      </c>
      <c r="N98" s="1">
        <v>532.29999999999995</v>
      </c>
    </row>
    <row r="99" spans="1:14" x14ac:dyDescent="0.25">
      <c r="A99" s="34">
        <v>41852</v>
      </c>
      <c r="B99" s="1">
        <v>3069.1</v>
      </c>
      <c r="C99" s="34">
        <v>41852</v>
      </c>
      <c r="D99" s="1">
        <v>3196</v>
      </c>
      <c r="E99" s="34">
        <v>41852</v>
      </c>
      <c r="F99" s="1">
        <v>5.6</v>
      </c>
      <c r="G99" s="34">
        <v>41852</v>
      </c>
      <c r="H99" s="1">
        <v>1.73</v>
      </c>
      <c r="I99" s="34">
        <v>41852</v>
      </c>
      <c r="J99" s="1">
        <v>157.16</v>
      </c>
      <c r="K99" s="34">
        <v>41852</v>
      </c>
      <c r="L99" s="1">
        <v>3074.9</v>
      </c>
      <c r="M99" s="34">
        <v>41852</v>
      </c>
      <c r="N99" s="1">
        <v>519.6</v>
      </c>
    </row>
    <row r="100" spans="1:14" x14ac:dyDescent="0.25">
      <c r="A100" s="34">
        <v>41883</v>
      </c>
      <c r="B100" s="1">
        <v>3070.7</v>
      </c>
      <c r="C100" s="34">
        <v>41883</v>
      </c>
      <c r="D100" s="1">
        <v>3301</v>
      </c>
      <c r="E100" s="34">
        <v>41883</v>
      </c>
      <c r="F100" s="1">
        <v>5.7</v>
      </c>
      <c r="G100" s="34">
        <v>41883</v>
      </c>
      <c r="H100" s="1">
        <v>0.63</v>
      </c>
      <c r="I100" s="34">
        <v>41883</v>
      </c>
      <c r="J100" s="1">
        <v>157.26</v>
      </c>
      <c r="K100" s="34">
        <v>41883</v>
      </c>
      <c r="L100" s="1">
        <v>3083.7</v>
      </c>
      <c r="M100" s="34">
        <v>41883</v>
      </c>
      <c r="N100" s="1">
        <v>538</v>
      </c>
    </row>
    <row r="101" spans="1:14" x14ac:dyDescent="0.25">
      <c r="A101" s="34">
        <v>41913</v>
      </c>
      <c r="B101" s="1">
        <v>3080.6</v>
      </c>
      <c r="C101" s="34">
        <v>41913</v>
      </c>
      <c r="D101" s="1">
        <v>2830</v>
      </c>
      <c r="E101" s="34">
        <v>41913</v>
      </c>
      <c r="F101" s="1">
        <v>6</v>
      </c>
      <c r="G101" s="34">
        <v>41913</v>
      </c>
      <c r="H101" s="1">
        <v>0.21</v>
      </c>
      <c r="I101" s="34">
        <v>41913</v>
      </c>
      <c r="J101" s="1">
        <v>157.28</v>
      </c>
      <c r="K101" s="34">
        <v>41913</v>
      </c>
      <c r="L101" s="1">
        <v>3104.2</v>
      </c>
      <c r="M101" s="34">
        <v>41913</v>
      </c>
      <c r="N101" s="1">
        <v>562.20000000000005</v>
      </c>
    </row>
    <row r="102" spans="1:14" x14ac:dyDescent="0.25">
      <c r="A102" s="34">
        <v>41944</v>
      </c>
      <c r="B102" s="1">
        <v>3086.4</v>
      </c>
      <c r="C102" s="34">
        <v>41944</v>
      </c>
      <c r="D102" s="1">
        <v>2501</v>
      </c>
      <c r="E102" s="34">
        <v>41944</v>
      </c>
      <c r="F102" s="1">
        <v>6.2</v>
      </c>
      <c r="G102" s="34">
        <v>41944</v>
      </c>
      <c r="H102" s="1">
        <v>0.4</v>
      </c>
      <c r="I102" s="34">
        <v>41944</v>
      </c>
      <c r="J102" s="1">
        <v>157.36000000000001</v>
      </c>
      <c r="K102" s="34">
        <v>41944</v>
      </c>
      <c r="L102" s="1">
        <v>3107</v>
      </c>
      <c r="M102" s="34">
        <v>41944</v>
      </c>
      <c r="N102" s="1">
        <v>563.29999999999995</v>
      </c>
    </row>
    <row r="103" spans="1:14" x14ac:dyDescent="0.25">
      <c r="A103" s="34">
        <v>41974</v>
      </c>
      <c r="B103" s="1">
        <v>3094</v>
      </c>
      <c r="E103" s="34">
        <v>41974</v>
      </c>
      <c r="F103" s="1">
        <v>6.3</v>
      </c>
      <c r="K103" s="34">
        <v>41974</v>
      </c>
      <c r="L103" s="1">
        <v>3099.4</v>
      </c>
      <c r="M103" s="34">
        <v>41974</v>
      </c>
      <c r="N103" s="1">
        <v>554.79999999999995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P103"/>
  <sheetViews>
    <sheetView workbookViewId="0">
      <selection activeCell="A6" sqref="A6"/>
    </sheetView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313</v>
      </c>
      <c r="C1" s="34" t="s">
        <v>314</v>
      </c>
      <c r="E1" s="34" t="s">
        <v>315</v>
      </c>
      <c r="G1" s="34" t="s">
        <v>316</v>
      </c>
      <c r="I1" s="34" t="s">
        <v>317</v>
      </c>
      <c r="K1" s="34" t="str">
        <f>CONCATENATE(LEFT(A1,2), "NAN")</f>
        <v>WINAN</v>
      </c>
      <c r="M1" s="34" t="str">
        <f>CONCATENATE(LEFT(A1,2), "GOVTN")</f>
        <v>WIGOVTN</v>
      </c>
      <c r="O1" s="34" t="str">
        <f>CONCATENATE(LEFT($A$1,2), "RGSP")</f>
        <v>WIRGSP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954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961</v>
      </c>
      <c r="K4" s="34">
        <v>39083</v>
      </c>
      <c r="L4" s="1" t="s">
        <v>959</v>
      </c>
      <c r="M4" s="34">
        <v>39083</v>
      </c>
      <c r="N4" s="1" t="s">
        <v>954</v>
      </c>
      <c r="O4" s="34">
        <v>39083</v>
      </c>
      <c r="P4" s="1" t="s">
        <v>770</v>
      </c>
    </row>
    <row r="5" spans="1:16" x14ac:dyDescent="0.25">
      <c r="A5" s="35" t="s">
        <v>940</v>
      </c>
      <c r="C5" s="35" t="s">
        <v>327</v>
      </c>
      <c r="E5" s="35" t="s">
        <v>328</v>
      </c>
      <c r="G5" s="35" t="s">
        <v>329</v>
      </c>
      <c r="I5" s="35" t="s">
        <v>330</v>
      </c>
      <c r="K5" s="35" t="s">
        <v>940</v>
      </c>
      <c r="M5" s="35" t="s">
        <v>941</v>
      </c>
      <c r="O5" s="35" t="s">
        <v>772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2873.4</v>
      </c>
      <c r="C8" s="34">
        <v>39083</v>
      </c>
      <c r="D8" s="1">
        <v>1257</v>
      </c>
      <c r="E8" s="34">
        <v>39083</v>
      </c>
      <c r="F8" s="1">
        <v>4.8</v>
      </c>
      <c r="G8" s="34">
        <v>39083</v>
      </c>
      <c r="H8" s="1">
        <v>0.36</v>
      </c>
      <c r="I8" s="34">
        <v>39083</v>
      </c>
      <c r="J8" s="1">
        <v>141.63999999999999</v>
      </c>
      <c r="K8" s="34">
        <v>39083</v>
      </c>
      <c r="L8" s="1">
        <v>2808.9</v>
      </c>
      <c r="M8" s="34">
        <v>39083</v>
      </c>
      <c r="N8" s="1">
        <v>410.2</v>
      </c>
      <c r="O8" s="34">
        <v>39083</v>
      </c>
      <c r="P8" s="1">
        <v>256317</v>
      </c>
    </row>
    <row r="9" spans="1:16" x14ac:dyDescent="0.25">
      <c r="A9" s="34">
        <v>39114</v>
      </c>
      <c r="B9" s="1">
        <v>2871.3</v>
      </c>
      <c r="C9" s="34">
        <v>39114</v>
      </c>
      <c r="D9" s="1">
        <v>1069</v>
      </c>
      <c r="E9" s="34">
        <v>39114</v>
      </c>
      <c r="F9" s="1">
        <v>4.8</v>
      </c>
      <c r="G9" s="34">
        <v>39114</v>
      </c>
      <c r="H9" s="1">
        <v>0.13</v>
      </c>
      <c r="I9" s="34">
        <v>39114</v>
      </c>
      <c r="J9" s="1">
        <v>141.85</v>
      </c>
      <c r="K9" s="34">
        <v>39114</v>
      </c>
      <c r="L9" s="1">
        <v>2804.4</v>
      </c>
      <c r="M9" s="34">
        <v>39114</v>
      </c>
      <c r="N9" s="1">
        <v>416.8</v>
      </c>
      <c r="O9" s="34">
        <v>39448</v>
      </c>
      <c r="P9" s="1">
        <v>252434</v>
      </c>
    </row>
    <row r="10" spans="1:16" x14ac:dyDescent="0.25">
      <c r="A10" s="34">
        <v>39142</v>
      </c>
      <c r="B10" s="1">
        <v>2875.9</v>
      </c>
      <c r="C10" s="34">
        <v>39142</v>
      </c>
      <c r="D10" s="1">
        <v>1592</v>
      </c>
      <c r="E10" s="34">
        <v>39142</v>
      </c>
      <c r="F10" s="1">
        <v>4.8</v>
      </c>
      <c r="G10" s="34">
        <v>39142</v>
      </c>
      <c r="H10" s="1">
        <v>0.56999999999999995</v>
      </c>
      <c r="I10" s="34">
        <v>39142</v>
      </c>
      <c r="J10" s="1">
        <v>142.03</v>
      </c>
      <c r="K10" s="34">
        <v>39142</v>
      </c>
      <c r="L10" s="1">
        <v>2824.3</v>
      </c>
      <c r="M10" s="34">
        <v>39142</v>
      </c>
      <c r="N10" s="1">
        <v>422.5</v>
      </c>
      <c r="O10" s="34">
        <v>39814</v>
      </c>
      <c r="P10" s="1">
        <v>245898</v>
      </c>
    </row>
    <row r="11" spans="1:16" x14ac:dyDescent="0.25">
      <c r="A11" s="34">
        <v>39173</v>
      </c>
      <c r="B11" s="1">
        <v>2874.5</v>
      </c>
      <c r="C11" s="34">
        <v>39173</v>
      </c>
      <c r="D11" s="1">
        <v>2229</v>
      </c>
      <c r="E11" s="34">
        <v>39173</v>
      </c>
      <c r="F11" s="1">
        <v>4.8</v>
      </c>
      <c r="G11" s="34">
        <v>39173</v>
      </c>
      <c r="H11" s="1">
        <v>0.72</v>
      </c>
      <c r="I11" s="34">
        <v>39173</v>
      </c>
      <c r="J11" s="1">
        <v>142.22</v>
      </c>
      <c r="K11" s="34">
        <v>39173</v>
      </c>
      <c r="L11" s="1">
        <v>2856.6</v>
      </c>
      <c r="M11" s="34">
        <v>39173</v>
      </c>
      <c r="N11" s="1">
        <v>427</v>
      </c>
      <c r="O11" s="34">
        <v>40179</v>
      </c>
      <c r="P11" s="1">
        <v>252794</v>
      </c>
    </row>
    <row r="12" spans="1:16" x14ac:dyDescent="0.25">
      <c r="A12" s="34">
        <v>39203</v>
      </c>
      <c r="B12" s="1">
        <v>2880.5</v>
      </c>
      <c r="C12" s="34">
        <v>39203</v>
      </c>
      <c r="D12" s="1">
        <v>2537</v>
      </c>
      <c r="E12" s="34">
        <v>39203</v>
      </c>
      <c r="F12" s="1">
        <v>4.8</v>
      </c>
      <c r="G12" s="34">
        <v>39203</v>
      </c>
      <c r="H12" s="1">
        <v>0.84</v>
      </c>
      <c r="I12" s="34">
        <v>39203</v>
      </c>
      <c r="J12" s="1">
        <v>142.44</v>
      </c>
      <c r="K12" s="34">
        <v>39203</v>
      </c>
      <c r="L12" s="1">
        <v>2898.4</v>
      </c>
      <c r="M12" s="34">
        <v>39203</v>
      </c>
      <c r="N12" s="1">
        <v>427.1</v>
      </c>
      <c r="O12" s="34">
        <v>40544</v>
      </c>
      <c r="P12" s="1">
        <v>257146</v>
      </c>
    </row>
    <row r="13" spans="1:16" x14ac:dyDescent="0.25">
      <c r="A13" s="34">
        <v>39234</v>
      </c>
      <c r="B13" s="1">
        <v>2889.3</v>
      </c>
      <c r="C13" s="34">
        <v>39234</v>
      </c>
      <c r="D13" s="1">
        <v>2145</v>
      </c>
      <c r="E13" s="34">
        <v>39234</v>
      </c>
      <c r="F13" s="1">
        <v>4.9000000000000004</v>
      </c>
      <c r="G13" s="34">
        <v>39234</v>
      </c>
      <c r="H13" s="1">
        <v>-0.22</v>
      </c>
      <c r="I13" s="34">
        <v>39234</v>
      </c>
      <c r="J13" s="1">
        <v>142.61000000000001</v>
      </c>
      <c r="K13" s="34">
        <v>39234</v>
      </c>
      <c r="L13" s="1">
        <v>2936.8</v>
      </c>
      <c r="M13" s="34">
        <v>39234</v>
      </c>
      <c r="N13" s="1">
        <v>422.1</v>
      </c>
      <c r="O13" s="34">
        <v>40909</v>
      </c>
      <c r="P13" s="1">
        <v>259766</v>
      </c>
    </row>
    <row r="14" spans="1:16" x14ac:dyDescent="0.25">
      <c r="A14" s="34">
        <v>39264</v>
      </c>
      <c r="B14" s="1">
        <v>2883.3</v>
      </c>
      <c r="C14" s="34">
        <v>39264</v>
      </c>
      <c r="D14" s="1">
        <v>1924</v>
      </c>
      <c r="E14" s="34">
        <v>39264</v>
      </c>
      <c r="F14" s="1">
        <v>4.8</v>
      </c>
      <c r="G14" s="34">
        <v>39264</v>
      </c>
      <c r="H14" s="1">
        <v>-0.33</v>
      </c>
      <c r="I14" s="34">
        <v>39264</v>
      </c>
      <c r="J14" s="1">
        <v>142.68</v>
      </c>
      <c r="K14" s="34">
        <v>39264</v>
      </c>
      <c r="L14" s="1">
        <v>2900.2</v>
      </c>
      <c r="M14" s="34">
        <v>39264</v>
      </c>
      <c r="N14" s="1">
        <v>388.3</v>
      </c>
      <c r="O14" s="34">
        <v>41275</v>
      </c>
      <c r="P14" s="1">
        <v>264126</v>
      </c>
    </row>
    <row r="15" spans="1:16" x14ac:dyDescent="0.25">
      <c r="A15" s="34">
        <v>39295</v>
      </c>
      <c r="B15" s="1">
        <v>2882.8</v>
      </c>
      <c r="C15" s="34">
        <v>39295</v>
      </c>
      <c r="D15" s="1">
        <v>2061</v>
      </c>
      <c r="E15" s="34">
        <v>39295</v>
      </c>
      <c r="F15" s="1">
        <v>4.8</v>
      </c>
      <c r="G15" s="34">
        <v>39295</v>
      </c>
      <c r="H15" s="1">
        <v>-0.38</v>
      </c>
      <c r="I15" s="34">
        <v>39295</v>
      </c>
      <c r="J15" s="1">
        <v>142.66</v>
      </c>
      <c r="K15" s="34">
        <v>39295</v>
      </c>
      <c r="L15" s="1">
        <v>2901.5</v>
      </c>
      <c r="M15" s="34">
        <v>39295</v>
      </c>
      <c r="N15" s="1">
        <v>384.8</v>
      </c>
    </row>
    <row r="16" spans="1:16" x14ac:dyDescent="0.25">
      <c r="A16" s="34">
        <v>39326</v>
      </c>
      <c r="B16" s="1">
        <v>2881.9</v>
      </c>
      <c r="C16" s="34">
        <v>39326</v>
      </c>
      <c r="D16" s="1">
        <v>1980</v>
      </c>
      <c r="E16" s="34">
        <v>39326</v>
      </c>
      <c r="F16" s="1">
        <v>4.8</v>
      </c>
      <c r="G16" s="34">
        <v>39326</v>
      </c>
      <c r="H16" s="1">
        <v>0.18</v>
      </c>
      <c r="I16" s="34">
        <v>39326</v>
      </c>
      <c r="J16" s="1">
        <v>142.61000000000001</v>
      </c>
      <c r="K16" s="34">
        <v>39326</v>
      </c>
      <c r="L16" s="1">
        <v>2901.7</v>
      </c>
      <c r="M16" s="34">
        <v>39326</v>
      </c>
      <c r="N16" s="1">
        <v>414</v>
      </c>
    </row>
    <row r="17" spans="1:14" x14ac:dyDescent="0.25">
      <c r="A17" s="34">
        <v>39356</v>
      </c>
      <c r="B17" s="1">
        <v>2876.5</v>
      </c>
      <c r="C17" s="34">
        <v>39356</v>
      </c>
      <c r="D17" s="1">
        <v>2174</v>
      </c>
      <c r="E17" s="34">
        <v>39356</v>
      </c>
      <c r="F17" s="1">
        <v>4.7</v>
      </c>
      <c r="G17" s="34">
        <v>39356</v>
      </c>
      <c r="H17" s="1">
        <v>0.69</v>
      </c>
      <c r="I17" s="34">
        <v>39356</v>
      </c>
      <c r="J17" s="1">
        <v>142.63</v>
      </c>
      <c r="K17" s="34">
        <v>39356</v>
      </c>
      <c r="L17" s="1">
        <v>2902.8</v>
      </c>
      <c r="M17" s="34">
        <v>39356</v>
      </c>
      <c r="N17" s="1">
        <v>423.8</v>
      </c>
    </row>
    <row r="18" spans="1:14" x14ac:dyDescent="0.25">
      <c r="A18" s="34">
        <v>39387</v>
      </c>
      <c r="B18" s="1">
        <v>2876.5</v>
      </c>
      <c r="C18" s="34">
        <v>39387</v>
      </c>
      <c r="D18" s="1">
        <v>1307</v>
      </c>
      <c r="E18" s="34">
        <v>39387</v>
      </c>
      <c r="F18" s="1">
        <v>4.5999999999999996</v>
      </c>
      <c r="G18" s="34">
        <v>39387</v>
      </c>
      <c r="H18" s="1">
        <v>0.84</v>
      </c>
      <c r="I18" s="34">
        <v>39387</v>
      </c>
      <c r="J18" s="1">
        <v>142.74</v>
      </c>
      <c r="K18" s="34">
        <v>39387</v>
      </c>
      <c r="L18" s="1">
        <v>2904</v>
      </c>
      <c r="M18" s="34">
        <v>39387</v>
      </c>
      <c r="N18" s="1">
        <v>426.3</v>
      </c>
    </row>
    <row r="19" spans="1:14" x14ac:dyDescent="0.25">
      <c r="A19" s="34">
        <v>39417</v>
      </c>
      <c r="B19" s="1">
        <v>2881.8</v>
      </c>
      <c r="C19" s="34">
        <v>39417</v>
      </c>
      <c r="D19" s="1">
        <v>908</v>
      </c>
      <c r="E19" s="34">
        <v>39417</v>
      </c>
      <c r="F19" s="1">
        <v>4.5</v>
      </c>
      <c r="G19" s="34">
        <v>39417</v>
      </c>
      <c r="H19" s="1">
        <v>0.7</v>
      </c>
      <c r="I19" s="34">
        <v>39417</v>
      </c>
      <c r="J19" s="1">
        <v>142.94</v>
      </c>
      <c r="K19" s="34">
        <v>39417</v>
      </c>
      <c r="L19" s="1">
        <v>2900.3</v>
      </c>
      <c r="M19" s="34">
        <v>39417</v>
      </c>
      <c r="N19" s="1">
        <v>428.8</v>
      </c>
    </row>
    <row r="20" spans="1:14" x14ac:dyDescent="0.25">
      <c r="A20" s="34">
        <v>39448</v>
      </c>
      <c r="B20" s="1">
        <v>2885.4</v>
      </c>
      <c r="C20" s="34">
        <v>39448</v>
      </c>
      <c r="D20" s="1">
        <v>807</v>
      </c>
      <c r="E20" s="34">
        <v>39448</v>
      </c>
      <c r="F20" s="1">
        <v>4.4000000000000004</v>
      </c>
      <c r="G20" s="34">
        <v>39448</v>
      </c>
      <c r="H20" s="1">
        <v>0</v>
      </c>
      <c r="I20" s="34">
        <v>39448</v>
      </c>
      <c r="J20" s="1">
        <v>143.15</v>
      </c>
      <c r="K20" s="34">
        <v>39448</v>
      </c>
      <c r="L20" s="1">
        <v>2821.6</v>
      </c>
      <c r="M20" s="34">
        <v>39448</v>
      </c>
      <c r="N20" s="1">
        <v>416.7</v>
      </c>
    </row>
    <row r="21" spans="1:14" x14ac:dyDescent="0.25">
      <c r="A21" s="34">
        <v>39479</v>
      </c>
      <c r="B21" s="1">
        <v>2884.4</v>
      </c>
      <c r="C21" s="34">
        <v>39479</v>
      </c>
      <c r="D21" s="1">
        <v>888</v>
      </c>
      <c r="E21" s="34">
        <v>39479</v>
      </c>
      <c r="F21" s="1">
        <v>4.3</v>
      </c>
      <c r="G21" s="34">
        <v>39479</v>
      </c>
      <c r="H21" s="1">
        <v>-0.98</v>
      </c>
      <c r="I21" s="34">
        <v>39479</v>
      </c>
      <c r="J21" s="1">
        <v>143.25</v>
      </c>
      <c r="K21" s="34">
        <v>39479</v>
      </c>
      <c r="L21" s="1">
        <v>2817.3</v>
      </c>
      <c r="M21" s="34">
        <v>39479</v>
      </c>
      <c r="N21" s="1">
        <v>422.2</v>
      </c>
    </row>
    <row r="22" spans="1:14" x14ac:dyDescent="0.25">
      <c r="A22" s="34">
        <v>39508</v>
      </c>
      <c r="B22" s="1">
        <v>2881.6</v>
      </c>
      <c r="C22" s="34">
        <v>39508</v>
      </c>
      <c r="D22" s="1">
        <v>1014</v>
      </c>
      <c r="E22" s="34">
        <v>39508</v>
      </c>
      <c r="F22" s="1">
        <v>4.3</v>
      </c>
      <c r="G22" s="34">
        <v>39508</v>
      </c>
      <c r="H22" s="1">
        <v>-0.52</v>
      </c>
      <c r="I22" s="34">
        <v>39508</v>
      </c>
      <c r="J22" s="1">
        <v>143.24</v>
      </c>
      <c r="K22" s="34">
        <v>39508</v>
      </c>
      <c r="L22" s="1">
        <v>2830.1</v>
      </c>
      <c r="M22" s="34">
        <v>39508</v>
      </c>
      <c r="N22" s="1">
        <v>427.2</v>
      </c>
    </row>
    <row r="23" spans="1:14" x14ac:dyDescent="0.25">
      <c r="A23" s="34">
        <v>39539</v>
      </c>
      <c r="B23" s="1">
        <v>2876.9</v>
      </c>
      <c r="C23" s="34">
        <v>39539</v>
      </c>
      <c r="D23" s="1">
        <v>1757</v>
      </c>
      <c r="E23" s="34">
        <v>39539</v>
      </c>
      <c r="F23" s="1">
        <v>4.3</v>
      </c>
      <c r="G23" s="34">
        <v>39539</v>
      </c>
      <c r="H23" s="1">
        <v>-0.14000000000000001</v>
      </c>
      <c r="I23" s="34">
        <v>39539</v>
      </c>
      <c r="J23" s="1">
        <v>143.18</v>
      </c>
      <c r="K23" s="34">
        <v>39539</v>
      </c>
      <c r="L23" s="1">
        <v>2858.6</v>
      </c>
      <c r="M23" s="34">
        <v>39539</v>
      </c>
      <c r="N23" s="1">
        <v>429.6</v>
      </c>
    </row>
    <row r="24" spans="1:14" x14ac:dyDescent="0.25">
      <c r="A24" s="34">
        <v>39569</v>
      </c>
      <c r="B24" s="1">
        <v>2879.2</v>
      </c>
      <c r="C24" s="34">
        <v>39569</v>
      </c>
      <c r="D24" s="1">
        <v>1855</v>
      </c>
      <c r="E24" s="34">
        <v>39569</v>
      </c>
      <c r="F24" s="1">
        <v>4.4000000000000004</v>
      </c>
      <c r="G24" s="34">
        <v>39569</v>
      </c>
      <c r="H24" s="1">
        <v>-0.04</v>
      </c>
      <c r="I24" s="34">
        <v>39569</v>
      </c>
      <c r="J24" s="1">
        <v>143.12</v>
      </c>
      <c r="K24" s="34">
        <v>39569</v>
      </c>
      <c r="L24" s="1">
        <v>2900.8</v>
      </c>
      <c r="M24" s="34">
        <v>39569</v>
      </c>
      <c r="N24" s="1">
        <v>432.5</v>
      </c>
    </row>
    <row r="25" spans="1:14" x14ac:dyDescent="0.25">
      <c r="A25" s="34">
        <v>39600</v>
      </c>
      <c r="B25" s="1">
        <v>2877.2</v>
      </c>
      <c r="C25" s="34">
        <v>39600</v>
      </c>
      <c r="D25" s="1">
        <v>1488</v>
      </c>
      <c r="E25" s="34">
        <v>39600</v>
      </c>
      <c r="F25" s="1">
        <v>4.5</v>
      </c>
      <c r="G25" s="34">
        <v>39600</v>
      </c>
      <c r="H25" s="1">
        <v>-0.77</v>
      </c>
      <c r="I25" s="34">
        <v>39600</v>
      </c>
      <c r="J25" s="1">
        <v>143.01</v>
      </c>
      <c r="K25" s="34">
        <v>39600</v>
      </c>
      <c r="L25" s="1">
        <v>2921.9</v>
      </c>
      <c r="M25" s="34">
        <v>39600</v>
      </c>
      <c r="N25" s="1">
        <v>422.2</v>
      </c>
    </row>
    <row r="26" spans="1:14" x14ac:dyDescent="0.25">
      <c r="A26" s="34">
        <v>39630</v>
      </c>
      <c r="B26" s="1">
        <v>2875</v>
      </c>
      <c r="C26" s="34">
        <v>39630</v>
      </c>
      <c r="D26" s="1">
        <v>2116</v>
      </c>
      <c r="E26" s="34">
        <v>39630</v>
      </c>
      <c r="F26" s="1">
        <v>4.7</v>
      </c>
      <c r="G26" s="34">
        <v>39630</v>
      </c>
      <c r="H26" s="1">
        <v>-0.81</v>
      </c>
      <c r="I26" s="34">
        <v>39630</v>
      </c>
      <c r="J26" s="1">
        <v>142.82</v>
      </c>
      <c r="K26" s="34">
        <v>39630</v>
      </c>
      <c r="L26" s="1">
        <v>2890.3</v>
      </c>
      <c r="M26" s="34">
        <v>39630</v>
      </c>
      <c r="N26" s="1">
        <v>392.4</v>
      </c>
    </row>
    <row r="27" spans="1:14" x14ac:dyDescent="0.25">
      <c r="A27" s="34">
        <v>39661</v>
      </c>
      <c r="B27" s="1">
        <v>2870.5</v>
      </c>
      <c r="C27" s="34">
        <v>39661</v>
      </c>
      <c r="D27" s="1">
        <v>1410</v>
      </c>
      <c r="E27" s="34">
        <v>39661</v>
      </c>
      <c r="F27" s="1">
        <v>4.8</v>
      </c>
      <c r="G27" s="34">
        <v>39661</v>
      </c>
      <c r="H27" s="1">
        <v>-1.05</v>
      </c>
      <c r="I27" s="34">
        <v>39661</v>
      </c>
      <c r="J27" s="1">
        <v>142.55000000000001</v>
      </c>
      <c r="K27" s="34">
        <v>39661</v>
      </c>
      <c r="L27" s="1">
        <v>2889.1</v>
      </c>
      <c r="M27" s="34">
        <v>39661</v>
      </c>
      <c r="N27" s="1">
        <v>387</v>
      </c>
    </row>
    <row r="28" spans="1:14" x14ac:dyDescent="0.25">
      <c r="A28" s="34">
        <v>39692</v>
      </c>
      <c r="B28" s="1">
        <v>2872.8</v>
      </c>
      <c r="C28" s="34">
        <v>39692</v>
      </c>
      <c r="D28" s="1">
        <v>1493</v>
      </c>
      <c r="E28" s="34">
        <v>39692</v>
      </c>
      <c r="F28" s="1">
        <v>5.0999999999999996</v>
      </c>
      <c r="G28" s="34">
        <v>39692</v>
      </c>
      <c r="H28" s="1">
        <v>-1.85</v>
      </c>
      <c r="I28" s="34">
        <v>39692</v>
      </c>
      <c r="J28" s="1">
        <v>142.16</v>
      </c>
      <c r="K28" s="34">
        <v>39692</v>
      </c>
      <c r="L28" s="1">
        <v>2892.3</v>
      </c>
      <c r="M28" s="34">
        <v>39692</v>
      </c>
      <c r="N28" s="1">
        <v>423</v>
      </c>
    </row>
    <row r="29" spans="1:14" x14ac:dyDescent="0.25">
      <c r="A29" s="34">
        <v>39722</v>
      </c>
      <c r="B29" s="1">
        <v>2860.9</v>
      </c>
      <c r="C29" s="34">
        <v>39722</v>
      </c>
      <c r="D29" s="1">
        <v>1375</v>
      </c>
      <c r="E29" s="34">
        <v>39722</v>
      </c>
      <c r="F29" s="1">
        <v>5.4</v>
      </c>
      <c r="G29" s="34">
        <v>39722</v>
      </c>
      <c r="H29" s="1">
        <v>-3.01</v>
      </c>
      <c r="I29" s="34">
        <v>39722</v>
      </c>
      <c r="J29" s="1">
        <v>141.59</v>
      </c>
      <c r="K29" s="34">
        <v>39722</v>
      </c>
      <c r="L29" s="1">
        <v>2892.4</v>
      </c>
      <c r="M29" s="34">
        <v>39722</v>
      </c>
      <c r="N29" s="1">
        <v>432.5</v>
      </c>
    </row>
    <row r="30" spans="1:14" x14ac:dyDescent="0.25">
      <c r="A30" s="34">
        <v>39753</v>
      </c>
      <c r="B30" s="1">
        <v>2851.8</v>
      </c>
      <c r="C30" s="34">
        <v>39753</v>
      </c>
      <c r="D30" s="1">
        <v>794</v>
      </c>
      <c r="E30" s="34">
        <v>39753</v>
      </c>
      <c r="F30" s="1">
        <v>5.9</v>
      </c>
      <c r="G30" s="34">
        <v>39753</v>
      </c>
      <c r="H30" s="1">
        <v>-4.28</v>
      </c>
      <c r="I30" s="34">
        <v>39753</v>
      </c>
      <c r="J30" s="1">
        <v>140.72999999999999</v>
      </c>
      <c r="K30" s="34">
        <v>39753</v>
      </c>
      <c r="L30" s="1">
        <v>2879.9</v>
      </c>
      <c r="M30" s="34">
        <v>39753</v>
      </c>
      <c r="N30" s="1">
        <v>441.4</v>
      </c>
    </row>
    <row r="31" spans="1:14" x14ac:dyDescent="0.25">
      <c r="A31" s="34">
        <v>39783</v>
      </c>
      <c r="B31" s="1">
        <v>2837.5</v>
      </c>
      <c r="C31" s="34">
        <v>39783</v>
      </c>
      <c r="D31" s="1">
        <v>413</v>
      </c>
      <c r="E31" s="34">
        <v>39783</v>
      </c>
      <c r="F31" s="1">
        <v>6.5</v>
      </c>
      <c r="G31" s="34">
        <v>39783</v>
      </c>
      <c r="H31" s="1">
        <v>-4.63</v>
      </c>
      <c r="I31" s="34">
        <v>39783</v>
      </c>
      <c r="J31" s="1">
        <v>139.58000000000001</v>
      </c>
      <c r="K31" s="34">
        <v>39783</v>
      </c>
      <c r="L31" s="1">
        <v>2857.4</v>
      </c>
      <c r="M31" s="34">
        <v>39783</v>
      </c>
      <c r="N31" s="1">
        <v>436</v>
      </c>
    </row>
    <row r="32" spans="1:14" x14ac:dyDescent="0.25">
      <c r="A32" s="34">
        <v>39814</v>
      </c>
      <c r="B32" s="1">
        <v>2811.8</v>
      </c>
      <c r="C32" s="34">
        <v>39814</v>
      </c>
      <c r="D32" s="1">
        <v>264</v>
      </c>
      <c r="E32" s="34">
        <v>39814</v>
      </c>
      <c r="F32" s="1">
        <v>7.1</v>
      </c>
      <c r="G32" s="34">
        <v>39814</v>
      </c>
      <c r="H32" s="1">
        <v>-5.0599999999999996</v>
      </c>
      <c r="I32" s="34">
        <v>39814</v>
      </c>
      <c r="J32" s="1">
        <v>138.18</v>
      </c>
      <c r="K32" s="34">
        <v>39814</v>
      </c>
      <c r="L32" s="1">
        <v>2747.3</v>
      </c>
      <c r="M32" s="34">
        <v>39814</v>
      </c>
      <c r="N32" s="1">
        <v>418.6</v>
      </c>
    </row>
    <row r="33" spans="1:14" x14ac:dyDescent="0.25">
      <c r="A33" s="34">
        <v>39845</v>
      </c>
      <c r="B33" s="1">
        <v>2795.2</v>
      </c>
      <c r="C33" s="34">
        <v>39845</v>
      </c>
      <c r="D33" s="1">
        <v>569</v>
      </c>
      <c r="E33" s="34">
        <v>39845</v>
      </c>
      <c r="F33" s="1">
        <v>7.8</v>
      </c>
      <c r="G33" s="34">
        <v>39845</v>
      </c>
      <c r="H33" s="1">
        <v>-4.57</v>
      </c>
      <c r="I33" s="34">
        <v>39845</v>
      </c>
      <c r="J33" s="1">
        <v>136.69</v>
      </c>
      <c r="K33" s="34">
        <v>39845</v>
      </c>
      <c r="L33" s="1">
        <v>2734.3</v>
      </c>
      <c r="M33" s="34">
        <v>39845</v>
      </c>
      <c r="N33" s="1">
        <v>431.3</v>
      </c>
    </row>
    <row r="34" spans="1:14" x14ac:dyDescent="0.25">
      <c r="A34" s="34">
        <v>39873</v>
      </c>
      <c r="B34" s="1">
        <v>2774.4</v>
      </c>
      <c r="C34" s="34">
        <v>39873</v>
      </c>
      <c r="D34" s="1">
        <v>599</v>
      </c>
      <c r="E34" s="34">
        <v>39873</v>
      </c>
      <c r="F34" s="1">
        <v>8.4</v>
      </c>
      <c r="G34" s="34">
        <v>39873</v>
      </c>
      <c r="H34" s="1">
        <v>-3.94</v>
      </c>
      <c r="I34" s="34">
        <v>39873</v>
      </c>
      <c r="J34" s="1">
        <v>135.26</v>
      </c>
      <c r="K34" s="34">
        <v>39873</v>
      </c>
      <c r="L34" s="1">
        <v>2726.4</v>
      </c>
      <c r="M34" s="34">
        <v>39873</v>
      </c>
      <c r="N34" s="1">
        <v>432.7</v>
      </c>
    </row>
    <row r="35" spans="1:14" x14ac:dyDescent="0.25">
      <c r="A35" s="34">
        <v>39904</v>
      </c>
      <c r="B35" s="1">
        <v>2751</v>
      </c>
      <c r="C35" s="34">
        <v>39904</v>
      </c>
      <c r="D35" s="1">
        <v>790</v>
      </c>
      <c r="E35" s="34">
        <v>39904</v>
      </c>
      <c r="F35" s="1">
        <v>8.8000000000000007</v>
      </c>
      <c r="G35" s="34">
        <v>39904</v>
      </c>
      <c r="H35" s="1">
        <v>-2.62</v>
      </c>
      <c r="I35" s="34">
        <v>39904</v>
      </c>
      <c r="J35" s="1">
        <v>134.07</v>
      </c>
      <c r="K35" s="34">
        <v>39904</v>
      </c>
      <c r="L35" s="1">
        <v>2738.5</v>
      </c>
      <c r="M35" s="34">
        <v>39904</v>
      </c>
      <c r="N35" s="1">
        <v>434.9</v>
      </c>
    </row>
    <row r="36" spans="1:14" x14ac:dyDescent="0.25">
      <c r="A36" s="34">
        <v>39934</v>
      </c>
      <c r="B36" s="1">
        <v>2751.2</v>
      </c>
      <c r="C36" s="34">
        <v>39934</v>
      </c>
      <c r="D36" s="1">
        <v>1023</v>
      </c>
      <c r="E36" s="34">
        <v>39934</v>
      </c>
      <c r="F36" s="1">
        <v>9</v>
      </c>
      <c r="G36" s="34">
        <v>39934</v>
      </c>
      <c r="H36" s="1">
        <v>-1.53</v>
      </c>
      <c r="I36" s="34">
        <v>39934</v>
      </c>
      <c r="J36" s="1">
        <v>133.19999999999999</v>
      </c>
      <c r="K36" s="34">
        <v>39934</v>
      </c>
      <c r="L36" s="1">
        <v>2767.9</v>
      </c>
      <c r="M36" s="34">
        <v>39934</v>
      </c>
      <c r="N36" s="1">
        <v>435.7</v>
      </c>
    </row>
    <row r="37" spans="1:14" x14ac:dyDescent="0.25">
      <c r="A37" s="34">
        <v>39965</v>
      </c>
      <c r="B37" s="1">
        <v>2738.1</v>
      </c>
      <c r="C37" s="34">
        <v>39965</v>
      </c>
      <c r="D37" s="1">
        <v>1264</v>
      </c>
      <c r="E37" s="34">
        <v>39965</v>
      </c>
      <c r="F37" s="1">
        <v>9.1999999999999993</v>
      </c>
      <c r="G37" s="34">
        <v>39965</v>
      </c>
      <c r="H37" s="1">
        <v>-1.75</v>
      </c>
      <c r="I37" s="34">
        <v>39965</v>
      </c>
      <c r="J37" s="1">
        <v>132.57</v>
      </c>
      <c r="K37" s="34">
        <v>39965</v>
      </c>
      <c r="L37" s="1">
        <v>2778.2</v>
      </c>
      <c r="M37" s="34">
        <v>39965</v>
      </c>
      <c r="N37" s="1">
        <v>421.8</v>
      </c>
    </row>
    <row r="38" spans="1:14" x14ac:dyDescent="0.25">
      <c r="A38" s="34">
        <v>39995</v>
      </c>
      <c r="B38" s="1">
        <v>2726.8</v>
      </c>
      <c r="C38" s="34">
        <v>39995</v>
      </c>
      <c r="D38" s="1">
        <v>1147</v>
      </c>
      <c r="E38" s="34">
        <v>39995</v>
      </c>
      <c r="F38" s="1">
        <v>9.1999999999999993</v>
      </c>
      <c r="G38" s="34">
        <v>39995</v>
      </c>
      <c r="H38" s="1">
        <v>-0.7</v>
      </c>
      <c r="I38" s="34">
        <v>39995</v>
      </c>
      <c r="J38" s="1">
        <v>132.11000000000001</v>
      </c>
      <c r="K38" s="34">
        <v>39995</v>
      </c>
      <c r="L38" s="1">
        <v>2741.3</v>
      </c>
      <c r="M38" s="34">
        <v>39995</v>
      </c>
      <c r="N38" s="1">
        <v>392.4</v>
      </c>
    </row>
    <row r="39" spans="1:14" x14ac:dyDescent="0.25">
      <c r="A39" s="34">
        <v>40026</v>
      </c>
      <c r="B39" s="1">
        <v>2719.2</v>
      </c>
      <c r="C39" s="34">
        <v>40026</v>
      </c>
      <c r="D39" s="1">
        <v>1152</v>
      </c>
      <c r="E39" s="34">
        <v>40026</v>
      </c>
      <c r="F39" s="1">
        <v>9.1</v>
      </c>
      <c r="G39" s="34">
        <v>40026</v>
      </c>
      <c r="H39" s="1">
        <v>-0.06</v>
      </c>
      <c r="I39" s="34">
        <v>40026</v>
      </c>
      <c r="J39" s="1">
        <v>131.80000000000001</v>
      </c>
      <c r="K39" s="34">
        <v>40026</v>
      </c>
      <c r="L39" s="1">
        <v>2735.2</v>
      </c>
      <c r="M39" s="34">
        <v>40026</v>
      </c>
      <c r="N39" s="1">
        <v>385.1</v>
      </c>
    </row>
    <row r="40" spans="1:14" x14ac:dyDescent="0.25">
      <c r="A40" s="34">
        <v>40057</v>
      </c>
      <c r="B40" s="1">
        <v>2717.8</v>
      </c>
      <c r="C40" s="34">
        <v>40057</v>
      </c>
      <c r="D40" s="1">
        <v>1253</v>
      </c>
      <c r="E40" s="34">
        <v>40057</v>
      </c>
      <c r="F40" s="1">
        <v>9.1</v>
      </c>
      <c r="G40" s="34">
        <v>40057</v>
      </c>
      <c r="H40" s="1">
        <v>0.45</v>
      </c>
      <c r="I40" s="34">
        <v>40057</v>
      </c>
      <c r="J40" s="1">
        <v>131.61000000000001</v>
      </c>
      <c r="K40" s="34">
        <v>40057</v>
      </c>
      <c r="L40" s="1">
        <v>2734.9</v>
      </c>
      <c r="M40" s="34">
        <v>40057</v>
      </c>
      <c r="N40" s="1">
        <v>408.5</v>
      </c>
    </row>
    <row r="41" spans="1:14" x14ac:dyDescent="0.25">
      <c r="A41" s="34">
        <v>40087</v>
      </c>
      <c r="B41" s="1">
        <v>2717.9</v>
      </c>
      <c r="C41" s="34">
        <v>40087</v>
      </c>
      <c r="D41" s="1">
        <v>1051</v>
      </c>
      <c r="E41" s="34">
        <v>40087</v>
      </c>
      <c r="F41" s="1">
        <v>9.1</v>
      </c>
      <c r="G41" s="34">
        <v>40087</v>
      </c>
      <c r="H41" s="1">
        <v>0.42</v>
      </c>
      <c r="I41" s="34">
        <v>40087</v>
      </c>
      <c r="J41" s="1">
        <v>131.52000000000001</v>
      </c>
      <c r="K41" s="34">
        <v>40087</v>
      </c>
      <c r="L41" s="1">
        <v>2747.1</v>
      </c>
      <c r="M41" s="34">
        <v>40087</v>
      </c>
      <c r="N41" s="1">
        <v>426.1</v>
      </c>
    </row>
    <row r="42" spans="1:14" x14ac:dyDescent="0.25">
      <c r="A42" s="34">
        <v>40118</v>
      </c>
      <c r="B42" s="1">
        <v>2714.6</v>
      </c>
      <c r="C42" s="34">
        <v>40118</v>
      </c>
      <c r="D42" s="1">
        <v>976</v>
      </c>
      <c r="E42" s="34">
        <v>40118</v>
      </c>
      <c r="F42" s="1">
        <v>9.1</v>
      </c>
      <c r="G42" s="34">
        <v>40118</v>
      </c>
      <c r="H42" s="1">
        <v>0.21</v>
      </c>
      <c r="I42" s="34">
        <v>40118</v>
      </c>
      <c r="J42" s="1">
        <v>131.47</v>
      </c>
      <c r="K42" s="34">
        <v>40118</v>
      </c>
      <c r="L42" s="1">
        <v>2742.8</v>
      </c>
      <c r="M42" s="34">
        <v>40118</v>
      </c>
      <c r="N42" s="1">
        <v>431.2</v>
      </c>
    </row>
    <row r="43" spans="1:14" x14ac:dyDescent="0.25">
      <c r="A43" s="34">
        <v>40148</v>
      </c>
      <c r="B43" s="1">
        <v>2713.1</v>
      </c>
      <c r="C43" s="34">
        <v>40148</v>
      </c>
      <c r="D43" s="1">
        <v>797</v>
      </c>
      <c r="E43" s="34">
        <v>40148</v>
      </c>
      <c r="F43" s="1">
        <v>9.1</v>
      </c>
      <c r="G43" s="34">
        <v>40148</v>
      </c>
      <c r="H43" s="1">
        <v>0.67</v>
      </c>
      <c r="I43" s="34">
        <v>40148</v>
      </c>
      <c r="J43" s="1">
        <v>131.47999999999999</v>
      </c>
      <c r="K43" s="34">
        <v>40148</v>
      </c>
      <c r="L43" s="1">
        <v>2734.9</v>
      </c>
      <c r="M43" s="34">
        <v>40148</v>
      </c>
      <c r="N43" s="1">
        <v>431.8</v>
      </c>
    </row>
    <row r="44" spans="1:14" x14ac:dyDescent="0.25">
      <c r="A44" s="34">
        <v>40179</v>
      </c>
      <c r="B44" s="1">
        <v>2714.9</v>
      </c>
      <c r="C44" s="34">
        <v>40179</v>
      </c>
      <c r="D44" s="1">
        <v>420</v>
      </c>
      <c r="E44" s="34">
        <v>40179</v>
      </c>
      <c r="F44" s="1">
        <v>9.1999999999999993</v>
      </c>
      <c r="G44" s="34">
        <v>40179</v>
      </c>
      <c r="H44" s="1">
        <v>0.95</v>
      </c>
      <c r="I44" s="34">
        <v>40179</v>
      </c>
      <c r="J44" s="1">
        <v>131.56</v>
      </c>
      <c r="K44" s="34">
        <v>40179</v>
      </c>
      <c r="L44" s="1">
        <v>2649.3</v>
      </c>
      <c r="M44" s="34">
        <v>40179</v>
      </c>
      <c r="N44" s="1">
        <v>415.3</v>
      </c>
    </row>
    <row r="45" spans="1:14" x14ac:dyDescent="0.25">
      <c r="A45" s="34">
        <v>40210</v>
      </c>
      <c r="B45" s="1">
        <v>2713.2</v>
      </c>
      <c r="C45" s="34">
        <v>40210</v>
      </c>
      <c r="D45" s="1">
        <v>506</v>
      </c>
      <c r="E45" s="34">
        <v>40210</v>
      </c>
      <c r="F45" s="1">
        <v>9.1</v>
      </c>
      <c r="G45" s="34">
        <v>40210</v>
      </c>
      <c r="H45" s="1">
        <v>1.6</v>
      </c>
      <c r="I45" s="34">
        <v>40210</v>
      </c>
      <c r="J45" s="1">
        <v>131.75</v>
      </c>
      <c r="K45" s="34">
        <v>40210</v>
      </c>
      <c r="L45" s="1">
        <v>2654</v>
      </c>
      <c r="M45" s="34">
        <v>40210</v>
      </c>
      <c r="N45" s="1">
        <v>425.1</v>
      </c>
    </row>
    <row r="46" spans="1:14" x14ac:dyDescent="0.25">
      <c r="A46" s="34">
        <v>40238</v>
      </c>
      <c r="B46" s="1">
        <v>2714.4</v>
      </c>
      <c r="C46" s="34">
        <v>40238</v>
      </c>
      <c r="D46" s="1">
        <v>890</v>
      </c>
      <c r="E46" s="34">
        <v>40238</v>
      </c>
      <c r="F46" s="1">
        <v>9</v>
      </c>
      <c r="G46" s="34">
        <v>40238</v>
      </c>
      <c r="H46" s="1">
        <v>1.84</v>
      </c>
      <c r="I46" s="34">
        <v>40238</v>
      </c>
      <c r="J46" s="1">
        <v>132.05000000000001</v>
      </c>
      <c r="K46" s="34">
        <v>40238</v>
      </c>
      <c r="L46" s="1">
        <v>2668.4</v>
      </c>
      <c r="M46" s="34">
        <v>40238</v>
      </c>
      <c r="N46" s="1">
        <v>427.5</v>
      </c>
    </row>
    <row r="47" spans="1:14" x14ac:dyDescent="0.25">
      <c r="A47" s="34">
        <v>40269</v>
      </c>
      <c r="B47" s="1">
        <v>2725.6</v>
      </c>
      <c r="C47" s="34">
        <v>40269</v>
      </c>
      <c r="D47" s="1">
        <v>1446</v>
      </c>
      <c r="E47" s="34">
        <v>40269</v>
      </c>
      <c r="F47" s="1">
        <v>8.8000000000000007</v>
      </c>
      <c r="G47" s="34">
        <v>40269</v>
      </c>
      <c r="H47" s="1">
        <v>1.82</v>
      </c>
      <c r="I47" s="34">
        <v>40269</v>
      </c>
      <c r="J47" s="1">
        <v>132.46</v>
      </c>
      <c r="K47" s="34">
        <v>40269</v>
      </c>
      <c r="L47" s="1">
        <v>2713.8</v>
      </c>
      <c r="M47" s="34">
        <v>40269</v>
      </c>
      <c r="N47" s="1">
        <v>435.5</v>
      </c>
    </row>
    <row r="48" spans="1:14" x14ac:dyDescent="0.25">
      <c r="A48" s="34">
        <v>40299</v>
      </c>
      <c r="B48" s="1">
        <v>2730</v>
      </c>
      <c r="C48" s="34">
        <v>40299</v>
      </c>
      <c r="D48" s="1">
        <v>1091</v>
      </c>
      <c r="E48" s="34">
        <v>40299</v>
      </c>
      <c r="F48" s="1">
        <v>8.6</v>
      </c>
      <c r="G48" s="34">
        <v>40299</v>
      </c>
      <c r="H48" s="1">
        <v>1.57</v>
      </c>
      <c r="I48" s="34">
        <v>40299</v>
      </c>
      <c r="J48" s="1">
        <v>132.88999999999999</v>
      </c>
      <c r="K48" s="34">
        <v>40299</v>
      </c>
      <c r="L48" s="1">
        <v>2746.5</v>
      </c>
      <c r="M48" s="34">
        <v>40299</v>
      </c>
      <c r="N48" s="1">
        <v>437.5</v>
      </c>
    </row>
    <row r="49" spans="1:14" x14ac:dyDescent="0.25">
      <c r="A49" s="34">
        <v>40330</v>
      </c>
      <c r="B49" s="1">
        <v>2727.4</v>
      </c>
      <c r="C49" s="34">
        <v>40330</v>
      </c>
      <c r="D49" s="1">
        <v>1172</v>
      </c>
      <c r="E49" s="34">
        <v>40330</v>
      </c>
      <c r="F49" s="1">
        <v>8.4</v>
      </c>
      <c r="G49" s="34">
        <v>40330</v>
      </c>
      <c r="H49" s="1">
        <v>1.37</v>
      </c>
      <c r="I49" s="34">
        <v>40330</v>
      </c>
      <c r="J49" s="1">
        <v>133.30000000000001</v>
      </c>
      <c r="K49" s="34">
        <v>40330</v>
      </c>
      <c r="L49" s="1">
        <v>2765.3</v>
      </c>
      <c r="M49" s="34">
        <v>40330</v>
      </c>
      <c r="N49" s="1">
        <v>421.4</v>
      </c>
    </row>
    <row r="50" spans="1:14" x14ac:dyDescent="0.25">
      <c r="A50" s="34">
        <v>40360</v>
      </c>
      <c r="B50" s="1">
        <v>2730.6</v>
      </c>
      <c r="C50" s="34">
        <v>40360</v>
      </c>
      <c r="D50" s="1">
        <v>1093</v>
      </c>
      <c r="E50" s="34">
        <v>40360</v>
      </c>
      <c r="F50" s="1">
        <v>8.3000000000000007</v>
      </c>
      <c r="G50" s="34">
        <v>40360</v>
      </c>
      <c r="H50" s="1">
        <v>1.63</v>
      </c>
      <c r="I50" s="34">
        <v>40360</v>
      </c>
      <c r="J50" s="1">
        <v>133.69</v>
      </c>
      <c r="K50" s="34">
        <v>40360</v>
      </c>
      <c r="L50" s="1">
        <v>2744.4</v>
      </c>
      <c r="M50" s="34">
        <v>40360</v>
      </c>
      <c r="N50" s="1">
        <v>390</v>
      </c>
    </row>
    <row r="51" spans="1:14" x14ac:dyDescent="0.25">
      <c r="A51" s="34">
        <v>40391</v>
      </c>
      <c r="B51" s="1">
        <v>2733.3</v>
      </c>
      <c r="C51" s="34">
        <v>40391</v>
      </c>
      <c r="D51" s="1">
        <v>971</v>
      </c>
      <c r="E51" s="34">
        <v>40391</v>
      </c>
      <c r="F51" s="1">
        <v>8.1999999999999993</v>
      </c>
      <c r="G51" s="34">
        <v>40391</v>
      </c>
      <c r="H51" s="1">
        <v>1.55</v>
      </c>
      <c r="I51" s="34">
        <v>40391</v>
      </c>
      <c r="J51" s="1">
        <v>134.06</v>
      </c>
      <c r="K51" s="34">
        <v>40391</v>
      </c>
      <c r="L51" s="1">
        <v>2748.9</v>
      </c>
      <c r="M51" s="34">
        <v>40391</v>
      </c>
      <c r="N51" s="1">
        <v>384.3</v>
      </c>
    </row>
    <row r="52" spans="1:14" x14ac:dyDescent="0.25">
      <c r="A52" s="34">
        <v>40422</v>
      </c>
      <c r="B52" s="1">
        <v>2729.5</v>
      </c>
      <c r="C52" s="34">
        <v>40422</v>
      </c>
      <c r="D52" s="1">
        <v>875</v>
      </c>
      <c r="E52" s="34">
        <v>40422</v>
      </c>
      <c r="F52" s="1">
        <v>8.1</v>
      </c>
      <c r="G52" s="34">
        <v>40422</v>
      </c>
      <c r="H52" s="1">
        <v>1.42</v>
      </c>
      <c r="I52" s="34">
        <v>40422</v>
      </c>
      <c r="J52" s="1">
        <v>134.44</v>
      </c>
      <c r="K52" s="34">
        <v>40422</v>
      </c>
      <c r="L52" s="1">
        <v>2751.2</v>
      </c>
      <c r="M52" s="34">
        <v>40422</v>
      </c>
      <c r="N52" s="1">
        <v>411.1</v>
      </c>
    </row>
    <row r="53" spans="1:14" x14ac:dyDescent="0.25">
      <c r="A53" s="34">
        <v>40452</v>
      </c>
      <c r="B53" s="1">
        <v>2741.1</v>
      </c>
      <c r="C53" s="34">
        <v>40452</v>
      </c>
      <c r="D53" s="1">
        <v>1293</v>
      </c>
      <c r="E53" s="34">
        <v>40452</v>
      </c>
      <c r="F53" s="1">
        <v>8</v>
      </c>
      <c r="G53" s="34">
        <v>40452</v>
      </c>
      <c r="H53" s="1">
        <v>1.63</v>
      </c>
      <c r="I53" s="34">
        <v>40452</v>
      </c>
      <c r="J53" s="1">
        <v>134.85</v>
      </c>
      <c r="K53" s="34">
        <v>40452</v>
      </c>
      <c r="L53" s="1">
        <v>2772</v>
      </c>
      <c r="M53" s="34">
        <v>40452</v>
      </c>
      <c r="N53" s="1">
        <v>428.8</v>
      </c>
    </row>
    <row r="54" spans="1:14" x14ac:dyDescent="0.25">
      <c r="A54" s="34">
        <v>40483</v>
      </c>
      <c r="B54" s="1">
        <v>2743.2</v>
      </c>
      <c r="C54" s="34">
        <v>40483</v>
      </c>
      <c r="D54" s="1">
        <v>835</v>
      </c>
      <c r="E54" s="34">
        <v>40483</v>
      </c>
      <c r="F54" s="1">
        <v>7.9</v>
      </c>
      <c r="G54" s="34">
        <v>40483</v>
      </c>
      <c r="H54" s="1">
        <v>1.18</v>
      </c>
      <c r="I54" s="34">
        <v>40483</v>
      </c>
      <c r="J54" s="1">
        <v>135.22</v>
      </c>
      <c r="K54" s="34">
        <v>40483</v>
      </c>
      <c r="L54" s="1">
        <v>2772.8</v>
      </c>
      <c r="M54" s="34">
        <v>40483</v>
      </c>
      <c r="N54" s="1">
        <v>433.9</v>
      </c>
    </row>
    <row r="55" spans="1:14" x14ac:dyDescent="0.25">
      <c r="A55" s="34">
        <v>40513</v>
      </c>
      <c r="B55" s="1">
        <v>2739.9</v>
      </c>
      <c r="C55" s="34">
        <v>40513</v>
      </c>
      <c r="D55" s="1">
        <v>567</v>
      </c>
      <c r="E55" s="34">
        <v>40513</v>
      </c>
      <c r="F55" s="1">
        <v>7.8</v>
      </c>
      <c r="G55" s="34">
        <v>40513</v>
      </c>
      <c r="H55" s="1">
        <v>1.01</v>
      </c>
      <c r="I55" s="34">
        <v>40513</v>
      </c>
      <c r="J55" s="1">
        <v>135.56</v>
      </c>
      <c r="K55" s="34">
        <v>40513</v>
      </c>
      <c r="L55" s="1">
        <v>2758.1</v>
      </c>
      <c r="M55" s="34">
        <v>40513</v>
      </c>
      <c r="N55" s="1">
        <v>426.5</v>
      </c>
    </row>
    <row r="56" spans="1:14" x14ac:dyDescent="0.25">
      <c r="A56" s="34">
        <v>40544</v>
      </c>
      <c r="B56" s="1">
        <v>2747.8</v>
      </c>
      <c r="C56" s="34">
        <v>40544</v>
      </c>
      <c r="D56" s="1">
        <v>527</v>
      </c>
      <c r="E56" s="34">
        <v>40544</v>
      </c>
      <c r="F56" s="1">
        <v>7.7</v>
      </c>
      <c r="G56" s="34">
        <v>40544</v>
      </c>
      <c r="H56" s="1">
        <v>1.27</v>
      </c>
      <c r="I56" s="34">
        <v>40544</v>
      </c>
      <c r="J56" s="1">
        <v>135.87</v>
      </c>
      <c r="K56" s="34">
        <v>40544</v>
      </c>
      <c r="L56" s="1">
        <v>2681.6</v>
      </c>
      <c r="M56" s="34">
        <v>40544</v>
      </c>
      <c r="N56" s="1">
        <v>412.1</v>
      </c>
    </row>
    <row r="57" spans="1:14" x14ac:dyDescent="0.25">
      <c r="A57" s="34">
        <v>40575</v>
      </c>
      <c r="B57" s="1">
        <v>2748.4</v>
      </c>
      <c r="C57" s="34">
        <v>40575</v>
      </c>
      <c r="D57" s="1">
        <v>465</v>
      </c>
      <c r="E57" s="34">
        <v>40575</v>
      </c>
      <c r="F57" s="1">
        <v>7.6</v>
      </c>
      <c r="G57" s="34">
        <v>40575</v>
      </c>
      <c r="H57" s="1">
        <v>0.73</v>
      </c>
      <c r="I57" s="34">
        <v>40575</v>
      </c>
      <c r="J57" s="1">
        <v>136.13</v>
      </c>
      <c r="K57" s="34">
        <v>40575</v>
      </c>
      <c r="L57" s="1">
        <v>2688.9</v>
      </c>
      <c r="M57" s="34">
        <v>40575</v>
      </c>
      <c r="N57" s="1">
        <v>426.6</v>
      </c>
    </row>
    <row r="58" spans="1:14" x14ac:dyDescent="0.25">
      <c r="A58" s="34">
        <v>40603</v>
      </c>
      <c r="B58" s="1">
        <v>2749.3</v>
      </c>
      <c r="C58" s="34">
        <v>40603</v>
      </c>
      <c r="D58" s="1">
        <v>830</v>
      </c>
      <c r="E58" s="34">
        <v>40603</v>
      </c>
      <c r="F58" s="1">
        <v>7.6</v>
      </c>
      <c r="G58" s="34">
        <v>40603</v>
      </c>
      <c r="H58" s="1">
        <v>0.84</v>
      </c>
      <c r="I58" s="34">
        <v>40603</v>
      </c>
      <c r="J58" s="1">
        <v>136.34</v>
      </c>
      <c r="K58" s="34">
        <v>40603</v>
      </c>
      <c r="L58" s="1">
        <v>2705</v>
      </c>
      <c r="M58" s="34">
        <v>40603</v>
      </c>
      <c r="N58" s="1">
        <v>428.1</v>
      </c>
    </row>
    <row r="59" spans="1:14" x14ac:dyDescent="0.25">
      <c r="A59" s="34">
        <v>40634</v>
      </c>
      <c r="B59" s="1">
        <v>2753.6</v>
      </c>
      <c r="C59" s="34">
        <v>40634</v>
      </c>
      <c r="D59" s="1">
        <v>1203</v>
      </c>
      <c r="E59" s="34">
        <v>40634</v>
      </c>
      <c r="F59" s="1">
        <v>7.6</v>
      </c>
      <c r="G59" s="34">
        <v>40634</v>
      </c>
      <c r="H59" s="1">
        <v>0.84</v>
      </c>
      <c r="I59" s="34">
        <v>40634</v>
      </c>
      <c r="J59" s="1">
        <v>136.51</v>
      </c>
      <c r="K59" s="34">
        <v>40634</v>
      </c>
      <c r="L59" s="1">
        <v>2743.4</v>
      </c>
      <c r="M59" s="34">
        <v>40634</v>
      </c>
      <c r="N59" s="1">
        <v>430.7</v>
      </c>
    </row>
    <row r="60" spans="1:14" x14ac:dyDescent="0.25">
      <c r="A60" s="34">
        <v>40664</v>
      </c>
      <c r="B60" s="1">
        <v>2756.2</v>
      </c>
      <c r="C60" s="34">
        <v>40664</v>
      </c>
      <c r="D60" s="1">
        <v>1295</v>
      </c>
      <c r="E60" s="34">
        <v>40664</v>
      </c>
      <c r="F60" s="1">
        <v>7.6</v>
      </c>
      <c r="G60" s="34">
        <v>40664</v>
      </c>
      <c r="H60" s="1">
        <v>0.96</v>
      </c>
      <c r="I60" s="34">
        <v>40664</v>
      </c>
      <c r="J60" s="1">
        <v>136.68</v>
      </c>
      <c r="K60" s="34">
        <v>40664</v>
      </c>
      <c r="L60" s="1">
        <v>2773.3</v>
      </c>
      <c r="M60" s="34">
        <v>40664</v>
      </c>
      <c r="N60" s="1">
        <v>428.6</v>
      </c>
    </row>
    <row r="61" spans="1:14" x14ac:dyDescent="0.25">
      <c r="A61" s="34">
        <v>40695</v>
      </c>
      <c r="B61" s="1">
        <v>2751.2</v>
      </c>
      <c r="C61" s="34">
        <v>40695</v>
      </c>
      <c r="D61" s="1">
        <v>1072</v>
      </c>
      <c r="E61" s="34">
        <v>40695</v>
      </c>
      <c r="F61" s="1">
        <v>7.7</v>
      </c>
      <c r="G61" s="34">
        <v>40695</v>
      </c>
      <c r="H61" s="1">
        <v>1.3</v>
      </c>
      <c r="I61" s="34">
        <v>40695</v>
      </c>
      <c r="J61" s="1">
        <v>136.88</v>
      </c>
      <c r="K61" s="34">
        <v>40695</v>
      </c>
      <c r="L61" s="1">
        <v>2791.3</v>
      </c>
      <c r="M61" s="34">
        <v>40695</v>
      </c>
      <c r="N61" s="1">
        <v>411.5</v>
      </c>
    </row>
    <row r="62" spans="1:14" x14ac:dyDescent="0.25">
      <c r="A62" s="34">
        <v>40725</v>
      </c>
      <c r="B62" s="1">
        <v>2764.7</v>
      </c>
      <c r="C62" s="34">
        <v>40725</v>
      </c>
      <c r="D62" s="1">
        <v>862</v>
      </c>
      <c r="E62" s="34">
        <v>40725</v>
      </c>
      <c r="F62" s="1">
        <v>7.7</v>
      </c>
      <c r="G62" s="34">
        <v>40725</v>
      </c>
      <c r="H62" s="1">
        <v>1.32</v>
      </c>
      <c r="I62" s="34">
        <v>40725</v>
      </c>
      <c r="J62" s="1">
        <v>137.12</v>
      </c>
      <c r="K62" s="34">
        <v>40725</v>
      </c>
      <c r="L62" s="1">
        <v>2778</v>
      </c>
      <c r="M62" s="34">
        <v>40725</v>
      </c>
      <c r="N62" s="1">
        <v>386.9</v>
      </c>
    </row>
    <row r="63" spans="1:14" x14ac:dyDescent="0.25">
      <c r="A63" s="34">
        <v>40756</v>
      </c>
      <c r="B63" s="1">
        <v>2764.6</v>
      </c>
      <c r="C63" s="34">
        <v>40756</v>
      </c>
      <c r="D63" s="1">
        <v>1218</v>
      </c>
      <c r="E63" s="34">
        <v>40756</v>
      </c>
      <c r="F63" s="1">
        <v>7.6</v>
      </c>
      <c r="G63" s="34">
        <v>40756</v>
      </c>
      <c r="H63" s="1">
        <v>0.76</v>
      </c>
      <c r="I63" s="34">
        <v>40756</v>
      </c>
      <c r="J63" s="1">
        <v>137.36000000000001</v>
      </c>
      <c r="K63" s="34">
        <v>40756</v>
      </c>
      <c r="L63" s="1">
        <v>2778.4</v>
      </c>
      <c r="M63" s="34">
        <v>40756</v>
      </c>
      <c r="N63" s="1">
        <v>380.7</v>
      </c>
    </row>
    <row r="64" spans="1:14" x14ac:dyDescent="0.25">
      <c r="A64" s="34">
        <v>40787</v>
      </c>
      <c r="B64" s="1">
        <v>2766.1</v>
      </c>
      <c r="C64" s="34">
        <v>40787</v>
      </c>
      <c r="D64" s="1">
        <v>1094</v>
      </c>
      <c r="E64" s="34">
        <v>40787</v>
      </c>
      <c r="F64" s="1">
        <v>7.5</v>
      </c>
      <c r="G64" s="34">
        <v>40787</v>
      </c>
      <c r="H64" s="1">
        <v>0.61</v>
      </c>
      <c r="I64" s="34">
        <v>40787</v>
      </c>
      <c r="J64" s="1">
        <v>137.54</v>
      </c>
      <c r="K64" s="34">
        <v>40787</v>
      </c>
      <c r="L64" s="1">
        <v>2790</v>
      </c>
      <c r="M64" s="34">
        <v>40787</v>
      </c>
      <c r="N64" s="1">
        <v>408.6</v>
      </c>
    </row>
    <row r="65" spans="1:14" x14ac:dyDescent="0.25">
      <c r="A65" s="34">
        <v>40817</v>
      </c>
      <c r="B65" s="1">
        <v>2761.6</v>
      </c>
      <c r="C65" s="34">
        <v>40817</v>
      </c>
      <c r="D65" s="1">
        <v>1158</v>
      </c>
      <c r="E65" s="34">
        <v>40817</v>
      </c>
      <c r="F65" s="1">
        <v>7.4</v>
      </c>
      <c r="G65" s="34">
        <v>40817</v>
      </c>
      <c r="H65" s="1">
        <v>0.69</v>
      </c>
      <c r="I65" s="34">
        <v>40817</v>
      </c>
      <c r="J65" s="1">
        <v>137.65</v>
      </c>
      <c r="K65" s="34">
        <v>40817</v>
      </c>
      <c r="L65" s="1">
        <v>2793.7</v>
      </c>
      <c r="M65" s="34">
        <v>40817</v>
      </c>
      <c r="N65" s="1">
        <v>419.1</v>
      </c>
    </row>
    <row r="66" spans="1:14" x14ac:dyDescent="0.25">
      <c r="A66" s="34">
        <v>40848</v>
      </c>
      <c r="B66" s="1">
        <v>2763.8</v>
      </c>
      <c r="C66" s="34">
        <v>40848</v>
      </c>
      <c r="D66" s="1">
        <v>838</v>
      </c>
      <c r="E66" s="34">
        <v>40848</v>
      </c>
      <c r="F66" s="1">
        <v>7.3</v>
      </c>
      <c r="G66" s="34">
        <v>40848</v>
      </c>
      <c r="H66" s="1">
        <v>1.71</v>
      </c>
      <c r="I66" s="34">
        <v>40848</v>
      </c>
      <c r="J66" s="1">
        <v>137.81</v>
      </c>
      <c r="K66" s="34">
        <v>40848</v>
      </c>
      <c r="L66" s="1">
        <v>2794</v>
      </c>
      <c r="M66" s="34">
        <v>40848</v>
      </c>
      <c r="N66" s="1">
        <v>422</v>
      </c>
    </row>
    <row r="67" spans="1:14" x14ac:dyDescent="0.25">
      <c r="A67" s="34">
        <v>40878</v>
      </c>
      <c r="B67" s="1">
        <v>2767.9</v>
      </c>
      <c r="C67" s="34">
        <v>40878</v>
      </c>
      <c r="D67" s="1">
        <v>549</v>
      </c>
      <c r="E67" s="34">
        <v>40878</v>
      </c>
      <c r="F67" s="1">
        <v>7.1</v>
      </c>
      <c r="G67" s="34">
        <v>40878</v>
      </c>
      <c r="H67" s="1">
        <v>1.95</v>
      </c>
      <c r="I67" s="34">
        <v>40878</v>
      </c>
      <c r="J67" s="1">
        <v>138.09</v>
      </c>
      <c r="K67" s="34">
        <v>40878</v>
      </c>
      <c r="L67" s="1">
        <v>2785.6</v>
      </c>
      <c r="M67" s="34">
        <v>40878</v>
      </c>
      <c r="N67" s="1">
        <v>422.2</v>
      </c>
    </row>
    <row r="68" spans="1:14" x14ac:dyDescent="0.25">
      <c r="A68" s="34">
        <v>40909</v>
      </c>
      <c r="B68" s="1">
        <v>2769.2</v>
      </c>
      <c r="C68" s="34">
        <v>40909</v>
      </c>
      <c r="D68" s="1">
        <v>358</v>
      </c>
      <c r="E68" s="34">
        <v>40909</v>
      </c>
      <c r="F68" s="1">
        <v>7</v>
      </c>
      <c r="G68" s="34">
        <v>40909</v>
      </c>
      <c r="H68" s="1">
        <v>2.12</v>
      </c>
      <c r="I68" s="34">
        <v>40909</v>
      </c>
      <c r="J68" s="1">
        <v>138.5</v>
      </c>
      <c r="K68" s="34">
        <v>40909</v>
      </c>
      <c r="L68" s="1">
        <v>2698.7</v>
      </c>
      <c r="M68" s="34">
        <v>40909</v>
      </c>
      <c r="N68" s="1">
        <v>395.9</v>
      </c>
    </row>
    <row r="69" spans="1:14" x14ac:dyDescent="0.25">
      <c r="A69" s="34">
        <v>40940</v>
      </c>
      <c r="B69" s="1">
        <v>2773.9</v>
      </c>
      <c r="C69" s="34">
        <v>40940</v>
      </c>
      <c r="D69" s="1">
        <v>602</v>
      </c>
      <c r="E69" s="34">
        <v>40940</v>
      </c>
      <c r="F69" s="1">
        <v>6.9</v>
      </c>
      <c r="G69" s="34">
        <v>40940</v>
      </c>
      <c r="H69" s="1">
        <v>1.96</v>
      </c>
      <c r="I69" s="34">
        <v>40940</v>
      </c>
      <c r="J69" s="1">
        <v>138.99</v>
      </c>
      <c r="K69" s="34">
        <v>40940</v>
      </c>
      <c r="L69" s="1">
        <v>2713.2</v>
      </c>
      <c r="M69" s="34">
        <v>40940</v>
      </c>
      <c r="N69" s="1">
        <v>411.4</v>
      </c>
    </row>
    <row r="70" spans="1:14" x14ac:dyDescent="0.25">
      <c r="A70" s="34">
        <v>40969</v>
      </c>
      <c r="B70" s="1">
        <v>2784.3</v>
      </c>
      <c r="C70" s="34">
        <v>40969</v>
      </c>
      <c r="D70" s="1">
        <v>991</v>
      </c>
      <c r="E70" s="34">
        <v>40969</v>
      </c>
      <c r="F70" s="1">
        <v>6.9</v>
      </c>
      <c r="G70" s="34">
        <v>40969</v>
      </c>
      <c r="H70" s="1">
        <v>1.24</v>
      </c>
      <c r="I70" s="34">
        <v>40969</v>
      </c>
      <c r="J70" s="1">
        <v>139.44</v>
      </c>
      <c r="K70" s="34">
        <v>40969</v>
      </c>
      <c r="L70" s="1">
        <v>2741.7</v>
      </c>
      <c r="M70" s="34">
        <v>40969</v>
      </c>
      <c r="N70" s="1">
        <v>419.8</v>
      </c>
    </row>
    <row r="71" spans="1:14" x14ac:dyDescent="0.25">
      <c r="A71" s="34">
        <v>41000</v>
      </c>
      <c r="B71" s="1">
        <v>2794</v>
      </c>
      <c r="C71" s="34">
        <v>41000</v>
      </c>
      <c r="D71" s="1">
        <v>1080</v>
      </c>
      <c r="E71" s="34">
        <v>41000</v>
      </c>
      <c r="F71" s="1">
        <v>6.9</v>
      </c>
      <c r="G71" s="34">
        <v>41000</v>
      </c>
      <c r="H71" s="1">
        <v>0.75</v>
      </c>
      <c r="I71" s="34">
        <v>41000</v>
      </c>
      <c r="J71" s="1">
        <v>139.77000000000001</v>
      </c>
      <c r="K71" s="34">
        <v>41000</v>
      </c>
      <c r="L71" s="1">
        <v>2777.6</v>
      </c>
      <c r="M71" s="34">
        <v>41000</v>
      </c>
      <c r="N71" s="1">
        <v>427.2</v>
      </c>
    </row>
    <row r="72" spans="1:14" x14ac:dyDescent="0.25">
      <c r="A72" s="34">
        <v>41030</v>
      </c>
      <c r="B72" s="1">
        <v>2793.7</v>
      </c>
      <c r="C72" s="34">
        <v>41030</v>
      </c>
      <c r="D72" s="1">
        <v>1425</v>
      </c>
      <c r="E72" s="34">
        <v>41030</v>
      </c>
      <c r="F72" s="1">
        <v>7</v>
      </c>
      <c r="G72" s="34">
        <v>41030</v>
      </c>
      <c r="H72" s="1">
        <v>0.81</v>
      </c>
      <c r="I72" s="34">
        <v>41030</v>
      </c>
      <c r="J72" s="1">
        <v>139.94999999999999</v>
      </c>
      <c r="K72" s="34">
        <v>41030</v>
      </c>
      <c r="L72" s="1">
        <v>2811.2</v>
      </c>
      <c r="M72" s="34">
        <v>41030</v>
      </c>
      <c r="N72" s="1">
        <v>428.7</v>
      </c>
    </row>
    <row r="73" spans="1:14" x14ac:dyDescent="0.25">
      <c r="A73" s="34">
        <v>41061</v>
      </c>
      <c r="B73" s="1">
        <v>2789.3</v>
      </c>
      <c r="C73" s="34">
        <v>41061</v>
      </c>
      <c r="D73" s="1">
        <v>937</v>
      </c>
      <c r="E73" s="34">
        <v>41061</v>
      </c>
      <c r="F73" s="1">
        <v>7</v>
      </c>
      <c r="G73" s="34">
        <v>41061</v>
      </c>
      <c r="H73" s="1">
        <v>0.7</v>
      </c>
      <c r="I73" s="34">
        <v>41061</v>
      </c>
      <c r="J73" s="1">
        <v>140.02000000000001</v>
      </c>
      <c r="K73" s="34">
        <v>41061</v>
      </c>
      <c r="L73" s="1">
        <v>2829</v>
      </c>
      <c r="M73" s="34">
        <v>41061</v>
      </c>
      <c r="N73" s="1">
        <v>408.6</v>
      </c>
    </row>
    <row r="74" spans="1:14" x14ac:dyDescent="0.25">
      <c r="A74" s="34">
        <v>41091</v>
      </c>
      <c r="B74" s="1">
        <v>2783.2</v>
      </c>
      <c r="C74" s="34">
        <v>41091</v>
      </c>
      <c r="D74" s="1">
        <v>966</v>
      </c>
      <c r="E74" s="34">
        <v>41091</v>
      </c>
      <c r="F74" s="1">
        <v>7</v>
      </c>
      <c r="G74" s="34">
        <v>41091</v>
      </c>
      <c r="H74" s="1">
        <v>1.01</v>
      </c>
      <c r="I74" s="34">
        <v>41091</v>
      </c>
      <c r="J74" s="1">
        <v>140.05000000000001</v>
      </c>
      <c r="K74" s="34">
        <v>41091</v>
      </c>
      <c r="L74" s="1">
        <v>2796.7</v>
      </c>
      <c r="M74" s="34">
        <v>41091</v>
      </c>
      <c r="N74" s="1">
        <v>378.3</v>
      </c>
    </row>
    <row r="75" spans="1:14" x14ac:dyDescent="0.25">
      <c r="A75" s="34">
        <v>41122</v>
      </c>
      <c r="B75" s="1">
        <v>2788.1</v>
      </c>
      <c r="C75" s="34">
        <v>41122</v>
      </c>
      <c r="D75" s="1">
        <v>1365</v>
      </c>
      <c r="E75" s="34">
        <v>41122</v>
      </c>
      <c r="F75" s="1">
        <v>7</v>
      </c>
      <c r="G75" s="34">
        <v>41122</v>
      </c>
      <c r="H75" s="1">
        <v>1.66</v>
      </c>
      <c r="I75" s="34">
        <v>41122</v>
      </c>
      <c r="J75" s="1">
        <v>140.16</v>
      </c>
      <c r="K75" s="34">
        <v>41122</v>
      </c>
      <c r="L75" s="1">
        <v>2803.3</v>
      </c>
      <c r="M75" s="34">
        <v>41122</v>
      </c>
      <c r="N75" s="1">
        <v>378.6</v>
      </c>
    </row>
    <row r="76" spans="1:14" x14ac:dyDescent="0.25">
      <c r="A76" s="34">
        <v>41153</v>
      </c>
      <c r="B76" s="1">
        <v>2792.3</v>
      </c>
      <c r="C76" s="34">
        <v>41153</v>
      </c>
      <c r="D76" s="1">
        <v>1273</v>
      </c>
      <c r="E76" s="34">
        <v>41153</v>
      </c>
      <c r="F76" s="1">
        <v>6.9</v>
      </c>
      <c r="G76" s="34">
        <v>41153</v>
      </c>
      <c r="H76" s="1">
        <v>1.53</v>
      </c>
      <c r="I76" s="34">
        <v>41153</v>
      </c>
      <c r="J76" s="1">
        <v>140.38</v>
      </c>
      <c r="K76" s="34">
        <v>41153</v>
      </c>
      <c r="L76" s="1">
        <v>2814.3</v>
      </c>
      <c r="M76" s="34">
        <v>41153</v>
      </c>
      <c r="N76" s="1">
        <v>406.7</v>
      </c>
    </row>
    <row r="77" spans="1:14" x14ac:dyDescent="0.25">
      <c r="A77" s="34">
        <v>41183</v>
      </c>
      <c r="B77" s="1">
        <v>2795.6</v>
      </c>
      <c r="C77" s="34">
        <v>41183</v>
      </c>
      <c r="D77" s="1">
        <v>1495</v>
      </c>
      <c r="E77" s="34">
        <v>41183</v>
      </c>
      <c r="F77" s="1">
        <v>6.9</v>
      </c>
      <c r="G77" s="34">
        <v>41183</v>
      </c>
      <c r="H77" s="1">
        <v>1.4</v>
      </c>
      <c r="I77" s="34">
        <v>41183</v>
      </c>
      <c r="J77" s="1">
        <v>140.69999999999999</v>
      </c>
      <c r="K77" s="34">
        <v>41183</v>
      </c>
      <c r="L77" s="1">
        <v>2828</v>
      </c>
      <c r="M77" s="34">
        <v>41183</v>
      </c>
      <c r="N77" s="1">
        <v>422.4</v>
      </c>
    </row>
    <row r="78" spans="1:14" x14ac:dyDescent="0.25">
      <c r="A78" s="34">
        <v>41214</v>
      </c>
      <c r="B78" s="1">
        <v>2803.3</v>
      </c>
      <c r="C78" s="34">
        <v>41214</v>
      </c>
      <c r="D78" s="1">
        <v>1154</v>
      </c>
      <c r="E78" s="34">
        <v>41214</v>
      </c>
      <c r="F78" s="1">
        <v>6.8</v>
      </c>
      <c r="G78" s="34">
        <v>41214</v>
      </c>
      <c r="H78" s="1">
        <v>1.51</v>
      </c>
      <c r="I78" s="34">
        <v>41214</v>
      </c>
      <c r="J78" s="1">
        <v>141.06</v>
      </c>
      <c r="K78" s="34">
        <v>41214</v>
      </c>
      <c r="L78" s="1">
        <v>2835.9</v>
      </c>
      <c r="M78" s="34">
        <v>41214</v>
      </c>
      <c r="N78" s="1">
        <v>429.7</v>
      </c>
    </row>
    <row r="79" spans="1:14" x14ac:dyDescent="0.25">
      <c r="A79" s="34">
        <v>41244</v>
      </c>
      <c r="B79" s="1">
        <v>2802.5</v>
      </c>
      <c r="C79" s="34">
        <v>41244</v>
      </c>
      <c r="D79" s="1">
        <v>695</v>
      </c>
      <c r="E79" s="34">
        <v>41244</v>
      </c>
      <c r="F79" s="1">
        <v>6.9</v>
      </c>
      <c r="G79" s="34">
        <v>41244</v>
      </c>
      <c r="H79" s="1">
        <v>1.1000000000000001</v>
      </c>
      <c r="I79" s="34">
        <v>41244</v>
      </c>
      <c r="J79" s="1">
        <v>141.38999999999999</v>
      </c>
      <c r="K79" s="34">
        <v>41244</v>
      </c>
      <c r="L79" s="1">
        <v>2823.4</v>
      </c>
      <c r="M79" s="34">
        <v>41244</v>
      </c>
      <c r="N79" s="1">
        <v>422.9</v>
      </c>
    </row>
    <row r="80" spans="1:14" x14ac:dyDescent="0.25">
      <c r="A80" s="34">
        <v>41275</v>
      </c>
      <c r="B80" s="1">
        <v>2799.1</v>
      </c>
      <c r="C80" s="34">
        <v>41275</v>
      </c>
      <c r="D80" s="1">
        <v>496</v>
      </c>
      <c r="E80" s="34">
        <v>41275</v>
      </c>
      <c r="F80" s="1">
        <v>6.9</v>
      </c>
      <c r="G80" s="34">
        <v>41275</v>
      </c>
      <c r="H80" s="1">
        <v>1.48</v>
      </c>
      <c r="I80" s="34">
        <v>41275</v>
      </c>
      <c r="J80" s="1">
        <v>141.69</v>
      </c>
      <c r="K80" s="34">
        <v>41275</v>
      </c>
      <c r="L80" s="1">
        <v>2725.8</v>
      </c>
      <c r="M80" s="34">
        <v>41275</v>
      </c>
      <c r="N80" s="1">
        <v>394.8</v>
      </c>
    </row>
    <row r="81" spans="1:14" x14ac:dyDescent="0.25">
      <c r="A81" s="34">
        <v>41306</v>
      </c>
      <c r="B81" s="1">
        <v>2815.9</v>
      </c>
      <c r="C81" s="34">
        <v>41306</v>
      </c>
      <c r="D81" s="1">
        <v>527</v>
      </c>
      <c r="E81" s="34">
        <v>41306</v>
      </c>
      <c r="F81" s="1">
        <v>6.9</v>
      </c>
      <c r="G81" s="34">
        <v>41306</v>
      </c>
      <c r="H81" s="1">
        <v>1.1599999999999999</v>
      </c>
      <c r="I81" s="34">
        <v>41306</v>
      </c>
      <c r="J81" s="1">
        <v>141.97</v>
      </c>
      <c r="K81" s="34">
        <v>41306</v>
      </c>
      <c r="L81" s="1">
        <v>2755.2</v>
      </c>
      <c r="M81" s="34">
        <v>41306</v>
      </c>
      <c r="N81" s="1">
        <v>420.3</v>
      </c>
    </row>
    <row r="82" spans="1:14" x14ac:dyDescent="0.25">
      <c r="A82" s="34">
        <v>41334</v>
      </c>
      <c r="B82" s="1">
        <v>2810.9</v>
      </c>
      <c r="C82" s="34">
        <v>41334</v>
      </c>
      <c r="D82" s="1">
        <v>789</v>
      </c>
      <c r="E82" s="34">
        <v>41334</v>
      </c>
      <c r="F82" s="1">
        <v>6.9</v>
      </c>
      <c r="G82" s="34">
        <v>41334</v>
      </c>
      <c r="H82" s="1">
        <v>0.08</v>
      </c>
      <c r="I82" s="34">
        <v>41334</v>
      </c>
      <c r="J82" s="1">
        <v>142.13999999999999</v>
      </c>
      <c r="K82" s="34">
        <v>41334</v>
      </c>
      <c r="L82" s="1">
        <v>2769.3</v>
      </c>
      <c r="M82" s="34">
        <v>41334</v>
      </c>
      <c r="N82" s="1">
        <v>419.6</v>
      </c>
    </row>
    <row r="83" spans="1:14" x14ac:dyDescent="0.25">
      <c r="A83" s="34">
        <v>41365</v>
      </c>
      <c r="B83" s="1">
        <v>2803.6</v>
      </c>
      <c r="C83" s="34">
        <v>41365</v>
      </c>
      <c r="D83" s="1">
        <v>1603</v>
      </c>
      <c r="E83" s="34">
        <v>41365</v>
      </c>
      <c r="F83" s="1">
        <v>6.8</v>
      </c>
      <c r="G83" s="34">
        <v>41365</v>
      </c>
      <c r="H83" s="1">
        <v>1</v>
      </c>
      <c r="I83" s="34">
        <v>41365</v>
      </c>
      <c r="J83" s="1">
        <v>142.27000000000001</v>
      </c>
      <c r="K83" s="34">
        <v>41365</v>
      </c>
      <c r="L83" s="1">
        <v>2787.6</v>
      </c>
      <c r="M83" s="34">
        <v>41365</v>
      </c>
      <c r="N83" s="1">
        <v>422.5</v>
      </c>
    </row>
    <row r="84" spans="1:14" x14ac:dyDescent="0.25">
      <c r="A84" s="34">
        <v>41395</v>
      </c>
      <c r="B84" s="1">
        <v>2810.1</v>
      </c>
      <c r="C84" s="34">
        <v>41395</v>
      </c>
      <c r="D84" s="1">
        <v>1296</v>
      </c>
      <c r="E84" s="34">
        <v>41395</v>
      </c>
      <c r="F84" s="1">
        <v>6.8</v>
      </c>
      <c r="G84" s="34">
        <v>41395</v>
      </c>
      <c r="H84" s="1">
        <v>1.61</v>
      </c>
      <c r="I84" s="34">
        <v>41395</v>
      </c>
      <c r="J84" s="1">
        <v>142.43</v>
      </c>
      <c r="K84" s="34">
        <v>41395</v>
      </c>
      <c r="L84" s="1">
        <v>2828.6</v>
      </c>
      <c r="M84" s="34">
        <v>41395</v>
      </c>
      <c r="N84" s="1">
        <v>416.6</v>
      </c>
    </row>
    <row r="85" spans="1:14" x14ac:dyDescent="0.25">
      <c r="A85" s="34">
        <v>41426</v>
      </c>
      <c r="B85" s="1">
        <v>2814.2</v>
      </c>
      <c r="C85" s="34">
        <v>41426</v>
      </c>
      <c r="D85" s="1">
        <v>1255</v>
      </c>
      <c r="E85" s="34">
        <v>41426</v>
      </c>
      <c r="F85" s="1">
        <v>6.8</v>
      </c>
      <c r="G85" s="34">
        <v>41426</v>
      </c>
      <c r="H85" s="1">
        <v>1.48</v>
      </c>
      <c r="I85" s="34">
        <v>41426</v>
      </c>
      <c r="J85" s="1">
        <v>142.68</v>
      </c>
      <c r="K85" s="34">
        <v>41426</v>
      </c>
      <c r="L85" s="1">
        <v>2850.4</v>
      </c>
      <c r="M85" s="34">
        <v>41426</v>
      </c>
      <c r="N85" s="1">
        <v>404.6</v>
      </c>
    </row>
    <row r="86" spans="1:14" x14ac:dyDescent="0.25">
      <c r="A86" s="34">
        <v>41456</v>
      </c>
      <c r="B86" s="1">
        <v>2814.9</v>
      </c>
      <c r="C86" s="34">
        <v>41456</v>
      </c>
      <c r="D86" s="1">
        <v>1507</v>
      </c>
      <c r="E86" s="34">
        <v>41456</v>
      </c>
      <c r="F86" s="1">
        <v>6.8</v>
      </c>
      <c r="G86" s="34">
        <v>41456</v>
      </c>
      <c r="H86" s="1">
        <v>1.52</v>
      </c>
      <c r="I86" s="34">
        <v>41456</v>
      </c>
      <c r="J86" s="1">
        <v>143</v>
      </c>
      <c r="K86" s="34">
        <v>41456</v>
      </c>
      <c r="L86" s="1">
        <v>2828</v>
      </c>
      <c r="M86" s="34">
        <v>41456</v>
      </c>
      <c r="N86" s="1">
        <v>379.1</v>
      </c>
    </row>
    <row r="87" spans="1:14" x14ac:dyDescent="0.25">
      <c r="A87" s="34">
        <v>41487</v>
      </c>
      <c r="B87" s="1">
        <v>2820.9</v>
      </c>
      <c r="C87" s="34">
        <v>41487</v>
      </c>
      <c r="D87" s="1">
        <v>1317</v>
      </c>
      <c r="E87" s="34">
        <v>41487</v>
      </c>
      <c r="F87" s="1">
        <v>6.7</v>
      </c>
      <c r="G87" s="34">
        <v>41487</v>
      </c>
      <c r="H87" s="1">
        <v>1.76</v>
      </c>
      <c r="I87" s="34">
        <v>41487</v>
      </c>
      <c r="J87" s="1">
        <v>143.38</v>
      </c>
      <c r="K87" s="34">
        <v>41487</v>
      </c>
      <c r="L87" s="1">
        <v>2836.7</v>
      </c>
      <c r="M87" s="34">
        <v>41487</v>
      </c>
      <c r="N87" s="1">
        <v>377.2</v>
      </c>
    </row>
    <row r="88" spans="1:14" x14ac:dyDescent="0.25">
      <c r="A88" s="34">
        <v>41518</v>
      </c>
      <c r="B88" s="1">
        <v>2824.7</v>
      </c>
      <c r="C88" s="34">
        <v>41518</v>
      </c>
      <c r="D88" s="1">
        <v>1491</v>
      </c>
      <c r="E88" s="34">
        <v>41518</v>
      </c>
      <c r="F88" s="1">
        <v>6.6</v>
      </c>
      <c r="G88" s="34">
        <v>41518</v>
      </c>
      <c r="H88" s="1">
        <v>1.71</v>
      </c>
      <c r="I88" s="34">
        <v>41518</v>
      </c>
      <c r="J88" s="1">
        <v>143.79</v>
      </c>
      <c r="K88" s="34">
        <v>41518</v>
      </c>
      <c r="L88" s="1">
        <v>2848</v>
      </c>
      <c r="M88" s="34">
        <v>41518</v>
      </c>
      <c r="N88" s="1">
        <v>411.1</v>
      </c>
    </row>
    <row r="89" spans="1:14" x14ac:dyDescent="0.25">
      <c r="A89" s="34">
        <v>41548</v>
      </c>
      <c r="B89" s="1">
        <v>2839.8</v>
      </c>
      <c r="C89" s="34">
        <v>41548</v>
      </c>
      <c r="D89" s="1">
        <v>1582</v>
      </c>
      <c r="E89" s="34">
        <v>41548</v>
      </c>
      <c r="F89" s="1">
        <v>6.5</v>
      </c>
      <c r="G89" s="34">
        <v>41548</v>
      </c>
      <c r="H89" s="1">
        <v>1.64</v>
      </c>
      <c r="I89" s="34">
        <v>41548</v>
      </c>
      <c r="J89" s="1">
        <v>144.19999999999999</v>
      </c>
      <c r="K89" s="34">
        <v>41548</v>
      </c>
      <c r="L89" s="1">
        <v>2870.1</v>
      </c>
      <c r="M89" s="34">
        <v>41548</v>
      </c>
      <c r="N89" s="1">
        <v>428.8</v>
      </c>
    </row>
    <row r="90" spans="1:14" x14ac:dyDescent="0.25">
      <c r="A90" s="34">
        <v>41579</v>
      </c>
      <c r="B90" s="1">
        <v>2841.3</v>
      </c>
      <c r="C90" s="34">
        <v>41579</v>
      </c>
      <c r="D90" s="1">
        <v>1216</v>
      </c>
      <c r="E90" s="34">
        <v>41579</v>
      </c>
      <c r="F90" s="1">
        <v>6.4</v>
      </c>
      <c r="G90" s="34">
        <v>41579</v>
      </c>
      <c r="H90" s="1">
        <v>1.59</v>
      </c>
      <c r="I90" s="34">
        <v>41579</v>
      </c>
      <c r="J90" s="1">
        <v>144.6</v>
      </c>
      <c r="K90" s="34">
        <v>41579</v>
      </c>
      <c r="L90" s="1">
        <v>2864.9</v>
      </c>
      <c r="M90" s="34">
        <v>41579</v>
      </c>
      <c r="N90" s="1">
        <v>428.7</v>
      </c>
    </row>
    <row r="91" spans="1:14" x14ac:dyDescent="0.25">
      <c r="A91" s="34">
        <v>41609</v>
      </c>
      <c r="B91" s="1">
        <v>2849</v>
      </c>
      <c r="C91" s="34">
        <v>41609</v>
      </c>
      <c r="D91" s="1">
        <v>958</v>
      </c>
      <c r="E91" s="34">
        <v>41609</v>
      </c>
      <c r="F91" s="1">
        <v>6.3</v>
      </c>
      <c r="G91" s="34">
        <v>41609</v>
      </c>
      <c r="H91" s="1">
        <v>1.9</v>
      </c>
      <c r="I91" s="34">
        <v>41609</v>
      </c>
      <c r="J91" s="1">
        <v>145</v>
      </c>
      <c r="K91" s="34">
        <v>41609</v>
      </c>
      <c r="L91" s="1">
        <v>2852.5</v>
      </c>
      <c r="M91" s="34">
        <v>41609</v>
      </c>
      <c r="N91" s="1">
        <v>427.6</v>
      </c>
    </row>
    <row r="92" spans="1:14" x14ac:dyDescent="0.25">
      <c r="A92" s="34">
        <v>41640</v>
      </c>
      <c r="B92" s="1">
        <v>2855.4</v>
      </c>
      <c r="C92" s="34">
        <v>41640</v>
      </c>
      <c r="D92" s="1">
        <v>555</v>
      </c>
      <c r="E92" s="34">
        <v>41640</v>
      </c>
      <c r="F92" s="1">
        <v>6.2</v>
      </c>
      <c r="G92" s="34">
        <v>41640</v>
      </c>
      <c r="H92" s="1">
        <v>1.3</v>
      </c>
      <c r="I92" s="34">
        <v>41640</v>
      </c>
      <c r="J92" s="1">
        <v>145.4</v>
      </c>
      <c r="K92" s="34">
        <v>41640</v>
      </c>
      <c r="L92" s="1">
        <v>2780.3</v>
      </c>
      <c r="M92" s="34">
        <v>41640</v>
      </c>
      <c r="N92" s="1">
        <v>413.1</v>
      </c>
    </row>
    <row r="93" spans="1:14" x14ac:dyDescent="0.25">
      <c r="A93" s="34">
        <v>41671</v>
      </c>
      <c r="B93" s="1">
        <v>2842.4</v>
      </c>
      <c r="C93" s="34">
        <v>41671</v>
      </c>
      <c r="D93" s="1">
        <v>573</v>
      </c>
      <c r="E93" s="34">
        <v>41671</v>
      </c>
      <c r="F93" s="1">
        <v>6.1</v>
      </c>
      <c r="G93" s="34">
        <v>41671</v>
      </c>
      <c r="H93" s="1">
        <v>0.93</v>
      </c>
      <c r="I93" s="34">
        <v>41671</v>
      </c>
      <c r="J93" s="1">
        <v>145.74</v>
      </c>
      <c r="K93" s="34">
        <v>41671</v>
      </c>
      <c r="L93" s="1">
        <v>2782.7</v>
      </c>
      <c r="M93" s="34">
        <v>41671</v>
      </c>
      <c r="N93" s="1">
        <v>425</v>
      </c>
    </row>
    <row r="94" spans="1:14" x14ac:dyDescent="0.25">
      <c r="A94" s="34">
        <v>41699</v>
      </c>
      <c r="B94" s="1">
        <v>2849.7</v>
      </c>
      <c r="C94" s="34">
        <v>41699</v>
      </c>
      <c r="D94" s="1">
        <v>1287</v>
      </c>
      <c r="E94" s="34">
        <v>41699</v>
      </c>
      <c r="F94" s="1">
        <v>5.9</v>
      </c>
      <c r="G94" s="34">
        <v>41699</v>
      </c>
      <c r="H94" s="1">
        <v>1.64</v>
      </c>
      <c r="I94" s="34">
        <v>41699</v>
      </c>
      <c r="J94" s="1">
        <v>146.1</v>
      </c>
      <c r="K94" s="34">
        <v>41699</v>
      </c>
      <c r="L94" s="1">
        <v>2797</v>
      </c>
      <c r="M94" s="34">
        <v>41699</v>
      </c>
      <c r="N94" s="1">
        <v>426.1</v>
      </c>
    </row>
    <row r="95" spans="1:14" x14ac:dyDescent="0.25">
      <c r="A95" s="34">
        <v>41730</v>
      </c>
      <c r="B95" s="1">
        <v>2858.6</v>
      </c>
      <c r="C95" s="34">
        <v>41730</v>
      </c>
      <c r="D95" s="1">
        <v>1226</v>
      </c>
      <c r="E95" s="34">
        <v>41730</v>
      </c>
      <c r="F95" s="1">
        <v>5.8</v>
      </c>
      <c r="G95" s="34">
        <v>41730</v>
      </c>
      <c r="H95" s="1">
        <v>2.15</v>
      </c>
      <c r="I95" s="34">
        <v>41730</v>
      </c>
      <c r="J95" s="1">
        <v>146.51</v>
      </c>
      <c r="K95" s="34">
        <v>41730</v>
      </c>
      <c r="L95" s="1">
        <v>2836.7</v>
      </c>
      <c r="M95" s="34">
        <v>41730</v>
      </c>
      <c r="N95" s="1">
        <v>429.4</v>
      </c>
    </row>
    <row r="96" spans="1:14" x14ac:dyDescent="0.25">
      <c r="A96" s="34">
        <v>41760</v>
      </c>
      <c r="B96" s="1">
        <v>2857.2</v>
      </c>
      <c r="C96" s="34">
        <v>41760</v>
      </c>
      <c r="D96" s="1">
        <v>1722</v>
      </c>
      <c r="E96" s="34">
        <v>41760</v>
      </c>
      <c r="F96" s="1">
        <v>5.7</v>
      </c>
      <c r="G96" s="34">
        <v>41760</v>
      </c>
      <c r="H96" s="1">
        <v>2.2799999999999998</v>
      </c>
      <c r="I96" s="34">
        <v>41760</v>
      </c>
      <c r="J96" s="1">
        <v>147.02000000000001</v>
      </c>
      <c r="K96" s="34">
        <v>41760</v>
      </c>
      <c r="L96" s="1">
        <v>2871.1</v>
      </c>
      <c r="M96" s="34">
        <v>41760</v>
      </c>
      <c r="N96" s="1">
        <v>423.7</v>
      </c>
    </row>
    <row r="97" spans="1:14" x14ac:dyDescent="0.25">
      <c r="A97" s="34">
        <v>41791</v>
      </c>
      <c r="B97" s="1">
        <v>2857</v>
      </c>
      <c r="C97" s="34">
        <v>41791</v>
      </c>
      <c r="D97" s="1">
        <v>1505</v>
      </c>
      <c r="E97" s="34">
        <v>41791</v>
      </c>
      <c r="F97" s="1">
        <v>5.7</v>
      </c>
      <c r="G97" s="34">
        <v>41791</v>
      </c>
      <c r="H97" s="1">
        <v>2.0099999999999998</v>
      </c>
      <c r="I97" s="34">
        <v>41791</v>
      </c>
      <c r="J97" s="1">
        <v>147.59</v>
      </c>
      <c r="K97" s="34">
        <v>41791</v>
      </c>
      <c r="L97" s="1">
        <v>2910.1</v>
      </c>
      <c r="M97" s="34">
        <v>41791</v>
      </c>
      <c r="N97" s="1">
        <v>417.8</v>
      </c>
    </row>
    <row r="98" spans="1:14" x14ac:dyDescent="0.25">
      <c r="A98" s="34">
        <v>41821</v>
      </c>
      <c r="B98" s="1">
        <v>2863</v>
      </c>
      <c r="C98" s="34">
        <v>41821</v>
      </c>
      <c r="D98" s="1">
        <v>1435</v>
      </c>
      <c r="E98" s="34">
        <v>41821</v>
      </c>
      <c r="F98" s="1">
        <v>5.8</v>
      </c>
      <c r="G98" s="34">
        <v>41821</v>
      </c>
      <c r="H98" s="1">
        <v>1.47</v>
      </c>
      <c r="I98" s="34">
        <v>41821</v>
      </c>
      <c r="J98" s="1">
        <v>148.1</v>
      </c>
      <c r="K98" s="34">
        <v>41821</v>
      </c>
      <c r="L98" s="1">
        <v>2890.3</v>
      </c>
      <c r="M98" s="34">
        <v>41821</v>
      </c>
      <c r="N98" s="1">
        <v>389.6</v>
      </c>
    </row>
    <row r="99" spans="1:14" x14ac:dyDescent="0.25">
      <c r="A99" s="34">
        <v>41852</v>
      </c>
      <c r="B99" s="1">
        <v>2866.2</v>
      </c>
      <c r="C99" s="34">
        <v>41852</v>
      </c>
      <c r="D99" s="1">
        <v>1554</v>
      </c>
      <c r="E99" s="34">
        <v>41852</v>
      </c>
      <c r="F99" s="1">
        <v>5.7</v>
      </c>
      <c r="G99" s="34">
        <v>41852</v>
      </c>
      <c r="H99" s="1">
        <v>1.73</v>
      </c>
      <c r="I99" s="34">
        <v>41852</v>
      </c>
      <c r="J99" s="1">
        <v>148.54</v>
      </c>
      <c r="K99" s="34">
        <v>41852</v>
      </c>
      <c r="L99" s="1">
        <v>2897</v>
      </c>
      <c r="M99" s="34">
        <v>41852</v>
      </c>
      <c r="N99" s="1">
        <v>393.8</v>
      </c>
    </row>
    <row r="100" spans="1:14" x14ac:dyDescent="0.25">
      <c r="A100" s="34">
        <v>41883</v>
      </c>
      <c r="B100" s="1">
        <v>2867.9</v>
      </c>
      <c r="C100" s="34">
        <v>41883</v>
      </c>
      <c r="D100" s="1">
        <v>1539</v>
      </c>
      <c r="E100" s="34">
        <v>41883</v>
      </c>
      <c r="F100" s="1">
        <v>5.5</v>
      </c>
      <c r="G100" s="34">
        <v>41883</v>
      </c>
      <c r="H100" s="1">
        <v>1.86</v>
      </c>
      <c r="I100" s="34">
        <v>41883</v>
      </c>
      <c r="J100" s="1">
        <v>148.93</v>
      </c>
      <c r="K100" s="34">
        <v>41883</v>
      </c>
      <c r="L100" s="1">
        <v>2891.6</v>
      </c>
      <c r="M100" s="34">
        <v>41883</v>
      </c>
      <c r="N100" s="1">
        <v>413.5</v>
      </c>
    </row>
    <row r="101" spans="1:14" x14ac:dyDescent="0.25">
      <c r="A101" s="34">
        <v>41913</v>
      </c>
      <c r="B101" s="1">
        <v>2875</v>
      </c>
      <c r="C101" s="34">
        <v>41913</v>
      </c>
      <c r="D101" s="1">
        <v>1412</v>
      </c>
      <c r="E101" s="34">
        <v>41913</v>
      </c>
      <c r="F101" s="1">
        <v>5.4</v>
      </c>
      <c r="G101" s="34">
        <v>41913</v>
      </c>
      <c r="H101" s="1">
        <v>2.4700000000000002</v>
      </c>
      <c r="I101" s="34">
        <v>41913</v>
      </c>
      <c r="J101" s="1">
        <v>149.34</v>
      </c>
      <c r="K101" s="34">
        <v>41913</v>
      </c>
      <c r="L101" s="1">
        <v>2912.3</v>
      </c>
      <c r="M101" s="34">
        <v>41913</v>
      </c>
      <c r="N101" s="1">
        <v>426.5</v>
      </c>
    </row>
    <row r="102" spans="1:14" x14ac:dyDescent="0.25">
      <c r="A102" s="34">
        <v>41944</v>
      </c>
      <c r="B102" s="1">
        <v>2897.2</v>
      </c>
      <c r="C102" s="34">
        <v>41944</v>
      </c>
      <c r="D102" s="1">
        <v>834</v>
      </c>
      <c r="E102" s="34">
        <v>41944</v>
      </c>
      <c r="F102" s="1">
        <v>5.2</v>
      </c>
      <c r="G102" s="34">
        <v>41944</v>
      </c>
      <c r="H102" s="1">
        <v>2</v>
      </c>
      <c r="I102" s="34">
        <v>41944</v>
      </c>
      <c r="J102" s="1">
        <v>149.81</v>
      </c>
      <c r="K102" s="34">
        <v>41944</v>
      </c>
      <c r="L102" s="1">
        <v>2922.9</v>
      </c>
      <c r="M102" s="34">
        <v>41944</v>
      </c>
      <c r="N102" s="1">
        <v>433.5</v>
      </c>
    </row>
    <row r="103" spans="1:14" x14ac:dyDescent="0.25">
      <c r="A103" s="34">
        <v>41974</v>
      </c>
      <c r="B103" s="1">
        <v>2902.3</v>
      </c>
      <c r="E103" s="34">
        <v>41974</v>
      </c>
      <c r="F103" s="1">
        <v>5.2</v>
      </c>
      <c r="K103" s="34">
        <v>41974</v>
      </c>
      <c r="L103" s="1">
        <v>2905.5</v>
      </c>
      <c r="M103" s="34">
        <v>41974</v>
      </c>
      <c r="N103" s="1">
        <v>426.7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P103"/>
  <sheetViews>
    <sheetView topLeftCell="A77" workbookViewId="0"/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318</v>
      </c>
      <c r="C1" s="34" t="s">
        <v>319</v>
      </c>
      <c r="E1" s="34" t="s">
        <v>320</v>
      </c>
      <c r="G1" s="34" t="s">
        <v>321</v>
      </c>
      <c r="I1" s="34" t="s">
        <v>322</v>
      </c>
      <c r="K1" s="34" t="str">
        <f>CONCATENATE(LEFT(A1,2), "NAN")</f>
        <v>WVNAN</v>
      </c>
      <c r="M1" s="34" t="str">
        <f>CONCATENATE(LEFT(A1,2), "GOVTN")</f>
        <v>WVGOVTN</v>
      </c>
      <c r="O1" s="34" t="str">
        <f>CONCATENATE(LEFT($A$1,2), "RGSP")</f>
        <v>WVRGSP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954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960</v>
      </c>
      <c r="K4" s="34">
        <v>39083</v>
      </c>
      <c r="L4" s="1" t="s">
        <v>959</v>
      </c>
      <c r="M4" s="34">
        <v>39083</v>
      </c>
      <c r="N4" s="1" t="s">
        <v>954</v>
      </c>
      <c r="O4" s="34">
        <v>39083</v>
      </c>
      <c r="P4" s="1" t="s">
        <v>770</v>
      </c>
    </row>
    <row r="5" spans="1:16" x14ac:dyDescent="0.25">
      <c r="A5" s="35" t="s">
        <v>942</v>
      </c>
      <c r="C5" s="35" t="s">
        <v>323</v>
      </c>
      <c r="E5" s="35" t="s">
        <v>324</v>
      </c>
      <c r="G5" s="35" t="s">
        <v>325</v>
      </c>
      <c r="I5" s="35" t="s">
        <v>326</v>
      </c>
      <c r="K5" s="35" t="s">
        <v>942</v>
      </c>
      <c r="M5" s="35" t="s">
        <v>943</v>
      </c>
      <c r="O5" s="35" t="s">
        <v>771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756.4</v>
      </c>
      <c r="C8" s="34">
        <v>39083</v>
      </c>
      <c r="D8" s="1">
        <v>231</v>
      </c>
      <c r="E8" s="34">
        <v>39083</v>
      </c>
      <c r="F8" s="1">
        <v>4.3</v>
      </c>
      <c r="G8" s="34">
        <v>39083</v>
      </c>
      <c r="H8" s="1">
        <v>0.16</v>
      </c>
      <c r="I8" s="34">
        <v>39083</v>
      </c>
      <c r="J8" s="1">
        <v>142.11000000000001</v>
      </c>
      <c r="K8" s="34">
        <v>39083</v>
      </c>
      <c r="L8" s="1">
        <v>739.9</v>
      </c>
      <c r="M8" s="34">
        <v>39083</v>
      </c>
      <c r="N8" s="1">
        <v>142.4</v>
      </c>
      <c r="O8" s="34">
        <v>39083</v>
      </c>
      <c r="P8" s="1">
        <v>61794</v>
      </c>
    </row>
    <row r="9" spans="1:16" x14ac:dyDescent="0.25">
      <c r="A9" s="34">
        <v>39114</v>
      </c>
      <c r="B9" s="1">
        <v>754.5</v>
      </c>
      <c r="C9" s="34">
        <v>39114</v>
      </c>
      <c r="D9" s="1">
        <v>298</v>
      </c>
      <c r="E9" s="34">
        <v>39114</v>
      </c>
      <c r="F9" s="1">
        <v>4.2</v>
      </c>
      <c r="G9" s="34">
        <v>39114</v>
      </c>
      <c r="H9" s="1">
        <v>0.47</v>
      </c>
      <c r="I9" s="34">
        <v>39114</v>
      </c>
      <c r="J9" s="1">
        <v>142.4</v>
      </c>
      <c r="K9" s="34">
        <v>39114</v>
      </c>
      <c r="L9" s="1">
        <v>741.5</v>
      </c>
      <c r="M9" s="34">
        <v>39114</v>
      </c>
      <c r="N9" s="1">
        <v>145.80000000000001</v>
      </c>
      <c r="O9" s="34">
        <v>39448</v>
      </c>
      <c r="P9" s="1">
        <v>63263</v>
      </c>
    </row>
    <row r="10" spans="1:16" x14ac:dyDescent="0.25">
      <c r="A10" s="34">
        <v>39142</v>
      </c>
      <c r="B10" s="1">
        <v>758.3</v>
      </c>
      <c r="C10" s="34">
        <v>39142</v>
      </c>
      <c r="D10" s="1">
        <v>352</v>
      </c>
      <c r="E10" s="34">
        <v>39142</v>
      </c>
      <c r="F10" s="1">
        <v>4.0999999999999996</v>
      </c>
      <c r="G10" s="34">
        <v>39142</v>
      </c>
      <c r="H10" s="1">
        <v>1.34</v>
      </c>
      <c r="I10" s="34">
        <v>39142</v>
      </c>
      <c r="J10" s="1">
        <v>142.74</v>
      </c>
      <c r="K10" s="34">
        <v>39142</v>
      </c>
      <c r="L10" s="1">
        <v>752</v>
      </c>
      <c r="M10" s="34">
        <v>39142</v>
      </c>
      <c r="N10" s="1">
        <v>147.4</v>
      </c>
      <c r="O10" s="34">
        <v>39814</v>
      </c>
      <c r="P10" s="1">
        <v>62752</v>
      </c>
    </row>
    <row r="11" spans="1:16" x14ac:dyDescent="0.25">
      <c r="A11" s="34">
        <v>39173</v>
      </c>
      <c r="B11" s="1">
        <v>757.3</v>
      </c>
      <c r="C11" s="34">
        <v>39173</v>
      </c>
      <c r="D11" s="1">
        <v>406</v>
      </c>
      <c r="E11" s="34">
        <v>39173</v>
      </c>
      <c r="F11" s="1">
        <v>4.2</v>
      </c>
      <c r="G11" s="34">
        <v>39173</v>
      </c>
      <c r="H11" s="1">
        <v>7.0000000000000007E-2</v>
      </c>
      <c r="I11" s="34">
        <v>39173</v>
      </c>
      <c r="J11" s="1">
        <v>142.56</v>
      </c>
      <c r="K11" s="34">
        <v>39173</v>
      </c>
      <c r="L11" s="1">
        <v>755.9</v>
      </c>
      <c r="M11" s="34">
        <v>39173</v>
      </c>
      <c r="N11" s="1">
        <v>147.19999999999999</v>
      </c>
      <c r="O11" s="34">
        <v>40179</v>
      </c>
      <c r="P11" s="1">
        <v>64553</v>
      </c>
    </row>
    <row r="12" spans="1:16" x14ac:dyDescent="0.25">
      <c r="A12" s="34">
        <v>39203</v>
      </c>
      <c r="B12" s="1">
        <v>750.8</v>
      </c>
      <c r="C12" s="34">
        <v>39203</v>
      </c>
      <c r="D12" s="1">
        <v>403</v>
      </c>
      <c r="E12" s="34">
        <v>39203</v>
      </c>
      <c r="F12" s="1">
        <v>4.2</v>
      </c>
      <c r="G12" s="34">
        <v>39203</v>
      </c>
      <c r="H12" s="1">
        <v>-0.12</v>
      </c>
      <c r="I12" s="34">
        <v>39203</v>
      </c>
      <c r="J12" s="1">
        <v>142.69</v>
      </c>
      <c r="K12" s="34">
        <v>39203</v>
      </c>
      <c r="L12" s="1">
        <v>761.8</v>
      </c>
      <c r="M12" s="34">
        <v>39203</v>
      </c>
      <c r="N12" s="1">
        <v>148.1</v>
      </c>
      <c r="O12" s="34">
        <v>40544</v>
      </c>
      <c r="P12" s="1">
        <v>66138</v>
      </c>
    </row>
    <row r="13" spans="1:16" x14ac:dyDescent="0.25">
      <c r="A13" s="34">
        <v>39234</v>
      </c>
      <c r="B13" s="1">
        <v>758.8</v>
      </c>
      <c r="C13" s="34">
        <v>39234</v>
      </c>
      <c r="D13" s="1">
        <v>348</v>
      </c>
      <c r="E13" s="34">
        <v>39234</v>
      </c>
      <c r="F13" s="1">
        <v>4.2</v>
      </c>
      <c r="G13" s="34">
        <v>39234</v>
      </c>
      <c r="H13" s="1">
        <v>0.49</v>
      </c>
      <c r="I13" s="34">
        <v>39234</v>
      </c>
      <c r="J13" s="1">
        <v>142.85</v>
      </c>
      <c r="K13" s="34">
        <v>39234</v>
      </c>
      <c r="L13" s="1">
        <v>763.4</v>
      </c>
      <c r="M13" s="34">
        <v>39234</v>
      </c>
      <c r="N13" s="1">
        <v>144.4</v>
      </c>
      <c r="O13" s="34">
        <v>40909</v>
      </c>
      <c r="P13" s="1">
        <v>65221</v>
      </c>
    </row>
    <row r="14" spans="1:16" x14ac:dyDescent="0.25">
      <c r="A14" s="34">
        <v>39264</v>
      </c>
      <c r="B14" s="1">
        <v>757.4</v>
      </c>
      <c r="C14" s="34">
        <v>39264</v>
      </c>
      <c r="D14" s="1">
        <v>399</v>
      </c>
      <c r="E14" s="34">
        <v>39264</v>
      </c>
      <c r="F14" s="1">
        <v>4.3</v>
      </c>
      <c r="G14" s="34">
        <v>39264</v>
      </c>
      <c r="H14" s="1">
        <v>0.27</v>
      </c>
      <c r="I14" s="34">
        <v>39264</v>
      </c>
      <c r="J14" s="1">
        <v>142.74</v>
      </c>
      <c r="K14" s="34">
        <v>39264</v>
      </c>
      <c r="L14" s="1">
        <v>753</v>
      </c>
      <c r="M14" s="34">
        <v>39264</v>
      </c>
      <c r="N14" s="1">
        <v>137.80000000000001</v>
      </c>
      <c r="O14" s="34">
        <v>41275</v>
      </c>
      <c r="P14" s="1">
        <v>68541</v>
      </c>
    </row>
    <row r="15" spans="1:16" x14ac:dyDescent="0.25">
      <c r="A15" s="34">
        <v>39295</v>
      </c>
      <c r="B15" s="1">
        <v>759.4</v>
      </c>
      <c r="C15" s="34">
        <v>39295</v>
      </c>
      <c r="D15" s="1">
        <v>319</v>
      </c>
      <c r="E15" s="34">
        <v>39295</v>
      </c>
      <c r="F15" s="1">
        <v>4.3</v>
      </c>
      <c r="G15" s="34">
        <v>39295</v>
      </c>
      <c r="H15" s="1">
        <v>0.36</v>
      </c>
      <c r="I15" s="34">
        <v>39295</v>
      </c>
      <c r="J15" s="1">
        <v>142.94</v>
      </c>
      <c r="K15" s="34">
        <v>39295</v>
      </c>
      <c r="L15" s="1">
        <v>757.5</v>
      </c>
      <c r="M15" s="34">
        <v>39295</v>
      </c>
      <c r="N15" s="1">
        <v>139</v>
      </c>
    </row>
    <row r="16" spans="1:16" x14ac:dyDescent="0.25">
      <c r="A16" s="34">
        <v>39326</v>
      </c>
      <c r="B16" s="1">
        <v>759.8</v>
      </c>
      <c r="C16" s="34">
        <v>39326</v>
      </c>
      <c r="D16" s="1">
        <v>261</v>
      </c>
      <c r="E16" s="34">
        <v>39326</v>
      </c>
      <c r="F16" s="1">
        <v>4.3</v>
      </c>
      <c r="G16" s="34">
        <v>39326</v>
      </c>
      <c r="H16" s="1">
        <v>1.08</v>
      </c>
      <c r="I16" s="34">
        <v>39326</v>
      </c>
      <c r="J16" s="1">
        <v>143.11000000000001</v>
      </c>
      <c r="K16" s="34">
        <v>39326</v>
      </c>
      <c r="L16" s="1">
        <v>764.3</v>
      </c>
      <c r="M16" s="34">
        <v>39326</v>
      </c>
      <c r="N16" s="1">
        <v>144.6</v>
      </c>
    </row>
    <row r="17" spans="1:14" x14ac:dyDescent="0.25">
      <c r="A17" s="34">
        <v>39356</v>
      </c>
      <c r="B17" s="1">
        <v>759.6</v>
      </c>
      <c r="C17" s="34">
        <v>39356</v>
      </c>
      <c r="D17" s="1">
        <v>279</v>
      </c>
      <c r="E17" s="34">
        <v>39356</v>
      </c>
      <c r="F17" s="1">
        <v>4.3</v>
      </c>
      <c r="G17" s="34">
        <v>39356</v>
      </c>
      <c r="H17" s="1">
        <v>1.01</v>
      </c>
      <c r="I17" s="34">
        <v>39356</v>
      </c>
      <c r="J17" s="1">
        <v>143.26</v>
      </c>
      <c r="K17" s="34">
        <v>39356</v>
      </c>
      <c r="L17" s="1">
        <v>765.9</v>
      </c>
      <c r="M17" s="34">
        <v>39356</v>
      </c>
      <c r="N17" s="1">
        <v>147</v>
      </c>
    </row>
    <row r="18" spans="1:14" x14ac:dyDescent="0.25">
      <c r="A18" s="34">
        <v>39387</v>
      </c>
      <c r="B18" s="1">
        <v>760.8</v>
      </c>
      <c r="C18" s="34">
        <v>39387</v>
      </c>
      <c r="D18" s="1">
        <v>472</v>
      </c>
      <c r="E18" s="34">
        <v>39387</v>
      </c>
      <c r="F18" s="1">
        <v>4.2</v>
      </c>
      <c r="G18" s="34">
        <v>39387</v>
      </c>
      <c r="H18" s="1">
        <v>1.47</v>
      </c>
      <c r="I18" s="34">
        <v>39387</v>
      </c>
      <c r="J18" s="1">
        <v>143.68</v>
      </c>
      <c r="K18" s="34">
        <v>39387</v>
      </c>
      <c r="L18" s="1">
        <v>769.2</v>
      </c>
      <c r="M18" s="34">
        <v>39387</v>
      </c>
      <c r="N18" s="1">
        <v>147.9</v>
      </c>
    </row>
    <row r="19" spans="1:14" x14ac:dyDescent="0.25">
      <c r="A19" s="34">
        <v>39417</v>
      </c>
      <c r="B19" s="1">
        <v>760</v>
      </c>
      <c r="C19" s="34">
        <v>39417</v>
      </c>
      <c r="D19" s="1">
        <v>498</v>
      </c>
      <c r="E19" s="34">
        <v>39417</v>
      </c>
      <c r="F19" s="1">
        <v>4.0999999999999996</v>
      </c>
      <c r="G19" s="34">
        <v>39417</v>
      </c>
      <c r="H19" s="1">
        <v>2.0699999999999998</v>
      </c>
      <c r="I19" s="34">
        <v>39417</v>
      </c>
      <c r="J19" s="1">
        <v>144.06</v>
      </c>
      <c r="K19" s="34">
        <v>39417</v>
      </c>
      <c r="L19" s="1">
        <v>768.6</v>
      </c>
      <c r="M19" s="34">
        <v>39417</v>
      </c>
      <c r="N19" s="1">
        <v>147.69999999999999</v>
      </c>
    </row>
    <row r="20" spans="1:14" x14ac:dyDescent="0.25">
      <c r="A20" s="34">
        <v>39448</v>
      </c>
      <c r="B20" s="1">
        <v>763.4</v>
      </c>
      <c r="C20" s="34">
        <v>39448</v>
      </c>
      <c r="D20" s="1">
        <v>343</v>
      </c>
      <c r="E20" s="34">
        <v>39448</v>
      </c>
      <c r="F20" s="1">
        <v>4</v>
      </c>
      <c r="G20" s="34">
        <v>39448</v>
      </c>
      <c r="H20" s="1">
        <v>1.77</v>
      </c>
      <c r="I20" s="34">
        <v>39448</v>
      </c>
      <c r="J20" s="1">
        <v>144.47</v>
      </c>
      <c r="K20" s="34">
        <v>39448</v>
      </c>
      <c r="L20" s="1">
        <v>746.1</v>
      </c>
      <c r="M20" s="34">
        <v>39448</v>
      </c>
      <c r="N20" s="1">
        <v>143.30000000000001</v>
      </c>
    </row>
    <row r="21" spans="1:14" x14ac:dyDescent="0.25">
      <c r="A21" s="34">
        <v>39479</v>
      </c>
      <c r="B21" s="1">
        <v>763.7</v>
      </c>
      <c r="C21" s="34">
        <v>39479</v>
      </c>
      <c r="D21" s="1">
        <v>275</v>
      </c>
      <c r="E21" s="34">
        <v>39479</v>
      </c>
      <c r="F21" s="1">
        <v>4</v>
      </c>
      <c r="G21" s="34">
        <v>39479</v>
      </c>
      <c r="H21" s="1">
        <v>0.77</v>
      </c>
      <c r="I21" s="34">
        <v>39479</v>
      </c>
      <c r="J21" s="1">
        <v>144.61000000000001</v>
      </c>
      <c r="K21" s="34">
        <v>39479</v>
      </c>
      <c r="L21" s="1">
        <v>750.6</v>
      </c>
      <c r="M21" s="34">
        <v>39479</v>
      </c>
      <c r="N21" s="1">
        <v>146.5</v>
      </c>
    </row>
    <row r="22" spans="1:14" x14ac:dyDescent="0.25">
      <c r="A22" s="34">
        <v>39508</v>
      </c>
      <c r="B22" s="1">
        <v>761.4</v>
      </c>
      <c r="C22" s="34">
        <v>39508</v>
      </c>
      <c r="D22" s="1">
        <v>231</v>
      </c>
      <c r="E22" s="34">
        <v>39508</v>
      </c>
      <c r="F22" s="1">
        <v>3.9</v>
      </c>
      <c r="G22" s="34">
        <v>39508</v>
      </c>
      <c r="H22" s="1">
        <v>1.1399999999999999</v>
      </c>
      <c r="I22" s="34">
        <v>39508</v>
      </c>
      <c r="J22" s="1">
        <v>145.06</v>
      </c>
      <c r="K22" s="34">
        <v>39508</v>
      </c>
      <c r="L22" s="1">
        <v>754.9</v>
      </c>
      <c r="M22" s="34">
        <v>39508</v>
      </c>
      <c r="N22" s="1">
        <v>147.9</v>
      </c>
    </row>
    <row r="23" spans="1:14" x14ac:dyDescent="0.25">
      <c r="A23" s="34">
        <v>39539</v>
      </c>
      <c r="B23" s="1">
        <v>761.5</v>
      </c>
      <c r="C23" s="34">
        <v>39539</v>
      </c>
      <c r="D23" s="1">
        <v>329</v>
      </c>
      <c r="E23" s="34">
        <v>39539</v>
      </c>
      <c r="F23" s="1">
        <v>4</v>
      </c>
      <c r="G23" s="34">
        <v>39539</v>
      </c>
      <c r="H23" s="1">
        <v>0.52</v>
      </c>
      <c r="I23" s="34">
        <v>39539</v>
      </c>
      <c r="J23" s="1">
        <v>144.99</v>
      </c>
      <c r="K23" s="34">
        <v>39539</v>
      </c>
      <c r="L23" s="1">
        <v>760.4</v>
      </c>
      <c r="M23" s="34">
        <v>39539</v>
      </c>
      <c r="N23" s="1">
        <v>148.1</v>
      </c>
    </row>
    <row r="24" spans="1:14" x14ac:dyDescent="0.25">
      <c r="A24" s="34">
        <v>39569</v>
      </c>
      <c r="B24" s="1">
        <v>767.4</v>
      </c>
      <c r="C24" s="34">
        <v>39569</v>
      </c>
      <c r="D24" s="1">
        <v>210</v>
      </c>
      <c r="E24" s="34">
        <v>39569</v>
      </c>
      <c r="F24" s="1">
        <v>4</v>
      </c>
      <c r="G24" s="34">
        <v>39569</v>
      </c>
      <c r="H24" s="1">
        <v>0.74</v>
      </c>
      <c r="I24" s="34">
        <v>39569</v>
      </c>
      <c r="J24" s="1">
        <v>145.29</v>
      </c>
      <c r="K24" s="34">
        <v>39569</v>
      </c>
      <c r="L24" s="1">
        <v>777.2</v>
      </c>
      <c r="M24" s="34">
        <v>39569</v>
      </c>
      <c r="N24" s="1">
        <v>160.9</v>
      </c>
    </row>
    <row r="25" spans="1:14" x14ac:dyDescent="0.25">
      <c r="A25" s="34">
        <v>39600</v>
      </c>
      <c r="B25" s="1">
        <v>758.8</v>
      </c>
      <c r="C25" s="34">
        <v>39600</v>
      </c>
      <c r="D25" s="1">
        <v>300</v>
      </c>
      <c r="E25" s="34">
        <v>39600</v>
      </c>
      <c r="F25" s="1">
        <v>4.0999999999999996</v>
      </c>
      <c r="G25" s="34">
        <v>39600</v>
      </c>
      <c r="H25" s="1">
        <v>0.59</v>
      </c>
      <c r="I25" s="34">
        <v>39600</v>
      </c>
      <c r="J25" s="1">
        <v>145.30000000000001</v>
      </c>
      <c r="K25" s="34">
        <v>39600</v>
      </c>
      <c r="L25" s="1">
        <v>762.7</v>
      </c>
      <c r="M25" s="34">
        <v>39600</v>
      </c>
      <c r="N25" s="1">
        <v>144.5</v>
      </c>
    </row>
    <row r="26" spans="1:14" x14ac:dyDescent="0.25">
      <c r="A26" s="34">
        <v>39630</v>
      </c>
      <c r="B26" s="1">
        <v>763.9</v>
      </c>
      <c r="C26" s="34">
        <v>39630</v>
      </c>
      <c r="D26" s="1">
        <v>291</v>
      </c>
      <c r="E26" s="34">
        <v>39630</v>
      </c>
      <c r="F26" s="1">
        <v>4.0999999999999996</v>
      </c>
      <c r="G26" s="34">
        <v>39630</v>
      </c>
      <c r="H26" s="1">
        <v>1.27</v>
      </c>
      <c r="I26" s="34">
        <v>39630</v>
      </c>
      <c r="J26" s="1">
        <v>145.65</v>
      </c>
      <c r="K26" s="34">
        <v>39630</v>
      </c>
      <c r="L26" s="1">
        <v>758.9</v>
      </c>
      <c r="M26" s="34">
        <v>39630</v>
      </c>
      <c r="N26" s="1">
        <v>140.30000000000001</v>
      </c>
    </row>
    <row r="27" spans="1:14" x14ac:dyDescent="0.25">
      <c r="A27" s="34">
        <v>39661</v>
      </c>
      <c r="B27" s="1">
        <v>763.4</v>
      </c>
      <c r="C27" s="34">
        <v>39661</v>
      </c>
      <c r="D27" s="1">
        <v>374</v>
      </c>
      <c r="E27" s="34">
        <v>39661</v>
      </c>
      <c r="F27" s="1">
        <v>4.2</v>
      </c>
      <c r="G27" s="34">
        <v>39661</v>
      </c>
      <c r="H27" s="1">
        <v>0.88</v>
      </c>
      <c r="I27" s="34">
        <v>39661</v>
      </c>
      <c r="J27" s="1">
        <v>145.76</v>
      </c>
      <c r="K27" s="34">
        <v>39661</v>
      </c>
      <c r="L27" s="1">
        <v>760.8</v>
      </c>
      <c r="M27" s="34">
        <v>39661</v>
      </c>
      <c r="N27" s="1">
        <v>141.30000000000001</v>
      </c>
    </row>
    <row r="28" spans="1:14" x14ac:dyDescent="0.25">
      <c r="A28" s="34">
        <v>39692</v>
      </c>
      <c r="B28" s="1">
        <v>763.6</v>
      </c>
      <c r="C28" s="34">
        <v>39692</v>
      </c>
      <c r="D28" s="1">
        <v>208</v>
      </c>
      <c r="E28" s="34">
        <v>39692</v>
      </c>
      <c r="F28" s="1">
        <v>4.3</v>
      </c>
      <c r="G28" s="34">
        <v>39692</v>
      </c>
      <c r="H28" s="1">
        <v>0.72</v>
      </c>
      <c r="I28" s="34">
        <v>39692</v>
      </c>
      <c r="J28" s="1">
        <v>145.93</v>
      </c>
      <c r="K28" s="34">
        <v>39692</v>
      </c>
      <c r="L28" s="1">
        <v>768.7</v>
      </c>
      <c r="M28" s="34">
        <v>39692</v>
      </c>
      <c r="N28" s="1">
        <v>147.30000000000001</v>
      </c>
    </row>
    <row r="29" spans="1:14" x14ac:dyDescent="0.25">
      <c r="A29" s="34">
        <v>39722</v>
      </c>
      <c r="B29" s="1">
        <v>763.7</v>
      </c>
      <c r="C29" s="34">
        <v>39722</v>
      </c>
      <c r="D29" s="1">
        <v>214</v>
      </c>
      <c r="E29" s="34">
        <v>39722</v>
      </c>
      <c r="F29" s="1">
        <v>4.5</v>
      </c>
      <c r="G29" s="34">
        <v>39722</v>
      </c>
      <c r="H29" s="1">
        <v>0.08</v>
      </c>
      <c r="I29" s="34">
        <v>39722</v>
      </c>
      <c r="J29" s="1">
        <v>145.88999999999999</v>
      </c>
      <c r="K29" s="34">
        <v>39722</v>
      </c>
      <c r="L29" s="1">
        <v>770.4</v>
      </c>
      <c r="M29" s="34">
        <v>39722</v>
      </c>
      <c r="N29" s="1">
        <v>149.80000000000001</v>
      </c>
    </row>
    <row r="30" spans="1:14" x14ac:dyDescent="0.25">
      <c r="A30" s="34">
        <v>39753</v>
      </c>
      <c r="B30" s="1">
        <v>762.1</v>
      </c>
      <c r="C30" s="34">
        <v>39753</v>
      </c>
      <c r="D30" s="1">
        <v>129</v>
      </c>
      <c r="E30" s="34">
        <v>39753</v>
      </c>
      <c r="F30" s="1">
        <v>4.9000000000000004</v>
      </c>
      <c r="G30" s="34">
        <v>39753</v>
      </c>
      <c r="H30" s="1">
        <v>-1.32</v>
      </c>
      <c r="I30" s="34">
        <v>39753</v>
      </c>
      <c r="J30" s="1">
        <v>145.31</v>
      </c>
      <c r="K30" s="34">
        <v>39753</v>
      </c>
      <c r="L30" s="1">
        <v>770</v>
      </c>
      <c r="M30" s="34">
        <v>39753</v>
      </c>
      <c r="N30" s="1">
        <v>150.4</v>
      </c>
    </row>
    <row r="31" spans="1:14" x14ac:dyDescent="0.25">
      <c r="A31" s="34">
        <v>39783</v>
      </c>
      <c r="B31" s="1">
        <v>758.9</v>
      </c>
      <c r="C31" s="34">
        <v>39783</v>
      </c>
      <c r="D31" s="1">
        <v>60</v>
      </c>
      <c r="E31" s="34">
        <v>39783</v>
      </c>
      <c r="F31" s="1">
        <v>5.3</v>
      </c>
      <c r="G31" s="34">
        <v>39783</v>
      </c>
      <c r="H31" s="1">
        <v>-2.1</v>
      </c>
      <c r="I31" s="34">
        <v>39783</v>
      </c>
      <c r="J31" s="1">
        <v>144.72</v>
      </c>
      <c r="K31" s="34">
        <v>39783</v>
      </c>
      <c r="L31" s="1">
        <v>767.8</v>
      </c>
      <c r="M31" s="34">
        <v>39783</v>
      </c>
      <c r="N31" s="1">
        <v>150.5</v>
      </c>
    </row>
    <row r="32" spans="1:14" x14ac:dyDescent="0.25">
      <c r="A32" s="34">
        <v>39814</v>
      </c>
      <c r="B32" s="1">
        <v>756.4</v>
      </c>
      <c r="C32" s="34">
        <v>39814</v>
      </c>
      <c r="D32" s="1">
        <v>107</v>
      </c>
      <c r="E32" s="34">
        <v>39814</v>
      </c>
      <c r="F32" s="1">
        <v>5.7</v>
      </c>
      <c r="G32" s="34">
        <v>39814</v>
      </c>
      <c r="H32" s="1">
        <v>-1.72</v>
      </c>
      <c r="I32" s="34">
        <v>39814</v>
      </c>
      <c r="J32" s="1">
        <v>144.11000000000001</v>
      </c>
      <c r="K32" s="34">
        <v>39814</v>
      </c>
      <c r="L32" s="1">
        <v>740</v>
      </c>
      <c r="M32" s="34">
        <v>39814</v>
      </c>
      <c r="N32" s="1">
        <v>145.30000000000001</v>
      </c>
    </row>
    <row r="33" spans="1:14" x14ac:dyDescent="0.25">
      <c r="A33" s="34">
        <v>39845</v>
      </c>
      <c r="B33" s="1">
        <v>754.6</v>
      </c>
      <c r="C33" s="34">
        <v>39845</v>
      </c>
      <c r="D33" s="1">
        <v>114</v>
      </c>
      <c r="E33" s="34">
        <v>39845</v>
      </c>
      <c r="F33" s="1">
        <v>6.3</v>
      </c>
      <c r="G33" s="34">
        <v>39845</v>
      </c>
      <c r="H33" s="1">
        <v>-2.77</v>
      </c>
      <c r="I33" s="34">
        <v>39845</v>
      </c>
      <c r="J33" s="1">
        <v>142.93</v>
      </c>
      <c r="K33" s="34">
        <v>39845</v>
      </c>
      <c r="L33" s="1">
        <v>740.9</v>
      </c>
      <c r="M33" s="34">
        <v>39845</v>
      </c>
      <c r="N33" s="1">
        <v>148.9</v>
      </c>
    </row>
    <row r="34" spans="1:14" x14ac:dyDescent="0.25">
      <c r="A34" s="34">
        <v>39873</v>
      </c>
      <c r="B34" s="1">
        <v>751.2</v>
      </c>
      <c r="C34" s="34">
        <v>39873</v>
      </c>
      <c r="D34" s="1">
        <v>148</v>
      </c>
      <c r="E34" s="34">
        <v>39873</v>
      </c>
      <c r="F34" s="1">
        <v>6.8</v>
      </c>
      <c r="G34" s="34">
        <v>39873</v>
      </c>
      <c r="H34" s="1">
        <v>-2.88</v>
      </c>
      <c r="I34" s="34">
        <v>39873</v>
      </c>
      <c r="J34" s="1">
        <v>142</v>
      </c>
      <c r="K34" s="34">
        <v>39873</v>
      </c>
      <c r="L34" s="1">
        <v>744.9</v>
      </c>
      <c r="M34" s="34">
        <v>39873</v>
      </c>
      <c r="N34" s="1">
        <v>151</v>
      </c>
    </row>
    <row r="35" spans="1:14" x14ac:dyDescent="0.25">
      <c r="A35" s="34">
        <v>39904</v>
      </c>
      <c r="B35" s="1">
        <v>746.4</v>
      </c>
      <c r="C35" s="34">
        <v>39904</v>
      </c>
      <c r="D35" s="1">
        <v>106</v>
      </c>
      <c r="E35" s="34">
        <v>39904</v>
      </c>
      <c r="F35" s="1">
        <v>7.3</v>
      </c>
      <c r="G35" s="34">
        <v>39904</v>
      </c>
      <c r="H35" s="1">
        <v>-2.33</v>
      </c>
      <c r="I35" s="34">
        <v>39904</v>
      </c>
      <c r="J35" s="1">
        <v>141.01</v>
      </c>
      <c r="K35" s="34">
        <v>39904</v>
      </c>
      <c r="L35" s="1">
        <v>747.1</v>
      </c>
      <c r="M35" s="34">
        <v>39904</v>
      </c>
      <c r="N35" s="1">
        <v>150.4</v>
      </c>
    </row>
    <row r="36" spans="1:14" x14ac:dyDescent="0.25">
      <c r="A36" s="34">
        <v>39934</v>
      </c>
      <c r="B36" s="1">
        <v>741.2</v>
      </c>
      <c r="C36" s="34">
        <v>39934</v>
      </c>
      <c r="D36" s="1">
        <v>155</v>
      </c>
      <c r="E36" s="34">
        <v>39934</v>
      </c>
      <c r="F36" s="1">
        <v>7.7</v>
      </c>
      <c r="G36" s="34">
        <v>39934</v>
      </c>
      <c r="H36" s="1">
        <v>-1.23</v>
      </c>
      <c r="I36" s="34">
        <v>39934</v>
      </c>
      <c r="J36" s="1">
        <v>140.22999999999999</v>
      </c>
      <c r="K36" s="34">
        <v>39934</v>
      </c>
      <c r="L36" s="1">
        <v>752.1</v>
      </c>
      <c r="M36" s="34">
        <v>39934</v>
      </c>
      <c r="N36" s="1">
        <v>152.5</v>
      </c>
    </row>
    <row r="37" spans="1:14" x14ac:dyDescent="0.25">
      <c r="A37" s="34">
        <v>39965</v>
      </c>
      <c r="B37" s="1">
        <v>749.3</v>
      </c>
      <c r="C37" s="34">
        <v>39965</v>
      </c>
      <c r="D37" s="1">
        <v>163</v>
      </c>
      <c r="E37" s="34">
        <v>39965</v>
      </c>
      <c r="F37" s="1">
        <v>8</v>
      </c>
      <c r="G37" s="34">
        <v>39965</v>
      </c>
      <c r="H37" s="1">
        <v>-0.89</v>
      </c>
      <c r="I37" s="34">
        <v>39965</v>
      </c>
      <c r="J37" s="1">
        <v>139.63</v>
      </c>
      <c r="K37" s="34">
        <v>39965</v>
      </c>
      <c r="L37" s="1">
        <v>752.5</v>
      </c>
      <c r="M37" s="34">
        <v>39965</v>
      </c>
      <c r="N37" s="1">
        <v>154</v>
      </c>
    </row>
    <row r="38" spans="1:14" x14ac:dyDescent="0.25">
      <c r="A38" s="34">
        <v>39995</v>
      </c>
      <c r="B38" s="1">
        <v>743.6</v>
      </c>
      <c r="C38" s="34">
        <v>39995</v>
      </c>
      <c r="D38" s="1">
        <v>357</v>
      </c>
      <c r="E38" s="34">
        <v>39995</v>
      </c>
      <c r="F38" s="1">
        <v>8.1999999999999993</v>
      </c>
      <c r="G38" s="34">
        <v>39995</v>
      </c>
      <c r="H38" s="1">
        <v>-0.03</v>
      </c>
      <c r="I38" s="34">
        <v>39995</v>
      </c>
      <c r="J38" s="1">
        <v>139.19</v>
      </c>
      <c r="K38" s="34">
        <v>39995</v>
      </c>
      <c r="L38" s="1">
        <v>741</v>
      </c>
      <c r="M38" s="34">
        <v>39995</v>
      </c>
      <c r="N38" s="1">
        <v>145.69999999999999</v>
      </c>
    </row>
    <row r="39" spans="1:14" x14ac:dyDescent="0.25">
      <c r="A39" s="34">
        <v>40026</v>
      </c>
      <c r="B39" s="1">
        <v>743.8</v>
      </c>
      <c r="C39" s="34">
        <v>40026</v>
      </c>
      <c r="D39" s="1">
        <v>183</v>
      </c>
      <c r="E39" s="34">
        <v>40026</v>
      </c>
      <c r="F39" s="1">
        <v>8.1999999999999993</v>
      </c>
      <c r="G39" s="34">
        <v>40026</v>
      </c>
      <c r="H39" s="1">
        <v>1.1499999999999999</v>
      </c>
      <c r="I39" s="34">
        <v>40026</v>
      </c>
      <c r="J39" s="1">
        <v>139.22</v>
      </c>
      <c r="K39" s="34">
        <v>40026</v>
      </c>
      <c r="L39" s="1">
        <v>741.9</v>
      </c>
      <c r="M39" s="34">
        <v>40026</v>
      </c>
      <c r="N39" s="1">
        <v>146.30000000000001</v>
      </c>
    </row>
    <row r="40" spans="1:14" x14ac:dyDescent="0.25">
      <c r="A40" s="34">
        <v>40057</v>
      </c>
      <c r="B40" s="1">
        <v>739.1</v>
      </c>
      <c r="C40" s="34">
        <v>40057</v>
      </c>
      <c r="D40" s="1">
        <v>195</v>
      </c>
      <c r="E40" s="34">
        <v>40057</v>
      </c>
      <c r="F40" s="1">
        <v>8.3000000000000007</v>
      </c>
      <c r="G40" s="34">
        <v>40057</v>
      </c>
      <c r="H40" s="1">
        <v>0.63</v>
      </c>
      <c r="I40" s="34">
        <v>40057</v>
      </c>
      <c r="J40" s="1">
        <v>138.94</v>
      </c>
      <c r="K40" s="34">
        <v>40057</v>
      </c>
      <c r="L40" s="1">
        <v>744.7</v>
      </c>
      <c r="M40" s="34">
        <v>40057</v>
      </c>
      <c r="N40" s="1">
        <v>148.5</v>
      </c>
    </row>
    <row r="41" spans="1:14" x14ac:dyDescent="0.25">
      <c r="A41" s="34">
        <v>40087</v>
      </c>
      <c r="B41" s="1">
        <v>739.9</v>
      </c>
      <c r="C41" s="34">
        <v>40087</v>
      </c>
      <c r="D41" s="1">
        <v>168</v>
      </c>
      <c r="E41" s="34">
        <v>40087</v>
      </c>
      <c r="F41" s="1">
        <v>8.3000000000000007</v>
      </c>
      <c r="G41" s="34">
        <v>40087</v>
      </c>
      <c r="H41" s="1">
        <v>0.5</v>
      </c>
      <c r="I41" s="34">
        <v>40087</v>
      </c>
      <c r="J41" s="1">
        <v>139.01</v>
      </c>
      <c r="K41" s="34">
        <v>40087</v>
      </c>
      <c r="L41" s="1">
        <v>747</v>
      </c>
      <c r="M41" s="34">
        <v>40087</v>
      </c>
      <c r="N41" s="1">
        <v>152.30000000000001</v>
      </c>
    </row>
    <row r="42" spans="1:14" x14ac:dyDescent="0.25">
      <c r="A42" s="34">
        <v>40118</v>
      </c>
      <c r="B42" s="1">
        <v>740</v>
      </c>
      <c r="C42" s="34">
        <v>40118</v>
      </c>
      <c r="D42" s="1">
        <v>106</v>
      </c>
      <c r="E42" s="34">
        <v>40118</v>
      </c>
      <c r="F42" s="1">
        <v>8.4</v>
      </c>
      <c r="G42" s="34">
        <v>40118</v>
      </c>
      <c r="H42" s="1">
        <v>0.06</v>
      </c>
      <c r="I42" s="34">
        <v>40118</v>
      </c>
      <c r="J42" s="1">
        <v>138.85</v>
      </c>
      <c r="K42" s="34">
        <v>40118</v>
      </c>
      <c r="L42" s="1">
        <v>748.5</v>
      </c>
      <c r="M42" s="34">
        <v>40118</v>
      </c>
      <c r="N42" s="1">
        <v>152.69999999999999</v>
      </c>
    </row>
    <row r="43" spans="1:14" x14ac:dyDescent="0.25">
      <c r="A43" s="34">
        <v>40148</v>
      </c>
      <c r="B43" s="1">
        <v>742.4</v>
      </c>
      <c r="C43" s="34">
        <v>40148</v>
      </c>
      <c r="D43" s="1">
        <v>93</v>
      </c>
      <c r="E43" s="34">
        <v>40148</v>
      </c>
      <c r="F43" s="1">
        <v>8.4</v>
      </c>
      <c r="G43" s="34">
        <v>40148</v>
      </c>
      <c r="H43" s="1">
        <v>1</v>
      </c>
      <c r="I43" s="34">
        <v>40148</v>
      </c>
      <c r="J43" s="1">
        <v>139.05000000000001</v>
      </c>
      <c r="K43" s="34">
        <v>40148</v>
      </c>
      <c r="L43" s="1">
        <v>750</v>
      </c>
      <c r="M43" s="34">
        <v>40148</v>
      </c>
      <c r="N43" s="1">
        <v>152.9</v>
      </c>
    </row>
    <row r="44" spans="1:14" x14ac:dyDescent="0.25">
      <c r="A44" s="34">
        <v>40179</v>
      </c>
      <c r="B44" s="1">
        <v>741</v>
      </c>
      <c r="C44" s="34">
        <v>40179</v>
      </c>
      <c r="D44" s="1">
        <v>129</v>
      </c>
      <c r="E44" s="34">
        <v>40179</v>
      </c>
      <c r="F44" s="1">
        <v>8.5</v>
      </c>
      <c r="G44" s="34">
        <v>40179</v>
      </c>
      <c r="H44" s="1">
        <v>0.65</v>
      </c>
      <c r="I44" s="34">
        <v>40179</v>
      </c>
      <c r="J44" s="1">
        <v>139.02000000000001</v>
      </c>
      <c r="K44" s="34">
        <v>40179</v>
      </c>
      <c r="L44" s="1">
        <v>724.6</v>
      </c>
      <c r="M44" s="34">
        <v>40179</v>
      </c>
      <c r="N44" s="1">
        <v>149.1</v>
      </c>
    </row>
    <row r="45" spans="1:14" x14ac:dyDescent="0.25">
      <c r="A45" s="34">
        <v>40210</v>
      </c>
      <c r="B45" s="1">
        <v>739.3</v>
      </c>
      <c r="C45" s="34">
        <v>40210</v>
      </c>
      <c r="D45" s="1">
        <v>118</v>
      </c>
      <c r="E45" s="34">
        <v>40210</v>
      </c>
      <c r="F45" s="1">
        <v>8.5</v>
      </c>
      <c r="G45" s="34">
        <v>40210</v>
      </c>
      <c r="H45" s="1">
        <v>1.44</v>
      </c>
      <c r="I45" s="34">
        <v>40210</v>
      </c>
      <c r="J45" s="1">
        <v>139.33000000000001</v>
      </c>
      <c r="K45" s="34">
        <v>40210</v>
      </c>
      <c r="L45" s="1">
        <v>725.6</v>
      </c>
      <c r="M45" s="34">
        <v>40210</v>
      </c>
      <c r="N45" s="1">
        <v>151.69999999999999</v>
      </c>
    </row>
    <row r="46" spans="1:14" x14ac:dyDescent="0.25">
      <c r="A46" s="34">
        <v>40238</v>
      </c>
      <c r="B46" s="1">
        <v>744</v>
      </c>
      <c r="C46" s="34">
        <v>40238</v>
      </c>
      <c r="D46" s="1">
        <v>173</v>
      </c>
      <c r="E46" s="34">
        <v>40238</v>
      </c>
      <c r="F46" s="1">
        <v>8.5</v>
      </c>
      <c r="G46" s="34">
        <v>40238</v>
      </c>
      <c r="H46" s="1">
        <v>1.93</v>
      </c>
      <c r="I46" s="34">
        <v>40238</v>
      </c>
      <c r="J46" s="1">
        <v>139.66</v>
      </c>
      <c r="K46" s="34">
        <v>40238</v>
      </c>
      <c r="L46" s="1">
        <v>737.9</v>
      </c>
      <c r="M46" s="34">
        <v>40238</v>
      </c>
      <c r="N46" s="1">
        <v>155</v>
      </c>
    </row>
    <row r="47" spans="1:14" x14ac:dyDescent="0.25">
      <c r="A47" s="34">
        <v>40269</v>
      </c>
      <c r="B47" s="1">
        <v>744.4</v>
      </c>
      <c r="C47" s="34">
        <v>40269</v>
      </c>
      <c r="D47" s="1">
        <v>216</v>
      </c>
      <c r="E47" s="34">
        <v>40269</v>
      </c>
      <c r="F47" s="1">
        <v>8.4</v>
      </c>
      <c r="G47" s="34">
        <v>40269</v>
      </c>
      <c r="H47" s="1">
        <v>2.62</v>
      </c>
      <c r="I47" s="34">
        <v>40269</v>
      </c>
      <c r="J47" s="1">
        <v>140.31</v>
      </c>
      <c r="K47" s="34">
        <v>40269</v>
      </c>
      <c r="L47" s="1">
        <v>745.4</v>
      </c>
      <c r="M47" s="34">
        <v>40269</v>
      </c>
      <c r="N47" s="1">
        <v>154.5</v>
      </c>
    </row>
    <row r="48" spans="1:14" x14ac:dyDescent="0.25">
      <c r="A48" s="34">
        <v>40299</v>
      </c>
      <c r="B48" s="1">
        <v>751.5</v>
      </c>
      <c r="C48" s="34">
        <v>40299</v>
      </c>
      <c r="D48" s="1">
        <v>104</v>
      </c>
      <c r="E48" s="34">
        <v>40299</v>
      </c>
      <c r="F48" s="1">
        <v>8.4</v>
      </c>
      <c r="G48" s="34">
        <v>40299</v>
      </c>
      <c r="H48" s="1">
        <v>2.25</v>
      </c>
      <c r="I48" s="34">
        <v>40299</v>
      </c>
      <c r="J48" s="1">
        <v>140.68</v>
      </c>
      <c r="K48" s="34">
        <v>40299</v>
      </c>
      <c r="L48" s="1">
        <v>762.7</v>
      </c>
      <c r="M48" s="34">
        <v>40299</v>
      </c>
      <c r="N48" s="1">
        <v>168.9</v>
      </c>
    </row>
    <row r="49" spans="1:14" x14ac:dyDescent="0.25">
      <c r="A49" s="34">
        <v>40330</v>
      </c>
      <c r="B49" s="1">
        <v>750.7</v>
      </c>
      <c r="C49" s="34">
        <v>40330</v>
      </c>
      <c r="D49" s="1">
        <v>260</v>
      </c>
      <c r="E49" s="34">
        <v>40330</v>
      </c>
      <c r="F49" s="1">
        <v>8.3000000000000007</v>
      </c>
      <c r="G49" s="34">
        <v>40330</v>
      </c>
      <c r="H49" s="1">
        <v>1.96</v>
      </c>
      <c r="I49" s="34">
        <v>40330</v>
      </c>
      <c r="J49" s="1">
        <v>141.34</v>
      </c>
      <c r="K49" s="34">
        <v>40330</v>
      </c>
      <c r="L49" s="1">
        <v>753.2</v>
      </c>
      <c r="M49" s="34">
        <v>40330</v>
      </c>
      <c r="N49" s="1">
        <v>154.19999999999999</v>
      </c>
    </row>
    <row r="50" spans="1:14" x14ac:dyDescent="0.25">
      <c r="A50" s="34">
        <v>40360</v>
      </c>
      <c r="B50" s="1">
        <v>750.7</v>
      </c>
      <c r="C50" s="34">
        <v>40360</v>
      </c>
      <c r="D50" s="1">
        <v>126</v>
      </c>
      <c r="E50" s="34">
        <v>40360</v>
      </c>
      <c r="F50" s="1">
        <v>8.4</v>
      </c>
      <c r="G50" s="34">
        <v>40360</v>
      </c>
      <c r="H50" s="1">
        <v>0.71</v>
      </c>
      <c r="I50" s="34">
        <v>40360</v>
      </c>
      <c r="J50" s="1">
        <v>141.4</v>
      </c>
      <c r="K50" s="34">
        <v>40360</v>
      </c>
      <c r="L50" s="1">
        <v>747.7</v>
      </c>
      <c r="M50" s="34">
        <v>40360</v>
      </c>
      <c r="N50" s="1">
        <v>146.9</v>
      </c>
    </row>
    <row r="51" spans="1:14" x14ac:dyDescent="0.25">
      <c r="A51" s="34">
        <v>40391</v>
      </c>
      <c r="B51" s="1">
        <v>750.5</v>
      </c>
      <c r="C51" s="34">
        <v>40391</v>
      </c>
      <c r="D51" s="1">
        <v>122</v>
      </c>
      <c r="E51" s="34">
        <v>40391</v>
      </c>
      <c r="F51" s="1">
        <v>8.4</v>
      </c>
      <c r="G51" s="34">
        <v>40391</v>
      </c>
      <c r="H51" s="1">
        <v>0.44</v>
      </c>
      <c r="I51" s="34">
        <v>40391</v>
      </c>
      <c r="J51" s="1">
        <v>141.69</v>
      </c>
      <c r="K51" s="34">
        <v>40391</v>
      </c>
      <c r="L51" s="1">
        <v>748.1</v>
      </c>
      <c r="M51" s="34">
        <v>40391</v>
      </c>
      <c r="N51" s="1">
        <v>146.4</v>
      </c>
    </row>
    <row r="52" spans="1:14" x14ac:dyDescent="0.25">
      <c r="A52" s="34">
        <v>40422</v>
      </c>
      <c r="B52" s="1">
        <v>748.5</v>
      </c>
      <c r="C52" s="34">
        <v>40422</v>
      </c>
      <c r="D52" s="1">
        <v>175</v>
      </c>
      <c r="E52" s="34">
        <v>40422</v>
      </c>
      <c r="F52" s="1">
        <v>8.5</v>
      </c>
      <c r="G52" s="34">
        <v>40422</v>
      </c>
      <c r="H52" s="1">
        <v>-0.28000000000000003</v>
      </c>
      <c r="I52" s="34">
        <v>40422</v>
      </c>
      <c r="J52" s="1">
        <v>141.61000000000001</v>
      </c>
      <c r="K52" s="34">
        <v>40422</v>
      </c>
      <c r="L52" s="1">
        <v>754.8</v>
      </c>
      <c r="M52" s="34">
        <v>40422</v>
      </c>
      <c r="N52" s="1">
        <v>152</v>
      </c>
    </row>
    <row r="53" spans="1:14" x14ac:dyDescent="0.25">
      <c r="A53" s="34">
        <v>40452</v>
      </c>
      <c r="B53" s="1">
        <v>749.8</v>
      </c>
      <c r="C53" s="34">
        <v>40452</v>
      </c>
      <c r="D53" s="1">
        <v>95</v>
      </c>
      <c r="E53" s="34">
        <v>40452</v>
      </c>
      <c r="F53" s="1">
        <v>8.5</v>
      </c>
      <c r="G53" s="34">
        <v>40452</v>
      </c>
      <c r="H53" s="1">
        <v>0.28000000000000003</v>
      </c>
      <c r="I53" s="34">
        <v>40452</v>
      </c>
      <c r="J53" s="1">
        <v>141.72999999999999</v>
      </c>
      <c r="K53" s="34">
        <v>40452</v>
      </c>
      <c r="L53" s="1">
        <v>756.5</v>
      </c>
      <c r="M53" s="34">
        <v>40452</v>
      </c>
      <c r="N53" s="1">
        <v>153.6</v>
      </c>
    </row>
    <row r="54" spans="1:14" x14ac:dyDescent="0.25">
      <c r="A54" s="34">
        <v>40483</v>
      </c>
      <c r="B54" s="1">
        <v>750</v>
      </c>
      <c r="C54" s="34">
        <v>40483</v>
      </c>
      <c r="D54" s="1">
        <v>99</v>
      </c>
      <c r="E54" s="34">
        <v>40483</v>
      </c>
      <c r="F54" s="1">
        <v>8.5</v>
      </c>
      <c r="G54" s="34">
        <v>40483</v>
      </c>
      <c r="H54" s="1">
        <v>0.68</v>
      </c>
      <c r="I54" s="34">
        <v>40483</v>
      </c>
      <c r="J54" s="1">
        <v>141.76</v>
      </c>
      <c r="K54" s="34">
        <v>40483</v>
      </c>
      <c r="L54" s="1">
        <v>758.5</v>
      </c>
      <c r="M54" s="34">
        <v>40483</v>
      </c>
      <c r="N54" s="1">
        <v>154.6</v>
      </c>
    </row>
    <row r="55" spans="1:14" x14ac:dyDescent="0.25">
      <c r="A55" s="34">
        <v>40513</v>
      </c>
      <c r="B55" s="1">
        <v>748.2</v>
      </c>
      <c r="C55" s="34">
        <v>40513</v>
      </c>
      <c r="D55" s="1">
        <v>82</v>
      </c>
      <c r="E55" s="34">
        <v>40513</v>
      </c>
      <c r="F55" s="1">
        <v>8.4</v>
      </c>
      <c r="G55" s="34">
        <v>40513</v>
      </c>
      <c r="H55" s="1">
        <v>1.26</v>
      </c>
      <c r="I55" s="34">
        <v>40513</v>
      </c>
      <c r="J55" s="1">
        <v>142.02000000000001</v>
      </c>
      <c r="K55" s="34">
        <v>40513</v>
      </c>
      <c r="L55" s="1">
        <v>755.1</v>
      </c>
      <c r="M55" s="34">
        <v>40513</v>
      </c>
      <c r="N55" s="1">
        <v>154.4</v>
      </c>
    </row>
    <row r="56" spans="1:14" x14ac:dyDescent="0.25">
      <c r="A56" s="34">
        <v>40544</v>
      </c>
      <c r="B56" s="1">
        <v>747.1</v>
      </c>
      <c r="C56" s="34">
        <v>40544</v>
      </c>
      <c r="D56" s="1">
        <v>75</v>
      </c>
      <c r="E56" s="34">
        <v>40544</v>
      </c>
      <c r="F56" s="1">
        <v>8.3000000000000007</v>
      </c>
      <c r="G56" s="34">
        <v>40544</v>
      </c>
      <c r="H56" s="1">
        <v>1.6</v>
      </c>
      <c r="I56" s="34">
        <v>40544</v>
      </c>
      <c r="J56" s="1">
        <v>142.26</v>
      </c>
      <c r="K56" s="34">
        <v>40544</v>
      </c>
      <c r="L56" s="1">
        <v>729.9</v>
      </c>
      <c r="M56" s="34">
        <v>40544</v>
      </c>
      <c r="N56" s="1">
        <v>146.80000000000001</v>
      </c>
    </row>
    <row r="57" spans="1:14" x14ac:dyDescent="0.25">
      <c r="A57" s="34">
        <v>40575</v>
      </c>
      <c r="B57" s="1">
        <v>749.6</v>
      </c>
      <c r="C57" s="34">
        <v>40575</v>
      </c>
      <c r="D57" s="1">
        <v>147</v>
      </c>
      <c r="E57" s="34">
        <v>40575</v>
      </c>
      <c r="F57" s="1">
        <v>8.1</v>
      </c>
      <c r="G57" s="34">
        <v>40575</v>
      </c>
      <c r="H57" s="1">
        <v>1.96</v>
      </c>
      <c r="I57" s="34">
        <v>40575</v>
      </c>
      <c r="J57" s="1">
        <v>142.78</v>
      </c>
      <c r="K57" s="34">
        <v>40575</v>
      </c>
      <c r="L57" s="1">
        <v>736.5</v>
      </c>
      <c r="M57" s="34">
        <v>40575</v>
      </c>
      <c r="N57" s="1">
        <v>151</v>
      </c>
    </row>
    <row r="58" spans="1:14" x14ac:dyDescent="0.25">
      <c r="A58" s="34">
        <v>40603</v>
      </c>
      <c r="B58" s="1">
        <v>750.6</v>
      </c>
      <c r="C58" s="34">
        <v>40603</v>
      </c>
      <c r="D58" s="1">
        <v>142</v>
      </c>
      <c r="E58" s="34">
        <v>40603</v>
      </c>
      <c r="F58" s="1">
        <v>8</v>
      </c>
      <c r="G58" s="34">
        <v>40603</v>
      </c>
      <c r="H58" s="1">
        <v>1.76</v>
      </c>
      <c r="I58" s="34">
        <v>40603</v>
      </c>
      <c r="J58" s="1">
        <v>143.08000000000001</v>
      </c>
      <c r="K58" s="34">
        <v>40603</v>
      </c>
      <c r="L58" s="1">
        <v>745.2</v>
      </c>
      <c r="M58" s="34">
        <v>40603</v>
      </c>
      <c r="N58" s="1">
        <v>153.5</v>
      </c>
    </row>
    <row r="59" spans="1:14" x14ac:dyDescent="0.25">
      <c r="A59" s="34">
        <v>40634</v>
      </c>
      <c r="B59" s="1">
        <v>753.6</v>
      </c>
      <c r="C59" s="34">
        <v>40634</v>
      </c>
      <c r="D59" s="1">
        <v>131</v>
      </c>
      <c r="E59" s="34">
        <v>40634</v>
      </c>
      <c r="F59" s="1">
        <v>7.9</v>
      </c>
      <c r="G59" s="34">
        <v>40634</v>
      </c>
      <c r="H59" s="1">
        <v>1.44</v>
      </c>
      <c r="I59" s="34">
        <v>40634</v>
      </c>
      <c r="J59" s="1">
        <v>143.46</v>
      </c>
      <c r="K59" s="34">
        <v>40634</v>
      </c>
      <c r="L59" s="1">
        <v>755.1</v>
      </c>
      <c r="M59" s="34">
        <v>40634</v>
      </c>
      <c r="N59" s="1">
        <v>154.80000000000001</v>
      </c>
    </row>
    <row r="60" spans="1:14" x14ac:dyDescent="0.25">
      <c r="A60" s="34">
        <v>40664</v>
      </c>
      <c r="B60" s="1">
        <v>748.1</v>
      </c>
      <c r="C60" s="34">
        <v>40664</v>
      </c>
      <c r="D60" s="1">
        <v>142</v>
      </c>
      <c r="E60" s="34">
        <v>40664</v>
      </c>
      <c r="F60" s="1">
        <v>7.9</v>
      </c>
      <c r="G60" s="34">
        <v>40664</v>
      </c>
      <c r="H60" s="1">
        <v>0.69</v>
      </c>
      <c r="I60" s="34">
        <v>40664</v>
      </c>
      <c r="J60" s="1">
        <v>143.65</v>
      </c>
      <c r="K60" s="34">
        <v>40664</v>
      </c>
      <c r="L60" s="1">
        <v>759.2</v>
      </c>
      <c r="M60" s="34">
        <v>40664</v>
      </c>
      <c r="N60" s="1">
        <v>155</v>
      </c>
    </row>
    <row r="61" spans="1:14" x14ac:dyDescent="0.25">
      <c r="A61" s="34">
        <v>40695</v>
      </c>
      <c r="B61" s="1">
        <v>752.2</v>
      </c>
      <c r="C61" s="34">
        <v>40695</v>
      </c>
      <c r="D61" s="1">
        <v>187</v>
      </c>
      <c r="E61" s="34">
        <v>40695</v>
      </c>
      <c r="F61" s="1">
        <v>7.9</v>
      </c>
      <c r="G61" s="34">
        <v>40695</v>
      </c>
      <c r="H61" s="1">
        <v>0.77</v>
      </c>
      <c r="I61" s="34">
        <v>40695</v>
      </c>
      <c r="J61" s="1">
        <v>143.91999999999999</v>
      </c>
      <c r="K61" s="34">
        <v>40695</v>
      </c>
      <c r="L61" s="1">
        <v>753.7</v>
      </c>
      <c r="M61" s="34">
        <v>40695</v>
      </c>
      <c r="N61" s="1">
        <v>147.1</v>
      </c>
    </row>
    <row r="62" spans="1:14" x14ac:dyDescent="0.25">
      <c r="A62" s="34">
        <v>40725</v>
      </c>
      <c r="B62" s="1">
        <v>754.6</v>
      </c>
      <c r="C62" s="34">
        <v>40725</v>
      </c>
      <c r="D62" s="1">
        <v>185</v>
      </c>
      <c r="E62" s="34">
        <v>40725</v>
      </c>
      <c r="F62" s="1">
        <v>7.9</v>
      </c>
      <c r="G62" s="34">
        <v>40725</v>
      </c>
      <c r="H62" s="1">
        <v>0.8</v>
      </c>
      <c r="I62" s="34">
        <v>40725</v>
      </c>
      <c r="J62" s="1">
        <v>144.24</v>
      </c>
      <c r="K62" s="34">
        <v>40725</v>
      </c>
      <c r="L62" s="1">
        <v>748.8</v>
      </c>
      <c r="M62" s="34">
        <v>40725</v>
      </c>
      <c r="N62" s="1">
        <v>140.69999999999999</v>
      </c>
    </row>
    <row r="63" spans="1:14" x14ac:dyDescent="0.25">
      <c r="A63" s="34">
        <v>40756</v>
      </c>
      <c r="B63" s="1">
        <v>756.4</v>
      </c>
      <c r="C63" s="34">
        <v>40756</v>
      </c>
      <c r="D63" s="1">
        <v>167</v>
      </c>
      <c r="E63" s="34">
        <v>40756</v>
      </c>
      <c r="F63" s="1">
        <v>7.9</v>
      </c>
      <c r="G63" s="34">
        <v>40756</v>
      </c>
      <c r="H63" s="1">
        <v>1.23</v>
      </c>
      <c r="I63" s="34">
        <v>40756</v>
      </c>
      <c r="J63" s="1">
        <v>144.57</v>
      </c>
      <c r="K63" s="34">
        <v>40756</v>
      </c>
      <c r="L63" s="1">
        <v>753.6</v>
      </c>
      <c r="M63" s="34">
        <v>40756</v>
      </c>
      <c r="N63" s="1">
        <v>142.4</v>
      </c>
    </row>
    <row r="64" spans="1:14" x14ac:dyDescent="0.25">
      <c r="A64" s="34">
        <v>40787</v>
      </c>
      <c r="B64" s="1">
        <v>760</v>
      </c>
      <c r="C64" s="34">
        <v>40787</v>
      </c>
      <c r="D64" s="1">
        <v>165</v>
      </c>
      <c r="E64" s="34">
        <v>40787</v>
      </c>
      <c r="F64" s="1">
        <v>7.8</v>
      </c>
      <c r="G64" s="34">
        <v>40787</v>
      </c>
      <c r="H64" s="1">
        <v>1.76</v>
      </c>
      <c r="I64" s="34">
        <v>40787</v>
      </c>
      <c r="J64" s="1">
        <v>145.16999999999999</v>
      </c>
      <c r="K64" s="34">
        <v>40787</v>
      </c>
      <c r="L64" s="1">
        <v>766.2</v>
      </c>
      <c r="M64" s="34">
        <v>40787</v>
      </c>
      <c r="N64" s="1">
        <v>154.5</v>
      </c>
    </row>
    <row r="65" spans="1:14" x14ac:dyDescent="0.25">
      <c r="A65" s="34">
        <v>40817</v>
      </c>
      <c r="B65" s="1">
        <v>761.3</v>
      </c>
      <c r="C65" s="34">
        <v>40817</v>
      </c>
      <c r="D65" s="1">
        <v>137</v>
      </c>
      <c r="E65" s="34">
        <v>40817</v>
      </c>
      <c r="F65" s="1">
        <v>7.7</v>
      </c>
      <c r="G65" s="34">
        <v>40817</v>
      </c>
      <c r="H65" s="1">
        <v>1.98</v>
      </c>
      <c r="I65" s="34">
        <v>40817</v>
      </c>
      <c r="J65" s="1">
        <v>145.72</v>
      </c>
      <c r="K65" s="34">
        <v>40817</v>
      </c>
      <c r="L65" s="1">
        <v>768.4</v>
      </c>
      <c r="M65" s="34">
        <v>40817</v>
      </c>
      <c r="N65" s="1">
        <v>155.9</v>
      </c>
    </row>
    <row r="66" spans="1:14" x14ac:dyDescent="0.25">
      <c r="A66" s="34">
        <v>40848</v>
      </c>
      <c r="B66" s="1">
        <v>763.1</v>
      </c>
      <c r="C66" s="34">
        <v>40848</v>
      </c>
      <c r="D66" s="1">
        <v>75</v>
      </c>
      <c r="E66" s="34">
        <v>40848</v>
      </c>
      <c r="F66" s="1">
        <v>7.5</v>
      </c>
      <c r="G66" s="34">
        <v>40848</v>
      </c>
      <c r="H66" s="1">
        <v>2.42</v>
      </c>
      <c r="I66" s="34">
        <v>40848</v>
      </c>
      <c r="J66" s="1">
        <v>146.5</v>
      </c>
      <c r="K66" s="34">
        <v>40848</v>
      </c>
      <c r="L66" s="1">
        <v>771.8</v>
      </c>
      <c r="M66" s="34">
        <v>40848</v>
      </c>
      <c r="N66" s="1">
        <v>156.1</v>
      </c>
    </row>
    <row r="67" spans="1:14" x14ac:dyDescent="0.25">
      <c r="A67" s="34">
        <v>40878</v>
      </c>
      <c r="B67" s="1">
        <v>764.3</v>
      </c>
      <c r="C67" s="34">
        <v>40878</v>
      </c>
      <c r="D67" s="1">
        <v>209</v>
      </c>
      <c r="E67" s="34">
        <v>40878</v>
      </c>
      <c r="F67" s="1">
        <v>7.3</v>
      </c>
      <c r="G67" s="34">
        <v>40878</v>
      </c>
      <c r="H67" s="1">
        <v>2.31</v>
      </c>
      <c r="I67" s="34">
        <v>40878</v>
      </c>
      <c r="J67" s="1">
        <v>147.22</v>
      </c>
      <c r="K67" s="34">
        <v>40878</v>
      </c>
      <c r="L67" s="1">
        <v>771.2</v>
      </c>
      <c r="M67" s="34">
        <v>40878</v>
      </c>
      <c r="N67" s="1">
        <v>156</v>
      </c>
    </row>
    <row r="68" spans="1:14" x14ac:dyDescent="0.25">
      <c r="A68" s="34">
        <v>40909</v>
      </c>
      <c r="B68" s="1">
        <v>765.9</v>
      </c>
      <c r="C68" s="34">
        <v>40909</v>
      </c>
      <c r="D68" s="1">
        <v>74</v>
      </c>
      <c r="E68" s="34">
        <v>40909</v>
      </c>
      <c r="F68" s="1">
        <v>7.1</v>
      </c>
      <c r="G68" s="34">
        <v>40909</v>
      </c>
      <c r="H68" s="1">
        <v>2.04</v>
      </c>
      <c r="I68" s="34">
        <v>40909</v>
      </c>
      <c r="J68" s="1">
        <v>147.94999999999999</v>
      </c>
      <c r="K68" s="34">
        <v>40909</v>
      </c>
      <c r="L68" s="1">
        <v>748.7</v>
      </c>
      <c r="M68" s="34">
        <v>40909</v>
      </c>
      <c r="N68" s="1">
        <v>150.80000000000001</v>
      </c>
    </row>
    <row r="69" spans="1:14" x14ac:dyDescent="0.25">
      <c r="A69" s="34">
        <v>40940</v>
      </c>
      <c r="B69" s="1">
        <v>766.6</v>
      </c>
      <c r="C69" s="34">
        <v>40940</v>
      </c>
      <c r="D69" s="1">
        <v>82</v>
      </c>
      <c r="E69" s="34">
        <v>40940</v>
      </c>
      <c r="F69" s="1">
        <v>7</v>
      </c>
      <c r="G69" s="34">
        <v>40940</v>
      </c>
      <c r="H69" s="1">
        <v>1.33</v>
      </c>
      <c r="I69" s="34">
        <v>40940</v>
      </c>
      <c r="J69" s="1">
        <v>148.41</v>
      </c>
      <c r="K69" s="34">
        <v>40940</v>
      </c>
      <c r="L69" s="1">
        <v>754.5</v>
      </c>
      <c r="M69" s="34">
        <v>40940</v>
      </c>
      <c r="N69" s="1">
        <v>154.80000000000001</v>
      </c>
    </row>
    <row r="70" spans="1:14" x14ac:dyDescent="0.25">
      <c r="A70" s="34">
        <v>40969</v>
      </c>
      <c r="B70" s="1">
        <v>767.8</v>
      </c>
      <c r="C70" s="34">
        <v>40969</v>
      </c>
      <c r="D70" s="1">
        <v>228</v>
      </c>
      <c r="E70" s="34">
        <v>40969</v>
      </c>
      <c r="F70" s="1">
        <v>7</v>
      </c>
      <c r="G70" s="34">
        <v>40969</v>
      </c>
      <c r="H70" s="1">
        <v>0.19</v>
      </c>
      <c r="I70" s="34">
        <v>40969</v>
      </c>
      <c r="J70" s="1">
        <v>148.61000000000001</v>
      </c>
      <c r="K70" s="34">
        <v>40969</v>
      </c>
      <c r="L70" s="1">
        <v>762.6</v>
      </c>
      <c r="M70" s="34">
        <v>40969</v>
      </c>
      <c r="N70" s="1">
        <v>156.6</v>
      </c>
    </row>
    <row r="71" spans="1:14" x14ac:dyDescent="0.25">
      <c r="A71" s="34">
        <v>41000</v>
      </c>
      <c r="B71" s="1">
        <v>767.4</v>
      </c>
      <c r="C71" s="34">
        <v>41000</v>
      </c>
      <c r="D71" s="1">
        <v>208</v>
      </c>
      <c r="E71" s="34">
        <v>41000</v>
      </c>
      <c r="F71" s="1">
        <v>7.1</v>
      </c>
      <c r="G71" s="34">
        <v>41000</v>
      </c>
      <c r="H71" s="1">
        <v>-0.63</v>
      </c>
      <c r="I71" s="34">
        <v>41000</v>
      </c>
      <c r="J71" s="1">
        <v>148.54</v>
      </c>
      <c r="K71" s="34">
        <v>41000</v>
      </c>
      <c r="L71" s="1">
        <v>768.1</v>
      </c>
      <c r="M71" s="34">
        <v>41000</v>
      </c>
      <c r="N71" s="1">
        <v>156</v>
      </c>
    </row>
    <row r="72" spans="1:14" x14ac:dyDescent="0.25">
      <c r="A72" s="34">
        <v>41030</v>
      </c>
      <c r="B72" s="1">
        <v>770.9</v>
      </c>
      <c r="C72" s="34">
        <v>41030</v>
      </c>
      <c r="D72" s="1">
        <v>208</v>
      </c>
      <c r="E72" s="34">
        <v>41030</v>
      </c>
      <c r="F72" s="1">
        <v>7.3</v>
      </c>
      <c r="G72" s="34">
        <v>41030</v>
      </c>
      <c r="H72" s="1">
        <v>-1.36</v>
      </c>
      <c r="I72" s="34">
        <v>41030</v>
      </c>
      <c r="J72" s="1">
        <v>148.15</v>
      </c>
      <c r="K72" s="34">
        <v>41030</v>
      </c>
      <c r="L72" s="1">
        <v>782.3</v>
      </c>
      <c r="M72" s="34">
        <v>41030</v>
      </c>
      <c r="N72" s="1">
        <v>166.9</v>
      </c>
    </row>
    <row r="73" spans="1:14" x14ac:dyDescent="0.25">
      <c r="A73" s="34">
        <v>41061</v>
      </c>
      <c r="B73" s="1">
        <v>762.4</v>
      </c>
      <c r="C73" s="34">
        <v>41061</v>
      </c>
      <c r="D73" s="1">
        <v>168</v>
      </c>
      <c r="E73" s="34">
        <v>41061</v>
      </c>
      <c r="F73" s="1">
        <v>7.4</v>
      </c>
      <c r="G73" s="34">
        <v>41061</v>
      </c>
      <c r="H73" s="1">
        <v>-0.8</v>
      </c>
      <c r="I73" s="34">
        <v>41061</v>
      </c>
      <c r="J73" s="1">
        <v>147.94999999999999</v>
      </c>
      <c r="K73" s="34">
        <v>41061</v>
      </c>
      <c r="L73" s="1">
        <v>763.6</v>
      </c>
      <c r="M73" s="34">
        <v>41061</v>
      </c>
      <c r="N73" s="1">
        <v>147.4</v>
      </c>
    </row>
    <row r="74" spans="1:14" x14ac:dyDescent="0.25">
      <c r="A74" s="34">
        <v>41091</v>
      </c>
      <c r="B74" s="1">
        <v>761.8</v>
      </c>
      <c r="C74" s="34">
        <v>41091</v>
      </c>
      <c r="D74" s="1">
        <v>215</v>
      </c>
      <c r="E74" s="34">
        <v>41091</v>
      </c>
      <c r="F74" s="1">
        <v>7.5</v>
      </c>
      <c r="G74" s="34">
        <v>41091</v>
      </c>
      <c r="H74" s="1">
        <v>-0.42</v>
      </c>
      <c r="I74" s="34">
        <v>41091</v>
      </c>
      <c r="J74" s="1">
        <v>147.66</v>
      </c>
      <c r="K74" s="34">
        <v>41091</v>
      </c>
      <c r="L74" s="1">
        <v>755.7</v>
      </c>
      <c r="M74" s="34">
        <v>41091</v>
      </c>
      <c r="N74" s="1">
        <v>141.69999999999999</v>
      </c>
    </row>
    <row r="75" spans="1:14" x14ac:dyDescent="0.25">
      <c r="A75" s="34">
        <v>41122</v>
      </c>
      <c r="B75" s="1">
        <v>761.8</v>
      </c>
      <c r="C75" s="34">
        <v>41122</v>
      </c>
      <c r="D75" s="1">
        <v>142</v>
      </c>
      <c r="E75" s="34">
        <v>41122</v>
      </c>
      <c r="F75" s="1">
        <v>7.5</v>
      </c>
      <c r="G75" s="34">
        <v>41122</v>
      </c>
      <c r="H75" s="1">
        <v>-7.0000000000000007E-2</v>
      </c>
      <c r="I75" s="34">
        <v>41122</v>
      </c>
      <c r="J75" s="1">
        <v>147.58000000000001</v>
      </c>
      <c r="K75" s="34">
        <v>41122</v>
      </c>
      <c r="L75" s="1">
        <v>758.6</v>
      </c>
      <c r="M75" s="34">
        <v>41122</v>
      </c>
      <c r="N75" s="1">
        <v>142.80000000000001</v>
      </c>
    </row>
    <row r="76" spans="1:14" x14ac:dyDescent="0.25">
      <c r="A76" s="34">
        <v>41153</v>
      </c>
      <c r="B76" s="1">
        <v>765.2</v>
      </c>
      <c r="C76" s="34">
        <v>41153</v>
      </c>
      <c r="D76" s="1">
        <v>93</v>
      </c>
      <c r="E76" s="34">
        <v>41153</v>
      </c>
      <c r="F76" s="1">
        <v>7.5</v>
      </c>
      <c r="G76" s="34">
        <v>41153</v>
      </c>
      <c r="H76" s="1">
        <v>0.32</v>
      </c>
      <c r="I76" s="34">
        <v>41153</v>
      </c>
      <c r="J76" s="1">
        <v>147.44999999999999</v>
      </c>
      <c r="K76" s="34">
        <v>41153</v>
      </c>
      <c r="L76" s="1">
        <v>770.7</v>
      </c>
      <c r="M76" s="34">
        <v>41153</v>
      </c>
      <c r="N76" s="1">
        <v>153.80000000000001</v>
      </c>
    </row>
    <row r="77" spans="1:14" x14ac:dyDescent="0.25">
      <c r="A77" s="34">
        <v>41183</v>
      </c>
      <c r="B77" s="1">
        <v>764.9</v>
      </c>
      <c r="C77" s="34">
        <v>41183</v>
      </c>
      <c r="D77" s="1">
        <v>212</v>
      </c>
      <c r="E77" s="34">
        <v>41183</v>
      </c>
      <c r="F77" s="1">
        <v>7.4</v>
      </c>
      <c r="G77" s="34">
        <v>41183</v>
      </c>
      <c r="H77" s="1">
        <v>0.61</v>
      </c>
      <c r="I77" s="34">
        <v>41183</v>
      </c>
      <c r="J77" s="1">
        <v>147.52000000000001</v>
      </c>
      <c r="K77" s="34">
        <v>41183</v>
      </c>
      <c r="L77" s="1">
        <v>771.9</v>
      </c>
      <c r="M77" s="34">
        <v>41183</v>
      </c>
      <c r="N77" s="1">
        <v>156.1</v>
      </c>
    </row>
    <row r="78" spans="1:14" x14ac:dyDescent="0.25">
      <c r="A78" s="34">
        <v>41214</v>
      </c>
      <c r="B78" s="1">
        <v>763.9</v>
      </c>
      <c r="C78" s="34">
        <v>41214</v>
      </c>
      <c r="D78" s="1">
        <v>137</v>
      </c>
      <c r="E78" s="34">
        <v>41214</v>
      </c>
      <c r="F78" s="1">
        <v>7.2</v>
      </c>
      <c r="G78" s="34">
        <v>41214</v>
      </c>
      <c r="H78" s="1">
        <v>1.2</v>
      </c>
      <c r="I78" s="34">
        <v>41214</v>
      </c>
      <c r="J78" s="1">
        <v>147.83000000000001</v>
      </c>
      <c r="K78" s="34">
        <v>41214</v>
      </c>
      <c r="L78" s="1">
        <v>772.5</v>
      </c>
      <c r="M78" s="34">
        <v>41214</v>
      </c>
      <c r="N78" s="1">
        <v>157.4</v>
      </c>
    </row>
    <row r="79" spans="1:14" x14ac:dyDescent="0.25">
      <c r="A79" s="34">
        <v>41244</v>
      </c>
      <c r="B79" s="1">
        <v>763.9</v>
      </c>
      <c r="C79" s="34">
        <v>41244</v>
      </c>
      <c r="D79" s="1">
        <v>137</v>
      </c>
      <c r="E79" s="34">
        <v>41244</v>
      </c>
      <c r="F79" s="1">
        <v>7.1</v>
      </c>
      <c r="G79" s="34">
        <v>41244</v>
      </c>
      <c r="H79" s="1">
        <v>1.03</v>
      </c>
      <c r="I79" s="34">
        <v>41244</v>
      </c>
      <c r="J79" s="1">
        <v>147.84</v>
      </c>
      <c r="K79" s="34">
        <v>41244</v>
      </c>
      <c r="L79" s="1">
        <v>772</v>
      </c>
      <c r="M79" s="34">
        <v>41244</v>
      </c>
      <c r="N79" s="1">
        <v>157.19999999999999</v>
      </c>
    </row>
    <row r="80" spans="1:14" x14ac:dyDescent="0.25">
      <c r="A80" s="34">
        <v>41275</v>
      </c>
      <c r="B80" s="1">
        <v>764.4</v>
      </c>
      <c r="C80" s="34">
        <v>41275</v>
      </c>
      <c r="D80" s="1">
        <v>159</v>
      </c>
      <c r="E80" s="34">
        <v>41275</v>
      </c>
      <c r="F80" s="1">
        <v>6.9</v>
      </c>
      <c r="G80" s="34">
        <v>41275</v>
      </c>
      <c r="H80" s="1">
        <v>0.8</v>
      </c>
      <c r="I80" s="34">
        <v>41275</v>
      </c>
      <c r="J80" s="1">
        <v>148.13999999999999</v>
      </c>
      <c r="K80" s="34">
        <v>41275</v>
      </c>
      <c r="L80" s="1">
        <v>747.3</v>
      </c>
      <c r="M80" s="34">
        <v>41275</v>
      </c>
      <c r="N80" s="1">
        <v>150.5</v>
      </c>
    </row>
    <row r="81" spans="1:14" x14ac:dyDescent="0.25">
      <c r="A81" s="34">
        <v>41306</v>
      </c>
      <c r="B81" s="1">
        <v>764.8</v>
      </c>
      <c r="C81" s="34">
        <v>41306</v>
      </c>
      <c r="D81" s="1">
        <v>182</v>
      </c>
      <c r="E81" s="34">
        <v>41306</v>
      </c>
      <c r="F81" s="1">
        <v>6.8</v>
      </c>
      <c r="G81" s="34">
        <v>41306</v>
      </c>
      <c r="H81" s="1">
        <v>0.44</v>
      </c>
      <c r="I81" s="34">
        <v>41306</v>
      </c>
      <c r="J81" s="1">
        <v>148.13999999999999</v>
      </c>
      <c r="K81" s="34">
        <v>41306</v>
      </c>
      <c r="L81" s="1">
        <v>752.8</v>
      </c>
      <c r="M81" s="34">
        <v>41306</v>
      </c>
      <c r="N81" s="1">
        <v>154.9</v>
      </c>
    </row>
    <row r="82" spans="1:14" x14ac:dyDescent="0.25">
      <c r="A82" s="34">
        <v>41334</v>
      </c>
      <c r="B82" s="1">
        <v>763.9</v>
      </c>
      <c r="C82" s="34">
        <v>41334</v>
      </c>
      <c r="D82" s="1">
        <v>173</v>
      </c>
      <c r="E82" s="34">
        <v>41334</v>
      </c>
      <c r="F82" s="1">
        <v>6.6</v>
      </c>
      <c r="G82" s="34">
        <v>41334</v>
      </c>
      <c r="H82" s="1">
        <v>0.33</v>
      </c>
      <c r="I82" s="34">
        <v>41334</v>
      </c>
      <c r="J82" s="1">
        <v>148.43</v>
      </c>
      <c r="K82" s="34">
        <v>41334</v>
      </c>
      <c r="L82" s="1">
        <v>758.9</v>
      </c>
      <c r="M82" s="34">
        <v>41334</v>
      </c>
      <c r="N82" s="1">
        <v>156.1</v>
      </c>
    </row>
    <row r="83" spans="1:14" x14ac:dyDescent="0.25">
      <c r="A83" s="34">
        <v>41365</v>
      </c>
      <c r="B83" s="1">
        <v>764</v>
      </c>
      <c r="C83" s="34">
        <v>41365</v>
      </c>
      <c r="D83" s="1">
        <v>366</v>
      </c>
      <c r="E83" s="34">
        <v>41365</v>
      </c>
      <c r="F83" s="1">
        <v>6.5</v>
      </c>
      <c r="G83" s="34">
        <v>41365</v>
      </c>
      <c r="H83" s="1">
        <v>0.35</v>
      </c>
      <c r="I83" s="34">
        <v>41365</v>
      </c>
      <c r="J83" s="1">
        <v>148.49</v>
      </c>
      <c r="K83" s="34">
        <v>41365</v>
      </c>
      <c r="L83" s="1">
        <v>764.8</v>
      </c>
      <c r="M83" s="34">
        <v>41365</v>
      </c>
      <c r="N83" s="1">
        <v>156.19999999999999</v>
      </c>
    </row>
    <row r="84" spans="1:14" x14ac:dyDescent="0.25">
      <c r="A84" s="34">
        <v>41395</v>
      </c>
      <c r="B84" s="1">
        <v>759.2</v>
      </c>
      <c r="C84" s="34">
        <v>41395</v>
      </c>
      <c r="D84" s="1">
        <v>256</v>
      </c>
      <c r="E84" s="34">
        <v>41395</v>
      </c>
      <c r="F84" s="1">
        <v>6.5</v>
      </c>
      <c r="G84" s="34">
        <v>41395</v>
      </c>
      <c r="H84" s="1">
        <v>-0.57999999999999996</v>
      </c>
      <c r="I84" s="34">
        <v>41395</v>
      </c>
      <c r="J84" s="1">
        <v>148.34</v>
      </c>
      <c r="K84" s="34">
        <v>41395</v>
      </c>
      <c r="L84" s="1">
        <v>770.6</v>
      </c>
      <c r="M84" s="34">
        <v>41395</v>
      </c>
      <c r="N84" s="1">
        <v>157.5</v>
      </c>
    </row>
    <row r="85" spans="1:14" x14ac:dyDescent="0.25">
      <c r="A85" s="34">
        <v>41426</v>
      </c>
      <c r="B85" s="1">
        <v>763</v>
      </c>
      <c r="C85" s="34">
        <v>41426</v>
      </c>
      <c r="D85" s="1">
        <v>164</v>
      </c>
      <c r="E85" s="34">
        <v>41426</v>
      </c>
      <c r="F85" s="1">
        <v>6.5</v>
      </c>
      <c r="G85" s="34">
        <v>41426</v>
      </c>
      <c r="H85" s="1">
        <v>-0.36</v>
      </c>
      <c r="I85" s="34">
        <v>41426</v>
      </c>
      <c r="J85" s="1">
        <v>148.25</v>
      </c>
      <c r="K85" s="34">
        <v>41426</v>
      </c>
      <c r="L85" s="1">
        <v>764.2</v>
      </c>
      <c r="M85" s="34">
        <v>41426</v>
      </c>
      <c r="N85" s="1">
        <v>151.9</v>
      </c>
    </row>
    <row r="86" spans="1:14" x14ac:dyDescent="0.25">
      <c r="A86" s="34">
        <v>41456</v>
      </c>
      <c r="B86" s="1">
        <v>764</v>
      </c>
      <c r="C86" s="34">
        <v>41456</v>
      </c>
      <c r="D86" s="1">
        <v>183</v>
      </c>
      <c r="E86" s="34">
        <v>41456</v>
      </c>
      <c r="F86" s="1">
        <v>6.5</v>
      </c>
      <c r="G86" s="34">
        <v>41456</v>
      </c>
      <c r="H86" s="1">
        <v>0.24</v>
      </c>
      <c r="I86" s="34">
        <v>41456</v>
      </c>
      <c r="J86" s="1">
        <v>148.19999999999999</v>
      </c>
      <c r="K86" s="34">
        <v>41456</v>
      </c>
      <c r="L86" s="1">
        <v>757.3</v>
      </c>
      <c r="M86" s="34">
        <v>41456</v>
      </c>
      <c r="N86" s="1">
        <v>145</v>
      </c>
    </row>
    <row r="87" spans="1:14" x14ac:dyDescent="0.25">
      <c r="A87" s="34">
        <v>41487</v>
      </c>
      <c r="B87" s="1">
        <v>763.8</v>
      </c>
      <c r="C87" s="34">
        <v>41487</v>
      </c>
      <c r="D87" s="1">
        <v>260</v>
      </c>
      <c r="E87" s="34">
        <v>41487</v>
      </c>
      <c r="F87" s="1">
        <v>6.5</v>
      </c>
      <c r="G87" s="34">
        <v>41487</v>
      </c>
      <c r="H87" s="1">
        <v>0.55000000000000004</v>
      </c>
      <c r="I87" s="34">
        <v>41487</v>
      </c>
      <c r="J87" s="1">
        <v>148.16999999999999</v>
      </c>
      <c r="K87" s="34">
        <v>41487</v>
      </c>
      <c r="L87" s="1">
        <v>760.2</v>
      </c>
      <c r="M87" s="34">
        <v>41487</v>
      </c>
      <c r="N87" s="1">
        <v>146.30000000000001</v>
      </c>
    </row>
    <row r="88" spans="1:14" x14ac:dyDescent="0.25">
      <c r="A88" s="34">
        <v>41518</v>
      </c>
      <c r="B88" s="1">
        <v>760.9</v>
      </c>
      <c r="C88" s="34">
        <v>41518</v>
      </c>
      <c r="D88" s="1">
        <v>174</v>
      </c>
      <c r="E88" s="34">
        <v>41518</v>
      </c>
      <c r="F88" s="1">
        <v>6.4</v>
      </c>
      <c r="G88" s="34">
        <v>41518</v>
      </c>
      <c r="H88" s="1">
        <v>1.1399999999999999</v>
      </c>
      <c r="I88" s="34">
        <v>41518</v>
      </c>
      <c r="J88" s="1">
        <v>148.41999999999999</v>
      </c>
      <c r="K88" s="34">
        <v>41518</v>
      </c>
      <c r="L88" s="1">
        <v>766.4</v>
      </c>
      <c r="M88" s="34">
        <v>41518</v>
      </c>
      <c r="N88" s="1">
        <v>153.5</v>
      </c>
    </row>
    <row r="89" spans="1:14" x14ac:dyDescent="0.25">
      <c r="A89" s="34">
        <v>41548</v>
      </c>
      <c r="B89" s="1">
        <v>763.9</v>
      </c>
      <c r="C89" s="34">
        <v>41548</v>
      </c>
      <c r="D89" s="1">
        <v>166</v>
      </c>
      <c r="E89" s="34">
        <v>41548</v>
      </c>
      <c r="F89" s="1">
        <v>6.3</v>
      </c>
      <c r="G89" s="34">
        <v>41548</v>
      </c>
      <c r="H89" s="1">
        <v>1.68</v>
      </c>
      <c r="I89" s="34">
        <v>41548</v>
      </c>
      <c r="J89" s="1">
        <v>148.72</v>
      </c>
      <c r="K89" s="34">
        <v>41548</v>
      </c>
      <c r="L89" s="1">
        <v>771.1</v>
      </c>
      <c r="M89" s="34">
        <v>41548</v>
      </c>
      <c r="N89" s="1">
        <v>157.1</v>
      </c>
    </row>
    <row r="90" spans="1:14" x14ac:dyDescent="0.25">
      <c r="A90" s="34">
        <v>41579</v>
      </c>
      <c r="B90" s="1">
        <v>764.8</v>
      </c>
      <c r="C90" s="34">
        <v>41579</v>
      </c>
      <c r="D90" s="1">
        <v>152</v>
      </c>
      <c r="E90" s="34">
        <v>41579</v>
      </c>
      <c r="F90" s="1">
        <v>6.2</v>
      </c>
      <c r="G90" s="34">
        <v>41579</v>
      </c>
      <c r="H90" s="1">
        <v>1.55</v>
      </c>
      <c r="I90" s="34">
        <v>41579</v>
      </c>
      <c r="J90" s="1">
        <v>149.05000000000001</v>
      </c>
      <c r="K90" s="34">
        <v>41579</v>
      </c>
      <c r="L90" s="1">
        <v>774</v>
      </c>
      <c r="M90" s="34">
        <v>41579</v>
      </c>
      <c r="N90" s="1">
        <v>158.1</v>
      </c>
    </row>
    <row r="91" spans="1:14" x14ac:dyDescent="0.25">
      <c r="A91" s="34">
        <v>41609</v>
      </c>
      <c r="B91" s="1">
        <v>764.8</v>
      </c>
      <c r="C91" s="34">
        <v>41609</v>
      </c>
      <c r="D91" s="1">
        <v>107</v>
      </c>
      <c r="E91" s="34">
        <v>41609</v>
      </c>
      <c r="F91" s="1">
        <v>6</v>
      </c>
      <c r="G91" s="34">
        <v>41609</v>
      </c>
      <c r="H91" s="1">
        <v>2.1</v>
      </c>
      <c r="I91" s="34">
        <v>41609</v>
      </c>
      <c r="J91" s="1">
        <v>149.69</v>
      </c>
      <c r="K91" s="34">
        <v>41609</v>
      </c>
      <c r="L91" s="1">
        <v>770.1</v>
      </c>
      <c r="M91" s="34">
        <v>41609</v>
      </c>
      <c r="N91" s="1">
        <v>157.80000000000001</v>
      </c>
    </row>
    <row r="92" spans="1:14" x14ac:dyDescent="0.25">
      <c r="A92" s="34">
        <v>41640</v>
      </c>
      <c r="B92" s="1">
        <v>762</v>
      </c>
      <c r="C92" s="34">
        <v>41640</v>
      </c>
      <c r="D92" s="1">
        <v>141</v>
      </c>
      <c r="E92" s="34">
        <v>41640</v>
      </c>
      <c r="F92" s="1">
        <v>5.9</v>
      </c>
      <c r="G92" s="34">
        <v>41640</v>
      </c>
      <c r="H92" s="1">
        <v>2.02</v>
      </c>
      <c r="I92" s="34">
        <v>41640</v>
      </c>
      <c r="J92" s="1">
        <v>150.15</v>
      </c>
      <c r="K92" s="34">
        <v>41640</v>
      </c>
      <c r="L92" s="1">
        <v>747.4</v>
      </c>
      <c r="M92" s="34">
        <v>41640</v>
      </c>
      <c r="N92" s="1">
        <v>151.19999999999999</v>
      </c>
    </row>
    <row r="93" spans="1:14" x14ac:dyDescent="0.25">
      <c r="A93" s="34">
        <v>41671</v>
      </c>
      <c r="B93" s="1">
        <v>766.5</v>
      </c>
      <c r="C93" s="34">
        <v>41671</v>
      </c>
      <c r="D93" s="1">
        <v>73</v>
      </c>
      <c r="E93" s="34">
        <v>41671</v>
      </c>
      <c r="F93" s="1">
        <v>5.9</v>
      </c>
      <c r="G93" s="34">
        <v>41671</v>
      </c>
      <c r="H93" s="1">
        <v>1.66</v>
      </c>
      <c r="I93" s="34">
        <v>41671</v>
      </c>
      <c r="J93" s="1">
        <v>150.51</v>
      </c>
      <c r="K93" s="34">
        <v>41671</v>
      </c>
      <c r="L93" s="1">
        <v>754.9</v>
      </c>
      <c r="M93" s="34">
        <v>41671</v>
      </c>
      <c r="N93" s="1">
        <v>155.80000000000001</v>
      </c>
    </row>
    <row r="94" spans="1:14" x14ac:dyDescent="0.25">
      <c r="A94" s="34">
        <v>41699</v>
      </c>
      <c r="B94" s="1">
        <v>768.2</v>
      </c>
      <c r="C94" s="34">
        <v>41699</v>
      </c>
      <c r="D94" s="1">
        <v>163</v>
      </c>
      <c r="E94" s="34">
        <v>41699</v>
      </c>
      <c r="F94" s="1">
        <v>6.1</v>
      </c>
      <c r="G94" s="34">
        <v>41699</v>
      </c>
      <c r="H94" s="1">
        <v>-0.15</v>
      </c>
      <c r="I94" s="34">
        <v>41699</v>
      </c>
      <c r="J94" s="1">
        <v>150.38</v>
      </c>
      <c r="K94" s="34">
        <v>41699</v>
      </c>
      <c r="L94" s="1">
        <v>762.7</v>
      </c>
      <c r="M94" s="34">
        <v>41699</v>
      </c>
      <c r="N94" s="1">
        <v>157.19999999999999</v>
      </c>
    </row>
    <row r="95" spans="1:14" x14ac:dyDescent="0.25">
      <c r="A95" s="34">
        <v>41730</v>
      </c>
      <c r="B95" s="1">
        <v>771.2</v>
      </c>
      <c r="C95" s="34">
        <v>41730</v>
      </c>
      <c r="D95" s="1">
        <v>191</v>
      </c>
      <c r="E95" s="34">
        <v>41730</v>
      </c>
      <c r="F95" s="1">
        <v>6</v>
      </c>
      <c r="G95" s="34">
        <v>41730</v>
      </c>
      <c r="H95" s="1">
        <v>1.9</v>
      </c>
      <c r="I95" s="34">
        <v>41730</v>
      </c>
      <c r="J95" s="1">
        <v>151.26</v>
      </c>
      <c r="K95" s="34">
        <v>41730</v>
      </c>
      <c r="L95" s="1">
        <v>772.8</v>
      </c>
      <c r="M95" s="34">
        <v>41730</v>
      </c>
      <c r="N95" s="1">
        <v>157.6</v>
      </c>
    </row>
    <row r="96" spans="1:14" x14ac:dyDescent="0.25">
      <c r="A96" s="34">
        <v>41760</v>
      </c>
      <c r="B96" s="1">
        <v>783.2</v>
      </c>
      <c r="C96" s="34">
        <v>41760</v>
      </c>
      <c r="D96" s="1">
        <v>147</v>
      </c>
      <c r="E96" s="34">
        <v>41760</v>
      </c>
      <c r="F96" s="1">
        <v>6.3</v>
      </c>
      <c r="G96" s="34">
        <v>41760</v>
      </c>
      <c r="H96" s="1">
        <v>0.38</v>
      </c>
      <c r="I96" s="34">
        <v>41760</v>
      </c>
      <c r="J96" s="1">
        <v>150.94999999999999</v>
      </c>
      <c r="K96" s="34">
        <v>41760</v>
      </c>
      <c r="L96" s="1">
        <v>790.1</v>
      </c>
      <c r="M96" s="34">
        <v>41760</v>
      </c>
      <c r="N96" s="1">
        <v>168.4</v>
      </c>
    </row>
    <row r="97" spans="1:14" x14ac:dyDescent="0.25">
      <c r="A97" s="34">
        <v>41791</v>
      </c>
      <c r="B97" s="1">
        <v>774.6</v>
      </c>
      <c r="C97" s="34">
        <v>41791</v>
      </c>
      <c r="D97" s="1">
        <v>176</v>
      </c>
      <c r="E97" s="34">
        <v>41791</v>
      </c>
      <c r="F97" s="1">
        <v>6.2</v>
      </c>
      <c r="G97" s="34">
        <v>41791</v>
      </c>
      <c r="H97" s="1">
        <v>1.58</v>
      </c>
      <c r="I97" s="34">
        <v>41791</v>
      </c>
      <c r="J97" s="1">
        <v>151.81</v>
      </c>
      <c r="K97" s="34">
        <v>41791</v>
      </c>
      <c r="L97" s="1">
        <v>777.4</v>
      </c>
      <c r="M97" s="34">
        <v>41791</v>
      </c>
      <c r="N97" s="1">
        <v>153.19999999999999</v>
      </c>
    </row>
    <row r="98" spans="1:14" x14ac:dyDescent="0.25">
      <c r="A98" s="34">
        <v>41821</v>
      </c>
      <c r="B98" s="1">
        <v>771.9</v>
      </c>
      <c r="C98" s="34">
        <v>41821</v>
      </c>
      <c r="D98" s="1">
        <v>204</v>
      </c>
      <c r="E98" s="34">
        <v>41821</v>
      </c>
      <c r="F98" s="1">
        <v>6.3</v>
      </c>
      <c r="G98" s="34">
        <v>41821</v>
      </c>
      <c r="H98" s="1">
        <v>1.39</v>
      </c>
      <c r="I98" s="34">
        <v>41821</v>
      </c>
      <c r="J98" s="1">
        <v>152.03</v>
      </c>
      <c r="K98" s="34">
        <v>41821</v>
      </c>
      <c r="L98" s="1">
        <v>770.9</v>
      </c>
      <c r="M98" s="34">
        <v>41821</v>
      </c>
      <c r="N98" s="1">
        <v>146.5</v>
      </c>
    </row>
    <row r="99" spans="1:14" x14ac:dyDescent="0.25">
      <c r="A99" s="34">
        <v>41852</v>
      </c>
      <c r="B99" s="1">
        <v>771.4</v>
      </c>
      <c r="C99" s="34">
        <v>41852</v>
      </c>
      <c r="D99" s="1">
        <v>230</v>
      </c>
      <c r="E99" s="34">
        <v>41852</v>
      </c>
      <c r="F99" s="1">
        <v>6.6</v>
      </c>
      <c r="G99" s="34">
        <v>41852</v>
      </c>
      <c r="H99" s="1">
        <v>-0.56000000000000005</v>
      </c>
      <c r="I99" s="34">
        <v>41852</v>
      </c>
      <c r="J99" s="1">
        <v>151.61000000000001</v>
      </c>
      <c r="K99" s="34">
        <v>41852</v>
      </c>
      <c r="L99" s="1">
        <v>769.9</v>
      </c>
      <c r="M99" s="34">
        <v>41852</v>
      </c>
      <c r="N99" s="1">
        <v>146.30000000000001</v>
      </c>
    </row>
    <row r="100" spans="1:14" x14ac:dyDescent="0.25">
      <c r="A100" s="34">
        <v>41883</v>
      </c>
      <c r="B100" s="5">
        <v>776.5</v>
      </c>
      <c r="C100" s="34">
        <v>41883</v>
      </c>
      <c r="D100" s="1">
        <v>217</v>
      </c>
      <c r="E100" s="34">
        <v>41883</v>
      </c>
      <c r="F100" s="1">
        <v>6.6</v>
      </c>
      <c r="G100" s="34">
        <v>41883</v>
      </c>
      <c r="H100" s="1">
        <v>-0.51</v>
      </c>
      <c r="I100" s="34">
        <v>41883</v>
      </c>
      <c r="J100" s="1">
        <v>151.91</v>
      </c>
      <c r="K100" s="34">
        <v>41883</v>
      </c>
      <c r="L100" s="5">
        <v>779.8</v>
      </c>
      <c r="M100" s="34">
        <v>41883</v>
      </c>
      <c r="N100" s="5">
        <v>154.5</v>
      </c>
    </row>
    <row r="101" spans="1:14" x14ac:dyDescent="0.25">
      <c r="A101" s="34">
        <v>41913</v>
      </c>
      <c r="B101" s="1">
        <v>777.2</v>
      </c>
      <c r="C101" s="34">
        <v>41913</v>
      </c>
      <c r="D101" s="1">
        <v>175</v>
      </c>
      <c r="E101" s="34">
        <v>41913</v>
      </c>
      <c r="F101" s="1">
        <v>6.5</v>
      </c>
      <c r="G101" s="34">
        <v>41913</v>
      </c>
      <c r="H101" s="1">
        <v>1.81</v>
      </c>
      <c r="I101" s="34">
        <v>41913</v>
      </c>
      <c r="J101" s="1">
        <v>152.31</v>
      </c>
      <c r="K101" s="34">
        <v>41913</v>
      </c>
      <c r="L101" s="1">
        <v>784</v>
      </c>
      <c r="M101" s="34">
        <v>41913</v>
      </c>
      <c r="N101" s="1">
        <v>156.9</v>
      </c>
    </row>
    <row r="102" spans="1:14" x14ac:dyDescent="0.25">
      <c r="A102" s="34">
        <v>41944</v>
      </c>
      <c r="B102" s="1">
        <v>772.4</v>
      </c>
      <c r="C102" s="34">
        <v>41944</v>
      </c>
      <c r="D102" s="1">
        <v>194</v>
      </c>
      <c r="E102" s="34">
        <v>41944</v>
      </c>
      <c r="F102" s="1">
        <v>6.3</v>
      </c>
      <c r="G102" s="34">
        <v>41944</v>
      </c>
      <c r="H102" s="1">
        <v>2.63</v>
      </c>
      <c r="I102" s="34">
        <v>41944</v>
      </c>
      <c r="J102" s="1">
        <v>152.93</v>
      </c>
      <c r="K102" s="34">
        <v>41944</v>
      </c>
      <c r="L102" s="1">
        <v>781.3</v>
      </c>
      <c r="M102" s="34">
        <v>41944</v>
      </c>
      <c r="N102" s="1">
        <v>158.5</v>
      </c>
    </row>
    <row r="103" spans="1:14" x14ac:dyDescent="0.25">
      <c r="A103" s="34">
        <v>41974</v>
      </c>
      <c r="B103" s="1">
        <v>772.8</v>
      </c>
      <c r="E103" s="34">
        <v>41974</v>
      </c>
      <c r="F103" s="1">
        <v>6</v>
      </c>
      <c r="K103" s="34">
        <v>41974</v>
      </c>
      <c r="L103" s="1">
        <v>778.1</v>
      </c>
      <c r="M103" s="34">
        <v>41974</v>
      </c>
      <c r="N103" s="1">
        <v>157.80000000000001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P103"/>
  <sheetViews>
    <sheetView topLeftCell="B79" workbookViewId="0">
      <selection activeCell="E107" sqref="E107"/>
    </sheetView>
  </sheetViews>
  <sheetFormatPr defaultColWidth="11.875" defaultRowHeight="15.75" x14ac:dyDescent="0.25"/>
  <cols>
    <col min="1" max="1" width="11.875" style="34"/>
    <col min="2" max="2" width="11.875" style="1"/>
    <col min="3" max="3" width="11.875" style="34"/>
    <col min="4" max="4" width="11.875" style="1"/>
    <col min="5" max="5" width="11.875" style="34"/>
    <col min="6" max="6" width="11.875" style="1"/>
    <col min="7" max="7" width="11.875" style="34"/>
    <col min="8" max="8" width="11.875" style="1"/>
    <col min="9" max="9" width="11.875" style="34"/>
    <col min="10" max="10" width="11.875" style="1"/>
    <col min="11" max="11" width="11.875" style="34"/>
    <col min="12" max="12" width="11.875" style="1"/>
    <col min="13" max="13" width="11.875" style="34"/>
    <col min="14" max="14" width="11.875" style="1"/>
    <col min="15" max="15" width="11.875" style="34"/>
    <col min="16" max="16" width="11.875" style="1"/>
  </cols>
  <sheetData>
    <row r="1" spans="1:16" x14ac:dyDescent="0.25">
      <c r="A1" s="34" t="s">
        <v>55</v>
      </c>
      <c r="C1" s="34" t="s">
        <v>56</v>
      </c>
      <c r="E1" s="34" t="s">
        <v>57</v>
      </c>
      <c r="G1" s="34" t="s">
        <v>58</v>
      </c>
      <c r="I1" s="34" t="s">
        <v>59</v>
      </c>
      <c r="K1" s="34" t="str">
        <f>CONCATENATE(LEFT(A1,2), "NAN")</f>
        <v>WYNAN</v>
      </c>
      <c r="M1" s="34" t="str">
        <f>CONCATENATE(LEFT(A1,2), "GOVTN")</f>
        <v>WYGOVTN</v>
      </c>
      <c r="O1" s="34" t="str">
        <f>CONCATENATE(LEFT($A$1,2), "RGSP")</f>
        <v>WYRGSP</v>
      </c>
    </row>
    <row r="2" spans="1:16" x14ac:dyDescent="0.25">
      <c r="A2" s="34" t="s">
        <v>3</v>
      </c>
      <c r="B2" s="1" t="s">
        <v>6</v>
      </c>
      <c r="C2" s="34" t="s">
        <v>3</v>
      </c>
      <c r="D2" s="1" t="s">
        <v>24</v>
      </c>
      <c r="E2" s="34" t="s">
        <v>3</v>
      </c>
      <c r="F2" s="1" t="s">
        <v>12</v>
      </c>
      <c r="G2" s="34" t="s">
        <v>3</v>
      </c>
      <c r="H2" s="1" t="s">
        <v>12</v>
      </c>
      <c r="I2" s="34" t="s">
        <v>3</v>
      </c>
      <c r="J2" s="1" t="s">
        <v>21</v>
      </c>
      <c r="K2" s="34" t="s">
        <v>3</v>
      </c>
      <c r="L2" s="1" t="s">
        <v>6</v>
      </c>
      <c r="M2" s="34" t="s">
        <v>3</v>
      </c>
      <c r="N2" s="1" t="s">
        <v>6</v>
      </c>
      <c r="O2" s="34" t="s">
        <v>3</v>
      </c>
      <c r="P2" s="1" t="s">
        <v>768</v>
      </c>
    </row>
    <row r="3" spans="1:16" x14ac:dyDescent="0.25">
      <c r="A3" s="34" t="s">
        <v>7</v>
      </c>
      <c r="B3" s="1" t="s">
        <v>5</v>
      </c>
      <c r="C3" s="34" t="s">
        <v>7</v>
      </c>
      <c r="D3" s="1" t="s">
        <v>5</v>
      </c>
      <c r="E3" s="34" t="s">
        <v>7</v>
      </c>
      <c r="F3" s="1" t="s">
        <v>5</v>
      </c>
      <c r="G3" s="34" t="s">
        <v>7</v>
      </c>
      <c r="H3" s="1" t="s">
        <v>5</v>
      </c>
      <c r="I3" s="34" t="s">
        <v>7</v>
      </c>
      <c r="J3" s="1" t="s">
        <v>5</v>
      </c>
      <c r="K3" s="34" t="s">
        <v>7</v>
      </c>
      <c r="L3" s="1" t="s">
        <v>5</v>
      </c>
      <c r="M3" s="34" t="s">
        <v>7</v>
      </c>
      <c r="N3" s="1" t="s">
        <v>5</v>
      </c>
      <c r="O3" s="34" t="s">
        <v>764</v>
      </c>
      <c r="P3" s="1" t="s">
        <v>766</v>
      </c>
    </row>
    <row r="4" spans="1:16" x14ac:dyDescent="0.25">
      <c r="A4" s="34">
        <v>39083</v>
      </c>
      <c r="B4" s="1" t="s">
        <v>954</v>
      </c>
      <c r="C4" s="34">
        <v>39083</v>
      </c>
      <c r="D4" s="1" t="s">
        <v>956</v>
      </c>
      <c r="E4" s="34">
        <v>39083</v>
      </c>
      <c r="F4" s="1" t="s">
        <v>983</v>
      </c>
      <c r="G4" s="34">
        <v>39083</v>
      </c>
      <c r="H4" s="1" t="s">
        <v>957</v>
      </c>
      <c r="I4" s="34">
        <v>39083</v>
      </c>
      <c r="J4" s="1" t="s">
        <v>958</v>
      </c>
      <c r="K4" s="34">
        <v>39083</v>
      </c>
      <c r="L4" s="1" t="s">
        <v>959</v>
      </c>
      <c r="M4" s="34">
        <v>39083</v>
      </c>
      <c r="N4" s="1" t="s">
        <v>954</v>
      </c>
      <c r="O4" s="34">
        <v>39083</v>
      </c>
      <c r="P4" s="1" t="s">
        <v>770</v>
      </c>
    </row>
    <row r="5" spans="1:16" x14ac:dyDescent="0.25">
      <c r="A5" s="35" t="s">
        <v>944</v>
      </c>
      <c r="C5" s="35" t="s">
        <v>60</v>
      </c>
      <c r="E5" s="35" t="s">
        <v>61</v>
      </c>
      <c r="G5" s="35" t="s">
        <v>62</v>
      </c>
      <c r="I5" s="35" t="s">
        <v>63</v>
      </c>
      <c r="K5" s="35" t="s">
        <v>944</v>
      </c>
      <c r="M5" s="35" t="s">
        <v>945</v>
      </c>
      <c r="O5" s="35" t="s">
        <v>769</v>
      </c>
    </row>
    <row r="6" spans="1:16" x14ac:dyDescent="0.25">
      <c r="A6" s="34" t="s">
        <v>953</v>
      </c>
      <c r="C6" s="34" t="s">
        <v>955</v>
      </c>
      <c r="E6" s="34" t="s">
        <v>953</v>
      </c>
      <c r="G6" s="34" t="s">
        <v>14</v>
      </c>
      <c r="I6" s="34" t="s">
        <v>14</v>
      </c>
      <c r="K6" s="34" t="s">
        <v>953</v>
      </c>
      <c r="M6" s="34" t="s">
        <v>953</v>
      </c>
      <c r="O6" s="34" t="s">
        <v>765</v>
      </c>
    </row>
    <row r="7" spans="1:16" x14ac:dyDescent="0.25">
      <c r="A7" s="34" t="s">
        <v>8</v>
      </c>
      <c r="B7" s="1" t="s">
        <v>9</v>
      </c>
      <c r="C7" s="34" t="s">
        <v>8</v>
      </c>
      <c r="D7" s="1" t="s">
        <v>9</v>
      </c>
      <c r="E7" s="34" t="s">
        <v>8</v>
      </c>
      <c r="F7" s="1" t="s">
        <v>9</v>
      </c>
      <c r="G7" s="34" t="s">
        <v>8</v>
      </c>
      <c r="H7" s="1" t="s">
        <v>9</v>
      </c>
      <c r="I7" s="34" t="s">
        <v>8</v>
      </c>
      <c r="J7" s="1" t="s">
        <v>9</v>
      </c>
      <c r="K7" s="34" t="s">
        <v>8</v>
      </c>
      <c r="L7" s="1" t="s">
        <v>9</v>
      </c>
      <c r="M7" s="34" t="s">
        <v>8</v>
      </c>
      <c r="N7" s="1" t="s">
        <v>9</v>
      </c>
      <c r="O7" s="34" t="s">
        <v>8</v>
      </c>
      <c r="P7" s="1" t="s">
        <v>9</v>
      </c>
    </row>
    <row r="8" spans="1:16" x14ac:dyDescent="0.25">
      <c r="A8" s="34">
        <v>39083</v>
      </c>
      <c r="B8" s="1">
        <v>284.7</v>
      </c>
      <c r="C8" s="34">
        <v>39083</v>
      </c>
      <c r="D8" s="1">
        <v>170</v>
      </c>
      <c r="E8" s="34">
        <v>39083</v>
      </c>
      <c r="F8" s="1">
        <v>2.8</v>
      </c>
      <c r="G8" s="34">
        <v>39083</v>
      </c>
      <c r="H8" s="1">
        <v>3.17</v>
      </c>
      <c r="I8" s="34">
        <v>39083</v>
      </c>
      <c r="J8" s="1">
        <v>150.33000000000001</v>
      </c>
      <c r="K8" s="34">
        <v>39083</v>
      </c>
      <c r="L8" s="1">
        <v>275.39999999999998</v>
      </c>
      <c r="M8" s="34">
        <v>39083</v>
      </c>
      <c r="N8" s="1">
        <v>66.099999999999994</v>
      </c>
      <c r="O8" s="34">
        <v>39083</v>
      </c>
      <c r="P8" s="1">
        <v>35114</v>
      </c>
    </row>
    <row r="9" spans="1:16" x14ac:dyDescent="0.25">
      <c r="A9" s="34">
        <v>39114</v>
      </c>
      <c r="B9" s="1">
        <v>285.39999999999998</v>
      </c>
      <c r="C9" s="34">
        <v>39114</v>
      </c>
      <c r="D9" s="1">
        <v>166</v>
      </c>
      <c r="E9" s="34">
        <v>39114</v>
      </c>
      <c r="F9" s="1">
        <v>2.8</v>
      </c>
      <c r="G9" s="34">
        <v>39114</v>
      </c>
      <c r="H9" s="1">
        <v>2.16</v>
      </c>
      <c r="I9" s="34">
        <v>39114</v>
      </c>
      <c r="J9" s="1">
        <v>151.05000000000001</v>
      </c>
      <c r="K9" s="34">
        <v>39114</v>
      </c>
      <c r="L9" s="1">
        <v>277.2</v>
      </c>
      <c r="M9" s="34">
        <v>39114</v>
      </c>
      <c r="N9" s="1">
        <v>66.900000000000006</v>
      </c>
      <c r="O9" s="34">
        <v>39448</v>
      </c>
      <c r="P9" s="1">
        <v>38204</v>
      </c>
    </row>
    <row r="10" spans="1:16" x14ac:dyDescent="0.25">
      <c r="A10" s="34">
        <v>39142</v>
      </c>
      <c r="B10" s="1">
        <v>287</v>
      </c>
      <c r="C10" s="34">
        <v>39142</v>
      </c>
      <c r="D10" s="1">
        <v>315</v>
      </c>
      <c r="E10" s="34">
        <v>39142</v>
      </c>
      <c r="F10" s="1">
        <v>2.8</v>
      </c>
      <c r="G10" s="34">
        <v>39142</v>
      </c>
      <c r="H10" s="1">
        <v>1.79</v>
      </c>
      <c r="I10" s="34">
        <v>39142</v>
      </c>
      <c r="J10" s="1">
        <v>151.69</v>
      </c>
      <c r="K10" s="34">
        <v>39142</v>
      </c>
      <c r="L10" s="1">
        <v>280.60000000000002</v>
      </c>
      <c r="M10" s="34">
        <v>39142</v>
      </c>
      <c r="N10" s="1">
        <v>67.400000000000006</v>
      </c>
      <c r="O10" s="34">
        <v>39814</v>
      </c>
      <c r="P10" s="1">
        <v>37890</v>
      </c>
    </row>
    <row r="11" spans="1:16" x14ac:dyDescent="0.25">
      <c r="A11" s="34">
        <v>39173</v>
      </c>
      <c r="B11" s="1">
        <v>286.7</v>
      </c>
      <c r="C11" s="34">
        <v>39173</v>
      </c>
      <c r="D11" s="1">
        <v>265</v>
      </c>
      <c r="E11" s="34">
        <v>39173</v>
      </c>
      <c r="F11" s="1">
        <v>2.9</v>
      </c>
      <c r="G11" s="34">
        <v>39173</v>
      </c>
      <c r="H11" s="1">
        <v>0.99</v>
      </c>
      <c r="I11" s="34">
        <v>39173</v>
      </c>
      <c r="J11" s="1">
        <v>151.97</v>
      </c>
      <c r="K11" s="34">
        <v>39173</v>
      </c>
      <c r="L11" s="1">
        <v>280.7</v>
      </c>
      <c r="M11" s="34">
        <v>39173</v>
      </c>
      <c r="N11" s="1">
        <v>67.400000000000006</v>
      </c>
      <c r="O11" s="34">
        <v>40179</v>
      </c>
      <c r="P11" s="1">
        <v>37392</v>
      </c>
    </row>
    <row r="12" spans="1:16" x14ac:dyDescent="0.25">
      <c r="A12" s="34">
        <v>39203</v>
      </c>
      <c r="B12" s="1">
        <v>287.7</v>
      </c>
      <c r="C12" s="34">
        <v>39203</v>
      </c>
      <c r="D12" s="1">
        <v>323</v>
      </c>
      <c r="E12" s="34">
        <v>39203</v>
      </c>
      <c r="F12" s="1">
        <v>2.9</v>
      </c>
      <c r="G12" s="34">
        <v>39203</v>
      </c>
      <c r="H12" s="1">
        <v>1.1399999999999999</v>
      </c>
      <c r="I12" s="34">
        <v>39203</v>
      </c>
      <c r="J12" s="1">
        <v>152.52000000000001</v>
      </c>
      <c r="K12" s="34">
        <v>39203</v>
      </c>
      <c r="L12" s="1">
        <v>289.39999999999998</v>
      </c>
      <c r="M12" s="34">
        <v>39203</v>
      </c>
      <c r="N12" s="1">
        <v>68.8</v>
      </c>
      <c r="O12" s="34">
        <v>40544</v>
      </c>
      <c r="P12" s="1">
        <v>37802</v>
      </c>
    </row>
    <row r="13" spans="1:16" x14ac:dyDescent="0.25">
      <c r="A13" s="34">
        <v>39234</v>
      </c>
      <c r="B13" s="1">
        <v>288</v>
      </c>
      <c r="C13" s="34">
        <v>39234</v>
      </c>
      <c r="D13" s="1">
        <v>288</v>
      </c>
      <c r="E13" s="34">
        <v>39234</v>
      </c>
      <c r="F13" s="1">
        <v>2.9</v>
      </c>
      <c r="G13" s="34">
        <v>39234</v>
      </c>
      <c r="H13" s="1">
        <v>1.1200000000000001</v>
      </c>
      <c r="I13" s="34">
        <v>39234</v>
      </c>
      <c r="J13" s="1">
        <v>152.82</v>
      </c>
      <c r="K13" s="34">
        <v>39234</v>
      </c>
      <c r="L13" s="1">
        <v>298.5</v>
      </c>
      <c r="M13" s="34">
        <v>39234</v>
      </c>
      <c r="N13" s="1">
        <v>68.7</v>
      </c>
      <c r="O13" s="34">
        <v>40909</v>
      </c>
      <c r="P13" s="1">
        <v>36755</v>
      </c>
    </row>
    <row r="14" spans="1:16" x14ac:dyDescent="0.25">
      <c r="A14" s="34">
        <v>39264</v>
      </c>
      <c r="B14" s="1">
        <v>288.89999999999998</v>
      </c>
      <c r="C14" s="34">
        <v>39264</v>
      </c>
      <c r="D14" s="1">
        <v>238</v>
      </c>
      <c r="E14" s="34">
        <v>39264</v>
      </c>
      <c r="F14" s="1">
        <v>2.9</v>
      </c>
      <c r="G14" s="34">
        <v>39264</v>
      </c>
      <c r="H14" s="1">
        <v>0.91</v>
      </c>
      <c r="I14" s="34">
        <v>39264</v>
      </c>
      <c r="J14" s="1">
        <v>153.16</v>
      </c>
      <c r="K14" s="34">
        <v>39264</v>
      </c>
      <c r="L14" s="1">
        <v>294.8</v>
      </c>
      <c r="M14" s="34">
        <v>39264</v>
      </c>
      <c r="N14" s="1">
        <v>62.5</v>
      </c>
      <c r="O14" s="34">
        <v>41275</v>
      </c>
      <c r="P14" s="1">
        <v>39538</v>
      </c>
    </row>
    <row r="15" spans="1:16" x14ac:dyDescent="0.25">
      <c r="A15" s="34">
        <v>39295</v>
      </c>
      <c r="B15" s="1">
        <v>289.2</v>
      </c>
      <c r="C15" s="34">
        <v>39295</v>
      </c>
      <c r="D15" s="1">
        <v>324</v>
      </c>
      <c r="E15" s="34">
        <v>39295</v>
      </c>
      <c r="F15" s="1">
        <v>2.8</v>
      </c>
      <c r="G15" s="34">
        <v>39295</v>
      </c>
      <c r="H15" s="1">
        <v>1.58</v>
      </c>
      <c r="I15" s="34">
        <v>39295</v>
      </c>
      <c r="J15" s="1">
        <v>153.75</v>
      </c>
      <c r="K15" s="34">
        <v>39295</v>
      </c>
      <c r="L15" s="1">
        <v>295.3</v>
      </c>
      <c r="M15" s="34">
        <v>39295</v>
      </c>
      <c r="N15" s="1">
        <v>62.5</v>
      </c>
    </row>
    <row r="16" spans="1:16" x14ac:dyDescent="0.25">
      <c r="A16" s="34">
        <v>39326</v>
      </c>
      <c r="B16" s="1">
        <v>289.89999999999998</v>
      </c>
      <c r="C16" s="34">
        <v>39326</v>
      </c>
      <c r="D16" s="1">
        <v>199</v>
      </c>
      <c r="E16" s="34">
        <v>39326</v>
      </c>
      <c r="F16" s="1">
        <v>2.8</v>
      </c>
      <c r="G16" s="34">
        <v>39326</v>
      </c>
      <c r="H16" s="1">
        <v>1.62</v>
      </c>
      <c r="I16" s="34">
        <v>39326</v>
      </c>
      <c r="J16" s="1">
        <v>154.07</v>
      </c>
      <c r="K16" s="34">
        <v>39326</v>
      </c>
      <c r="L16" s="1">
        <v>296.10000000000002</v>
      </c>
      <c r="M16" s="34">
        <v>39326</v>
      </c>
      <c r="N16" s="1">
        <v>68</v>
      </c>
    </row>
    <row r="17" spans="1:14" x14ac:dyDescent="0.25">
      <c r="A17" s="34">
        <v>39356</v>
      </c>
      <c r="B17" s="1">
        <v>291</v>
      </c>
      <c r="C17" s="34">
        <v>39356</v>
      </c>
      <c r="D17" s="1">
        <v>263</v>
      </c>
      <c r="E17" s="34">
        <v>39356</v>
      </c>
      <c r="F17" s="1">
        <v>2.7</v>
      </c>
      <c r="G17" s="34">
        <v>39356</v>
      </c>
      <c r="H17" s="1">
        <v>2</v>
      </c>
      <c r="I17" s="34">
        <v>39356</v>
      </c>
      <c r="J17" s="1">
        <v>154.82</v>
      </c>
      <c r="K17" s="34">
        <v>39356</v>
      </c>
      <c r="L17" s="1">
        <v>293.89999999999998</v>
      </c>
      <c r="M17" s="34">
        <v>39356</v>
      </c>
      <c r="N17" s="1">
        <v>69.099999999999994</v>
      </c>
    </row>
    <row r="18" spans="1:14" x14ac:dyDescent="0.25">
      <c r="A18" s="34">
        <v>39387</v>
      </c>
      <c r="B18" s="1">
        <v>292.89999999999998</v>
      </c>
      <c r="C18" s="34">
        <v>39387</v>
      </c>
      <c r="D18" s="1">
        <v>194</v>
      </c>
      <c r="E18" s="34">
        <v>39387</v>
      </c>
      <c r="F18" s="1">
        <v>2.7</v>
      </c>
      <c r="G18" s="34">
        <v>39387</v>
      </c>
      <c r="H18" s="1">
        <v>2.46</v>
      </c>
      <c r="I18" s="34">
        <v>39387</v>
      </c>
      <c r="J18" s="1">
        <v>155.52000000000001</v>
      </c>
      <c r="K18" s="34">
        <v>39387</v>
      </c>
      <c r="L18" s="1">
        <v>291.7</v>
      </c>
      <c r="M18" s="34">
        <v>39387</v>
      </c>
      <c r="N18" s="1">
        <v>69.099999999999994</v>
      </c>
    </row>
    <row r="19" spans="1:14" x14ac:dyDescent="0.25">
      <c r="A19" s="34">
        <v>39417</v>
      </c>
      <c r="B19" s="1">
        <v>294.10000000000002</v>
      </c>
      <c r="C19" s="34">
        <v>39417</v>
      </c>
      <c r="D19" s="1">
        <v>91</v>
      </c>
      <c r="E19" s="34">
        <v>39417</v>
      </c>
      <c r="F19" s="1">
        <v>2.6</v>
      </c>
      <c r="G19" s="34">
        <v>39417</v>
      </c>
      <c r="H19" s="1">
        <v>2.79</v>
      </c>
      <c r="I19" s="34">
        <v>39417</v>
      </c>
      <c r="J19" s="1">
        <v>156.53</v>
      </c>
      <c r="K19" s="34">
        <v>39417</v>
      </c>
      <c r="L19" s="1">
        <v>292.5</v>
      </c>
      <c r="M19" s="34">
        <v>39417</v>
      </c>
      <c r="N19" s="1">
        <v>69</v>
      </c>
    </row>
    <row r="20" spans="1:14" x14ac:dyDescent="0.25">
      <c r="A20" s="34">
        <v>39448</v>
      </c>
      <c r="B20" s="1">
        <v>295.5</v>
      </c>
      <c r="C20" s="34">
        <v>39448</v>
      </c>
      <c r="D20" s="1">
        <v>123</v>
      </c>
      <c r="E20" s="34">
        <v>39448</v>
      </c>
      <c r="F20" s="1">
        <v>2.6</v>
      </c>
      <c r="G20" s="34">
        <v>39448</v>
      </c>
      <c r="H20" s="1">
        <v>2.57</v>
      </c>
      <c r="I20" s="34">
        <v>39448</v>
      </c>
      <c r="J20" s="1">
        <v>157.36000000000001</v>
      </c>
      <c r="K20" s="34">
        <v>39448</v>
      </c>
      <c r="L20" s="1">
        <v>286.39999999999998</v>
      </c>
      <c r="M20" s="34">
        <v>39448</v>
      </c>
      <c r="N20" s="1">
        <v>67.400000000000006</v>
      </c>
    </row>
    <row r="21" spans="1:14" x14ac:dyDescent="0.25">
      <c r="A21" s="34">
        <v>39479</v>
      </c>
      <c r="B21" s="1">
        <v>296.10000000000002</v>
      </c>
      <c r="C21" s="34">
        <v>39479</v>
      </c>
      <c r="D21" s="1">
        <v>118</v>
      </c>
      <c r="E21" s="34">
        <v>39479</v>
      </c>
      <c r="F21" s="1">
        <v>2.6</v>
      </c>
      <c r="G21" s="34">
        <v>39479</v>
      </c>
      <c r="H21" s="1">
        <v>1.1499999999999999</v>
      </c>
      <c r="I21" s="34">
        <v>39479</v>
      </c>
      <c r="J21" s="1">
        <v>157.76</v>
      </c>
      <c r="K21" s="34">
        <v>39479</v>
      </c>
      <c r="L21" s="1">
        <v>288.2</v>
      </c>
      <c r="M21" s="34">
        <v>39479</v>
      </c>
      <c r="N21" s="1">
        <v>68.7</v>
      </c>
    </row>
    <row r="22" spans="1:14" x14ac:dyDescent="0.25">
      <c r="A22" s="34">
        <v>39508</v>
      </c>
      <c r="B22" s="1">
        <v>296.3</v>
      </c>
      <c r="C22" s="34">
        <v>39508</v>
      </c>
      <c r="D22" s="1">
        <v>193</v>
      </c>
      <c r="E22" s="34">
        <v>39508</v>
      </c>
      <c r="F22" s="1">
        <v>2.7</v>
      </c>
      <c r="G22" s="34">
        <v>39508</v>
      </c>
      <c r="H22" s="1">
        <v>0.23</v>
      </c>
      <c r="I22" s="34">
        <v>39508</v>
      </c>
      <c r="J22" s="1">
        <v>158.11000000000001</v>
      </c>
      <c r="K22" s="34">
        <v>39508</v>
      </c>
      <c r="L22" s="1">
        <v>290</v>
      </c>
      <c r="M22" s="34">
        <v>39508</v>
      </c>
      <c r="N22" s="1">
        <v>69.3</v>
      </c>
    </row>
    <row r="23" spans="1:14" x14ac:dyDescent="0.25">
      <c r="A23" s="34">
        <v>39539</v>
      </c>
      <c r="B23" s="1">
        <v>296.5</v>
      </c>
      <c r="C23" s="34">
        <v>39539</v>
      </c>
      <c r="D23" s="1">
        <v>274</v>
      </c>
      <c r="E23" s="34">
        <v>39539</v>
      </c>
      <c r="F23" s="1">
        <v>2.8</v>
      </c>
      <c r="G23" s="34">
        <v>39539</v>
      </c>
      <c r="H23" s="1">
        <v>0.28999999999999998</v>
      </c>
      <c r="I23" s="34">
        <v>39539</v>
      </c>
      <c r="J23" s="1">
        <v>158.19</v>
      </c>
      <c r="K23" s="34">
        <v>39539</v>
      </c>
      <c r="L23" s="1">
        <v>290.5</v>
      </c>
      <c r="M23" s="34">
        <v>39539</v>
      </c>
      <c r="N23" s="1">
        <v>69.5</v>
      </c>
    </row>
    <row r="24" spans="1:14" x14ac:dyDescent="0.25">
      <c r="A24" s="34">
        <v>39569</v>
      </c>
      <c r="B24" s="1">
        <v>297.7</v>
      </c>
      <c r="C24" s="34">
        <v>39569</v>
      </c>
      <c r="D24" s="1">
        <v>274</v>
      </c>
      <c r="E24" s="34">
        <v>39569</v>
      </c>
      <c r="F24" s="1">
        <v>2.9</v>
      </c>
      <c r="G24" s="34">
        <v>39569</v>
      </c>
      <c r="H24" s="1">
        <v>0.42</v>
      </c>
      <c r="I24" s="34">
        <v>39569</v>
      </c>
      <c r="J24" s="1">
        <v>158.47999999999999</v>
      </c>
      <c r="K24" s="34">
        <v>39569</v>
      </c>
      <c r="L24" s="1">
        <v>299.2</v>
      </c>
      <c r="M24" s="34">
        <v>39569</v>
      </c>
      <c r="N24" s="1">
        <v>71.400000000000006</v>
      </c>
    </row>
    <row r="25" spans="1:14" x14ac:dyDescent="0.25">
      <c r="A25" s="34">
        <v>39600</v>
      </c>
      <c r="B25" s="1">
        <v>297.7</v>
      </c>
      <c r="C25" s="34">
        <v>39600</v>
      </c>
      <c r="D25" s="1">
        <v>330</v>
      </c>
      <c r="E25" s="34">
        <v>39600</v>
      </c>
      <c r="F25" s="1">
        <v>3</v>
      </c>
      <c r="G25" s="34">
        <v>39600</v>
      </c>
      <c r="H25" s="1">
        <v>0.28999999999999998</v>
      </c>
      <c r="I25" s="34">
        <v>39600</v>
      </c>
      <c r="J25" s="1">
        <v>158.47</v>
      </c>
      <c r="K25" s="34">
        <v>39600</v>
      </c>
      <c r="L25" s="1">
        <v>306.5</v>
      </c>
      <c r="M25" s="34">
        <v>39600</v>
      </c>
      <c r="N25" s="1">
        <v>70.2</v>
      </c>
    </row>
    <row r="26" spans="1:14" x14ac:dyDescent="0.25">
      <c r="A26" s="34">
        <v>39630</v>
      </c>
      <c r="B26" s="1">
        <v>298.10000000000002</v>
      </c>
      <c r="C26" s="34">
        <v>39630</v>
      </c>
      <c r="D26" s="1">
        <v>293</v>
      </c>
      <c r="E26" s="34">
        <v>39630</v>
      </c>
      <c r="F26" s="1">
        <v>3.2</v>
      </c>
      <c r="G26" s="34">
        <v>39630</v>
      </c>
      <c r="H26" s="1">
        <v>0.72</v>
      </c>
      <c r="I26" s="34">
        <v>39630</v>
      </c>
      <c r="J26" s="1">
        <v>158.97</v>
      </c>
      <c r="K26" s="34">
        <v>39630</v>
      </c>
      <c r="L26" s="1">
        <v>304.10000000000002</v>
      </c>
      <c r="M26" s="34">
        <v>39630</v>
      </c>
      <c r="N26" s="1">
        <v>63.8</v>
      </c>
    </row>
    <row r="27" spans="1:14" x14ac:dyDescent="0.25">
      <c r="A27" s="34">
        <v>39661</v>
      </c>
      <c r="B27" s="1">
        <v>297.7</v>
      </c>
      <c r="C27" s="34">
        <v>39661</v>
      </c>
      <c r="D27" s="1">
        <v>191</v>
      </c>
      <c r="E27" s="34">
        <v>39661</v>
      </c>
      <c r="F27" s="1">
        <v>3.3</v>
      </c>
      <c r="G27" s="34">
        <v>39661</v>
      </c>
      <c r="H27" s="1">
        <v>0.95</v>
      </c>
      <c r="I27" s="34">
        <v>39661</v>
      </c>
      <c r="J27" s="1">
        <v>159.21</v>
      </c>
      <c r="K27" s="34">
        <v>39661</v>
      </c>
      <c r="L27" s="1">
        <v>303.8</v>
      </c>
      <c r="M27" s="34">
        <v>39661</v>
      </c>
      <c r="N27" s="1">
        <v>63.3</v>
      </c>
    </row>
    <row r="28" spans="1:14" x14ac:dyDescent="0.25">
      <c r="A28" s="34">
        <v>39692</v>
      </c>
      <c r="B28" s="1">
        <v>298.60000000000002</v>
      </c>
      <c r="C28" s="34">
        <v>39692</v>
      </c>
      <c r="D28" s="1">
        <v>228</v>
      </c>
      <c r="E28" s="34">
        <v>39692</v>
      </c>
      <c r="F28" s="1">
        <v>3.3</v>
      </c>
      <c r="G28" s="34">
        <v>39692</v>
      </c>
      <c r="H28" s="1">
        <v>0.38</v>
      </c>
      <c r="I28" s="34">
        <v>39692</v>
      </c>
      <c r="J28" s="1">
        <v>159.69999999999999</v>
      </c>
      <c r="K28" s="34">
        <v>39692</v>
      </c>
      <c r="L28" s="1">
        <v>305.39999999999998</v>
      </c>
      <c r="M28" s="34">
        <v>39692</v>
      </c>
      <c r="N28" s="1">
        <v>69.5</v>
      </c>
    </row>
    <row r="29" spans="1:14" x14ac:dyDescent="0.25">
      <c r="A29" s="34">
        <v>39722</v>
      </c>
      <c r="B29" s="1">
        <v>299.39999999999998</v>
      </c>
      <c r="C29" s="34">
        <v>39722</v>
      </c>
      <c r="D29" s="1">
        <v>234</v>
      </c>
      <c r="E29" s="34">
        <v>39722</v>
      </c>
      <c r="F29" s="1">
        <v>3.5</v>
      </c>
      <c r="G29" s="34">
        <v>39722</v>
      </c>
      <c r="H29" s="1">
        <v>-0.35</v>
      </c>
      <c r="I29" s="34">
        <v>39722</v>
      </c>
      <c r="J29" s="1">
        <v>159.66999999999999</v>
      </c>
      <c r="K29" s="34">
        <v>39722</v>
      </c>
      <c r="L29" s="1">
        <v>302.89999999999998</v>
      </c>
      <c r="M29" s="34">
        <v>39722</v>
      </c>
      <c r="N29" s="1">
        <v>70.599999999999994</v>
      </c>
    </row>
    <row r="30" spans="1:14" x14ac:dyDescent="0.25">
      <c r="A30" s="34">
        <v>39753</v>
      </c>
      <c r="B30" s="1">
        <v>298.39999999999998</v>
      </c>
      <c r="C30" s="34">
        <v>39753</v>
      </c>
      <c r="D30" s="1">
        <v>107</v>
      </c>
      <c r="E30" s="34">
        <v>39753</v>
      </c>
      <c r="F30" s="1">
        <v>3.7</v>
      </c>
      <c r="G30" s="34">
        <v>39753</v>
      </c>
      <c r="H30" s="1">
        <v>-1.86</v>
      </c>
      <c r="I30" s="34">
        <v>39753</v>
      </c>
      <c r="J30" s="1">
        <v>159.37</v>
      </c>
      <c r="K30" s="34">
        <v>39753</v>
      </c>
      <c r="L30" s="1">
        <v>297.3</v>
      </c>
      <c r="M30" s="34">
        <v>39753</v>
      </c>
      <c r="N30" s="1">
        <v>70.5</v>
      </c>
    </row>
    <row r="31" spans="1:14" x14ac:dyDescent="0.25">
      <c r="A31" s="34">
        <v>39783</v>
      </c>
      <c r="B31" s="1">
        <v>297.10000000000002</v>
      </c>
      <c r="C31" s="34">
        <v>39783</v>
      </c>
      <c r="D31" s="1">
        <v>103</v>
      </c>
      <c r="E31" s="34">
        <v>39783</v>
      </c>
      <c r="F31" s="1">
        <v>3.9</v>
      </c>
      <c r="G31" s="34">
        <v>39783</v>
      </c>
      <c r="H31" s="1">
        <v>-3.54</v>
      </c>
      <c r="I31" s="34">
        <v>39783</v>
      </c>
      <c r="J31" s="1">
        <v>158.49</v>
      </c>
      <c r="K31" s="34">
        <v>39783</v>
      </c>
      <c r="L31" s="1">
        <v>296</v>
      </c>
      <c r="M31" s="34">
        <v>39783</v>
      </c>
      <c r="N31" s="1">
        <v>70.7</v>
      </c>
    </row>
    <row r="32" spans="1:14" x14ac:dyDescent="0.25">
      <c r="A32" s="34">
        <v>39814</v>
      </c>
      <c r="B32" s="1">
        <v>294.8</v>
      </c>
      <c r="C32" s="34">
        <v>39814</v>
      </c>
      <c r="D32" s="1">
        <v>78</v>
      </c>
      <c r="E32" s="34">
        <v>39814</v>
      </c>
      <c r="F32" s="1">
        <v>4.3</v>
      </c>
      <c r="G32" s="34">
        <v>39814</v>
      </c>
      <c r="H32" s="1">
        <v>-4.8499999999999996</v>
      </c>
      <c r="I32" s="34">
        <v>39814</v>
      </c>
      <c r="J32" s="1">
        <v>157.16999999999999</v>
      </c>
      <c r="K32" s="34">
        <v>39814</v>
      </c>
      <c r="L32" s="1">
        <v>286</v>
      </c>
      <c r="M32" s="34">
        <v>39814</v>
      </c>
      <c r="N32" s="1">
        <v>69</v>
      </c>
    </row>
    <row r="33" spans="1:14" x14ac:dyDescent="0.25">
      <c r="A33" s="34">
        <v>39845</v>
      </c>
      <c r="B33" s="1">
        <v>292.3</v>
      </c>
      <c r="C33" s="34">
        <v>39845</v>
      </c>
      <c r="D33" s="1">
        <v>76</v>
      </c>
      <c r="E33" s="34">
        <v>39845</v>
      </c>
      <c r="F33" s="1">
        <v>4.7</v>
      </c>
      <c r="G33" s="34">
        <v>39845</v>
      </c>
      <c r="H33" s="1">
        <v>-5.03</v>
      </c>
      <c r="I33" s="34">
        <v>39845</v>
      </c>
      <c r="J33" s="1">
        <v>155.86000000000001</v>
      </c>
      <c r="K33" s="34">
        <v>39845</v>
      </c>
      <c r="L33" s="1">
        <v>284.10000000000002</v>
      </c>
      <c r="M33" s="34">
        <v>39845</v>
      </c>
      <c r="N33" s="1">
        <v>70.599999999999994</v>
      </c>
    </row>
    <row r="34" spans="1:14" x14ac:dyDescent="0.25">
      <c r="A34" s="34">
        <v>39873</v>
      </c>
      <c r="B34" s="1">
        <v>290.5</v>
      </c>
      <c r="C34" s="34">
        <v>39873</v>
      </c>
      <c r="D34" s="1">
        <v>94</v>
      </c>
      <c r="E34" s="34">
        <v>39873</v>
      </c>
      <c r="F34" s="1">
        <v>5.0999999999999996</v>
      </c>
      <c r="G34" s="34">
        <v>39873</v>
      </c>
      <c r="H34" s="1">
        <v>-5.61</v>
      </c>
      <c r="I34" s="34">
        <v>39873</v>
      </c>
      <c r="J34" s="1">
        <v>154.19</v>
      </c>
      <c r="K34" s="34">
        <v>39873</v>
      </c>
      <c r="L34" s="1">
        <v>284</v>
      </c>
      <c r="M34" s="34">
        <v>39873</v>
      </c>
      <c r="N34" s="1">
        <v>71.2</v>
      </c>
    </row>
    <row r="35" spans="1:14" x14ac:dyDescent="0.25">
      <c r="A35" s="34">
        <v>39904</v>
      </c>
      <c r="B35" s="1">
        <v>287</v>
      </c>
      <c r="C35" s="34">
        <v>39904</v>
      </c>
      <c r="D35" s="1">
        <v>116</v>
      </c>
      <c r="E35" s="34">
        <v>39904</v>
      </c>
      <c r="F35" s="1">
        <v>5.5</v>
      </c>
      <c r="G35" s="34">
        <v>39904</v>
      </c>
      <c r="H35" s="1">
        <v>-5.19</v>
      </c>
      <c r="I35" s="34">
        <v>39904</v>
      </c>
      <c r="J35" s="1">
        <v>152.72</v>
      </c>
      <c r="K35" s="34">
        <v>39904</v>
      </c>
      <c r="L35" s="1">
        <v>281.89999999999998</v>
      </c>
      <c r="M35" s="34">
        <v>39904</v>
      </c>
      <c r="N35" s="1">
        <v>71.7</v>
      </c>
    </row>
    <row r="36" spans="1:14" x14ac:dyDescent="0.25">
      <c r="A36" s="34">
        <v>39934</v>
      </c>
      <c r="B36" s="1">
        <v>288.2</v>
      </c>
      <c r="C36" s="34">
        <v>39934</v>
      </c>
      <c r="D36" s="1">
        <v>149</v>
      </c>
      <c r="E36" s="34">
        <v>39934</v>
      </c>
      <c r="F36" s="1">
        <v>6</v>
      </c>
      <c r="G36" s="34">
        <v>39934</v>
      </c>
      <c r="H36" s="1">
        <v>-3.76</v>
      </c>
      <c r="I36" s="34">
        <v>39934</v>
      </c>
      <c r="J36" s="1">
        <v>151.37</v>
      </c>
      <c r="K36" s="34">
        <v>39934</v>
      </c>
      <c r="L36" s="1">
        <v>289.2</v>
      </c>
      <c r="M36" s="34">
        <v>39934</v>
      </c>
      <c r="N36" s="1">
        <v>73.2</v>
      </c>
    </row>
    <row r="37" spans="1:14" x14ac:dyDescent="0.25">
      <c r="A37" s="34">
        <v>39965</v>
      </c>
      <c r="B37" s="1">
        <v>284.89999999999998</v>
      </c>
      <c r="C37" s="34">
        <v>39965</v>
      </c>
      <c r="D37" s="1">
        <v>166</v>
      </c>
      <c r="E37" s="34">
        <v>39965</v>
      </c>
      <c r="F37" s="1">
        <v>6.4</v>
      </c>
      <c r="G37" s="34">
        <v>39965</v>
      </c>
      <c r="H37" s="1">
        <v>-3.13</v>
      </c>
      <c r="I37" s="34">
        <v>39965</v>
      </c>
      <c r="J37" s="1">
        <v>149.99</v>
      </c>
      <c r="K37" s="34">
        <v>39965</v>
      </c>
      <c r="L37" s="1">
        <v>292.89999999999998</v>
      </c>
      <c r="M37" s="34">
        <v>39965</v>
      </c>
      <c r="N37" s="1">
        <v>72.099999999999994</v>
      </c>
    </row>
    <row r="38" spans="1:14" x14ac:dyDescent="0.25">
      <c r="A38" s="34">
        <v>39995</v>
      </c>
      <c r="B38" s="1">
        <v>283</v>
      </c>
      <c r="C38" s="34">
        <v>39995</v>
      </c>
      <c r="D38" s="1">
        <v>185</v>
      </c>
      <c r="E38" s="34">
        <v>39995</v>
      </c>
      <c r="F38" s="1">
        <v>6.8</v>
      </c>
      <c r="G38" s="34">
        <v>39995</v>
      </c>
      <c r="H38" s="1">
        <v>-2.88</v>
      </c>
      <c r="I38" s="34">
        <v>39995</v>
      </c>
      <c r="J38" s="1">
        <v>148.79</v>
      </c>
      <c r="K38" s="34">
        <v>39995</v>
      </c>
      <c r="L38" s="1">
        <v>287.8</v>
      </c>
      <c r="M38" s="34">
        <v>39995</v>
      </c>
      <c r="N38" s="1">
        <v>64.900000000000006</v>
      </c>
    </row>
    <row r="39" spans="1:14" x14ac:dyDescent="0.25">
      <c r="A39" s="34">
        <v>40026</v>
      </c>
      <c r="B39" s="1">
        <v>281.60000000000002</v>
      </c>
      <c r="C39" s="34">
        <v>40026</v>
      </c>
      <c r="D39" s="1">
        <v>324</v>
      </c>
      <c r="E39" s="34">
        <v>40026</v>
      </c>
      <c r="F39" s="1">
        <v>7.1</v>
      </c>
      <c r="G39" s="34">
        <v>40026</v>
      </c>
      <c r="H39" s="1">
        <v>-1.96</v>
      </c>
      <c r="I39" s="34">
        <v>40026</v>
      </c>
      <c r="J39" s="1">
        <v>147.86000000000001</v>
      </c>
      <c r="K39" s="34">
        <v>40026</v>
      </c>
      <c r="L39" s="1">
        <v>286.8</v>
      </c>
      <c r="M39" s="34">
        <v>40026</v>
      </c>
      <c r="N39" s="1">
        <v>64.8</v>
      </c>
    </row>
    <row r="40" spans="1:14" x14ac:dyDescent="0.25">
      <c r="A40" s="34">
        <v>40057</v>
      </c>
      <c r="B40" s="1">
        <v>282.10000000000002</v>
      </c>
      <c r="C40" s="34">
        <v>40057</v>
      </c>
      <c r="D40" s="1">
        <v>146</v>
      </c>
      <c r="E40" s="34">
        <v>40057</v>
      </c>
      <c r="F40" s="1">
        <v>7.3</v>
      </c>
      <c r="G40" s="34">
        <v>40057</v>
      </c>
      <c r="H40" s="1">
        <v>-0.06</v>
      </c>
      <c r="I40" s="34">
        <v>40057</v>
      </c>
      <c r="J40" s="1">
        <v>147.41</v>
      </c>
      <c r="K40" s="34">
        <v>40057</v>
      </c>
      <c r="L40" s="1">
        <v>289.2</v>
      </c>
      <c r="M40" s="34">
        <v>40057</v>
      </c>
      <c r="N40" s="1">
        <v>71.400000000000006</v>
      </c>
    </row>
    <row r="41" spans="1:14" x14ac:dyDescent="0.25">
      <c r="A41" s="34">
        <v>40087</v>
      </c>
      <c r="B41" s="1">
        <v>280.10000000000002</v>
      </c>
      <c r="C41" s="34">
        <v>40087</v>
      </c>
      <c r="D41" s="1">
        <v>96</v>
      </c>
      <c r="E41" s="34">
        <v>40087</v>
      </c>
      <c r="F41" s="1">
        <v>7.5</v>
      </c>
      <c r="G41" s="34">
        <v>40087</v>
      </c>
      <c r="H41" s="1">
        <v>-0.46</v>
      </c>
      <c r="I41" s="34">
        <v>40087</v>
      </c>
      <c r="J41" s="1">
        <v>146.65</v>
      </c>
      <c r="K41" s="34">
        <v>40087</v>
      </c>
      <c r="L41" s="1">
        <v>283.60000000000002</v>
      </c>
      <c r="M41" s="34">
        <v>40087</v>
      </c>
      <c r="N41" s="1">
        <v>72</v>
      </c>
    </row>
    <row r="42" spans="1:14" x14ac:dyDescent="0.25">
      <c r="A42" s="34">
        <v>40118</v>
      </c>
      <c r="B42" s="1">
        <v>279.8</v>
      </c>
      <c r="C42" s="34">
        <v>40118</v>
      </c>
      <c r="D42" s="1">
        <v>86</v>
      </c>
      <c r="E42" s="34">
        <v>40118</v>
      </c>
      <c r="F42" s="1">
        <v>7.5</v>
      </c>
      <c r="G42" s="34">
        <v>40118</v>
      </c>
      <c r="H42" s="1">
        <v>-0.28999999999999998</v>
      </c>
      <c r="I42" s="34">
        <v>40118</v>
      </c>
      <c r="J42" s="1">
        <v>146.44</v>
      </c>
      <c r="K42" s="34">
        <v>40118</v>
      </c>
      <c r="L42" s="1">
        <v>278.8</v>
      </c>
      <c r="M42" s="34">
        <v>40118</v>
      </c>
      <c r="N42" s="1">
        <v>71.7</v>
      </c>
    </row>
    <row r="43" spans="1:14" x14ac:dyDescent="0.25">
      <c r="A43" s="34">
        <v>40148</v>
      </c>
      <c r="B43" s="1">
        <v>279.3</v>
      </c>
      <c r="C43" s="34">
        <v>40148</v>
      </c>
      <c r="D43" s="1">
        <v>88</v>
      </c>
      <c r="E43" s="34">
        <v>40148</v>
      </c>
      <c r="F43" s="1">
        <v>7.5</v>
      </c>
      <c r="G43" s="34">
        <v>40148</v>
      </c>
      <c r="H43" s="1">
        <v>0.09</v>
      </c>
      <c r="I43" s="34">
        <v>40148</v>
      </c>
      <c r="J43" s="1">
        <v>146.12</v>
      </c>
      <c r="K43" s="34">
        <v>40148</v>
      </c>
      <c r="L43" s="1">
        <v>278.2</v>
      </c>
      <c r="M43" s="34">
        <v>40148</v>
      </c>
      <c r="N43" s="1">
        <v>71.8</v>
      </c>
    </row>
    <row r="44" spans="1:14" x14ac:dyDescent="0.25">
      <c r="A44" s="34">
        <v>40179</v>
      </c>
      <c r="B44" s="1">
        <v>279</v>
      </c>
      <c r="C44" s="34">
        <v>40179</v>
      </c>
      <c r="D44" s="1">
        <v>68</v>
      </c>
      <c r="E44" s="34">
        <v>40179</v>
      </c>
      <c r="F44" s="1">
        <v>7.5</v>
      </c>
      <c r="G44" s="34">
        <v>40179</v>
      </c>
      <c r="H44" s="1">
        <v>0.96</v>
      </c>
      <c r="I44" s="34">
        <v>40179</v>
      </c>
      <c r="J44" s="1">
        <v>146.28</v>
      </c>
      <c r="K44" s="34">
        <v>40179</v>
      </c>
      <c r="L44" s="1">
        <v>270.39999999999998</v>
      </c>
      <c r="M44" s="34">
        <v>40179</v>
      </c>
      <c r="N44" s="1">
        <v>70.099999999999994</v>
      </c>
    </row>
    <row r="45" spans="1:14" x14ac:dyDescent="0.25">
      <c r="A45" s="34">
        <v>40210</v>
      </c>
      <c r="B45" s="1">
        <v>279.60000000000002</v>
      </c>
      <c r="C45" s="34">
        <v>40210</v>
      </c>
      <c r="D45" s="1">
        <v>387</v>
      </c>
      <c r="E45" s="34">
        <v>40210</v>
      </c>
      <c r="F45" s="1">
        <v>7.4</v>
      </c>
      <c r="G45" s="34">
        <v>40210</v>
      </c>
      <c r="H45" s="1">
        <v>1.79</v>
      </c>
      <c r="I45" s="34">
        <v>40210</v>
      </c>
      <c r="J45" s="1">
        <v>146.63</v>
      </c>
      <c r="K45" s="34">
        <v>40210</v>
      </c>
      <c r="L45" s="1">
        <v>271.3</v>
      </c>
      <c r="M45" s="34">
        <v>40210</v>
      </c>
      <c r="N45" s="1">
        <v>71.5</v>
      </c>
    </row>
    <row r="46" spans="1:14" x14ac:dyDescent="0.25">
      <c r="A46" s="34">
        <v>40238</v>
      </c>
      <c r="B46" s="1">
        <v>280</v>
      </c>
      <c r="C46" s="34">
        <v>40238</v>
      </c>
      <c r="D46" s="1">
        <v>176</v>
      </c>
      <c r="E46" s="34">
        <v>40238</v>
      </c>
      <c r="F46" s="1">
        <v>7.3</v>
      </c>
      <c r="G46" s="34">
        <v>40238</v>
      </c>
      <c r="H46" s="1">
        <v>2.41</v>
      </c>
      <c r="I46" s="34">
        <v>40238</v>
      </c>
      <c r="J46" s="1">
        <v>147.33000000000001</v>
      </c>
      <c r="K46" s="34">
        <v>40238</v>
      </c>
      <c r="L46" s="1">
        <v>273.5</v>
      </c>
      <c r="M46" s="34">
        <v>40238</v>
      </c>
      <c r="N46" s="1">
        <v>72.7</v>
      </c>
    </row>
    <row r="47" spans="1:14" x14ac:dyDescent="0.25">
      <c r="A47" s="34">
        <v>40269</v>
      </c>
      <c r="B47" s="1">
        <v>281.39999999999998</v>
      </c>
      <c r="C47" s="34">
        <v>40269</v>
      </c>
      <c r="D47" s="1">
        <v>142</v>
      </c>
      <c r="E47" s="34">
        <v>40269</v>
      </c>
      <c r="F47" s="1">
        <v>7.2</v>
      </c>
      <c r="G47" s="34">
        <v>40269</v>
      </c>
      <c r="H47" s="1">
        <v>1.46</v>
      </c>
      <c r="I47" s="34">
        <v>40269</v>
      </c>
      <c r="J47" s="1">
        <v>147.62</v>
      </c>
      <c r="K47" s="34">
        <v>40269</v>
      </c>
      <c r="L47" s="1">
        <v>276.10000000000002</v>
      </c>
      <c r="M47" s="34">
        <v>40269</v>
      </c>
      <c r="N47" s="1">
        <v>72.2</v>
      </c>
    </row>
    <row r="48" spans="1:14" x14ac:dyDescent="0.25">
      <c r="A48" s="34">
        <v>40299</v>
      </c>
      <c r="B48" s="1">
        <v>282.8</v>
      </c>
      <c r="C48" s="34">
        <v>40299</v>
      </c>
      <c r="D48" s="1">
        <v>160</v>
      </c>
      <c r="E48" s="34">
        <v>40299</v>
      </c>
      <c r="F48" s="1">
        <v>7.2</v>
      </c>
      <c r="G48" s="34">
        <v>40299</v>
      </c>
      <c r="H48" s="1">
        <v>1.47</v>
      </c>
      <c r="I48" s="34">
        <v>40299</v>
      </c>
      <c r="J48" s="1">
        <v>148.19999999999999</v>
      </c>
      <c r="K48" s="34">
        <v>40299</v>
      </c>
      <c r="L48" s="1">
        <v>283.89999999999998</v>
      </c>
      <c r="M48" s="34">
        <v>40299</v>
      </c>
      <c r="N48" s="1">
        <v>75</v>
      </c>
    </row>
    <row r="49" spans="1:14" x14ac:dyDescent="0.25">
      <c r="A49" s="34">
        <v>40330</v>
      </c>
      <c r="B49" s="1">
        <v>282.3</v>
      </c>
      <c r="C49" s="34">
        <v>40330</v>
      </c>
      <c r="D49" s="1">
        <v>209</v>
      </c>
      <c r="E49" s="34">
        <v>40330</v>
      </c>
      <c r="F49" s="1">
        <v>7.1</v>
      </c>
      <c r="G49" s="34">
        <v>40330</v>
      </c>
      <c r="H49" s="1">
        <v>0.64</v>
      </c>
      <c r="I49" s="34">
        <v>40330</v>
      </c>
      <c r="J49" s="1">
        <v>148.27000000000001</v>
      </c>
      <c r="K49" s="34">
        <v>40330</v>
      </c>
      <c r="L49" s="1">
        <v>290.39999999999998</v>
      </c>
      <c r="M49" s="34">
        <v>40330</v>
      </c>
      <c r="N49" s="1">
        <v>73.8</v>
      </c>
    </row>
    <row r="50" spans="1:14" x14ac:dyDescent="0.25">
      <c r="A50" s="34">
        <v>40360</v>
      </c>
      <c r="B50" s="1">
        <v>281.39999999999998</v>
      </c>
      <c r="C50" s="34">
        <v>40360</v>
      </c>
      <c r="D50" s="1">
        <v>200</v>
      </c>
      <c r="E50" s="34">
        <v>40360</v>
      </c>
      <c r="F50" s="1">
        <v>7</v>
      </c>
      <c r="G50" s="34">
        <v>40360</v>
      </c>
      <c r="H50" s="1">
        <v>0.05</v>
      </c>
      <c r="I50" s="34">
        <v>40360</v>
      </c>
      <c r="J50" s="1">
        <v>148.41</v>
      </c>
      <c r="K50" s="34">
        <v>40360</v>
      </c>
      <c r="L50" s="1">
        <v>286.39999999999998</v>
      </c>
      <c r="M50" s="34">
        <v>40360</v>
      </c>
      <c r="N50" s="1">
        <v>65.900000000000006</v>
      </c>
    </row>
    <row r="51" spans="1:14" x14ac:dyDescent="0.25">
      <c r="A51" s="34">
        <v>40391</v>
      </c>
      <c r="B51" s="1">
        <v>282.2</v>
      </c>
      <c r="C51" s="34">
        <v>40391</v>
      </c>
      <c r="D51" s="1">
        <v>108</v>
      </c>
      <c r="E51" s="34">
        <v>40391</v>
      </c>
      <c r="F51" s="1">
        <v>7</v>
      </c>
      <c r="G51" s="34">
        <v>40391</v>
      </c>
      <c r="H51" s="1">
        <v>0.71</v>
      </c>
      <c r="I51" s="34">
        <v>40391</v>
      </c>
      <c r="J51" s="1">
        <v>148.77000000000001</v>
      </c>
      <c r="K51" s="34">
        <v>40391</v>
      </c>
      <c r="L51" s="1">
        <v>287.89999999999998</v>
      </c>
      <c r="M51" s="34">
        <v>40391</v>
      </c>
      <c r="N51" s="1">
        <v>65.7</v>
      </c>
    </row>
    <row r="52" spans="1:14" x14ac:dyDescent="0.25">
      <c r="A52" s="34">
        <v>40422</v>
      </c>
      <c r="B52" s="1">
        <v>283.3</v>
      </c>
      <c r="C52" s="34">
        <v>40422</v>
      </c>
      <c r="D52" s="1">
        <v>134</v>
      </c>
      <c r="E52" s="34">
        <v>40422</v>
      </c>
      <c r="F52" s="1">
        <v>6.9</v>
      </c>
      <c r="G52" s="34">
        <v>40422</v>
      </c>
      <c r="H52" s="1">
        <v>0.56999999999999995</v>
      </c>
      <c r="I52" s="34">
        <v>40422</v>
      </c>
      <c r="J52" s="1">
        <v>148.9</v>
      </c>
      <c r="K52" s="34">
        <v>40422</v>
      </c>
      <c r="L52" s="1">
        <v>290.60000000000002</v>
      </c>
      <c r="M52" s="34">
        <v>40422</v>
      </c>
      <c r="N52" s="1">
        <v>71.8</v>
      </c>
    </row>
    <row r="53" spans="1:14" x14ac:dyDescent="0.25">
      <c r="A53" s="34">
        <v>40452</v>
      </c>
      <c r="B53" s="1">
        <v>284.10000000000002</v>
      </c>
      <c r="C53" s="34">
        <v>40452</v>
      </c>
      <c r="D53" s="1">
        <v>218</v>
      </c>
      <c r="E53" s="34">
        <v>40452</v>
      </c>
      <c r="F53" s="1">
        <v>6.8</v>
      </c>
      <c r="G53" s="34">
        <v>40452</v>
      </c>
      <c r="H53" s="1">
        <v>-0.16</v>
      </c>
      <c r="I53" s="34">
        <v>40452</v>
      </c>
      <c r="J53" s="1">
        <v>149.11000000000001</v>
      </c>
      <c r="K53" s="34">
        <v>40452</v>
      </c>
      <c r="L53" s="1">
        <v>287.8</v>
      </c>
      <c r="M53" s="34">
        <v>40452</v>
      </c>
      <c r="N53" s="1">
        <v>72.8</v>
      </c>
    </row>
    <row r="54" spans="1:14" x14ac:dyDescent="0.25">
      <c r="A54" s="34">
        <v>40483</v>
      </c>
      <c r="B54" s="1">
        <v>282.8</v>
      </c>
      <c r="C54" s="34">
        <v>40483</v>
      </c>
      <c r="D54" s="1">
        <v>186</v>
      </c>
      <c r="E54" s="34">
        <v>40483</v>
      </c>
      <c r="F54" s="1">
        <v>6.6</v>
      </c>
      <c r="G54" s="34">
        <v>40483</v>
      </c>
      <c r="H54" s="1">
        <v>-0.21</v>
      </c>
      <c r="I54" s="34">
        <v>40483</v>
      </c>
      <c r="J54" s="1">
        <v>148.9</v>
      </c>
      <c r="K54" s="34">
        <v>40483</v>
      </c>
      <c r="L54" s="1">
        <v>281.39999999999998</v>
      </c>
      <c r="M54" s="34">
        <v>40483</v>
      </c>
      <c r="N54" s="1">
        <v>72.3</v>
      </c>
    </row>
    <row r="55" spans="1:14" x14ac:dyDescent="0.25">
      <c r="A55" s="34">
        <v>40513</v>
      </c>
      <c r="B55" s="1">
        <v>283.10000000000002</v>
      </c>
      <c r="C55" s="34">
        <v>40513</v>
      </c>
      <c r="D55" s="1">
        <v>91</v>
      </c>
      <c r="E55" s="34">
        <v>40513</v>
      </c>
      <c r="F55" s="1">
        <v>6.5</v>
      </c>
      <c r="G55" s="34">
        <v>40513</v>
      </c>
      <c r="H55" s="1">
        <v>0.31</v>
      </c>
      <c r="I55" s="34">
        <v>40513</v>
      </c>
      <c r="J55" s="1">
        <v>148.79</v>
      </c>
      <c r="K55" s="34">
        <v>40513</v>
      </c>
      <c r="L55" s="1">
        <v>281.7</v>
      </c>
      <c r="M55" s="34">
        <v>40513</v>
      </c>
      <c r="N55" s="1">
        <v>72.5</v>
      </c>
    </row>
    <row r="56" spans="1:14" x14ac:dyDescent="0.25">
      <c r="A56" s="34">
        <v>40544</v>
      </c>
      <c r="B56" s="1">
        <v>282.60000000000002</v>
      </c>
      <c r="C56" s="34">
        <v>40544</v>
      </c>
      <c r="D56" s="1">
        <v>84</v>
      </c>
      <c r="E56" s="34">
        <v>40544</v>
      </c>
      <c r="F56" s="1">
        <v>6.4</v>
      </c>
      <c r="G56" s="34">
        <v>40544</v>
      </c>
      <c r="H56" s="1">
        <v>0.73</v>
      </c>
      <c r="I56" s="34">
        <v>40544</v>
      </c>
      <c r="J56" s="1">
        <v>148.88999999999999</v>
      </c>
      <c r="K56" s="34">
        <v>40544</v>
      </c>
      <c r="L56" s="1">
        <v>273.2</v>
      </c>
      <c r="M56" s="34">
        <v>40544</v>
      </c>
      <c r="N56" s="1">
        <v>70.599999999999994</v>
      </c>
    </row>
    <row r="57" spans="1:14" x14ac:dyDescent="0.25">
      <c r="A57" s="34">
        <v>40575</v>
      </c>
      <c r="B57" s="1">
        <v>283</v>
      </c>
      <c r="C57" s="34">
        <v>40575</v>
      </c>
      <c r="D57" s="1">
        <v>75</v>
      </c>
      <c r="E57" s="34">
        <v>40575</v>
      </c>
      <c r="F57" s="1">
        <v>6.3</v>
      </c>
      <c r="G57" s="34">
        <v>40575</v>
      </c>
      <c r="H57" s="1">
        <v>0.88</v>
      </c>
      <c r="I57" s="34">
        <v>40575</v>
      </c>
      <c r="J57" s="1">
        <v>148.91999999999999</v>
      </c>
      <c r="K57" s="34">
        <v>40575</v>
      </c>
      <c r="L57" s="1">
        <v>274.7</v>
      </c>
      <c r="M57" s="34">
        <v>40575</v>
      </c>
      <c r="N57" s="1">
        <v>72.099999999999994</v>
      </c>
    </row>
    <row r="58" spans="1:14" x14ac:dyDescent="0.25">
      <c r="A58" s="34">
        <v>40603</v>
      </c>
      <c r="B58" s="1">
        <v>283.7</v>
      </c>
      <c r="C58" s="34">
        <v>40603</v>
      </c>
      <c r="D58" s="1">
        <v>153</v>
      </c>
      <c r="E58" s="34">
        <v>40603</v>
      </c>
      <c r="F58" s="1">
        <v>6.2</v>
      </c>
      <c r="G58" s="34">
        <v>40603</v>
      </c>
      <c r="H58" s="1">
        <v>1.08</v>
      </c>
      <c r="I58" s="34">
        <v>40603</v>
      </c>
      <c r="J58" s="1">
        <v>149.27000000000001</v>
      </c>
      <c r="K58" s="34">
        <v>40603</v>
      </c>
      <c r="L58" s="1">
        <v>277.10000000000002</v>
      </c>
      <c r="M58" s="34">
        <v>40603</v>
      </c>
      <c r="N58" s="1">
        <v>72.8</v>
      </c>
    </row>
    <row r="59" spans="1:14" x14ac:dyDescent="0.25">
      <c r="A59" s="34">
        <v>40634</v>
      </c>
      <c r="B59" s="1">
        <v>283.60000000000002</v>
      </c>
      <c r="C59" s="34">
        <v>40634</v>
      </c>
      <c r="D59" s="1">
        <v>152</v>
      </c>
      <c r="E59" s="34">
        <v>40634</v>
      </c>
      <c r="F59" s="1">
        <v>6.1</v>
      </c>
      <c r="G59" s="34">
        <v>40634</v>
      </c>
      <c r="H59" s="1">
        <v>1.17</v>
      </c>
      <c r="I59" s="34">
        <v>40634</v>
      </c>
      <c r="J59" s="1">
        <v>149.43</v>
      </c>
      <c r="K59" s="34">
        <v>40634</v>
      </c>
      <c r="L59" s="1">
        <v>278.2</v>
      </c>
      <c r="M59" s="34">
        <v>40634</v>
      </c>
      <c r="N59" s="1">
        <v>72.7</v>
      </c>
    </row>
    <row r="60" spans="1:14" x14ac:dyDescent="0.25">
      <c r="A60" s="34">
        <v>40664</v>
      </c>
      <c r="B60" s="1">
        <v>284.5</v>
      </c>
      <c r="C60" s="34">
        <v>40664</v>
      </c>
      <c r="D60" s="1">
        <v>150</v>
      </c>
      <c r="E60" s="34">
        <v>40664</v>
      </c>
      <c r="F60" s="1">
        <v>6.1</v>
      </c>
      <c r="G60" s="34">
        <v>40664</v>
      </c>
      <c r="H60" s="1">
        <v>0.94</v>
      </c>
      <c r="I60" s="34">
        <v>40664</v>
      </c>
      <c r="J60" s="1">
        <v>149.97</v>
      </c>
      <c r="K60" s="34">
        <v>40664</v>
      </c>
      <c r="L60" s="1">
        <v>285.7</v>
      </c>
      <c r="M60" s="34">
        <v>40664</v>
      </c>
      <c r="N60" s="1">
        <v>74.099999999999994</v>
      </c>
    </row>
    <row r="61" spans="1:14" x14ac:dyDescent="0.25">
      <c r="A61" s="34">
        <v>40695</v>
      </c>
      <c r="B61" s="1">
        <v>285</v>
      </c>
      <c r="C61" s="34">
        <v>40695</v>
      </c>
      <c r="D61" s="1">
        <v>288</v>
      </c>
      <c r="E61" s="34">
        <v>40695</v>
      </c>
      <c r="F61" s="1">
        <v>6.1</v>
      </c>
      <c r="G61" s="34">
        <v>40695</v>
      </c>
      <c r="H61" s="1">
        <v>0.96</v>
      </c>
      <c r="I61" s="34">
        <v>40695</v>
      </c>
      <c r="J61" s="1">
        <v>150.27000000000001</v>
      </c>
      <c r="K61" s="34">
        <v>40695</v>
      </c>
      <c r="L61" s="1">
        <v>293.60000000000002</v>
      </c>
      <c r="M61" s="34">
        <v>40695</v>
      </c>
      <c r="N61" s="1">
        <v>73.3</v>
      </c>
    </row>
    <row r="62" spans="1:14" x14ac:dyDescent="0.25">
      <c r="A62" s="34">
        <v>40725</v>
      </c>
      <c r="B62" s="1">
        <v>286.7</v>
      </c>
      <c r="C62" s="34">
        <v>40725</v>
      </c>
      <c r="D62" s="1">
        <v>201</v>
      </c>
      <c r="E62" s="34">
        <v>40725</v>
      </c>
      <c r="F62" s="1">
        <v>6.2</v>
      </c>
      <c r="G62" s="34">
        <v>40725</v>
      </c>
      <c r="H62" s="1">
        <v>0.4</v>
      </c>
      <c r="I62" s="34">
        <v>40725</v>
      </c>
      <c r="J62" s="1">
        <v>150.61000000000001</v>
      </c>
      <c r="K62" s="34">
        <v>40725</v>
      </c>
      <c r="L62" s="1">
        <v>293.7</v>
      </c>
      <c r="M62" s="34">
        <v>40725</v>
      </c>
      <c r="N62" s="1">
        <v>69.2</v>
      </c>
    </row>
    <row r="63" spans="1:14" x14ac:dyDescent="0.25">
      <c r="A63" s="34">
        <v>40756</v>
      </c>
      <c r="B63" s="1">
        <v>288.39999999999998</v>
      </c>
      <c r="C63" s="34">
        <v>40756</v>
      </c>
      <c r="D63" s="1">
        <v>216</v>
      </c>
      <c r="E63" s="34">
        <v>40756</v>
      </c>
      <c r="F63" s="1">
        <v>6.2</v>
      </c>
      <c r="G63" s="34">
        <v>40756</v>
      </c>
      <c r="H63" s="1">
        <v>0.78</v>
      </c>
      <c r="I63" s="34">
        <v>40756</v>
      </c>
      <c r="J63" s="1">
        <v>151.04</v>
      </c>
      <c r="K63" s="34">
        <v>40756</v>
      </c>
      <c r="L63" s="1">
        <v>294.10000000000002</v>
      </c>
      <c r="M63" s="34">
        <v>40756</v>
      </c>
      <c r="N63" s="1">
        <v>68.400000000000006</v>
      </c>
    </row>
    <row r="64" spans="1:14" x14ac:dyDescent="0.25">
      <c r="A64" s="34">
        <v>40787</v>
      </c>
      <c r="B64" s="1">
        <v>288.60000000000002</v>
      </c>
      <c r="C64" s="34">
        <v>40787</v>
      </c>
      <c r="D64" s="1">
        <v>184</v>
      </c>
      <c r="E64" s="34">
        <v>40787</v>
      </c>
      <c r="F64" s="1">
        <v>6.1</v>
      </c>
      <c r="G64" s="34">
        <v>40787</v>
      </c>
      <c r="H64" s="1">
        <v>0.6</v>
      </c>
      <c r="I64" s="34">
        <v>40787</v>
      </c>
      <c r="J64" s="1">
        <v>151.27000000000001</v>
      </c>
      <c r="K64" s="34">
        <v>40787</v>
      </c>
      <c r="L64" s="1">
        <v>295.89999999999998</v>
      </c>
      <c r="M64" s="34">
        <v>40787</v>
      </c>
      <c r="N64" s="1">
        <v>72.5</v>
      </c>
    </row>
    <row r="65" spans="1:14" x14ac:dyDescent="0.25">
      <c r="A65" s="34">
        <v>40817</v>
      </c>
      <c r="B65" s="1">
        <v>288.3</v>
      </c>
      <c r="C65" s="34">
        <v>40817</v>
      </c>
      <c r="D65" s="1">
        <v>103</v>
      </c>
      <c r="E65" s="34">
        <v>40817</v>
      </c>
      <c r="F65" s="1">
        <v>6</v>
      </c>
      <c r="G65" s="34">
        <v>40817</v>
      </c>
      <c r="H65" s="1">
        <v>1.05</v>
      </c>
      <c r="I65" s="34">
        <v>40817</v>
      </c>
      <c r="J65" s="1">
        <v>151.66</v>
      </c>
      <c r="K65" s="34">
        <v>40817</v>
      </c>
      <c r="L65" s="1">
        <v>292.2</v>
      </c>
      <c r="M65" s="34">
        <v>40817</v>
      </c>
      <c r="N65" s="1">
        <v>73.3</v>
      </c>
    </row>
    <row r="66" spans="1:14" x14ac:dyDescent="0.25">
      <c r="A66" s="34">
        <v>40848</v>
      </c>
      <c r="B66" s="1">
        <v>288.60000000000002</v>
      </c>
      <c r="C66" s="34">
        <v>40848</v>
      </c>
      <c r="D66" s="1">
        <v>356</v>
      </c>
      <c r="E66" s="34">
        <v>40848</v>
      </c>
      <c r="F66" s="1">
        <v>5.9</v>
      </c>
      <c r="G66" s="34">
        <v>40848</v>
      </c>
      <c r="H66" s="1">
        <v>-0.25</v>
      </c>
      <c r="I66" s="34">
        <v>40848</v>
      </c>
      <c r="J66" s="1">
        <v>151.46</v>
      </c>
      <c r="K66" s="34">
        <v>40848</v>
      </c>
      <c r="L66" s="1">
        <v>287</v>
      </c>
      <c r="M66" s="34">
        <v>40848</v>
      </c>
      <c r="N66" s="1">
        <v>72.8</v>
      </c>
    </row>
    <row r="67" spans="1:14" x14ac:dyDescent="0.25">
      <c r="A67" s="34">
        <v>40878</v>
      </c>
      <c r="B67" s="1">
        <v>289.89999999999998</v>
      </c>
      <c r="C67" s="34">
        <v>40878</v>
      </c>
      <c r="D67" s="1">
        <v>64</v>
      </c>
      <c r="E67" s="34">
        <v>40878</v>
      </c>
      <c r="F67" s="1">
        <v>5.8</v>
      </c>
      <c r="G67" s="34">
        <v>40878</v>
      </c>
      <c r="H67" s="1">
        <v>0.13</v>
      </c>
      <c r="I67" s="34">
        <v>40878</v>
      </c>
      <c r="J67" s="1">
        <v>151.79</v>
      </c>
      <c r="K67" s="34">
        <v>40878</v>
      </c>
      <c r="L67" s="1">
        <v>288.39999999999998</v>
      </c>
      <c r="M67" s="34">
        <v>40878</v>
      </c>
      <c r="N67" s="1">
        <v>73</v>
      </c>
    </row>
    <row r="68" spans="1:14" x14ac:dyDescent="0.25">
      <c r="A68" s="34">
        <v>40909</v>
      </c>
      <c r="B68" s="1">
        <v>289.5</v>
      </c>
      <c r="C68" s="34">
        <v>40909</v>
      </c>
      <c r="D68" s="1">
        <v>84</v>
      </c>
      <c r="E68" s="34">
        <v>40909</v>
      </c>
      <c r="F68" s="1">
        <v>5.7</v>
      </c>
      <c r="G68" s="34">
        <v>40909</v>
      </c>
      <c r="H68" s="1">
        <v>0.94</v>
      </c>
      <c r="I68" s="34">
        <v>40909</v>
      </c>
      <c r="J68" s="1">
        <v>152.04</v>
      </c>
      <c r="K68" s="34">
        <v>40909</v>
      </c>
      <c r="L68" s="1">
        <v>279.8</v>
      </c>
      <c r="M68" s="34">
        <v>40909</v>
      </c>
      <c r="N68" s="1">
        <v>71.3</v>
      </c>
    </row>
    <row r="69" spans="1:14" x14ac:dyDescent="0.25">
      <c r="A69" s="34">
        <v>40940</v>
      </c>
      <c r="B69" s="1">
        <v>290.10000000000002</v>
      </c>
      <c r="C69" s="34">
        <v>40940</v>
      </c>
      <c r="D69" s="1">
        <v>116</v>
      </c>
      <c r="E69" s="34">
        <v>40940</v>
      </c>
      <c r="F69" s="1">
        <v>5.6</v>
      </c>
      <c r="G69" s="34">
        <v>40940</v>
      </c>
      <c r="H69" s="1">
        <v>1.32</v>
      </c>
      <c r="I69" s="34">
        <v>40940</v>
      </c>
      <c r="J69" s="1">
        <v>152.63</v>
      </c>
      <c r="K69" s="34">
        <v>40940</v>
      </c>
      <c r="L69" s="1">
        <v>281.2</v>
      </c>
      <c r="M69" s="34">
        <v>40940</v>
      </c>
      <c r="N69" s="1">
        <v>73</v>
      </c>
    </row>
    <row r="70" spans="1:14" x14ac:dyDescent="0.25">
      <c r="A70" s="34">
        <v>40969</v>
      </c>
      <c r="B70" s="1">
        <v>289.8</v>
      </c>
      <c r="C70" s="34">
        <v>40969</v>
      </c>
      <c r="D70" s="1">
        <v>277</v>
      </c>
      <c r="E70" s="34">
        <v>40969</v>
      </c>
      <c r="F70" s="1">
        <v>5.5</v>
      </c>
      <c r="G70" s="34">
        <v>40969</v>
      </c>
      <c r="H70" s="1">
        <v>0.52</v>
      </c>
      <c r="I70" s="34">
        <v>40969</v>
      </c>
      <c r="J70" s="1">
        <v>152.69</v>
      </c>
      <c r="K70" s="34">
        <v>40969</v>
      </c>
      <c r="L70" s="1">
        <v>283.2</v>
      </c>
      <c r="M70" s="34">
        <v>40969</v>
      </c>
      <c r="N70" s="1">
        <v>73.400000000000006</v>
      </c>
    </row>
    <row r="71" spans="1:14" x14ac:dyDescent="0.25">
      <c r="A71" s="34">
        <v>41000</v>
      </c>
      <c r="B71" s="1">
        <v>290.7</v>
      </c>
      <c r="C71" s="34">
        <v>41000</v>
      </c>
      <c r="D71" s="1">
        <v>156</v>
      </c>
      <c r="E71" s="34">
        <v>41000</v>
      </c>
      <c r="F71" s="1">
        <v>5.6</v>
      </c>
      <c r="G71" s="34">
        <v>41000</v>
      </c>
      <c r="H71" s="1">
        <v>0.28000000000000003</v>
      </c>
      <c r="I71" s="34">
        <v>41000</v>
      </c>
      <c r="J71" s="1">
        <v>153.08000000000001</v>
      </c>
      <c r="K71" s="34">
        <v>41000</v>
      </c>
      <c r="L71" s="1">
        <v>284.5</v>
      </c>
      <c r="M71" s="34">
        <v>41000</v>
      </c>
      <c r="N71" s="1">
        <v>72.7</v>
      </c>
    </row>
    <row r="72" spans="1:14" x14ac:dyDescent="0.25">
      <c r="A72" s="34">
        <v>41030</v>
      </c>
      <c r="B72" s="1">
        <v>289.39999999999998</v>
      </c>
      <c r="C72" s="34">
        <v>41030</v>
      </c>
      <c r="D72" s="1">
        <v>184</v>
      </c>
      <c r="E72" s="34">
        <v>41030</v>
      </c>
      <c r="F72" s="1">
        <v>5.6</v>
      </c>
      <c r="G72" s="34">
        <v>41030</v>
      </c>
      <c r="H72" s="1">
        <v>-0.44</v>
      </c>
      <c r="I72" s="34">
        <v>41030</v>
      </c>
      <c r="J72" s="1">
        <v>152.72999999999999</v>
      </c>
      <c r="K72" s="34">
        <v>41030</v>
      </c>
      <c r="L72" s="1">
        <v>290.7</v>
      </c>
      <c r="M72" s="34">
        <v>41030</v>
      </c>
      <c r="N72" s="1">
        <v>74.2</v>
      </c>
    </row>
    <row r="73" spans="1:14" x14ac:dyDescent="0.25">
      <c r="A73" s="34">
        <v>41061</v>
      </c>
      <c r="B73" s="1">
        <v>288.5</v>
      </c>
      <c r="C73" s="34">
        <v>41061</v>
      </c>
      <c r="D73" s="1">
        <v>159</v>
      </c>
      <c r="E73" s="34">
        <v>41061</v>
      </c>
      <c r="F73" s="1">
        <v>5.6</v>
      </c>
      <c r="G73" s="34">
        <v>41061</v>
      </c>
      <c r="H73" s="1">
        <v>-0.68</v>
      </c>
      <c r="I73" s="34">
        <v>41061</v>
      </c>
      <c r="J73" s="1">
        <v>152.72999999999999</v>
      </c>
      <c r="K73" s="34">
        <v>41061</v>
      </c>
      <c r="L73" s="1">
        <v>297.3</v>
      </c>
      <c r="M73" s="34">
        <v>41061</v>
      </c>
      <c r="N73" s="1">
        <v>73.099999999999994</v>
      </c>
    </row>
    <row r="74" spans="1:14" x14ac:dyDescent="0.25">
      <c r="A74" s="34">
        <v>41091</v>
      </c>
      <c r="B74" s="1">
        <v>288.7</v>
      </c>
      <c r="C74" s="34">
        <v>41091</v>
      </c>
      <c r="D74" s="1">
        <v>133</v>
      </c>
      <c r="E74" s="34">
        <v>41091</v>
      </c>
      <c r="F74" s="1">
        <v>5.5</v>
      </c>
      <c r="G74" s="34">
        <v>41091</v>
      </c>
      <c r="H74" s="1">
        <v>-0.09</v>
      </c>
      <c r="I74" s="34">
        <v>41091</v>
      </c>
      <c r="J74" s="1">
        <v>152.57</v>
      </c>
      <c r="K74" s="34">
        <v>41091</v>
      </c>
      <c r="L74" s="1">
        <v>295.8</v>
      </c>
      <c r="M74" s="34">
        <v>41091</v>
      </c>
      <c r="N74" s="1">
        <v>69.599999999999994</v>
      </c>
    </row>
    <row r="75" spans="1:14" x14ac:dyDescent="0.25">
      <c r="A75" s="34">
        <v>41122</v>
      </c>
      <c r="B75" s="1">
        <v>288.89999999999998</v>
      </c>
      <c r="C75" s="34">
        <v>41122</v>
      </c>
      <c r="D75" s="1">
        <v>332</v>
      </c>
      <c r="E75" s="34">
        <v>41122</v>
      </c>
      <c r="F75" s="1">
        <v>5.4</v>
      </c>
      <c r="G75" s="34">
        <v>41122</v>
      </c>
      <c r="H75" s="1">
        <v>-0.24</v>
      </c>
      <c r="I75" s="34">
        <v>41122</v>
      </c>
      <c r="J75" s="1">
        <v>152.52000000000001</v>
      </c>
      <c r="K75" s="34">
        <v>41122</v>
      </c>
      <c r="L75" s="1">
        <v>295.7</v>
      </c>
      <c r="M75" s="34">
        <v>41122</v>
      </c>
      <c r="N75" s="1">
        <v>68.3</v>
      </c>
    </row>
    <row r="76" spans="1:14" x14ac:dyDescent="0.25">
      <c r="A76" s="34">
        <v>41153</v>
      </c>
      <c r="B76" s="1">
        <v>288.2</v>
      </c>
      <c r="C76" s="34">
        <v>41153</v>
      </c>
      <c r="D76" s="1">
        <v>190</v>
      </c>
      <c r="E76" s="34">
        <v>41153</v>
      </c>
      <c r="F76" s="1">
        <v>5.3</v>
      </c>
      <c r="G76" s="34">
        <v>41153</v>
      </c>
      <c r="H76" s="1">
        <v>-0.09</v>
      </c>
      <c r="I76" s="34">
        <v>41153</v>
      </c>
      <c r="J76" s="1">
        <v>152.4</v>
      </c>
      <c r="K76" s="34">
        <v>41153</v>
      </c>
      <c r="L76" s="1">
        <v>295.60000000000002</v>
      </c>
      <c r="M76" s="34">
        <v>41153</v>
      </c>
      <c r="N76" s="1">
        <v>72.599999999999994</v>
      </c>
    </row>
    <row r="77" spans="1:14" x14ac:dyDescent="0.25">
      <c r="A77" s="34">
        <v>41183</v>
      </c>
      <c r="B77" s="1">
        <v>288.89999999999998</v>
      </c>
      <c r="C77" s="34">
        <v>41183</v>
      </c>
      <c r="D77" s="1">
        <v>150</v>
      </c>
      <c r="E77" s="34">
        <v>41183</v>
      </c>
      <c r="F77" s="1">
        <v>5.2</v>
      </c>
      <c r="G77" s="34">
        <v>41183</v>
      </c>
      <c r="H77" s="1">
        <v>0.48</v>
      </c>
      <c r="I77" s="34">
        <v>41183</v>
      </c>
      <c r="J77" s="1">
        <v>152.62</v>
      </c>
      <c r="K77" s="34">
        <v>41183</v>
      </c>
      <c r="L77" s="1">
        <v>292.60000000000002</v>
      </c>
      <c r="M77" s="34">
        <v>41183</v>
      </c>
      <c r="N77" s="1">
        <v>73.5</v>
      </c>
    </row>
    <row r="78" spans="1:14" x14ac:dyDescent="0.25">
      <c r="A78" s="34">
        <v>41214</v>
      </c>
      <c r="B78" s="1">
        <v>289.2</v>
      </c>
      <c r="C78" s="34">
        <v>41214</v>
      </c>
      <c r="D78" s="1">
        <v>115</v>
      </c>
      <c r="E78" s="34">
        <v>41214</v>
      </c>
      <c r="F78" s="1">
        <v>5</v>
      </c>
      <c r="G78" s="34">
        <v>41214</v>
      </c>
      <c r="H78" s="1">
        <v>0.41</v>
      </c>
      <c r="I78" s="34">
        <v>41214</v>
      </c>
      <c r="J78" s="1">
        <v>152.58000000000001</v>
      </c>
      <c r="K78" s="34">
        <v>41214</v>
      </c>
      <c r="L78" s="1">
        <v>287.5</v>
      </c>
      <c r="M78" s="34">
        <v>41214</v>
      </c>
      <c r="N78" s="1">
        <v>73.099999999999994</v>
      </c>
    </row>
    <row r="79" spans="1:14" x14ac:dyDescent="0.25">
      <c r="A79" s="34">
        <v>41244</v>
      </c>
      <c r="B79" s="1">
        <v>289.7</v>
      </c>
      <c r="C79" s="34">
        <v>41244</v>
      </c>
      <c r="D79" s="1">
        <v>168</v>
      </c>
      <c r="E79" s="34">
        <v>41244</v>
      </c>
      <c r="F79" s="1">
        <v>5</v>
      </c>
      <c r="G79" s="34">
        <v>41244</v>
      </c>
      <c r="H79" s="1">
        <v>0.64</v>
      </c>
      <c r="I79" s="34">
        <v>41244</v>
      </c>
      <c r="J79" s="1">
        <v>152.79</v>
      </c>
      <c r="K79" s="34">
        <v>41244</v>
      </c>
      <c r="L79" s="1">
        <v>288.3</v>
      </c>
      <c r="M79" s="34">
        <v>41244</v>
      </c>
      <c r="N79" s="1">
        <v>73.3</v>
      </c>
    </row>
    <row r="80" spans="1:14" x14ac:dyDescent="0.25">
      <c r="A80" s="34">
        <v>41275</v>
      </c>
      <c r="B80" s="1">
        <v>290.10000000000002</v>
      </c>
      <c r="C80" s="34">
        <v>41275</v>
      </c>
      <c r="D80" s="1">
        <v>74</v>
      </c>
      <c r="E80" s="34">
        <v>41275</v>
      </c>
      <c r="F80" s="1">
        <v>4.9000000000000004</v>
      </c>
      <c r="G80" s="34">
        <v>41275</v>
      </c>
      <c r="H80" s="1">
        <v>0.72</v>
      </c>
      <c r="I80" s="34">
        <v>41275</v>
      </c>
      <c r="J80" s="1">
        <v>152.78</v>
      </c>
      <c r="K80" s="34">
        <v>41275</v>
      </c>
      <c r="L80" s="1">
        <v>280.2</v>
      </c>
      <c r="M80" s="34">
        <v>41275</v>
      </c>
      <c r="N80" s="1">
        <v>71.5</v>
      </c>
    </row>
    <row r="81" spans="1:14" x14ac:dyDescent="0.25">
      <c r="A81" s="34">
        <v>41306</v>
      </c>
      <c r="B81" s="1">
        <v>289.8</v>
      </c>
      <c r="C81" s="34">
        <v>41306</v>
      </c>
      <c r="D81" s="1">
        <v>138</v>
      </c>
      <c r="E81" s="34">
        <v>41306</v>
      </c>
      <c r="F81" s="1">
        <v>4.8</v>
      </c>
      <c r="G81" s="34">
        <v>41306</v>
      </c>
      <c r="H81" s="1">
        <v>0.22</v>
      </c>
      <c r="I81" s="34">
        <v>41306</v>
      </c>
      <c r="J81" s="1">
        <v>152.80000000000001</v>
      </c>
      <c r="K81" s="34">
        <v>41306</v>
      </c>
      <c r="L81" s="1">
        <v>281</v>
      </c>
      <c r="M81" s="34">
        <v>41306</v>
      </c>
      <c r="N81" s="1">
        <v>72.8</v>
      </c>
    </row>
    <row r="82" spans="1:14" x14ac:dyDescent="0.25">
      <c r="A82" s="34">
        <v>41334</v>
      </c>
      <c r="B82" s="1">
        <v>289.89999999999998</v>
      </c>
      <c r="C82" s="34">
        <v>41334</v>
      </c>
      <c r="D82" s="1">
        <v>135</v>
      </c>
      <c r="E82" s="34">
        <v>41334</v>
      </c>
      <c r="F82" s="1">
        <v>4.7</v>
      </c>
      <c r="G82" s="34">
        <v>41334</v>
      </c>
      <c r="H82" s="1">
        <v>-0.17</v>
      </c>
      <c r="I82" s="34">
        <v>41334</v>
      </c>
      <c r="J82" s="1">
        <v>152.69999999999999</v>
      </c>
      <c r="K82" s="34">
        <v>41334</v>
      </c>
      <c r="L82" s="1">
        <v>283.39999999999998</v>
      </c>
      <c r="M82" s="34">
        <v>41334</v>
      </c>
      <c r="N82" s="1">
        <v>73.3</v>
      </c>
    </row>
    <row r="83" spans="1:14" x14ac:dyDescent="0.25">
      <c r="A83" s="34">
        <v>41365</v>
      </c>
      <c r="B83" s="1">
        <v>290.2</v>
      </c>
      <c r="C83" s="34">
        <v>41365</v>
      </c>
      <c r="D83" s="1">
        <v>206</v>
      </c>
      <c r="E83" s="34">
        <v>41365</v>
      </c>
      <c r="F83" s="1">
        <v>4.7</v>
      </c>
      <c r="G83" s="34">
        <v>41365</v>
      </c>
      <c r="H83" s="1">
        <v>-0.56000000000000005</v>
      </c>
      <c r="I83" s="34">
        <v>41365</v>
      </c>
      <c r="J83" s="1">
        <v>152.61000000000001</v>
      </c>
      <c r="K83" s="34">
        <v>41365</v>
      </c>
      <c r="L83" s="1">
        <v>283.89999999999998</v>
      </c>
      <c r="M83" s="34">
        <v>41365</v>
      </c>
      <c r="N83" s="1">
        <v>73.2</v>
      </c>
    </row>
    <row r="84" spans="1:14" x14ac:dyDescent="0.25">
      <c r="A84" s="34">
        <v>41395</v>
      </c>
      <c r="B84" s="1">
        <v>290</v>
      </c>
      <c r="C84" s="34">
        <v>41395</v>
      </c>
      <c r="D84" s="1">
        <v>333</v>
      </c>
      <c r="E84" s="34">
        <v>41395</v>
      </c>
      <c r="F84" s="1">
        <v>4.5999999999999996</v>
      </c>
      <c r="G84" s="34">
        <v>41395</v>
      </c>
      <c r="H84" s="1">
        <v>0.06</v>
      </c>
      <c r="I84" s="34">
        <v>41395</v>
      </c>
      <c r="J84" s="1">
        <v>152.63999999999999</v>
      </c>
      <c r="K84" s="34">
        <v>41395</v>
      </c>
      <c r="L84" s="1">
        <v>291.60000000000002</v>
      </c>
      <c r="M84" s="34">
        <v>41395</v>
      </c>
      <c r="N84" s="1">
        <v>74.400000000000006</v>
      </c>
    </row>
    <row r="85" spans="1:14" x14ac:dyDescent="0.25">
      <c r="A85" s="34">
        <v>41426</v>
      </c>
      <c r="B85" s="1">
        <v>290.5</v>
      </c>
      <c r="C85" s="34">
        <v>41426</v>
      </c>
      <c r="D85" s="1">
        <v>259</v>
      </c>
      <c r="E85" s="34">
        <v>41426</v>
      </c>
      <c r="F85" s="1">
        <v>4.5999999999999996</v>
      </c>
      <c r="G85" s="34">
        <v>41426</v>
      </c>
      <c r="H85" s="1">
        <v>-0.04</v>
      </c>
      <c r="I85" s="34">
        <v>41426</v>
      </c>
      <c r="J85" s="1">
        <v>152.54</v>
      </c>
      <c r="K85" s="34">
        <v>41426</v>
      </c>
      <c r="L85" s="1">
        <v>299.10000000000002</v>
      </c>
      <c r="M85" s="34">
        <v>41426</v>
      </c>
      <c r="N85" s="1">
        <v>73.400000000000006</v>
      </c>
    </row>
    <row r="86" spans="1:14" x14ac:dyDescent="0.25">
      <c r="A86" s="34">
        <v>41456</v>
      </c>
      <c r="B86" s="1">
        <v>290.5</v>
      </c>
      <c r="C86" s="34">
        <v>41456</v>
      </c>
      <c r="D86" s="1">
        <v>193</v>
      </c>
      <c r="E86" s="34">
        <v>41456</v>
      </c>
      <c r="F86" s="1">
        <v>4.5999999999999996</v>
      </c>
      <c r="G86" s="34">
        <v>41456</v>
      </c>
      <c r="H86" s="1">
        <v>0.14000000000000001</v>
      </c>
      <c r="I86" s="34">
        <v>41456</v>
      </c>
      <c r="J86" s="1">
        <v>152.5</v>
      </c>
      <c r="K86" s="34">
        <v>41456</v>
      </c>
      <c r="L86" s="1">
        <v>297.89999999999998</v>
      </c>
      <c r="M86" s="34">
        <v>41456</v>
      </c>
      <c r="N86" s="1">
        <v>68.7</v>
      </c>
    </row>
    <row r="87" spans="1:14" x14ac:dyDescent="0.25">
      <c r="A87" s="34">
        <v>41487</v>
      </c>
      <c r="B87" s="1">
        <v>290.5</v>
      </c>
      <c r="C87" s="34">
        <v>41487</v>
      </c>
      <c r="D87" s="1">
        <v>167</v>
      </c>
      <c r="E87" s="34">
        <v>41487</v>
      </c>
      <c r="F87" s="1">
        <v>4.5999999999999996</v>
      </c>
      <c r="G87" s="34">
        <v>41487</v>
      </c>
      <c r="H87" s="1">
        <v>-0.14000000000000001</v>
      </c>
      <c r="I87" s="34">
        <v>41487</v>
      </c>
      <c r="J87" s="1">
        <v>152.29</v>
      </c>
      <c r="K87" s="34">
        <v>41487</v>
      </c>
      <c r="L87" s="1">
        <v>297.2</v>
      </c>
      <c r="M87" s="34">
        <v>41487</v>
      </c>
      <c r="N87" s="1">
        <v>68.400000000000006</v>
      </c>
    </row>
    <row r="88" spans="1:14" x14ac:dyDescent="0.25">
      <c r="A88" s="34">
        <v>41518</v>
      </c>
      <c r="B88" s="1">
        <v>288.89999999999998</v>
      </c>
      <c r="C88" s="34">
        <v>41518</v>
      </c>
      <c r="D88" s="1">
        <v>162</v>
      </c>
      <c r="E88" s="34">
        <v>41518</v>
      </c>
      <c r="F88" s="1">
        <v>4.5999999999999996</v>
      </c>
      <c r="G88" s="34">
        <v>41518</v>
      </c>
      <c r="H88" s="1">
        <v>0.6</v>
      </c>
      <c r="I88" s="34">
        <v>41518</v>
      </c>
      <c r="J88" s="1">
        <v>152.59</v>
      </c>
      <c r="K88" s="34">
        <v>41518</v>
      </c>
      <c r="L88" s="1">
        <v>296.3</v>
      </c>
      <c r="M88" s="34">
        <v>41518</v>
      </c>
      <c r="N88" s="1">
        <v>72.400000000000006</v>
      </c>
    </row>
    <row r="89" spans="1:14" x14ac:dyDescent="0.25">
      <c r="A89" s="34">
        <v>41548</v>
      </c>
      <c r="B89" s="1">
        <v>291.89999999999998</v>
      </c>
      <c r="C89" s="34">
        <v>41548</v>
      </c>
      <c r="D89" s="1">
        <v>175</v>
      </c>
      <c r="E89" s="34">
        <v>41548</v>
      </c>
      <c r="F89" s="1">
        <v>4.5</v>
      </c>
      <c r="G89" s="34">
        <v>41548</v>
      </c>
      <c r="H89" s="1">
        <v>0.7</v>
      </c>
      <c r="I89" s="34">
        <v>41548</v>
      </c>
      <c r="J89" s="1">
        <v>152.61000000000001</v>
      </c>
      <c r="K89" s="34">
        <v>41548</v>
      </c>
      <c r="L89" s="1">
        <v>294.7</v>
      </c>
      <c r="M89" s="34">
        <v>41548</v>
      </c>
      <c r="N89" s="1">
        <v>73.099999999999994</v>
      </c>
    </row>
    <row r="90" spans="1:14" x14ac:dyDescent="0.25">
      <c r="A90" s="34">
        <v>41579</v>
      </c>
      <c r="B90" s="1">
        <v>293.10000000000002</v>
      </c>
      <c r="C90" s="34">
        <v>41579</v>
      </c>
      <c r="D90" s="1">
        <v>144</v>
      </c>
      <c r="E90" s="34">
        <v>41579</v>
      </c>
      <c r="F90" s="1">
        <v>4.5</v>
      </c>
      <c r="G90" s="34">
        <v>41579</v>
      </c>
      <c r="H90" s="1">
        <v>1.57</v>
      </c>
      <c r="I90" s="34">
        <v>41579</v>
      </c>
      <c r="J90" s="1">
        <v>153.26</v>
      </c>
      <c r="K90" s="34">
        <v>41579</v>
      </c>
      <c r="L90" s="1">
        <v>290.3</v>
      </c>
      <c r="M90" s="34">
        <v>41579</v>
      </c>
      <c r="N90" s="1">
        <v>72.8</v>
      </c>
    </row>
    <row r="91" spans="1:14" x14ac:dyDescent="0.25">
      <c r="A91" s="34">
        <v>41609</v>
      </c>
      <c r="B91" s="1">
        <v>292.89999999999998</v>
      </c>
      <c r="C91" s="34">
        <v>41609</v>
      </c>
      <c r="D91" s="1">
        <v>92</v>
      </c>
      <c r="E91" s="34">
        <v>41609</v>
      </c>
      <c r="F91" s="1">
        <v>4.4000000000000004</v>
      </c>
      <c r="G91" s="34">
        <v>41609</v>
      </c>
      <c r="H91" s="1">
        <v>0.78</v>
      </c>
      <c r="I91" s="34">
        <v>41609</v>
      </c>
      <c r="J91" s="1">
        <v>153.32</v>
      </c>
      <c r="K91" s="34">
        <v>41609</v>
      </c>
      <c r="L91" s="1">
        <v>290</v>
      </c>
      <c r="M91" s="34">
        <v>41609</v>
      </c>
      <c r="N91" s="1">
        <v>72.8</v>
      </c>
    </row>
    <row r="92" spans="1:14" x14ac:dyDescent="0.25">
      <c r="A92" s="34">
        <v>41640</v>
      </c>
      <c r="B92" s="1">
        <v>293.89999999999998</v>
      </c>
      <c r="C92" s="34">
        <v>41640</v>
      </c>
      <c r="D92" s="1">
        <v>69</v>
      </c>
      <c r="E92" s="34">
        <v>41640</v>
      </c>
      <c r="F92" s="1">
        <v>4.3</v>
      </c>
      <c r="G92" s="34">
        <v>41640</v>
      </c>
      <c r="H92" s="1">
        <v>1.1299999999999999</v>
      </c>
      <c r="I92" s="34">
        <v>41640</v>
      </c>
      <c r="J92" s="1">
        <v>153.94</v>
      </c>
      <c r="K92" s="34">
        <v>41640</v>
      </c>
      <c r="L92" s="1">
        <v>284.10000000000002</v>
      </c>
      <c r="M92" s="34">
        <v>41640</v>
      </c>
      <c r="N92" s="1">
        <v>71</v>
      </c>
    </row>
    <row r="93" spans="1:14" x14ac:dyDescent="0.25">
      <c r="A93" s="34">
        <v>41671</v>
      </c>
      <c r="B93" s="1">
        <v>293</v>
      </c>
      <c r="C93" s="34">
        <v>41671</v>
      </c>
      <c r="D93" s="1">
        <v>122</v>
      </c>
      <c r="E93" s="34">
        <v>41671</v>
      </c>
      <c r="F93" s="1">
        <v>4.2</v>
      </c>
      <c r="G93" s="34">
        <v>41671</v>
      </c>
      <c r="H93" s="1">
        <v>0.96</v>
      </c>
      <c r="I93" s="34">
        <v>41671</v>
      </c>
      <c r="J93" s="1">
        <v>154.04</v>
      </c>
      <c r="K93" s="34">
        <v>41671</v>
      </c>
      <c r="L93" s="1">
        <v>283.89999999999998</v>
      </c>
      <c r="M93" s="34">
        <v>41671</v>
      </c>
      <c r="N93" s="1">
        <v>72.2</v>
      </c>
    </row>
    <row r="94" spans="1:14" x14ac:dyDescent="0.25">
      <c r="A94" s="34">
        <v>41699</v>
      </c>
      <c r="B94" s="1">
        <v>294.39999999999998</v>
      </c>
      <c r="C94" s="34">
        <v>41699</v>
      </c>
      <c r="D94" s="1">
        <v>110</v>
      </c>
      <c r="E94" s="34">
        <v>41699</v>
      </c>
      <c r="F94" s="1">
        <v>4</v>
      </c>
      <c r="G94" s="34">
        <v>41699</v>
      </c>
      <c r="H94" s="1">
        <v>1.01</v>
      </c>
      <c r="I94" s="34">
        <v>41699</v>
      </c>
      <c r="J94" s="1">
        <v>154.5</v>
      </c>
      <c r="K94" s="34">
        <v>41699</v>
      </c>
      <c r="L94" s="1">
        <v>286.7</v>
      </c>
      <c r="M94" s="34">
        <v>41699</v>
      </c>
      <c r="N94" s="1">
        <v>73</v>
      </c>
    </row>
    <row r="95" spans="1:14" x14ac:dyDescent="0.25">
      <c r="A95" s="34">
        <v>41730</v>
      </c>
      <c r="B95" s="1">
        <v>293.7</v>
      </c>
      <c r="C95" s="34">
        <v>41730</v>
      </c>
      <c r="D95" s="1">
        <v>263</v>
      </c>
      <c r="E95" s="34">
        <v>41730</v>
      </c>
      <c r="F95" s="1">
        <v>3.7</v>
      </c>
      <c r="G95" s="34">
        <v>41730</v>
      </c>
      <c r="H95" s="1">
        <v>1.19</v>
      </c>
      <c r="I95" s="34">
        <v>41730</v>
      </c>
      <c r="J95" s="1">
        <v>154.82</v>
      </c>
      <c r="K95" s="34">
        <v>41730</v>
      </c>
      <c r="L95" s="1">
        <v>286.39999999999998</v>
      </c>
      <c r="M95" s="34">
        <v>41730</v>
      </c>
      <c r="N95" s="1">
        <v>72.5</v>
      </c>
    </row>
    <row r="96" spans="1:14" x14ac:dyDescent="0.25">
      <c r="A96" s="34">
        <v>41760</v>
      </c>
      <c r="B96" s="1">
        <v>292.8</v>
      </c>
      <c r="C96" s="34">
        <v>41760</v>
      </c>
      <c r="D96" s="1">
        <v>197</v>
      </c>
      <c r="E96" s="34">
        <v>41760</v>
      </c>
      <c r="F96" s="1">
        <v>3.8</v>
      </c>
      <c r="G96" s="34">
        <v>41760</v>
      </c>
      <c r="H96" s="1">
        <v>0.44</v>
      </c>
      <c r="I96" s="34">
        <v>41760</v>
      </c>
      <c r="J96" s="1">
        <v>155.05000000000001</v>
      </c>
      <c r="K96" s="34">
        <v>41760</v>
      </c>
      <c r="L96" s="1">
        <v>293.3</v>
      </c>
      <c r="M96" s="34">
        <v>41760</v>
      </c>
      <c r="N96" s="1">
        <v>73.599999999999994</v>
      </c>
    </row>
    <row r="97" spans="1:14" x14ac:dyDescent="0.25">
      <c r="A97" s="34">
        <v>41791</v>
      </c>
      <c r="B97" s="1">
        <v>292.7</v>
      </c>
      <c r="C97" s="34">
        <v>41791</v>
      </c>
      <c r="D97" s="1">
        <v>189</v>
      </c>
      <c r="E97" s="34">
        <v>41791</v>
      </c>
      <c r="F97" s="1">
        <v>4</v>
      </c>
      <c r="G97" s="34">
        <v>41791</v>
      </c>
      <c r="H97" s="1">
        <v>0.73</v>
      </c>
      <c r="I97" s="34">
        <v>41791</v>
      </c>
      <c r="J97" s="1">
        <v>155.38999999999999</v>
      </c>
      <c r="K97" s="34">
        <v>41791</v>
      </c>
      <c r="L97" s="1">
        <v>302.60000000000002</v>
      </c>
      <c r="M97" s="34">
        <v>41791</v>
      </c>
      <c r="N97" s="1">
        <v>72.099999999999994</v>
      </c>
    </row>
    <row r="98" spans="1:14" x14ac:dyDescent="0.25">
      <c r="A98" s="34">
        <v>41821</v>
      </c>
      <c r="B98" s="1">
        <v>293.60000000000002</v>
      </c>
      <c r="C98" s="34">
        <v>41821</v>
      </c>
      <c r="D98" s="1">
        <v>173</v>
      </c>
      <c r="E98" s="34">
        <v>41821</v>
      </c>
      <c r="F98" s="1">
        <v>4.4000000000000004</v>
      </c>
      <c r="G98" s="34">
        <v>41821</v>
      </c>
      <c r="H98" s="1">
        <v>0.85</v>
      </c>
      <c r="I98" s="34">
        <v>41821</v>
      </c>
      <c r="J98" s="1">
        <v>155.66999999999999</v>
      </c>
      <c r="K98" s="34">
        <v>41821</v>
      </c>
      <c r="L98" s="1">
        <v>303.2</v>
      </c>
      <c r="M98" s="34">
        <v>41821</v>
      </c>
      <c r="N98" s="1">
        <v>69</v>
      </c>
    </row>
    <row r="99" spans="1:14" x14ac:dyDescent="0.25">
      <c r="A99" s="34">
        <v>41852</v>
      </c>
      <c r="B99" s="1">
        <v>294.2</v>
      </c>
      <c r="C99" s="34">
        <v>41852</v>
      </c>
      <c r="D99" s="1">
        <v>124</v>
      </c>
      <c r="E99" s="34">
        <v>41852</v>
      </c>
      <c r="F99" s="1">
        <v>4.5999999999999996</v>
      </c>
      <c r="G99" s="34">
        <v>41852</v>
      </c>
      <c r="H99" s="1">
        <v>1.1599999999999999</v>
      </c>
      <c r="I99" s="34">
        <v>41852</v>
      </c>
      <c r="J99" s="1">
        <v>156.08000000000001</v>
      </c>
      <c r="K99" s="34">
        <v>41852</v>
      </c>
      <c r="L99" s="1">
        <v>302</v>
      </c>
      <c r="M99" s="34">
        <v>41852</v>
      </c>
      <c r="N99" s="1">
        <v>68.2</v>
      </c>
    </row>
    <row r="100" spans="1:14" x14ac:dyDescent="0.25">
      <c r="A100" s="34">
        <v>41883</v>
      </c>
      <c r="B100" s="1">
        <v>294</v>
      </c>
      <c r="C100" s="34">
        <v>41883</v>
      </c>
      <c r="D100" s="1">
        <v>130</v>
      </c>
      <c r="E100" s="34">
        <v>41883</v>
      </c>
      <c r="F100" s="1">
        <v>4.7</v>
      </c>
      <c r="G100" s="34">
        <v>41883</v>
      </c>
      <c r="H100" s="1">
        <v>-0.46</v>
      </c>
      <c r="I100" s="34">
        <v>41883</v>
      </c>
      <c r="J100" s="1">
        <v>155.71</v>
      </c>
      <c r="K100" s="34">
        <v>41883</v>
      </c>
      <c r="L100" s="1">
        <v>301.10000000000002</v>
      </c>
      <c r="M100" s="34">
        <v>41883</v>
      </c>
      <c r="N100" s="1">
        <v>72.3</v>
      </c>
    </row>
    <row r="101" spans="1:14" x14ac:dyDescent="0.25">
      <c r="A101" s="34">
        <v>41913</v>
      </c>
      <c r="B101" s="1">
        <v>296.5</v>
      </c>
      <c r="C101" s="34">
        <v>41913</v>
      </c>
      <c r="D101" s="1">
        <v>140</v>
      </c>
      <c r="E101" s="34">
        <v>41913</v>
      </c>
      <c r="F101" s="1">
        <v>4.7</v>
      </c>
      <c r="G101" s="34">
        <v>41913</v>
      </c>
      <c r="H101" s="1">
        <v>-0.3</v>
      </c>
      <c r="I101" s="34">
        <v>41913</v>
      </c>
      <c r="J101" s="1">
        <v>155.83000000000001</v>
      </c>
      <c r="K101" s="34">
        <v>41913</v>
      </c>
      <c r="L101" s="1">
        <v>297.89999999999998</v>
      </c>
      <c r="M101" s="34">
        <v>41913</v>
      </c>
      <c r="N101" s="1">
        <v>73.599999999999994</v>
      </c>
    </row>
    <row r="102" spans="1:14" x14ac:dyDescent="0.25">
      <c r="A102" s="34">
        <v>41944</v>
      </c>
      <c r="B102" s="1">
        <v>295.60000000000002</v>
      </c>
      <c r="C102" s="34">
        <v>41944</v>
      </c>
      <c r="D102" s="1">
        <v>107</v>
      </c>
      <c r="E102" s="34">
        <v>41944</v>
      </c>
      <c r="F102" s="1">
        <v>4.5</v>
      </c>
      <c r="G102" s="34">
        <v>41944</v>
      </c>
      <c r="H102" s="1">
        <v>0.35</v>
      </c>
      <c r="I102" s="34">
        <v>41944</v>
      </c>
      <c r="J102" s="1">
        <v>155.79</v>
      </c>
      <c r="K102" s="34">
        <v>41944</v>
      </c>
      <c r="L102" s="1">
        <v>293.10000000000002</v>
      </c>
      <c r="M102" s="34">
        <v>41944</v>
      </c>
      <c r="N102" s="1">
        <v>73</v>
      </c>
    </row>
    <row r="103" spans="1:14" x14ac:dyDescent="0.25">
      <c r="A103" s="34">
        <v>41974</v>
      </c>
      <c r="B103" s="1">
        <v>297.10000000000002</v>
      </c>
      <c r="E103" s="34">
        <v>41974</v>
      </c>
      <c r="F103" s="1">
        <v>4.2</v>
      </c>
      <c r="K103" s="34">
        <v>41974</v>
      </c>
      <c r="L103" s="1">
        <v>294.3</v>
      </c>
      <c r="M103" s="34">
        <v>41974</v>
      </c>
      <c r="N103" s="1">
        <v>72.900000000000006</v>
      </c>
    </row>
  </sheetData>
  <hyperlinks>
    <hyperlink ref="A5" r:id="rId1"/>
    <hyperlink ref="C5" r:id="rId2"/>
    <hyperlink ref="E5" r:id="rId3"/>
    <hyperlink ref="G5" r:id="rId4"/>
    <hyperlink ref="I5" r:id="rId5"/>
    <hyperlink ref="K5" r:id="rId6"/>
    <hyperlink ref="M5" r:id="rId7"/>
    <hyperlink ref="O5" r:id="rId8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63</vt:i4>
      </vt:variant>
      <vt:variant>
        <vt:lpstr>Named Ranges</vt:lpstr>
      </vt:variant>
      <vt:variant>
        <vt:i4>8</vt:i4>
      </vt:variant>
    </vt:vector>
  </HeadingPairs>
  <TitlesOfParts>
    <vt:vector size="71" baseType="lpstr">
      <vt:lpstr>Notes</vt:lpstr>
      <vt:lpstr>MapData</vt:lpstr>
      <vt:lpstr>econmon</vt:lpstr>
      <vt:lpstr>Table 1</vt:lpstr>
      <vt:lpstr>Table 2</vt:lpstr>
      <vt:lpstr>Table 3</vt:lpstr>
      <vt:lpstr>housing permits data</vt:lpstr>
      <vt:lpstr>Tax</vt:lpstr>
      <vt:lpstr>FHFA House Price Appreciation</vt:lpstr>
      <vt:lpstr>AWE</vt:lpstr>
      <vt:lpstr>BLS Data Series</vt:lpstr>
      <vt:lpstr>US</vt:lpstr>
      <vt:lpstr>AK</vt:lpstr>
      <vt:lpstr>AL</vt:lpstr>
      <vt:lpstr>AR</vt:lpstr>
      <vt:lpstr>AZ</vt:lpstr>
      <vt:lpstr>CA</vt:lpstr>
      <vt:lpstr>CO</vt:lpstr>
      <vt:lpstr>CT</vt:lpstr>
      <vt:lpstr>DE</vt:lpstr>
      <vt:lpstr>DC</vt:lpstr>
      <vt:lpstr>FL</vt:lpstr>
      <vt:lpstr>GA</vt:lpstr>
      <vt:lpstr>HI</vt:lpstr>
      <vt:lpstr>IA</vt:lpstr>
      <vt:lpstr>ID</vt:lpstr>
      <vt:lpstr>IL</vt:lpstr>
      <vt:lpstr>IN</vt:lpstr>
      <vt:lpstr>KS</vt:lpstr>
      <vt:lpstr>KY</vt:lpstr>
      <vt:lpstr>LA</vt:lpstr>
      <vt:lpstr>MA</vt:lpstr>
      <vt:lpstr>MD</vt:lpstr>
      <vt:lpstr>ME</vt:lpstr>
      <vt:lpstr>MN</vt:lpstr>
      <vt:lpstr>MO</vt:lpstr>
      <vt:lpstr>MI</vt:lpstr>
      <vt:lpstr>MS</vt:lpstr>
      <vt:lpstr>MT</vt:lpstr>
      <vt:lpstr>NC</vt:lpstr>
      <vt:lpstr>ND</vt:lpstr>
      <vt:lpstr>NE</vt:lpstr>
      <vt:lpstr>NH</vt:lpstr>
      <vt:lpstr>NJ</vt:lpstr>
      <vt:lpstr>NM</vt:lpstr>
      <vt:lpstr>NV</vt:lpstr>
      <vt:lpstr>NY</vt:lpstr>
      <vt:lpstr>OH</vt:lpstr>
      <vt:lpstr>OK</vt:lpstr>
      <vt:lpstr>OR</vt:lpstr>
      <vt:lpstr>PA</vt:lpstr>
      <vt:lpstr>RI</vt:lpstr>
      <vt:lpstr>SC</vt:lpstr>
      <vt:lpstr>SD</vt:lpstr>
      <vt:lpstr>TX</vt:lpstr>
      <vt:lpstr>TN</vt:lpstr>
      <vt:lpstr>UT</vt:lpstr>
      <vt:lpstr>VA</vt:lpstr>
      <vt:lpstr>VT</vt:lpstr>
      <vt:lpstr>WA</vt:lpstr>
      <vt:lpstr>WI</vt:lpstr>
      <vt:lpstr>WV</vt:lpstr>
      <vt:lpstr>WY</vt:lpstr>
      <vt:lpstr>CIT</vt:lpstr>
      <vt:lpstr>econrng</vt:lpstr>
      <vt:lpstr>PIT</vt:lpstr>
      <vt:lpstr>'Table 1'!Print_Area</vt:lpstr>
      <vt:lpstr>'Table 2'!Print_Area</vt:lpstr>
      <vt:lpstr>'Table 3'!Print_Area</vt:lpstr>
      <vt:lpstr>salestax</vt:lpstr>
      <vt:lpstr>TotTax</vt:lpstr>
    </vt:vector>
  </TitlesOfParts>
  <Company>The Urban Institute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Francis, Norton</dc:creator>
  <cp:lastModifiedBy>Auxier, Richard</cp:lastModifiedBy>
  <cp:lastPrinted>2014-09-29T17:47:15Z</cp:lastPrinted>
  <dcterms:created xsi:type="dcterms:W3CDTF">2013-05-07T17:40:35Z</dcterms:created>
  <dcterms:modified xsi:type="dcterms:W3CDTF">2015-02-20T19:57:40Z</dcterms:modified>
</cp:coreProperties>
</file>